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Watchlist" sheetId="4" state="visible" r:id="rId4"/>
    <sheet xmlns:r="http://schemas.openxmlformats.org/officeDocument/2006/relationships" name="Rating Audi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\x"/>
    <numFmt numFmtId="166" formatCode="0.0\%"/>
    <numFmt numFmtId="167" formatCode="0.0"/>
    <numFmt numFmtId="168" formatCode="yyyy-mm-dd"/>
    <numFmt numFmtId="169" formatCode="yyyy-mm-dd h:mm:ss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C00000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b val="1"/>
      <color rgb="00FFFFFF"/>
    </font>
    <font>
      <b val="1"/>
    </font>
  </fonts>
  <fills count="2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8FAADC"/>
        <bgColor rgb="FF969696"/>
      </patternFill>
    </fill>
    <fill>
      <patternFill patternType="solid">
        <fgColor rgb="FF2E75B6"/>
        <bgColor rgb="FF4472C4"/>
      </patternFill>
    </fill>
    <fill>
      <patternFill patternType="solid">
        <fgColor rgb="FFA9D18E"/>
        <bgColor rgb="FFC9C9C9"/>
      </patternFill>
    </fill>
    <fill>
      <patternFill patternType="solid">
        <fgColor rgb="FF548235"/>
        <bgColor rgb="FF339966"/>
      </patternFill>
    </fill>
    <fill>
      <patternFill patternType="solid">
        <fgColor rgb="FFFFD966"/>
        <bgColor rgb="FFFFE699"/>
      </patternFill>
    </fill>
    <fill>
      <patternFill patternType="solid">
        <fgColor rgb="FFBF8F00"/>
        <bgColor rgb="FFC65911"/>
      </patternFill>
    </fill>
    <fill>
      <patternFill patternType="solid">
        <fgColor rgb="FFF4B084"/>
        <bgColor rgb="FFD5A6BD"/>
      </patternFill>
    </fill>
    <fill>
      <patternFill patternType="solid">
        <fgColor rgb="FFC65911"/>
        <bgColor rgb="FF993300"/>
      </patternFill>
    </fill>
    <fill>
      <patternFill patternType="solid">
        <fgColor rgb="FFC9C9C9"/>
        <bgColor rgb="FFD9E1F2"/>
      </patternFill>
    </fill>
    <fill>
      <patternFill patternType="solid">
        <fgColor rgb="FF595959"/>
        <bgColor rgb="FF548235"/>
      </patternFill>
    </fill>
    <fill>
      <patternFill patternType="solid">
        <fgColor rgb="FFD5A6BD"/>
        <bgColor rgb="FFF4B084"/>
      </patternFill>
    </fill>
    <fill>
      <patternFill patternType="solid">
        <fgColor rgb="FFA64D79"/>
        <bgColor rgb="FF993366"/>
      </patternFill>
    </fill>
    <fill>
      <patternFill patternType="solid">
        <fgColor rgb="FFFFC000"/>
        <bgColor rgb="FFFFD966"/>
      </patternFill>
    </fill>
    <fill>
      <patternFill patternType="solid">
        <fgColor rgb="FFFFE699"/>
        <bgColor rgb="FFFFD96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166" fontId="7" fillId="0" borderId="1" applyAlignment="1" pivotButton="0" quotePrefix="0" xfId="0">
      <alignment horizontal="center" vertical="bottom"/>
    </xf>
    <xf numFmtId="167" fontId="12" fillId="0" borderId="1" applyAlignment="1" pivotButton="0" quotePrefix="0" xfId="0">
      <alignment horizontal="center" vertical="bottom"/>
    </xf>
    <xf numFmtId="167" fontId="13" fillId="2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167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166" fontId="7" fillId="0" borderId="1" applyAlignment="1" pivotButton="0" quotePrefix="0" xfId="0">
      <alignment horizontal="center" vertical="bottom"/>
    </xf>
    <xf numFmtId="167" fontId="12" fillId="0" borderId="1" applyAlignment="1" pivotButton="0" quotePrefix="0" xfId="0">
      <alignment horizontal="center" vertical="bottom"/>
    </xf>
    <xf numFmtId="167" fontId="13" fillId="2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167" fontId="0" fillId="0" borderId="1" applyAlignment="1" pivotButton="0" quotePrefix="0" xfId="0">
      <alignment horizontal="center" vertical="bottom"/>
    </xf>
    <xf numFmtId="0" fontId="15" fillId="21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6" fillId="0" borderId="0" pivotButton="0" quotePrefix="0" xfId="0"/>
    <xf numFmtId="167" fontId="7" fillId="0" borderId="1" applyAlignment="1" pivotButton="0" quotePrefix="0" xfId="0">
      <alignment horizontal="center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8" fontId="0" fillId="0" borderId="0" pivotButton="0" quotePrefix="0" xfId="0"/>
    <xf numFmtId="169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9C9C9"/>
      <rgbColor rgb="FF808080"/>
      <rgbColor rgb="FF8FAADC"/>
      <rgbColor rgb="FFA64D79"/>
      <rgbColor rgb="FFF2F2F2"/>
      <rgbColor rgb="FFCCFF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A9D18E"/>
      <rgbColor rgb="FFF4B084"/>
      <rgbColor rgb="FFD5A6BD"/>
      <rgbColor rgb="FFFFD966"/>
      <rgbColor rgb="FF4472C4"/>
      <rgbColor rgb="FF33CCCC"/>
      <rgbColor rgb="FF99CC00"/>
      <rgbColor rgb="FFFFC000"/>
      <rgbColor rgb="FFBF8F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33" min="1" max="1"/>
  </cols>
  <sheetData>
    <row r="1" ht="15" customHeight="1" s="34">
      <c r="A1" s="35" t="inlineStr">
        <is>
          <t>AI Infrastructure Stock Scoring System</t>
        </is>
      </c>
    </row>
    <row r="2" ht="15" customHeight="1" s="34">
      <c r="A2" s="36" t="n"/>
    </row>
    <row r="3" ht="15" customHeight="1" s="34">
      <c r="A3" s="35" t="inlineStr">
        <is>
          <t>PURPOSE</t>
        </is>
      </c>
    </row>
    <row r="4" ht="15" customHeight="1" s="34">
      <c r="A4" s="36" t="inlineStr">
        <is>
          <t>Rank AI supply chain stocks on a 0-100 scale to prioritize which names deserve a deep-dive.</t>
        </is>
      </c>
    </row>
    <row r="5" ht="15" customHeight="1" s="34">
      <c r="A5" s="36" t="inlineStr">
        <is>
          <t>The score is NOT a buy/sell signal. It's a triage tool.</t>
        </is>
      </c>
    </row>
    <row r="6" ht="15" customHeight="1" s="34">
      <c r="A6" s="36" t="n"/>
    </row>
    <row r="7" ht="15" customHeight="1" s="34">
      <c r="A7" s="35" t="inlineStr">
        <is>
          <t>HOW IT WORKS</t>
        </is>
      </c>
    </row>
    <row r="8" ht="15" customHeight="1" s="34">
      <c r="A8" s="36" t="inlineStr">
        <is>
          <t>6 categories, each scored 0-100, then weighted into a single total.</t>
        </is>
      </c>
    </row>
    <row r="9" ht="15" customHeight="1" s="34">
      <c r="A9" s="36" t="inlineStr">
        <is>
          <t>Each category has 3-5 sub-metrics with thresholds defined on the Methodology sheet.</t>
        </is>
      </c>
    </row>
    <row r="10" ht="15" customHeight="1" s="34">
      <c r="A10" s="36" t="n"/>
    </row>
    <row r="11" ht="15" customHeight="1" s="34">
      <c r="A11" s="35" t="inlineStr">
        <is>
          <t>CATEGORIES &amp; DEFAULT WEIGHTS</t>
        </is>
      </c>
    </row>
    <row r="12" ht="15" customHeight="1" s="34">
      <c r="A12" s="36" t="inlineStr">
        <is>
          <t>Value (20%)       - Is the price reasonable vs. fundamentals?</t>
        </is>
      </c>
    </row>
    <row r="13" ht="15" customHeight="1" s="34">
      <c r="A13" s="36" t="inlineStr">
        <is>
          <t>Quality (20%)     - Is the business well-run and financially sound?</t>
        </is>
      </c>
    </row>
    <row r="14" ht="15" customHeight="1" s="34">
      <c r="A14" s="36" t="inlineStr">
        <is>
          <t>Growth (15%)      - Is the company growing meaningfully?</t>
        </is>
      </c>
    </row>
    <row r="15" ht="15" customHeight="1" s="34">
      <c r="A15" s="36" t="inlineStr">
        <is>
          <t>AI Thesis (20%)   - How strong is the AI infrastructure exposure?</t>
        </is>
      </c>
    </row>
    <row r="16" ht="15" customHeight="1" s="34">
      <c r="A16" s="36" t="inlineStr">
        <is>
          <t>Momentum (10%)    - Are estimates rising and price acting well?</t>
        </is>
      </c>
    </row>
    <row r="17" ht="15" customHeight="1" s="34">
      <c r="A17" s="36" t="inlineStr">
        <is>
          <t>Risk (15%)        - What concentration / geographic / regulatory risk exists?</t>
        </is>
      </c>
    </row>
    <row r="18" ht="15" customHeight="1" s="34">
      <c r="A18" s="36" t="n"/>
    </row>
    <row r="19" ht="15" customHeight="1" s="34">
      <c r="A19" s="36" t="inlineStr">
        <is>
          <t>Weights are adjustable on the Weights sheet. Sum must equal 100%.</t>
        </is>
      </c>
    </row>
    <row r="20" ht="15" customHeight="1" s="34">
      <c r="A20" s="36" t="n"/>
    </row>
    <row r="21" ht="15" customHeight="1" s="34">
      <c r="A21" s="35" t="inlineStr">
        <is>
          <t>CONVICTION TIERS (from Total Score)</t>
        </is>
      </c>
    </row>
    <row r="22" ht="15" customHeight="1" s="34">
      <c r="A22" s="36" t="inlineStr">
        <is>
          <t>85-100   ✓✓✓  Top tier - deep-dive immediately, candidate for core position</t>
        </is>
      </c>
    </row>
    <row r="23" ht="15" customHeight="1" s="34">
      <c r="A23" s="36" t="inlineStr">
        <is>
          <t>70-84    ✓✓   Strong - add to active watchlist, consider initiating</t>
        </is>
      </c>
    </row>
    <row r="24" ht="15" customHeight="1" s="34">
      <c r="A24" s="36" t="inlineStr">
        <is>
          <t>55-69    ✓    Average - monitor for catalysts</t>
        </is>
      </c>
    </row>
    <row r="25" ht="15" customHeight="1" s="34">
      <c r="A25" s="36" t="inlineStr">
        <is>
          <t>40-54    ?    Below average - skip unless specific catalyst</t>
        </is>
      </c>
    </row>
    <row r="26" ht="15" customHeight="1" s="34">
      <c r="A26" s="36" t="inlineStr">
        <is>
          <t>0-39     ✗    Avoid</t>
        </is>
      </c>
    </row>
    <row r="27" ht="15" customHeight="1" s="34">
      <c r="A27" s="36" t="n"/>
    </row>
    <row r="28" ht="15" customHeight="1" s="34">
      <c r="A28" s="35" t="inlineStr">
        <is>
          <t>HOW TO USE</t>
        </is>
      </c>
    </row>
    <row r="29" ht="15" customHeight="1" s="34">
      <c r="A29" s="36" t="inlineStr">
        <is>
          <t>1. On the Watchlist sheet, add ticker, company, and layer in columns A-C.</t>
        </is>
      </c>
    </row>
    <row r="30" ht="15" customHeight="1" s="34">
      <c r="A30" s="36" t="inlineStr">
        <is>
          <t>2. Fill in BLUE input cells with raw financial data (use Cowork to fetch from EDGAR/FMP).</t>
        </is>
      </c>
    </row>
    <row r="31" ht="15" customHeight="1" s="34">
      <c r="A31" s="36" t="inlineStr">
        <is>
          <t>3. Fill in 1-5 subjective ratings for AI Thesis, Momentum, and Risk columns.</t>
        </is>
      </c>
    </row>
    <row r="32" ht="15" customHeight="1" s="34">
      <c r="A32" s="36" t="inlineStr">
        <is>
          <t>4. Subscores and Total Score calculate automatically.</t>
        </is>
      </c>
    </row>
    <row r="33" ht="15" customHeight="1" s="34">
      <c r="A33" s="36" t="inlineStr">
        <is>
          <t>5. Sort the Watchlist by Total Score (descending) to see your priority queue.</t>
        </is>
      </c>
    </row>
    <row r="34" ht="15" customHeight="1" s="34">
      <c r="A34" s="36" t="inlineStr">
        <is>
          <t>6. Re-run quarterly. Track score changes over time to see thesis strength evolving.</t>
        </is>
      </c>
    </row>
    <row r="35" ht="15" customHeight="1" s="34">
      <c r="A35" s="36" t="n"/>
    </row>
    <row r="36" ht="15" customHeight="1" s="34">
      <c r="A36" s="35" t="inlineStr">
        <is>
          <t>INPUT COLOR CODES</t>
        </is>
      </c>
    </row>
    <row r="37" ht="15" customHeight="1" s="34">
      <c r="A37" s="36" t="inlineStr">
        <is>
          <t>Blue text       = inputs you provide</t>
        </is>
      </c>
    </row>
    <row r="38" ht="15" customHeight="1" s="34">
      <c r="A38" s="36" t="inlineStr">
        <is>
          <t>Black text      = formulas (don't edit)</t>
        </is>
      </c>
    </row>
    <row r="39" ht="15" customHeight="1" s="34">
      <c r="A39" s="36" t="inlineStr">
        <is>
          <t>Yellow shaded   = key assumption / needs attention</t>
        </is>
      </c>
    </row>
    <row r="40" ht="15" customHeight="1" s="34">
      <c r="A40" s="36" t="n"/>
    </row>
    <row r="41" ht="15" customHeight="1" s="34">
      <c r="A41" s="35" t="inlineStr">
        <is>
          <t>DATA SOURCES (suggested for Cowork to pull from)</t>
        </is>
      </c>
    </row>
    <row r="42" ht="15" customHeight="1" s="34">
      <c r="A42" s="36" t="inlineStr">
        <is>
          <t>SEC EDGAR        - 10-K, 10-Q, 8-K filings (free)</t>
        </is>
      </c>
    </row>
    <row r="43" ht="15" customHeight="1" s="34">
      <c r="A43" s="36" t="inlineStr">
        <is>
          <t>FMP API          - financial ratios, valuation multiples (~$15-30/mo)</t>
        </is>
      </c>
    </row>
    <row r="44" ht="15" customHeight="1" s="34">
      <c r="A44" s="36" t="inlineStr">
        <is>
          <t>Polygon.io       - similar coverage, alternative to FMP</t>
        </is>
      </c>
    </row>
    <row r="45" ht="15" customHeight="1" s="34">
      <c r="A45" s="36" t="inlineStr">
        <is>
          <t>Company IR pages - earnings calls, investor presentations</t>
        </is>
      </c>
    </row>
    <row r="46" ht="15" customHeight="1" s="34">
      <c r="A46" s="36" t="n"/>
    </row>
    <row r="47" ht="15" customHeight="1" s="34">
      <c r="A47" s="35" t="inlineStr">
        <is>
          <t>IMPORTANT</t>
        </is>
      </c>
    </row>
    <row r="48" ht="15" customHeight="1" s="34">
      <c r="A48" s="36" t="inlineStr">
        <is>
          <t>This scoring system is a triage tool. It does not replace judgment.</t>
        </is>
      </c>
    </row>
    <row r="49" ht="15" customHeight="1" s="34">
      <c r="A49" s="36" t="inlineStr">
        <is>
          <t>A high score means 'worth your time to dig in,' not 'buy now.'</t>
        </is>
      </c>
    </row>
    <row r="50" ht="15" customHeight="1" s="34">
      <c r="A50" s="36" t="inlineStr">
        <is>
          <t>A low score might still warrant a position if you have specific insight.</t>
        </is>
      </c>
    </row>
    <row r="51" ht="15" customHeight="1" s="34">
      <c r="A51" s="36" t="inlineStr">
        <is>
          <t>Quarterly: re-run the scores, and grade yourself on whether last quarter's picks worked.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3" min="1" max="1"/>
    <col width="13" customWidth="1" style="33" min="2" max="2"/>
    <col width="45" customWidth="1" style="33" min="3" max="3"/>
  </cols>
  <sheetData>
    <row r="1" ht="15" customHeight="1" s="34">
      <c r="A1" s="37" t="inlineStr">
        <is>
          <t>Category Weights</t>
        </is>
      </c>
    </row>
    <row r="3" ht="15" customHeight="1" s="34">
      <c r="A3" s="38" t="inlineStr">
        <is>
          <t>Category</t>
        </is>
      </c>
      <c r="B3" s="38" t="inlineStr">
        <is>
          <t>Weight (%)</t>
        </is>
      </c>
      <c r="C3" s="38" t="inlineStr">
        <is>
          <t>Notes</t>
        </is>
      </c>
    </row>
    <row r="4" ht="15" customHeight="1" s="34">
      <c r="A4" s="35" t="inlineStr">
        <is>
          <t>Value</t>
        </is>
      </c>
      <c r="B4" s="39" t="n">
        <v>0.2</v>
      </c>
      <c r="C4" s="40" t="inlineStr">
        <is>
          <t>Is the price reasonable?</t>
        </is>
      </c>
    </row>
    <row r="5" ht="15" customHeight="1" s="34">
      <c r="A5" s="35" t="inlineStr">
        <is>
          <t>Quality</t>
        </is>
      </c>
      <c r="B5" s="39" t="n">
        <v>0.2</v>
      </c>
      <c r="C5" s="40" t="inlineStr">
        <is>
          <t>Is the business well-run?</t>
        </is>
      </c>
    </row>
    <row r="6" ht="15" customHeight="1" s="34">
      <c r="A6" s="35" t="inlineStr">
        <is>
          <t>Growth</t>
        </is>
      </c>
      <c r="B6" s="39" t="n">
        <v>0.15</v>
      </c>
      <c r="C6" s="40" t="inlineStr">
        <is>
          <t>Is it growing?</t>
        </is>
      </c>
    </row>
    <row r="7" ht="15" customHeight="1" s="34">
      <c r="A7" s="35" t="inlineStr">
        <is>
          <t>AI Thesis</t>
        </is>
      </c>
      <c r="B7" s="39" t="n">
        <v>0.2</v>
      </c>
      <c r="C7" s="40" t="inlineStr">
        <is>
          <t>How strong is AI exposure?</t>
        </is>
      </c>
    </row>
    <row r="8" ht="15" customHeight="1" s="34">
      <c r="A8" s="35" t="inlineStr">
        <is>
          <t>Momentum</t>
        </is>
      </c>
      <c r="B8" s="39" t="n">
        <v>0.1</v>
      </c>
      <c r="C8" s="40" t="inlineStr">
        <is>
          <t>Are estimates and price improving?</t>
        </is>
      </c>
    </row>
    <row r="9" ht="15" customHeight="1" s="34">
      <c r="A9" s="35" t="inlineStr">
        <is>
          <t>Risk</t>
        </is>
      </c>
      <c r="B9" s="39" t="n">
        <v>0.15</v>
      </c>
      <c r="C9" s="40" t="inlineStr">
        <is>
          <t>Concentration / geographic / regulatory</t>
        </is>
      </c>
    </row>
    <row r="10" ht="15" customHeight="1" s="34">
      <c r="A10" s="35" t="inlineStr">
        <is>
          <t>TOTAL</t>
        </is>
      </c>
      <c r="B10" s="41">
        <f>SUM(B4:B9)</f>
        <v/>
      </c>
    </row>
    <row r="12" ht="15" customHeight="1" s="34">
      <c r="A12" s="42" t="inlineStr">
        <is>
          <t>⚠️ Weights must sum to 100%. Adjust the yellow cells above.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33" min="1" max="1"/>
    <col width="14" customWidth="1" style="33" min="2" max="8"/>
    <col width="50" customWidth="1" style="34" min="10" max="10"/>
  </cols>
  <sheetData>
    <row r="1" ht="15" customHeight="1" s="34">
      <c r="A1" s="37" t="inlineStr">
        <is>
          <t>Scoring Methodology - Threshold Bands</t>
        </is>
      </c>
    </row>
    <row r="3" ht="15" customHeight="1" s="34">
      <c r="A3" s="33" t="inlineStr">
        <is>
          <t>Each metric is converted to a 0-100 score using the bands below.</t>
        </is>
      </c>
    </row>
    <row r="4" ht="15" customHeight="1" s="34">
      <c r="A4" s="33" t="inlineStr">
        <is>
          <t>Subscores are computed as the average of the metrics within each category.</t>
        </is>
      </c>
    </row>
    <row r="5" ht="18" customHeight="1" s="34">
      <c r="A5" s="33" t="inlineStr">
        <is>
          <t>Edit the threshold cells (blue) if you want to tighten or loosen any standard.</t>
        </is>
      </c>
    </row>
    <row r="7" ht="15" customHeight="1" s="34">
      <c r="A7" s="43" t="inlineStr">
        <is>
          <t>VALUE</t>
        </is>
      </c>
      <c r="J7" s="69" t="inlineStr">
        <is>
          <t>Negative-value note</t>
        </is>
      </c>
    </row>
    <row r="8" ht="15" customHeight="1" s="34">
      <c r="A8" s="33" t="inlineStr">
        <is>
          <t xml:space="preserve">  └ Layer 10 carve-out (rule 10, 2026-05-26): col F holds EV/FCF (statement TTM FCF)</t>
        </is>
      </c>
      <c r="B8" s="33" t="inlineStr">
        <is>
          <t>Threshold:</t>
        </is>
      </c>
      <c r="C8" s="33" t="inlineStr">
        <is>
          <t>≤20 → 100</t>
        </is>
      </c>
      <c r="D8" s="33" t="inlineStr">
        <is>
          <t>≤30 → 90</t>
        </is>
      </c>
      <c r="E8" s="33" t="inlineStr">
        <is>
          <t>≤40 → 75</t>
        </is>
      </c>
      <c r="F8" s="33" t="inlineStr">
        <is>
          <t>≤55 → 60</t>
        </is>
      </c>
      <c r="G8" s="33" t="inlineStr">
        <is>
          <t>≤75 → 45</t>
        </is>
      </c>
      <c r="H8" s="33" t="inlineStr">
        <is>
          <t>≤100 → 30</t>
        </is>
      </c>
      <c r="I8" s="33" t="inlineStr">
        <is>
          <t>&gt;100 → 15</t>
        </is>
      </c>
      <c r="J8" s="33" t="inlineStr">
        <is>
          <t>Negative FCF → 5. Bands were documented in CLAUDE.md 2026-05-26 but only implemented in formulas 2026-06-12 (rebuild_watchlist_formulas.py).</t>
        </is>
      </c>
    </row>
    <row r="9" ht="15" customHeight="1" s="34">
      <c r="A9" s="33" t="inlineStr">
        <is>
          <t xml:space="preserve">  └ Layer 9 capacity carve-out (rule 13, 2026-06-12): col F holds EV / secured gross MW ($M/MW)</t>
        </is>
      </c>
      <c r="B9" s="33" t="inlineStr">
        <is>
          <t>Threshold:</t>
        </is>
      </c>
      <c r="C9" s="33" t="inlineStr">
        <is>
          <t>≤2 → 100</t>
        </is>
      </c>
      <c r="D9" s="33" t="inlineStr">
        <is>
          <t>≤4 → 90</t>
        </is>
      </c>
      <c r="E9" s="33" t="inlineStr">
        <is>
          <t>≤6 → 75</t>
        </is>
      </c>
      <c r="F9" s="33" t="inlineStr">
        <is>
          <t>≤9 → 60</t>
        </is>
      </c>
      <c r="G9" s="33" t="inlineStr">
        <is>
          <t>≤12 → 45</t>
        </is>
      </c>
      <c r="H9" s="33" t="inlineStr">
        <is>
          <t>≤18 → 30</t>
        </is>
      </c>
      <c r="I9" s="33" t="inlineStr">
        <is>
          <t>&gt;18 → 15</t>
        </is>
      </c>
      <c r="J9" s="33" t="inlineStr">
        <is>
          <t>Cohort: Layer 9 bitcoin-miner pivots + neoclouds (hyperscalers excluded). MW data + provenance: 00-master/capacity-mw.json. Anchor: ~$9-10M/gross-MW AI DC replacement cost at the 45/60 boundary. IT-load-only disclosures converted ×1.25 (flagged in json).</t>
        </is>
      </c>
    </row>
    <row r="10" ht="15" customHeight="1" s="34">
      <c r="A10" s="40" t="inlineStr">
        <is>
          <t>Forward P/E (lower = better)</t>
        </is>
      </c>
      <c r="B10" s="44" t="inlineStr">
        <is>
          <t>Threshold:</t>
        </is>
      </c>
      <c r="C10" s="45" t="inlineStr">
        <is>
          <t>≥0 → 100</t>
        </is>
      </c>
      <c r="D10" s="45" t="inlineStr">
        <is>
          <t>≥15 → 90</t>
        </is>
      </c>
      <c r="E10" s="45" t="inlineStr">
        <is>
          <t>≥20 → 75</t>
        </is>
      </c>
      <c r="F10" s="45" t="inlineStr">
        <is>
          <t>≥25 → 60</t>
        </is>
      </c>
      <c r="G10" s="45" t="inlineStr">
        <is>
          <t>≥30 → 45</t>
        </is>
      </c>
      <c r="H10" s="45" t="inlineStr">
        <is>
          <t>≥40 → 30</t>
        </is>
      </c>
      <c r="I10" s="45" t="inlineStr">
        <is>
          <t>≥60 → 15</t>
        </is>
      </c>
      <c r="J10" s="68" t="inlineStr">
        <is>
          <t>If Fwd P/E &lt; 0 (forward EPS estimate negative — losing money), returns 5 (worst band). Patched 2026-05-18.</t>
        </is>
      </c>
    </row>
    <row r="11" ht="15" customHeight="1" s="34">
      <c r="A11" s="40" t="inlineStr">
        <is>
          <t>EV/EBITDA (lower = better)</t>
        </is>
      </c>
      <c r="B11" s="44" t="inlineStr">
        <is>
          <t>Threshold:</t>
        </is>
      </c>
      <c r="C11" s="45" t="inlineStr">
        <is>
          <t>≥0 → 100</t>
        </is>
      </c>
      <c r="D11" s="45" t="inlineStr">
        <is>
          <t>≥10 → 90</t>
        </is>
      </c>
      <c r="E11" s="45" t="inlineStr">
        <is>
          <t>≥15 → 75</t>
        </is>
      </c>
      <c r="F11" s="45" t="inlineStr">
        <is>
          <t>≥20 → 60</t>
        </is>
      </c>
      <c r="G11" s="45" t="inlineStr">
        <is>
          <t>≥25 → 45</t>
        </is>
      </c>
      <c r="H11" s="45" t="inlineStr">
        <is>
          <t>≥35 → 30</t>
        </is>
      </c>
      <c r="I11" s="45" t="inlineStr">
        <is>
          <t>≥50 → 15</t>
        </is>
      </c>
      <c r="J11" s="68" t="inlineStr">
        <is>
          <t>If EV/EBITDA &lt; 0 (negative EBITDA — operations unprofitable), returns 5 (worst band). Patched 2026-05-18.</t>
        </is>
      </c>
    </row>
    <row r="12">
      <c r="A12" s="40" t="inlineStr">
        <is>
          <t>FCF Yield % (higher = better)</t>
        </is>
      </c>
      <c r="B12" s="44" t="inlineStr">
        <is>
          <t>Threshold:</t>
        </is>
      </c>
      <c r="C12" s="45" t="inlineStr">
        <is>
          <t>≥8 → 100</t>
        </is>
      </c>
      <c r="D12" s="45" t="inlineStr">
        <is>
          <t>≥6 → 90</t>
        </is>
      </c>
      <c r="E12" s="45" t="inlineStr">
        <is>
          <t>≥4 → 75</t>
        </is>
      </c>
      <c r="F12" s="45" t="inlineStr">
        <is>
          <t>≥2 → 60</t>
        </is>
      </c>
      <c r="G12" s="45" t="inlineStr">
        <is>
          <t>≥1 → 45</t>
        </is>
      </c>
      <c r="H12" s="45" t="inlineStr">
        <is>
          <t>≥0 → 30</t>
        </is>
      </c>
      <c r="I12" s="45" t="inlineStr">
        <is>
          <t>≥-2 → 15</t>
        </is>
      </c>
    </row>
    <row r="13" ht="15" customHeight="1" s="34">
      <c r="A13" s="40" t="inlineStr">
        <is>
          <t>Price / Sales (lower = better)</t>
        </is>
      </c>
      <c r="I13" s="45" t="inlineStr">
        <is>
          <t>≥25 → 15</t>
        </is>
      </c>
    </row>
    <row r="14" ht="15" customHeight="1" s="34">
      <c r="A14" s="33" t="inlineStr">
        <is>
          <t>PEG Ratio (lower = better)</t>
        </is>
      </c>
      <c r="B14" s="33" t="inlineStr">
        <is>
          <t>Threshold:</t>
        </is>
      </c>
      <c r="C14" s="33" t="inlineStr">
        <is>
          <t>≤0.5 → 100</t>
        </is>
      </c>
      <c r="D14" s="33" t="inlineStr">
        <is>
          <t>≤1.0 → 90</t>
        </is>
      </c>
      <c r="E14" s="33" t="inlineStr">
        <is>
          <t>≤1.5 → 75</t>
        </is>
      </c>
      <c r="F14" s="33" t="inlineStr">
        <is>
          <t>≤2.0 → 60</t>
        </is>
      </c>
      <c r="G14" s="33" t="inlineStr">
        <is>
          <t>≤2.5 → 45</t>
        </is>
      </c>
      <c r="H14" s="33" t="inlineStr">
        <is>
          <t>≤3.0 → 30</t>
        </is>
      </c>
      <c r="I14" s="33" t="inlineStr">
        <is>
          <t>&gt;3.0 → 15</t>
        </is>
      </c>
      <c r="J14" s="33" t="inlineStr">
        <is>
          <t>PEG = Fwd P/E ÷ EPS Growth %. Undefined when EPS growth ≤ 0 (excluded from avg).</t>
        </is>
      </c>
    </row>
    <row r="15" ht="15" customHeight="1" s="34"/>
    <row r="16" ht="15" customHeight="1" s="34">
      <c r="A16" s="43" t="inlineStr">
        <is>
          <t>QUALITY</t>
        </is>
      </c>
    </row>
    <row r="17" ht="15" customHeight="1" s="34">
      <c r="A17" s="40" t="inlineStr">
        <is>
          <t>ROIC % (higher = better)</t>
        </is>
      </c>
      <c r="B17" s="44" t="inlineStr">
        <is>
          <t>Threshold:</t>
        </is>
      </c>
      <c r="C17" s="45" t="inlineStr">
        <is>
          <t>≥25 → 100</t>
        </is>
      </c>
      <c r="D17" s="45" t="inlineStr">
        <is>
          <t>≥20 → 90</t>
        </is>
      </c>
      <c r="E17" s="45" t="inlineStr">
        <is>
          <t>≥15 → 75</t>
        </is>
      </c>
      <c r="F17" s="45" t="inlineStr">
        <is>
          <t>≥10 → 60</t>
        </is>
      </c>
      <c r="G17" s="45" t="inlineStr">
        <is>
          <t>≥5 → 45</t>
        </is>
      </c>
      <c r="H17" s="45" t="inlineStr">
        <is>
          <t>≥0 → 30</t>
        </is>
      </c>
      <c r="I17" s="45" t="inlineStr">
        <is>
          <t>≥-5 → 15</t>
        </is>
      </c>
    </row>
    <row r="18">
      <c r="A18" s="40" t="inlineStr">
        <is>
          <t>Gross Margin % (higher = better)</t>
        </is>
      </c>
      <c r="B18" s="44" t="inlineStr">
        <is>
          <t>Threshold:</t>
        </is>
      </c>
      <c r="C18" s="45" t="inlineStr">
        <is>
          <t>≥60 → 100</t>
        </is>
      </c>
      <c r="D18" s="45" t="inlineStr">
        <is>
          <t>≥50 → 90</t>
        </is>
      </c>
      <c r="E18" s="45" t="inlineStr">
        <is>
          <t>≥40 → 75</t>
        </is>
      </c>
      <c r="F18" s="45" t="inlineStr">
        <is>
          <t>≥30 → 60</t>
        </is>
      </c>
      <c r="G18" s="45" t="inlineStr">
        <is>
          <t>≥20 → 45</t>
        </is>
      </c>
      <c r="H18" s="45" t="inlineStr">
        <is>
          <t>≥10 → 30</t>
        </is>
      </c>
      <c r="I18" s="45" t="inlineStr">
        <is>
          <t>≥0 → 15</t>
        </is>
      </c>
    </row>
    <row r="19" ht="15" customHeight="1" s="34">
      <c r="A19" s="40" t="inlineStr">
        <is>
          <t>FCF Margin % (higher = better)</t>
        </is>
      </c>
      <c r="I19" s="45" t="inlineStr">
        <is>
          <t>≥-10 → 15</t>
        </is>
      </c>
    </row>
    <row r="20" ht="15" customHeight="1" s="34">
      <c r="A20" s="40" t="inlineStr">
        <is>
          <t>Net Debt / EBITDA (lower = better)</t>
        </is>
      </c>
      <c r="B20" s="44" t="inlineStr">
        <is>
          <t>Threshold:</t>
        </is>
      </c>
      <c r="C20" s="45" t="inlineStr">
        <is>
          <t>≥0 → 100</t>
        </is>
      </c>
      <c r="D20" s="45" t="inlineStr">
        <is>
          <t>≥1 → 90</t>
        </is>
      </c>
      <c r="E20" s="45" t="inlineStr">
        <is>
          <t>≥2 → 75</t>
        </is>
      </c>
      <c r="F20" s="45" t="inlineStr">
        <is>
          <t>≥3 → 60</t>
        </is>
      </c>
      <c r="G20" s="45" t="inlineStr">
        <is>
          <t>≥4 → 45</t>
        </is>
      </c>
      <c r="H20" s="45" t="inlineStr">
        <is>
          <t>≥5 → 30</t>
        </is>
      </c>
      <c r="I20" s="45" t="inlineStr">
        <is>
          <t>≥7 → 15</t>
        </is>
      </c>
      <c r="J20" s="68" t="inlineStr">
        <is>
          <t>ND/EBITDA can be negative two ways: (a) net cash with positive EBITDA = 100 (correct); (b) negative EBITDA = treated as 100 (WRONG — see batch_score.py guard that excludes when EBITDA&lt;0).</t>
        </is>
      </c>
    </row>
    <row r="21" ht="15" customHeight="1" s="34"/>
    <row r="22" ht="15" customHeight="1" s="34">
      <c r="A22" s="43" t="inlineStr">
        <is>
          <t>GROWTH</t>
        </is>
      </c>
    </row>
    <row r="23">
      <c r="A23" s="40" t="inlineStr">
        <is>
          <t>Revenue 3yr CAGR % (higher = better)</t>
        </is>
      </c>
      <c r="B23" s="44" t="inlineStr">
        <is>
          <t>Threshold:</t>
        </is>
      </c>
      <c r="C23" s="45" t="inlineStr">
        <is>
          <t>≥40 → 100</t>
        </is>
      </c>
      <c r="D23" s="45" t="inlineStr">
        <is>
          <t>≥30 → 90</t>
        </is>
      </c>
      <c r="E23" s="45" t="inlineStr">
        <is>
          <t>≥20 → 75</t>
        </is>
      </c>
      <c r="F23" s="45" t="inlineStr">
        <is>
          <t>≥15 → 60</t>
        </is>
      </c>
      <c r="G23" s="45" t="inlineStr">
        <is>
          <t>≥10 → 45</t>
        </is>
      </c>
      <c r="H23" s="45" t="inlineStr">
        <is>
          <t>≥5 → 30</t>
        </is>
      </c>
      <c r="I23" s="45" t="inlineStr">
        <is>
          <t>≥0 → 15</t>
        </is>
      </c>
    </row>
    <row r="24" ht="15" customHeight="1" s="34">
      <c r="A24" s="40" t="inlineStr">
        <is>
          <t>Revenue YoY % most recent qtr</t>
        </is>
      </c>
      <c r="I24" s="45" t="inlineStr">
        <is>
          <t>≥-10 → 15</t>
        </is>
      </c>
    </row>
    <row r="25" ht="15" customHeight="1" s="34">
      <c r="A25" s="40" t="inlineStr">
        <is>
          <t>EPS Growth YoY %</t>
        </is>
      </c>
      <c r="B25" s="44" t="inlineStr">
        <is>
          <t>Threshold:</t>
        </is>
      </c>
      <c r="C25" s="45" t="inlineStr">
        <is>
          <t>≥40 → 100</t>
        </is>
      </c>
      <c r="D25" s="45" t="inlineStr">
        <is>
          <t>≥30 → 90</t>
        </is>
      </c>
      <c r="E25" s="45" t="inlineStr">
        <is>
          <t>≥20 → 75</t>
        </is>
      </c>
      <c r="F25" s="45" t="inlineStr">
        <is>
          <t>≥10 → 60</t>
        </is>
      </c>
      <c r="G25" s="45" t="inlineStr">
        <is>
          <t>≥0 → 45</t>
        </is>
      </c>
      <c r="H25" s="45" t="inlineStr">
        <is>
          <t>≥-10 → 30</t>
        </is>
      </c>
      <c r="I25" s="45" t="inlineStr">
        <is>
          <t>≥-25 → 15</t>
        </is>
      </c>
      <c r="J25" s="33" t="inlineStr">
        <is>
          <t>Rule 15 (2026-06-12): blank this input when the YoY change is dominated by disclosed non-operating one-time items (divestiture gains, FV swings) — applied on documented evidence per name, not mechanically on magnitude. First application: GEV (Prolec gain).</t>
        </is>
      </c>
    </row>
    <row r="26" ht="15" customHeight="1" s="34"/>
    <row r="27" ht="15" customHeight="1" s="34">
      <c r="A27" s="43" t="inlineStr">
        <is>
          <t>AI THESIS (subjective 1-5, score = rating × 20)</t>
        </is>
      </c>
    </row>
    <row r="28" ht="15" customHeight="1" s="34">
      <c r="A28" s="40" t="inlineStr">
        <is>
          <t>AI Revenue % of total (1=&lt;5%, 5=&gt;50%)</t>
        </is>
      </c>
    </row>
    <row r="29" ht="15" customHeight="1" s="34">
      <c r="A29" s="40" t="inlineStr">
        <is>
          <t>Supply Chain Position (1=downstream/commodity, 5=upstream/bottleneck)</t>
        </is>
      </c>
    </row>
    <row r="30">
      <c r="A30" s="40" t="inlineStr">
        <is>
          <t>Moat Strength (1=none, 5=durable)</t>
        </is>
      </c>
    </row>
    <row r="31" ht="15" customHeight="1" s="34">
      <c r="A31" s="40" t="inlineStr">
        <is>
          <t>Capacity Expansion (1=shrinking, 5=major buildout)</t>
        </is>
      </c>
    </row>
    <row r="32" ht="15" customHeight="1" s="34">
      <c r="A32" s="40" t="inlineStr">
        <is>
          <t>Hyperscaler Exposure (1=none, 5=multiple anchor customers)</t>
        </is>
      </c>
    </row>
    <row r="33" ht="15" customHeight="1" s="34"/>
    <row r="34" ht="15" customHeight="1" s="34">
      <c r="A34" s="43" t="inlineStr">
        <is>
          <t>MOMENTUM (subjective 1-5 except 50DMA %, which is objective and banded)</t>
        </is>
      </c>
    </row>
    <row r="35">
      <c r="A35" s="40" t="inlineStr">
        <is>
          <t>EPS Revisions last 90d (1=cuts, 5=raises)</t>
        </is>
      </c>
    </row>
    <row r="36" ht="15" customHeight="1" s="34">
      <c r="A36" s="40" t="inlineStr">
        <is>
          <t>Relative Strength vs Sector (1=lagging, 5=leading)</t>
        </is>
      </c>
    </row>
    <row r="37" ht="15" customHeight="1" s="34">
      <c r="A37" s="40" t="inlineStr">
        <is>
          <t>Insider Activity (1=heavy selling, 3=neutral, 5=buying)</t>
        </is>
      </c>
    </row>
    <row r="38" ht="15" customHeight="1" s="34">
      <c r="A38" s="40" t="inlineStr">
        <is>
          <t>% days above 50-DMA, last 120 trading days (higher = better)</t>
        </is>
      </c>
      <c r="B38" s="44" t="inlineStr">
        <is>
          <t>Threshold:</t>
        </is>
      </c>
      <c r="C38" s="45" t="inlineStr">
        <is>
          <t>≥85 → 100</t>
        </is>
      </c>
      <c r="D38" s="45" t="inlineStr">
        <is>
          <t>≥70 → 90</t>
        </is>
      </c>
      <c r="E38" s="45" t="inlineStr">
        <is>
          <t>≥55 → 75</t>
        </is>
      </c>
      <c r="F38" s="45" t="inlineStr">
        <is>
          <t>≥40 → 60</t>
        </is>
      </c>
      <c r="G38" s="45" t="inlineStr">
        <is>
          <t>≥25 → 40</t>
        </is>
      </c>
      <c r="H38" s="45" t="inlineStr">
        <is>
          <t>&lt;25 → 20</t>
        </is>
      </c>
      <c r="J38" s="33" t="inlineStr">
        <is>
          <t>Added 2026-06-09. Share of last 120 trading days with close &gt; 50-day SMA, from yfinance price history (scripts/momentum_50dma.py). Separates consistent uptrends from one-bounce moves. Names with &lt;60 days of valid history are left blank and flagged.</t>
        </is>
      </c>
    </row>
    <row r="39" ht="15" customHeight="1" s="34"/>
    <row r="40" ht="15" customHeight="1" s="34">
      <c r="A40" s="43" t="inlineStr">
        <is>
          <t>RISK (subjective 1-5; 5 = LOW risk)</t>
        </is>
      </c>
    </row>
    <row r="41">
      <c r="A41" s="40" t="inlineStr">
        <is>
          <t>Customer Concentration (1=top customer&gt;50%, 5=diversified)</t>
        </is>
      </c>
    </row>
    <row r="42">
      <c r="A42" s="40" t="inlineStr">
        <is>
          <t>Geographic/Export Risk (1=high China/export, 5=domestic safe)</t>
        </is>
      </c>
    </row>
    <row r="43">
      <c r="A43" s="40" t="inlineStr">
        <is>
          <t>Balance Sheet Risk (1=stressed, 5=fortress)</t>
        </is>
      </c>
    </row>
    <row r="44">
      <c r="A44" s="40" t="inlineStr">
        <is>
          <t>Regulatory/Litigation Risk (1=major overhang, 5=clean)</t>
        </is>
      </c>
    </row>
    <row r="45">
      <c r="A45" s="33" t="inlineStr">
        <is>
          <t>Disruption Risk / business-model durability (1=AI directly produces output+active erosion, 5=no credible disruption; DEFAULT 5 non-Layer-10) [added 2026-06-17, rule 16]</t>
        </is>
      </c>
    </row>
    <row r="47">
      <c r="A47" s="33" t="inlineStr">
        <is>
          <t>P1 COHORT-RELATIVE SCORING (2026-07-02, rule 20): EV/EBITDA, FCF-Yield, P/S, ROIC, Gross Margin and FCF Margin are percentile-ranked WITHIN each top-level-layer cohort (min 8 non-null, else the absolute band above is the fallback). Live via recalc_watchlist.recalc(mode=percentile); Value Score (J) and Quality Score (O) are recalc-maintained values. See CLAUDE.md rule 20.</t>
        </is>
      </c>
    </row>
  </sheetData>
  <mergeCells count="6">
    <mergeCell ref="A7:H7"/>
    <mergeCell ref="A24:H24"/>
    <mergeCell ref="A19:H19"/>
    <mergeCell ref="A13:H13"/>
    <mergeCell ref="A37:H37"/>
    <mergeCell ref="A31:H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L2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3" min="1" max="1"/>
    <col width="22" customWidth="1" style="33" min="2" max="3"/>
    <col width="12" customWidth="1" style="33" min="4" max="4"/>
    <col width="9" customWidth="1" style="33" min="5" max="5"/>
    <col width="10" customWidth="1" style="33" min="6" max="6"/>
    <col width="11" customWidth="1" style="33" min="7" max="7"/>
    <col width="7" customWidth="1" style="33" min="8" max="8"/>
    <col width="11" customWidth="1" style="33" min="9" max="9"/>
    <col width="8" customWidth="1" style="33" min="10" max="10"/>
    <col width="11" customWidth="1" style="33" min="11" max="11"/>
    <col width="10" customWidth="1" style="33" min="12" max="13"/>
    <col width="12" customWidth="1" style="33" min="14" max="14"/>
    <col width="13" customWidth="1" style="33" min="15" max="15"/>
    <col width="10" customWidth="1" style="33" min="16" max="17"/>
    <col width="12" customWidth="1" style="33" min="18" max="18"/>
    <col width="9" customWidth="1" style="33" min="19" max="20"/>
    <col width="7" customWidth="1" style="33" min="21" max="21"/>
    <col width="9" customWidth="1" style="33" min="22" max="25"/>
    <col width="8" customWidth="1" style="33" min="26" max="27"/>
    <col width="14" customWidth="1" style="33" min="28" max="28"/>
    <col width="14" customWidth="1" style="33" min="29" max="29"/>
    <col width="9" customWidth="1" style="33" min="30" max="32"/>
    <col width="11" customWidth="1" style="33" min="33" max="33"/>
    <col width="9" customWidth="1" style="33" min="34" max="34"/>
    <col width="7" customWidth="1" style="33" min="35" max="35"/>
  </cols>
  <sheetData>
    <row r="1" ht="31.5" customHeight="1" s="34">
      <c r="A1" s="46" t="inlineStr">
        <is>
          <t>Ticker</t>
        </is>
      </c>
      <c r="B1" s="46" t="inlineStr">
        <is>
          <t>Company</t>
        </is>
      </c>
      <c r="C1" s="46" t="inlineStr">
        <is>
          <t>Layer</t>
        </is>
      </c>
      <c r="D1" s="46" t="inlineStr">
        <is>
          <t>Last Updated</t>
        </is>
      </c>
      <c r="E1" s="47" t="inlineStr">
        <is>
          <t>Fwd P/E</t>
        </is>
      </c>
      <c r="F1" s="47" t="inlineStr">
        <is>
          <t>EV/EBITDA</t>
        </is>
      </c>
      <c r="G1" s="47" t="inlineStr">
        <is>
          <t>FCF Yield %</t>
        </is>
      </c>
      <c r="H1" s="47" t="inlineStr">
        <is>
          <t>P/S</t>
        </is>
      </c>
      <c r="I1" s="33" t="inlineStr">
        <is>
          <t>PEG</t>
        </is>
      </c>
      <c r="J1" s="48" t="inlineStr">
        <is>
          <t>Value Score</t>
        </is>
      </c>
      <c r="K1" s="49" t="inlineStr">
        <is>
          <t>ROIC %</t>
        </is>
      </c>
      <c r="L1" s="49" t="inlineStr">
        <is>
          <t>Gross Mgn %</t>
        </is>
      </c>
      <c r="M1" s="49" t="inlineStr">
        <is>
          <t>FCF Mgn %</t>
        </is>
      </c>
      <c r="N1" s="49" t="inlineStr">
        <is>
          <t>ND/EBITDA</t>
        </is>
      </c>
      <c r="O1" s="50" t="inlineStr">
        <is>
          <t>Quality Score</t>
        </is>
      </c>
      <c r="P1" s="51" t="inlineStr">
        <is>
          <t>Rev 3y CAGR %</t>
        </is>
      </c>
      <c r="Q1" s="51" t="inlineStr">
        <is>
          <t>Rev YoY %</t>
        </is>
      </c>
      <c r="R1" s="51" t="inlineStr">
        <is>
          <t>EPS YoY %</t>
        </is>
      </c>
      <c r="S1" s="52" t="inlineStr">
        <is>
          <t>Growth Score</t>
        </is>
      </c>
      <c r="T1" s="53" t="inlineStr">
        <is>
          <t>AI Rev %</t>
        </is>
      </c>
      <c r="U1" s="53" t="inlineStr">
        <is>
          <t>Position</t>
        </is>
      </c>
      <c r="V1" s="53" t="inlineStr">
        <is>
          <t>Moat</t>
        </is>
      </c>
      <c r="W1" s="53" t="inlineStr">
        <is>
          <t>Capacity</t>
        </is>
      </c>
      <c r="X1" s="53" t="inlineStr">
        <is>
          <t>Hypersc.</t>
        </is>
      </c>
      <c r="Y1" s="54" t="inlineStr">
        <is>
          <t>AI Score</t>
        </is>
      </c>
      <c r="Z1" s="55" t="inlineStr">
        <is>
          <t>EPS Rev</t>
        </is>
      </c>
      <c r="AA1" s="55" t="inlineStr">
        <is>
          <t>Rel Str</t>
        </is>
      </c>
      <c r="AB1" s="55" t="inlineStr">
        <is>
          <t>Insider</t>
        </is>
      </c>
      <c r="AC1" s="55" t="inlineStr">
        <is>
          <t>50DMA %</t>
        </is>
      </c>
      <c r="AD1" s="56" t="inlineStr">
        <is>
          <t>Momentum Score</t>
        </is>
      </c>
      <c r="AE1" s="57" t="inlineStr">
        <is>
          <t>Cust Conc</t>
        </is>
      </c>
      <c r="AF1" s="57" t="inlineStr">
        <is>
          <t>Geo Risk</t>
        </is>
      </c>
      <c r="AG1" s="57" t="inlineStr">
        <is>
          <t>BS Risk</t>
        </is>
      </c>
      <c r="AH1" s="57" t="inlineStr">
        <is>
          <t>Reg Risk</t>
        </is>
      </c>
      <c r="AI1" s="58" t="inlineStr">
        <is>
          <t>Risk Score</t>
        </is>
      </c>
      <c r="AJ1" s="59" t="inlineStr">
        <is>
          <t>TOTAL</t>
        </is>
      </c>
      <c r="AK1" s="59" t="inlineStr">
        <is>
          <t>Tier</t>
        </is>
      </c>
      <c r="AL1" s="33" t="inlineStr">
        <is>
          <t>Disrupt Risk</t>
        </is>
      </c>
    </row>
    <row r="2" ht="15" customHeight="1" s="34">
      <c r="A2" s="60" t="inlineStr">
        <is>
          <t>BE</t>
        </is>
      </c>
      <c r="B2" s="60" t="inlineStr">
        <is>
          <t>Bloom Energy</t>
        </is>
      </c>
      <c r="C2" s="60" t="inlineStr">
        <is>
          <t>01 Power - Distributed</t>
        </is>
      </c>
      <c r="D2" s="60" t="inlineStr">
        <is>
          <t>2026-10-11</t>
        </is>
      </c>
      <c r="E2" s="61" t="n">
        <v>56.757248</v>
      </c>
      <c r="F2" s="61" t="n">
        <v>205.314</v>
      </c>
      <c r="G2" s="62" t="n">
        <v>0.76</v>
      </c>
      <c r="H2" s="61" t="n">
        <v>26.537407</v>
      </c>
      <c r="I2" s="33">
        <f>IF(OR(E2="",R2="",R2&lt;=0,E2&lt;0),"",E2/R2)</f>
        <v/>
      </c>
      <c r="J2" s="63" t="n">
        <v>30.9</v>
      </c>
      <c r="K2" s="62" t="n">
        <v>7.67</v>
      </c>
      <c r="L2" s="62" t="n">
        <v>31.65</v>
      </c>
      <c r="M2" s="62" t="n">
        <v>20.07</v>
      </c>
      <c r="N2" s="61" t="n">
        <v>0.23</v>
      </c>
      <c r="O2" s="63" t="n">
        <v>67.09999999999999</v>
      </c>
      <c r="P2" s="62" t="n">
        <v>19.06</v>
      </c>
      <c r="Q2" s="62" t="n">
        <v>165.5</v>
      </c>
      <c r="R2" s="62" t="n">
        <v>60</v>
      </c>
      <c r="S2" s="63">
        <f>IFERROR(AVERAGE(IFERROR(IF(P2="","",IF(P2&gt;=40,100,IF(P2&gt;=30,90,IF(P2&gt;=20,75,IF(P2&gt;=15,60,IF(P2&gt;=10,45,IF(P2&gt;=5,30,15))))))),""),IFERROR(IF(Q2="","",IF(Q2&gt;=40,100,IF(Q2&gt;=30,90,IF(Q2&gt;=20,75,IF(Q2&gt;=10,60,IF(Q2&gt;=5,45,IF(Q2&gt;=0,30,15))))))),""),IFERROR(IF(R2="","",IF(R2&gt;=40,100,IF(R2&gt;=30,90,IF(R2&gt;=20,75,IF(R2&gt;=10,60,IF(R2&gt;=0,45,IF(R2&gt;=-10,30,15))))))),"")),"")</f>
        <v/>
      </c>
      <c r="T2" s="60" t="n">
        <v>5</v>
      </c>
      <c r="U2" s="60" t="n">
        <v>4</v>
      </c>
      <c r="V2" s="60" t="n">
        <v>4</v>
      </c>
      <c r="W2" s="60" t="n">
        <v>5</v>
      </c>
      <c r="X2" s="60" t="n">
        <v>4</v>
      </c>
      <c r="Y2" s="63">
        <f>IFERROR((AVERAGE(T2,U2,V2,W2,X2)-1)*25,"")</f>
        <v/>
      </c>
      <c r="Z2" s="60" t="n">
        <v>5</v>
      </c>
      <c r="AA2" s="60" t="n">
        <v>5</v>
      </c>
      <c r="AB2" s="60" t="n">
        <v>3</v>
      </c>
      <c r="AC2" s="70" t="n">
        <v>62.5</v>
      </c>
      <c r="AD2" s="63">
        <f>IFERROR(AVERAGE(IFERROR(IF(Z2="","",Z2*20),""),IFERROR(IF(AA2="","",AA2*20),""),IFERROR(IF(AB2="","",AB2*20),""),IFERROR(IF(AC2="","",IF(AC2&gt;=85,100,IF(AC2&gt;=70,90,IF(AC2&gt;=55,75,IF(AC2&gt;=40,60,IF(AC2&gt;=25,40,20)))))),"")),"")</f>
        <v/>
      </c>
      <c r="AE2" s="60" t="n">
        <v>3</v>
      </c>
      <c r="AF2" s="60" t="n">
        <v>4</v>
      </c>
      <c r="AG2" s="60" t="n">
        <v>3</v>
      </c>
      <c r="AH2" s="60" t="n">
        <v>4</v>
      </c>
      <c r="AI2" s="63">
        <f>IFERROR((AVERAGE(AE2,AF2,AG2,AH2,AL2)-1)*25,"")</f>
        <v/>
      </c>
      <c r="AJ2" s="64">
        <f>IFERROR(J2*Weights!$B$4 + O2*Weights!$B$5 + S2*Weights!$B$6 + Y2*Weights!$B$7 + AD2*Weights!$B$8 + AI2*Weights!$B$9,"")</f>
        <v/>
      </c>
      <c r="AK2" s="65">
        <f>IF(AJ2="","",IF(AJ2&gt;=85,"✓✓✓",IF(AJ2&gt;=70,"✓✓",IF(AJ2&gt;=55,"✓",IF(AJ2&gt;=40,"?","✗")))))</f>
        <v/>
      </c>
      <c r="AL2" s="33" t="n">
        <v>5</v>
      </c>
    </row>
    <row r="3" ht="15" customHeight="1" s="34">
      <c r="A3" s="60" t="inlineStr">
        <is>
          <t>CRWV</t>
        </is>
      </c>
      <c r="B3" s="60" t="inlineStr">
        <is>
          <t>CoreWeave</t>
        </is>
      </c>
      <c r="C3" s="60" t="inlineStr">
        <is>
          <t>09 Cloud - Neocloud</t>
        </is>
      </c>
      <c r="D3" s="60" t="inlineStr">
        <is>
          <t>2026-10-11</t>
        </is>
      </c>
      <c r="E3" s="61" t="n">
        <v>-45.28402</v>
      </c>
      <c r="F3" s="61" t="n">
        <v>22.6</v>
      </c>
      <c r="G3" s="62" t="n">
        <v>-30.16</v>
      </c>
      <c r="H3" s="61" t="n">
        <v>5.9644427</v>
      </c>
      <c r="I3" s="33">
        <f>IF(OR(E3="",R3="",R3&lt;=0,E3&lt;0),"",E3/R3)</f>
        <v/>
      </c>
      <c r="J3" s="63" t="n">
        <v>27.5</v>
      </c>
      <c r="K3" s="62" t="n">
        <v>-0.32</v>
      </c>
      <c r="L3" s="62" t="n">
        <v>67.42</v>
      </c>
      <c r="M3" s="62" t="n">
        <v>-179.91</v>
      </c>
      <c r="N3" s="61" t="n">
        <v>12.16</v>
      </c>
      <c r="O3" s="63" t="n">
        <v>54.4</v>
      </c>
      <c r="P3" s="62" t="n">
        <v>586.92</v>
      </c>
      <c r="Q3" s="62" t="n">
        <v>112.5</v>
      </c>
      <c r="R3" s="62" t="n">
        <v>80</v>
      </c>
      <c r="S3" s="63">
        <f>IFERROR(AVERAGE(IFERROR(IF(P3="","",IF(P3&gt;=40,100,IF(P3&gt;=30,90,IF(P3&gt;=20,75,IF(P3&gt;=15,60,IF(P3&gt;=10,45,IF(P3&gt;=5,30,15))))))),""),IFERROR(IF(Q3="","",IF(Q3&gt;=40,100,IF(Q3&gt;=30,90,IF(Q3&gt;=20,75,IF(Q3&gt;=10,60,IF(Q3&gt;=5,45,IF(Q3&gt;=0,30,15))))))),""),IFERROR(IF(R3="","",IF(R3&gt;=40,100,IF(R3&gt;=30,90,IF(R3&gt;=20,75,IF(R3&gt;=10,60,IF(R3&gt;=0,45,IF(R3&gt;=-10,30,15))))))),"")),"")</f>
        <v/>
      </c>
      <c r="T3" s="60" t="n">
        <v>5</v>
      </c>
      <c r="U3" s="60" t="n">
        <v>4</v>
      </c>
      <c r="V3" s="60" t="n">
        <v>3</v>
      </c>
      <c r="W3" s="60" t="n">
        <v>5</v>
      </c>
      <c r="X3" s="60" t="n">
        <v>5</v>
      </c>
      <c r="Y3" s="63">
        <f>IFERROR((AVERAGE(T3,U3,V3,W3,X3)-1)*25,"")</f>
        <v/>
      </c>
      <c r="Z3" s="60" t="n">
        <v>5</v>
      </c>
      <c r="AA3" s="60" t="n">
        <v>5</v>
      </c>
      <c r="AB3" s="60" t="n">
        <v>2</v>
      </c>
      <c r="AC3" s="70" t="n">
        <v>46.7</v>
      </c>
      <c r="AD3" s="63">
        <f>IFERROR(AVERAGE(IFERROR(IF(Z3="","",Z3*20),""),IFERROR(IF(AA3="","",AA3*20),""),IFERROR(IF(AB3="","",AB3*20),""),IFERROR(IF(AC3="","",IF(AC3&gt;=85,100,IF(AC3&gt;=70,90,IF(AC3&gt;=55,75,IF(AC3&gt;=40,60,IF(AC3&gt;=25,40,20)))))),"")),"")</f>
        <v/>
      </c>
      <c r="AE3" s="60" t="n">
        <v>2</v>
      </c>
      <c r="AF3" s="60" t="n">
        <v>5</v>
      </c>
      <c r="AG3" s="60" t="n">
        <v>1</v>
      </c>
      <c r="AH3" s="60" t="n">
        <v>4</v>
      </c>
      <c r="AI3" s="63">
        <f>IFERROR((AVERAGE(AE3,AF3,AG3,AH3,AL3)-1)*25,"")</f>
        <v/>
      </c>
      <c r="AJ3" s="64">
        <f>IFERROR(J3*Weights!$B$4 + O3*Weights!$B$5 + S3*Weights!$B$6 + Y3*Weights!$B$7 + AD3*Weights!$B$8 + AI3*Weights!$B$9,"")</f>
        <v/>
      </c>
      <c r="AK3" s="65">
        <f>IF(AJ3="","",IF(AJ3&gt;=85,"✓✓✓",IF(AJ3&gt;=70,"✓✓",IF(AJ3&gt;=55,"✓",IF(AJ3&gt;=40,"?","✗")))))</f>
        <v/>
      </c>
      <c r="AL3" s="33" t="n">
        <v>5</v>
      </c>
    </row>
    <row r="4" ht="15" customHeight="1" s="34">
      <c r="A4" s="60" t="inlineStr">
        <is>
          <t>VRT</t>
        </is>
      </c>
      <c r="B4" s="60" t="inlineStr">
        <is>
          <t>Vertiv Holdings</t>
        </is>
      </c>
      <c r="C4" s="60" t="inlineStr">
        <is>
          <t>03 DC Infrastructure</t>
        </is>
      </c>
      <c r="D4" s="60" t="inlineStr">
        <is>
          <t>2026-10-11</t>
        </is>
      </c>
      <c r="E4" s="61" t="n">
        <v>26.450916</v>
      </c>
      <c r="F4" s="61" t="n">
        <v>35.51</v>
      </c>
      <c r="G4" s="62" t="n">
        <v>3.13</v>
      </c>
      <c r="H4" s="61" t="n">
        <v>8.142046000000001</v>
      </c>
      <c r="I4" s="33">
        <f>IF(OR(E4="",R4="",R4&lt;=0,E4&lt;0),"",E4/R4)</f>
        <v/>
      </c>
      <c r="J4" s="63" t="n">
        <v>51.7</v>
      </c>
      <c r="K4" s="62" t="n">
        <v>21.07</v>
      </c>
      <c r="L4" s="62" t="n">
        <v>38.04</v>
      </c>
      <c r="M4" s="62" t="n">
        <v>25.47</v>
      </c>
      <c r="N4" s="61" t="n">
        <v>0.08</v>
      </c>
      <c r="O4" s="63" t="n">
        <v>80.5</v>
      </c>
      <c r="P4" s="62" t="n">
        <v>21.59</v>
      </c>
      <c r="Q4" s="62" t="n">
        <v>24.1</v>
      </c>
      <c r="R4" s="62" t="n">
        <v>53.5</v>
      </c>
      <c r="S4" s="63">
        <f>IFERROR(AVERAGE(IFERROR(IF(P4="","",IF(P4&gt;=40,100,IF(P4&gt;=30,90,IF(P4&gt;=20,75,IF(P4&gt;=15,60,IF(P4&gt;=10,45,IF(P4&gt;=5,30,15))))))),""),IFERROR(IF(Q4="","",IF(Q4&gt;=40,100,IF(Q4&gt;=30,90,IF(Q4&gt;=20,75,IF(Q4&gt;=10,60,IF(Q4&gt;=5,45,IF(Q4&gt;=0,30,15))))))),""),IFERROR(IF(R4="","",IF(R4&gt;=40,100,IF(R4&gt;=30,90,IF(R4&gt;=20,75,IF(R4&gt;=10,60,IF(R4&gt;=0,45,IF(R4&gt;=-10,30,15))))))),"")),"")</f>
        <v/>
      </c>
      <c r="T4" s="60" t="n">
        <v>4</v>
      </c>
      <c r="U4" s="60" t="n">
        <v>4</v>
      </c>
      <c r="V4" s="60" t="n">
        <v>4</v>
      </c>
      <c r="W4" s="60" t="n">
        <v>4</v>
      </c>
      <c r="X4" s="60" t="n">
        <v>5</v>
      </c>
      <c r="Y4" s="63">
        <f>IFERROR((AVERAGE(T4,U4,V4,W4,X4)-1)*25,"")</f>
        <v/>
      </c>
      <c r="Z4" s="60" t="n">
        <v>5</v>
      </c>
      <c r="AA4" s="60" t="n">
        <v>2</v>
      </c>
      <c r="AB4" s="60" t="n">
        <v>2</v>
      </c>
      <c r="AC4" s="70" t="n">
        <v>30.8</v>
      </c>
      <c r="AD4" s="63">
        <f>IFERROR(AVERAGE(IFERROR(IF(Z4="","",Z4*20),""),IFERROR(IF(AA4="","",AA4*20),""),IFERROR(IF(AB4="","",AB4*20),""),IFERROR(IF(AC4="","",IF(AC4&gt;=85,100,IF(AC4&gt;=70,90,IF(AC4&gt;=55,75,IF(AC4&gt;=40,60,IF(AC4&gt;=25,40,20)))))),"")),"")</f>
        <v/>
      </c>
      <c r="AE4" s="60" t="n">
        <v>4</v>
      </c>
      <c r="AF4" s="60" t="n">
        <v>4</v>
      </c>
      <c r="AG4" s="60" t="n">
        <v>4</v>
      </c>
      <c r="AH4" s="60" t="n">
        <v>5</v>
      </c>
      <c r="AI4" s="63">
        <f>IFERROR((AVERAGE(AE4,AF4,AG4,AH4,AL4)-1)*25,"")</f>
        <v/>
      </c>
      <c r="AJ4" s="64">
        <f>IFERROR(J4*Weights!$B$4 + O4*Weights!$B$5 + S4*Weights!$B$6 + Y4*Weights!$B$7 + AD4*Weights!$B$8 + AI4*Weights!$B$9,"")</f>
        <v/>
      </c>
      <c r="AK4" s="65">
        <f>IF(AJ4="","",IF(AJ4&gt;=85,"✓✓✓",IF(AJ4&gt;=70,"✓✓",IF(AJ4&gt;=55,"✓",IF(AJ4&gt;=40,"?","✗")))))</f>
        <v/>
      </c>
      <c r="AL4" s="33" t="n">
        <v>5</v>
      </c>
    </row>
    <row r="5" ht="15" customHeight="1" s="34">
      <c r="A5" s="60" t="inlineStr">
        <is>
          <t>GEV</t>
        </is>
      </c>
      <c r="B5" s="60" t="inlineStr">
        <is>
          <t>GE Vernova</t>
        </is>
      </c>
      <c r="C5" s="60" t="inlineStr">
        <is>
          <t>02 Grid Equipment</t>
        </is>
      </c>
      <c r="D5" s="60" t="inlineStr">
        <is>
          <t>2026-10-11</t>
        </is>
      </c>
      <c r="E5" s="61" t="n">
        <v>39.759323</v>
      </c>
      <c r="F5" s="61" t="n">
        <v>65.627</v>
      </c>
      <c r="G5" s="62" t="n">
        <v>4.65</v>
      </c>
      <c r="H5" s="61" t="n">
        <v>6.4687634</v>
      </c>
      <c r="I5" s="33">
        <f>IF(OR(E5="",R5="",R5&lt;=0,E5&lt;0),"",E5/R5)</f>
        <v/>
      </c>
      <c r="J5" s="63" t="n">
        <v>31.7</v>
      </c>
      <c r="K5" s="62" t="n">
        <v>7.22</v>
      </c>
      <c r="L5" s="62" t="n">
        <v>20.57</v>
      </c>
      <c r="M5" s="62" t="n">
        <v>30.07</v>
      </c>
      <c r="N5" s="61" t="n">
        <v>-2.29</v>
      </c>
      <c r="O5" s="63" t="n">
        <v>58</v>
      </c>
      <c r="P5" s="62" t="n">
        <v>8.68</v>
      </c>
      <c r="Q5" s="62" t="n">
        <v>21.9</v>
      </c>
      <c r="R5" s="62" t="n"/>
      <c r="S5" s="63">
        <f>IFERROR(AVERAGE(IFERROR(IF(P5="","",IF(P5&gt;=40,100,IF(P5&gt;=30,90,IF(P5&gt;=20,75,IF(P5&gt;=15,60,IF(P5&gt;=10,45,IF(P5&gt;=5,30,15))))))),""),IFERROR(IF(Q5="","",IF(Q5&gt;=40,100,IF(Q5&gt;=30,90,IF(Q5&gt;=20,75,IF(Q5&gt;=10,60,IF(Q5&gt;=5,45,IF(Q5&gt;=0,30,15))))))),""),IFERROR(IF(R5="","",IF(R5&gt;=40,100,IF(R5&gt;=30,90,IF(R5&gt;=20,75,IF(R5&gt;=10,60,IF(R5&gt;=0,45,IF(R5&gt;=-10,30,15))))))),"")),"")</f>
        <v/>
      </c>
      <c r="T5" s="60" t="n">
        <v>2</v>
      </c>
      <c r="U5" s="60" t="n">
        <v>5</v>
      </c>
      <c r="V5" s="60" t="n">
        <v>5</v>
      </c>
      <c r="W5" s="60" t="n">
        <v>4</v>
      </c>
      <c r="X5" s="60" t="n">
        <v>5</v>
      </c>
      <c r="Y5" s="63">
        <f>IFERROR((AVERAGE(T5,U5,V5,W5,X5)-1)*25,"")</f>
        <v/>
      </c>
      <c r="Z5" s="60" t="n">
        <v>4</v>
      </c>
      <c r="AA5" s="60" t="n">
        <v>4</v>
      </c>
      <c r="AB5" s="60" t="n">
        <v>4</v>
      </c>
      <c r="AC5" s="70" t="n">
        <v>49.2</v>
      </c>
      <c r="AD5" s="63">
        <f>IFERROR(AVERAGE(IFERROR(IF(Z5="","",Z5*20),""),IFERROR(IF(AA5="","",AA5*20),""),IFERROR(IF(AB5="","",AB5*20),""),IFERROR(IF(AC5="","",IF(AC5&gt;=85,100,IF(AC5&gt;=70,90,IF(AC5&gt;=55,75,IF(AC5&gt;=40,60,IF(AC5&gt;=25,40,20)))))),"")),"")</f>
        <v/>
      </c>
      <c r="AE5" s="60" t="n">
        <v>4</v>
      </c>
      <c r="AF5" s="60" t="n">
        <v>4</v>
      </c>
      <c r="AG5" s="60" t="n">
        <v>5</v>
      </c>
      <c r="AH5" s="60" t="n">
        <v>4</v>
      </c>
      <c r="AI5" s="63">
        <f>IFERROR((AVERAGE(AE5,AF5,AG5,AH5,AL5)-1)*25,"")</f>
        <v/>
      </c>
      <c r="AJ5" s="64">
        <f>IFERROR(J5*Weights!$B$4 + O5*Weights!$B$5 + S5*Weights!$B$6 + Y5*Weights!$B$7 + AD5*Weights!$B$8 + AI5*Weights!$B$9,"")</f>
        <v/>
      </c>
      <c r="AK5" s="65">
        <f>IF(AJ5="","",IF(AJ5&gt;=85,"✓✓✓",IF(AJ5&gt;=70,"✓✓",IF(AJ5&gt;=55,"✓",IF(AJ5&gt;=40,"?","✗")))))</f>
        <v/>
      </c>
      <c r="AL5" s="33" t="n">
        <v>5</v>
      </c>
    </row>
    <row r="6" ht="15" customHeight="1" s="34">
      <c r="A6" s="60" t="inlineStr">
        <is>
          <t>MU</t>
        </is>
      </c>
      <c r="B6" s="60" t="inlineStr">
        <is>
          <t>Micron Technology</t>
        </is>
      </c>
      <c r="C6" s="60" t="inlineStr">
        <is>
          <t>06 Silicon - Memory</t>
        </is>
      </c>
      <c r="D6" s="60" t="inlineStr">
        <is>
          <t>2026-10-11</t>
        </is>
      </c>
      <c r="E6" s="61" t="n">
        <v>5.532523491847543</v>
      </c>
      <c r="F6" s="61" t="n">
        <v>10.944</v>
      </c>
      <c r="G6" s="62" t="n">
        <v>2.25</v>
      </c>
      <c r="H6" s="61" t="n">
        <v>8.741286000000001</v>
      </c>
      <c r="I6" s="33">
        <f>IF(OR(E6="",R6="",R6&lt;=0,E6&lt;0),"",E6/R6)</f>
        <v/>
      </c>
      <c r="J6" s="63" t="n">
        <v>60.3</v>
      </c>
      <c r="K6" s="62" t="n">
        <v>44.18</v>
      </c>
      <c r="L6" s="62" t="n">
        <v>80.72</v>
      </c>
      <c r="M6" s="62" t="n">
        <v>19.65</v>
      </c>
      <c r="N6" s="61" t="n">
        <v>-0.35</v>
      </c>
      <c r="O6" s="63" t="n">
        <v>86.8</v>
      </c>
      <c r="P6" s="62" t="n">
        <v>6.71</v>
      </c>
      <c r="Q6" s="62" t="n">
        <v>379.3</v>
      </c>
      <c r="R6" s="62" t="n">
        <v>1077.8</v>
      </c>
      <c r="S6" s="63">
        <f>IFERROR(AVERAGE(IFERROR(IF(P6="","",IF(P6&gt;=40,100,IF(P6&gt;=30,90,IF(P6&gt;=20,75,IF(P6&gt;=15,60,IF(P6&gt;=10,45,IF(P6&gt;=5,30,15))))))),""),IFERROR(IF(Q6="","",IF(Q6&gt;=40,100,IF(Q6&gt;=30,90,IF(Q6&gt;=20,75,IF(Q6&gt;=10,60,IF(Q6&gt;=5,45,IF(Q6&gt;=0,30,15))))))),""),IFERROR(IF(R6="","",IF(R6&gt;=40,100,IF(R6&gt;=30,90,IF(R6&gt;=20,75,IF(R6&gt;=10,60,IF(R6&gt;=0,45,IF(R6&gt;=-10,30,15))))))),"")),"")</f>
        <v/>
      </c>
      <c r="T6" s="60" t="n">
        <v>5</v>
      </c>
      <c r="U6" s="60" t="n">
        <v>4</v>
      </c>
      <c r="V6" s="60" t="n">
        <v>5</v>
      </c>
      <c r="W6" s="60" t="n">
        <v>5</v>
      </c>
      <c r="X6" s="60" t="n">
        <v>5</v>
      </c>
      <c r="Y6" s="63">
        <f>IFERROR((AVERAGE(T6,U6,V6,W6,X6)-1)*25,"")</f>
        <v/>
      </c>
      <c r="Z6" s="60" t="n">
        <v>5</v>
      </c>
      <c r="AA6" s="60" t="n">
        <v>5</v>
      </c>
      <c r="AB6" s="60" t="n">
        <v>3</v>
      </c>
      <c r="AC6" s="70" t="n">
        <v>76.7</v>
      </c>
      <c r="AD6" s="63">
        <f>IFERROR(AVERAGE(IFERROR(IF(Z6="","",Z6*20),""),IFERROR(IF(AA6="","",AA6*20),""),IFERROR(IF(AB6="","",AB6*20),""),IFERROR(IF(AC6="","",IF(AC6&gt;=85,100,IF(AC6&gt;=70,90,IF(AC6&gt;=55,75,IF(AC6&gt;=40,60,IF(AC6&gt;=25,40,20)))))),"")),"")</f>
        <v/>
      </c>
      <c r="AE6" s="60" t="n">
        <v>3</v>
      </c>
      <c r="AF6" s="60" t="n">
        <v>2</v>
      </c>
      <c r="AG6" s="60" t="n">
        <v>5</v>
      </c>
      <c r="AH6" s="60" t="n">
        <v>3</v>
      </c>
      <c r="AI6" s="63">
        <f>IFERROR((AVERAGE(AE6,AF6,AG6,AH6,AL6)-1)*25,"")</f>
        <v/>
      </c>
      <c r="AJ6" s="64">
        <f>IFERROR(J6*Weights!$B$4 + O6*Weights!$B$5 + S6*Weights!$B$6 + Y6*Weights!$B$7 + AD6*Weights!$B$8 + AI6*Weights!$B$9,"")</f>
        <v/>
      </c>
      <c r="AK6" s="65">
        <f>IF(AJ6="","",IF(AJ6&gt;=85,"✓✓✓",IF(AJ6&gt;=70,"✓✓",IF(AJ6&gt;=55,"✓",IF(AJ6&gt;=40,"?","✗")))))</f>
        <v/>
      </c>
      <c r="AL6" s="33" t="n">
        <v>5</v>
      </c>
    </row>
    <row r="7" ht="15" customHeight="1" s="34">
      <c r="A7" s="33" t="inlineStr">
        <is>
          <t>CEG</t>
        </is>
      </c>
      <c r="B7" s="33" t="inlineStr">
        <is>
          <t>Constellation Energy Corporation</t>
        </is>
      </c>
      <c r="C7" s="33" t="inlineStr">
        <is>
          <t>01 Power - IPP / Nuclear</t>
        </is>
      </c>
      <c r="D7" s="33" t="inlineStr">
        <is>
          <t>2026-10-11</t>
        </is>
      </c>
      <c r="E7" s="33" t="n">
        <v>22.37736</v>
      </c>
      <c r="F7" s="33" t="n">
        <v>16.41</v>
      </c>
      <c r="G7" s="33" t="n">
        <v>0.29</v>
      </c>
      <c r="H7" s="33" t="n">
        <v>3.3773074</v>
      </c>
      <c r="I7" s="33">
        <f>IF(OR(E7="",R7="",R7&lt;=0,E7&lt;0),"",E7/R7)</f>
        <v/>
      </c>
      <c r="J7" s="66" t="n">
        <v>50.8</v>
      </c>
      <c r="K7" s="33" t="n">
        <v>3.56</v>
      </c>
      <c r="L7" s="33" t="n">
        <v>22.11</v>
      </c>
      <c r="M7" s="33" t="n">
        <v>0.99</v>
      </c>
      <c r="N7" s="33" t="n">
        <v>3.02</v>
      </c>
      <c r="O7" s="66" t="n">
        <v>44.3</v>
      </c>
      <c r="P7" s="33" t="n">
        <v>1.47</v>
      </c>
      <c r="Q7" s="33" t="n">
        <v>23</v>
      </c>
      <c r="R7" s="33" t="n"/>
      <c r="S7" s="66">
        <f>IFERROR(AVERAGE(IFERROR(IF(P7="","",IF(P7&gt;=40,100,IF(P7&gt;=30,90,IF(P7&gt;=20,75,IF(P7&gt;=15,60,IF(P7&gt;=10,45,IF(P7&gt;=5,30,15))))))),""),IFERROR(IF(Q7="","",IF(Q7&gt;=40,100,IF(Q7&gt;=30,90,IF(Q7&gt;=20,75,IF(Q7&gt;=10,60,IF(Q7&gt;=5,45,IF(Q7&gt;=0,30,15))))))),""),IFERROR(IF(R7="","",IF(R7&gt;=40,100,IF(R7&gt;=30,90,IF(R7&gt;=20,75,IF(R7&gt;=10,60,IF(R7&gt;=0,45,IF(R7&gt;=-10,30,15))))))),"")),"")</f>
        <v/>
      </c>
      <c r="T7" s="33" t="n">
        <v>2</v>
      </c>
      <c r="U7" s="33" t="n">
        <v>5</v>
      </c>
      <c r="V7" s="33" t="n">
        <v>4</v>
      </c>
      <c r="W7" s="33" t="n">
        <v>5</v>
      </c>
      <c r="X7" s="33" t="n">
        <v>5</v>
      </c>
      <c r="Y7" s="66">
        <f>IFERROR((AVERAGE(T7,U7,V7,W7,X7)-1)*25,"")</f>
        <v/>
      </c>
      <c r="Z7" s="33" t="n">
        <v>3</v>
      </c>
      <c r="AA7" s="33" t="n">
        <v>2</v>
      </c>
      <c r="AB7" s="33" t="n">
        <v>3</v>
      </c>
      <c r="AC7" s="71" t="n">
        <v>40.8</v>
      </c>
      <c r="AD7" s="66">
        <f>IFERROR(AVERAGE(IFERROR(IF(Z7="","",Z7*20),""),IFERROR(IF(AA7="","",AA7*20),""),IFERROR(IF(AB7="","",AB7*20),""),IFERROR(IF(AC7="","",IF(AC7&gt;=85,100,IF(AC7&gt;=70,90,IF(AC7&gt;=55,75,IF(AC7&gt;=40,60,IF(AC7&gt;=25,40,20)))))),"")),"")</f>
        <v/>
      </c>
      <c r="AE7" s="33" t="n">
        <v>4</v>
      </c>
      <c r="AF7" s="33" t="n">
        <v>5</v>
      </c>
      <c r="AG7" s="33" t="n">
        <v>3</v>
      </c>
      <c r="AH7" s="33" t="n">
        <v>4</v>
      </c>
      <c r="AI7" s="66">
        <f>IFERROR((AVERAGE(AE7,AF7,AG7,AH7,AL7)-1)*25,"")</f>
        <v/>
      </c>
      <c r="AJ7" s="64">
        <f>IFERROR(J7*Weights!$B$4 + O7*Weights!$B$5 + S7*Weights!$B$6 + Y7*Weights!$B$7 + AD7*Weights!$B$8 + AI7*Weights!$B$9,"")</f>
        <v/>
      </c>
      <c r="AK7" s="65">
        <f>IF(AJ7="","",IF(AJ7&gt;=85,"✓✓✓",IF(AJ7&gt;=70,"✓✓",IF(AJ7&gt;=55,"✓",IF(AJ7&gt;=40,"?","✗")))))</f>
        <v/>
      </c>
      <c r="AL7" s="33" t="n">
        <v>5</v>
      </c>
    </row>
    <row r="8" ht="15" customHeight="1" s="34">
      <c r="A8" s="33" t="inlineStr">
        <is>
          <t>NVDA</t>
        </is>
      </c>
      <c r="B8" s="33" t="inlineStr">
        <is>
          <t>NVIDIA Corporation</t>
        </is>
      </c>
      <c r="C8" s="33" t="inlineStr">
        <is>
          <t>06 AI Compute Silicon / GPUs / merchant accelerators</t>
        </is>
      </c>
      <c r="D8" s="33" t="inlineStr">
        <is>
          <t>2026-10-11</t>
        </is>
      </c>
      <c r="E8" s="33" t="n">
        <v>14.82823261163482</v>
      </c>
      <c r="F8" s="33" t="n">
        <v>28.318</v>
      </c>
      <c r="G8" s="33" t="n">
        <v>2.29</v>
      </c>
      <c r="H8" s="33" t="n">
        <v>18.273836</v>
      </c>
      <c r="I8" s="33">
        <f>IF(OR(E8="",R8="",R8&lt;=0,E8&lt;0),"",E8/R8)</f>
        <v/>
      </c>
      <c r="J8" s="66" t="n">
        <v>69.90000000000001</v>
      </c>
      <c r="K8" s="33" t="n">
        <v>59.83</v>
      </c>
      <c r="L8" s="33" t="n">
        <v>74.67</v>
      </c>
      <c r="M8" s="33" t="n">
        <v>41.92</v>
      </c>
      <c r="N8" s="33" t="n">
        <v>-0.12</v>
      </c>
      <c r="O8" s="66" t="n">
        <v>92.5</v>
      </c>
      <c r="P8" s="33" t="n">
        <v>100.05</v>
      </c>
      <c r="Q8" s="33" t="n">
        <v>105.9</v>
      </c>
      <c r="R8" s="33" t="n">
        <v>125.9</v>
      </c>
      <c r="S8" s="66">
        <f>IFERROR(AVERAGE(IFERROR(IF(P8="","",IF(P8&gt;=40,100,IF(P8&gt;=30,90,IF(P8&gt;=20,75,IF(P8&gt;=15,60,IF(P8&gt;=10,45,IF(P8&gt;=5,30,15))))))),""),IFERROR(IF(Q8="","",IF(Q8&gt;=40,100,IF(Q8&gt;=30,90,IF(Q8&gt;=20,75,IF(Q8&gt;=10,60,IF(Q8&gt;=5,45,IF(Q8&gt;=0,30,15))))))),""),IFERROR(IF(R8="","",IF(R8&gt;=40,100,IF(R8&gt;=30,90,IF(R8&gt;=20,75,IF(R8&gt;=10,60,IF(R8&gt;=0,45,IF(R8&gt;=-10,30,15))))))),"")),"")</f>
        <v/>
      </c>
      <c r="T8" s="33" t="n">
        <v>5</v>
      </c>
      <c r="U8" s="33" t="n">
        <v>5</v>
      </c>
      <c r="V8" s="33" t="n">
        <v>5</v>
      </c>
      <c r="W8" s="33" t="n">
        <v>5</v>
      </c>
      <c r="X8" s="33" t="n">
        <v>5</v>
      </c>
      <c r="Y8" s="66">
        <f>IFERROR((AVERAGE(T8,U8,V8,W8,X8)-1)*25,"")</f>
        <v/>
      </c>
      <c r="Z8" s="33" t="n">
        <v>4</v>
      </c>
      <c r="AA8" s="33" t="n">
        <v>1</v>
      </c>
      <c r="AB8" s="33" t="n">
        <v>3</v>
      </c>
      <c r="AC8" s="71" t="n">
        <v>73.3</v>
      </c>
      <c r="AD8" s="66">
        <f>IFERROR(AVERAGE(IFERROR(IF(Z8="","",Z8*20),""),IFERROR(IF(AA8="","",AA8*20),""),IFERROR(IF(AB8="","",AB8*20),""),IFERROR(IF(AC8="","",IF(AC8&gt;=85,100,IF(AC8&gt;=70,90,IF(AC8&gt;=55,75,IF(AC8&gt;=40,60,IF(AC8&gt;=25,40,20)))))),"")),"")</f>
        <v/>
      </c>
      <c r="AE8" s="33" t="n">
        <v>4</v>
      </c>
      <c r="AF8" s="33" t="n">
        <v>2</v>
      </c>
      <c r="AG8" s="33" t="n">
        <v>5</v>
      </c>
      <c r="AH8" s="33" t="n">
        <v>3</v>
      </c>
      <c r="AI8" s="66">
        <f>IFERROR((AVERAGE(AE8,AF8,AG8,AH8,AL8)-1)*25,"")</f>
        <v/>
      </c>
      <c r="AJ8" s="64">
        <f>IFERROR(J8*Weights!$B$4 + O8*Weights!$B$5 + S8*Weights!$B$6 + Y8*Weights!$B$7 + AD8*Weights!$B$8 + AI8*Weights!$B$9,"")</f>
        <v/>
      </c>
      <c r="AK8" s="65">
        <f>IF(AJ8="","",IF(AJ8&gt;=85,"✓✓✓",IF(AJ8&gt;=70,"✓✓",IF(AJ8&gt;=55,"✓",IF(AJ8&gt;=40,"?","✗")))))</f>
        <v/>
      </c>
      <c r="AL8" s="33" t="n">
        <v>5</v>
      </c>
    </row>
    <row r="9" ht="15" customHeight="1" s="34">
      <c r="A9" s="33" t="inlineStr">
        <is>
          <t>AMD</t>
        </is>
      </c>
      <c r="B9" s="33" t="inlineStr">
        <is>
          <t>Advanced Micro Devices, Inc.</t>
        </is>
      </c>
      <c r="C9" s="33" t="inlineStr">
        <is>
          <t>06 AI Compute Silicon / GPUs / merchant accelerators</t>
        </is>
      </c>
      <c r="D9" s="33" t="inlineStr">
        <is>
          <t>2026-10-11</t>
        </is>
      </c>
      <c r="E9" s="33" t="n">
        <v>38.678555</v>
      </c>
      <c r="F9" s="33" t="n">
        <v>109.341</v>
      </c>
      <c r="G9" s="33" t="n">
        <v>0.85</v>
      </c>
      <c r="H9" s="33" t="n">
        <v>24.033602</v>
      </c>
      <c r="I9" s="33">
        <f>IF(OR(E9="",R9="",R9&lt;=0,E9&lt;0),"",E9/R9)</f>
        <v/>
      </c>
      <c r="J9" s="66" t="n">
        <v>34.4</v>
      </c>
      <c r="K9" s="33" t="n">
        <v>7.66</v>
      </c>
      <c r="L9" s="33" t="n">
        <v>55.72</v>
      </c>
      <c r="M9" s="33" t="n">
        <v>20.34</v>
      </c>
      <c r="N9" s="33" t="n">
        <v>-0.92</v>
      </c>
      <c r="O9" s="66" t="n">
        <v>57.8</v>
      </c>
      <c r="P9" s="33" t="n">
        <v>13.64</v>
      </c>
      <c r="Q9" s="33" t="n">
        <v>50.1</v>
      </c>
      <c r="R9" s="33" t="n">
        <v>163.4</v>
      </c>
      <c r="S9" s="66">
        <f>IFERROR(AVERAGE(IFERROR(IF(P9="","",IF(P9&gt;=40,100,IF(P9&gt;=30,90,IF(P9&gt;=20,75,IF(P9&gt;=15,60,IF(P9&gt;=10,45,IF(P9&gt;=5,30,15))))))),""),IFERROR(IF(Q9="","",IF(Q9&gt;=40,100,IF(Q9&gt;=30,90,IF(Q9&gt;=20,75,IF(Q9&gt;=10,60,IF(Q9&gt;=5,45,IF(Q9&gt;=0,30,15))))))),""),IFERROR(IF(R9="","",IF(R9&gt;=40,100,IF(R9&gt;=30,90,IF(R9&gt;=20,75,IF(R9&gt;=10,60,IF(R9&gt;=0,45,IF(R9&gt;=-10,30,15))))))),"")),"")</f>
        <v/>
      </c>
      <c r="T9" s="33" t="n">
        <v>4</v>
      </c>
      <c r="U9" s="33" t="n">
        <v>4</v>
      </c>
      <c r="V9" s="33" t="n">
        <v>5</v>
      </c>
      <c r="W9" s="33" t="n">
        <v>5</v>
      </c>
      <c r="X9" s="33" t="n">
        <v>5</v>
      </c>
      <c r="Y9" s="66">
        <f>IFERROR((AVERAGE(T9,U9,V9,W9,X9)-1)*25,"")</f>
        <v/>
      </c>
      <c r="Z9" s="33" t="n">
        <v>5</v>
      </c>
      <c r="AA9" s="33" t="n">
        <v>5</v>
      </c>
      <c r="AB9" s="33" t="n">
        <v>3</v>
      </c>
      <c r="AC9" s="71" t="n">
        <v>75</v>
      </c>
      <c r="AD9" s="66">
        <f>IFERROR(AVERAGE(IFERROR(IF(Z9="","",Z9*20),""),IFERROR(IF(AA9="","",AA9*20),""),IFERROR(IF(AB9="","",AB9*20),""),IFERROR(IF(AC9="","",IF(AC9&gt;=85,100,IF(AC9&gt;=70,90,IF(AC9&gt;=55,75,IF(AC9&gt;=40,60,IF(AC9&gt;=25,40,20)))))),"")),"")</f>
        <v/>
      </c>
      <c r="AE9" s="33" t="n">
        <v>3</v>
      </c>
      <c r="AF9" s="33" t="n">
        <v>3</v>
      </c>
      <c r="AG9" s="33" t="n">
        <v>5</v>
      </c>
      <c r="AH9" s="33" t="n">
        <v>4</v>
      </c>
      <c r="AI9" s="66">
        <f>IFERROR((AVERAGE(AE9,AF9,AG9,AH9,AL9)-1)*25,"")</f>
        <v/>
      </c>
      <c r="AJ9" s="64">
        <f>IFERROR(J9*Weights!$B$4 + O9*Weights!$B$5 + S9*Weights!$B$6 + Y9*Weights!$B$7 + AD9*Weights!$B$8 + AI9*Weights!$B$9,"")</f>
        <v/>
      </c>
      <c r="AK9" s="65">
        <f>IF(AJ9="","",IF(AJ9&gt;=85,"✓✓✓",IF(AJ9&gt;=70,"✓✓",IF(AJ9&gt;=55,"✓",IF(AJ9&gt;=40,"?","✗")))))</f>
        <v/>
      </c>
      <c r="AL9" s="33" t="n">
        <v>5</v>
      </c>
    </row>
    <row r="10" ht="15" customHeight="1" s="34">
      <c r="A10" s="33" t="inlineStr">
        <is>
          <t>D</t>
        </is>
      </c>
      <c r="B10" s="33" t="inlineStr">
        <is>
          <t>Dominion Energy, Inc.</t>
        </is>
      </c>
      <c r="C10" s="33" t="inlineStr">
        <is>
          <t>01 Power Generation / Regulated utilities (data-center geographic exposure)</t>
        </is>
      </c>
      <c r="D10" s="33" t="inlineStr">
        <is>
          <t>2026-10-11</t>
        </is>
      </c>
      <c r="E10" s="33" t="n">
        <v>16.160536</v>
      </c>
      <c r="F10" s="33" t="n">
        <v>13.599</v>
      </c>
      <c r="G10" s="33" t="n">
        <v>-13.63</v>
      </c>
      <c r="H10" s="33" t="n">
        <v>2.9921067</v>
      </c>
      <c r="I10" s="33">
        <f>IF(OR(E10="",R10="",R10&lt;=0,E10&lt;0),"",E10/R10)</f>
        <v/>
      </c>
      <c r="J10" s="66" t="n">
        <v>41.3</v>
      </c>
      <c r="K10" s="33" t="n">
        <v>4</v>
      </c>
      <c r="L10" s="33" t="n">
        <v>46.22</v>
      </c>
      <c r="M10" s="33" t="n">
        <v>-40.79</v>
      </c>
      <c r="N10" s="33" t="n">
        <v>6.43</v>
      </c>
      <c r="O10" s="66" t="n">
        <v>39.2</v>
      </c>
      <c r="P10" s="33" t="n">
        <v>5.8</v>
      </c>
      <c r="Q10" s="33" t="n">
        <v>17.6</v>
      </c>
      <c r="R10" s="33" t="n">
        <v>-55.3</v>
      </c>
      <c r="S10" s="66">
        <f>IFERROR(AVERAGE(IFERROR(IF(P10="","",IF(P10&gt;=40,100,IF(P10&gt;=30,90,IF(P10&gt;=20,75,IF(P10&gt;=15,60,IF(P10&gt;=10,45,IF(P10&gt;=5,30,15))))))),""),IFERROR(IF(Q10="","",IF(Q10&gt;=40,100,IF(Q10&gt;=30,90,IF(Q10&gt;=20,75,IF(Q10&gt;=10,60,IF(Q10&gt;=5,45,IF(Q10&gt;=0,30,15))))))),""),IFERROR(IF(R10="","",IF(R10&gt;=40,100,IF(R10&gt;=30,90,IF(R10&gt;=20,75,IF(R10&gt;=10,60,IF(R10&gt;=0,45,IF(R10&gt;=-10,30,15))))))),"")),"")</f>
        <v/>
      </c>
      <c r="T10" s="33" t="n">
        <v>2</v>
      </c>
      <c r="U10" s="33" t="n">
        <v>3</v>
      </c>
      <c r="V10" s="33" t="n">
        <v>4</v>
      </c>
      <c r="W10" s="33" t="n">
        <v>5</v>
      </c>
      <c r="X10" s="33" t="n">
        <v>3</v>
      </c>
      <c r="Y10" s="66">
        <f>IFERROR((AVERAGE(T10,U10,V10,W10,X10)-1)*25,"")</f>
        <v/>
      </c>
      <c r="Z10" s="33" t="n">
        <v>3</v>
      </c>
      <c r="AA10" s="33" t="n">
        <v>4</v>
      </c>
      <c r="AB10" s="33" t="n">
        <v>3</v>
      </c>
      <c r="AC10" s="71" t="n">
        <v>52.5</v>
      </c>
      <c r="AD10" s="66">
        <f>IFERROR(AVERAGE(IFERROR(IF(Z10="","",Z10*20),""),IFERROR(IF(AA10="","",AA10*20),""),IFERROR(IF(AB10="","",AB10*20),""),IFERROR(IF(AC10="","",IF(AC10&gt;=85,100,IF(AC10&gt;=70,90,IF(AC10&gt;=55,75,IF(AC10&gt;=40,60,IF(AC10&gt;=25,40,20)))))),"")),"")</f>
        <v/>
      </c>
      <c r="AE10" s="33" t="n">
        <v>5</v>
      </c>
      <c r="AF10" s="33" t="n">
        <v>5</v>
      </c>
      <c r="AG10" s="33" t="n">
        <v>3</v>
      </c>
      <c r="AH10" s="33" t="n">
        <v>2</v>
      </c>
      <c r="AI10" s="66">
        <f>IFERROR((AVERAGE(AE10,AF10,AG10,AH10,AL10)-1)*25,"")</f>
        <v/>
      </c>
      <c r="AJ10" s="64">
        <f>IFERROR(J10*Weights!$B$4 + O10*Weights!$B$5 + S10*Weights!$B$6 + Y10*Weights!$B$7 + AD10*Weights!$B$8 + AI10*Weights!$B$9,"")</f>
        <v/>
      </c>
      <c r="AK10" s="65">
        <f>IF(AJ10="","",IF(AJ10&gt;=85,"✓✓✓",IF(AJ10&gt;=70,"✓✓",IF(AJ10&gt;=55,"✓",IF(AJ10&gt;=40,"?","✗")))))</f>
        <v/>
      </c>
      <c r="AL10" s="33" t="n">
        <v>5</v>
      </c>
    </row>
    <row r="11" ht="15" customHeight="1" s="34">
      <c r="A11" s="33" t="inlineStr">
        <is>
          <t>AEP</t>
        </is>
      </c>
      <c r="B11" s="33" t="inlineStr">
        <is>
          <t>American Electric Power Company, Inc.</t>
        </is>
      </c>
      <c r="C11" s="33" t="inlineStr">
        <is>
          <t>01 Power Generation / Regulated utilities (data-center geographic exposure)</t>
        </is>
      </c>
      <c r="D11" s="33" t="inlineStr">
        <is>
          <t>2026-10-11</t>
        </is>
      </c>
      <c r="E11" s="33" t="n">
        <v>17.910582</v>
      </c>
      <c r="F11" s="33" t="n">
        <v>13.356</v>
      </c>
      <c r="G11" s="33" t="n">
        <v>-3.65</v>
      </c>
      <c r="H11" s="33" t="n">
        <v>2.9335017</v>
      </c>
      <c r="I11" s="33">
        <f>IF(OR(E11="",R11="",R11&lt;=0,E11&lt;0),"",E11/R11)</f>
        <v/>
      </c>
      <c r="J11" s="66" t="n">
        <v>49.5</v>
      </c>
      <c r="K11" s="33" t="n">
        <v>4.47</v>
      </c>
      <c r="L11" s="33" t="n">
        <v>46.35</v>
      </c>
      <c r="M11" s="33" t="n">
        <v>-10.69</v>
      </c>
      <c r="N11" s="33" t="n">
        <v>5.86</v>
      </c>
      <c r="O11" s="66" t="n">
        <v>43.9</v>
      </c>
      <c r="P11" s="33" t="n">
        <v>3.66</v>
      </c>
      <c r="Q11" s="33" t="n">
        <v>7</v>
      </c>
      <c r="R11" s="33" t="n">
        <v>-41.8</v>
      </c>
      <c r="S11" s="66">
        <f>IFERROR(AVERAGE(IFERROR(IF(P11="","",IF(P11&gt;=40,100,IF(P11&gt;=30,90,IF(P11&gt;=20,75,IF(P11&gt;=15,60,IF(P11&gt;=10,45,IF(P11&gt;=5,30,15))))))),""),IFERROR(IF(Q11="","",IF(Q11&gt;=40,100,IF(Q11&gt;=30,90,IF(Q11&gt;=20,75,IF(Q11&gt;=10,60,IF(Q11&gt;=5,45,IF(Q11&gt;=0,30,15))))))),""),IFERROR(IF(R11="","",IF(R11&gt;=40,100,IF(R11&gt;=30,90,IF(R11&gt;=20,75,IF(R11&gt;=10,60,IF(R11&gt;=0,45,IF(R11&gt;=-10,30,15))))))),"")),"")</f>
        <v/>
      </c>
      <c r="T11" s="33" t="n">
        <v>1</v>
      </c>
      <c r="U11" s="33" t="n">
        <v>3</v>
      </c>
      <c r="V11" s="33" t="n">
        <v>4</v>
      </c>
      <c r="W11" s="33" t="n">
        <v>5</v>
      </c>
      <c r="X11" s="33" t="n">
        <v>3</v>
      </c>
      <c r="Y11" s="66">
        <f>IFERROR((AVERAGE(T11,U11,V11,W11,X11)-1)*25,"")</f>
        <v/>
      </c>
      <c r="Z11" s="33" t="n">
        <v>5</v>
      </c>
      <c r="AA11" s="33" t="n">
        <v>4</v>
      </c>
      <c r="AB11" s="33" t="n">
        <v>3</v>
      </c>
      <c r="AC11" s="71" t="n">
        <v>30.8</v>
      </c>
      <c r="AD11" s="66">
        <f>IFERROR(AVERAGE(IFERROR(IF(Z11="","",Z11*20),""),IFERROR(IF(AA11="","",AA11*20),""),IFERROR(IF(AB11="","",AB11*20),""),IFERROR(IF(AC11="","",IF(AC11&gt;=85,100,IF(AC11&gt;=70,90,IF(AC11&gt;=55,75,IF(AC11&gt;=40,60,IF(AC11&gt;=25,40,20)))))),"")),"")</f>
        <v/>
      </c>
      <c r="AE11" s="33" t="n">
        <v>5</v>
      </c>
      <c r="AF11" s="33" t="n">
        <v>5</v>
      </c>
      <c r="AG11" s="33" t="n">
        <v>3</v>
      </c>
      <c r="AH11" s="33" t="n">
        <v>4</v>
      </c>
      <c r="AI11" s="66">
        <f>IFERROR((AVERAGE(AE11,AF11,AG11,AH11,AL11)-1)*25,"")</f>
        <v/>
      </c>
      <c r="AJ11" s="64">
        <f>IFERROR(J11*Weights!$B$4 + O11*Weights!$B$5 + S11*Weights!$B$6 + Y11*Weights!$B$7 + AD11*Weights!$B$8 + AI11*Weights!$B$9,"")</f>
        <v/>
      </c>
      <c r="AK11" s="65">
        <f>IF(AJ11="","",IF(AJ11&gt;=85,"✓✓✓",IF(AJ11&gt;=70,"✓✓",IF(AJ11&gt;=55,"✓",IF(AJ11&gt;=40,"?","✗")))))</f>
        <v/>
      </c>
      <c r="AL11" s="33" t="n">
        <v>5</v>
      </c>
    </row>
    <row r="12" ht="15" customHeight="1" s="34">
      <c r="A12" s="33" t="inlineStr">
        <is>
          <t>DUK</t>
        </is>
      </c>
      <c r="B12" s="33" t="inlineStr">
        <is>
          <t>Duke Energy Corporation</t>
        </is>
      </c>
      <c r="C12" s="33" t="inlineStr">
        <is>
          <t>01 Power Generation / Regulated utilities (data-center geographic exposure)</t>
        </is>
      </c>
      <c r="D12" s="33" t="inlineStr">
        <is>
          <t>2026-10-11</t>
        </is>
      </c>
      <c r="E12" s="33" t="n">
        <v>16.265955</v>
      </c>
      <c r="F12" s="33" t="n">
        <v>11.114</v>
      </c>
      <c r="G12" s="33" t="n">
        <v>-3.63</v>
      </c>
      <c r="H12" s="33" t="n">
        <v>2.7726812</v>
      </c>
      <c r="I12" s="33">
        <f>IF(OR(E12="",R12="",R12&lt;=0,E12&lt;0),"",E12/R12)</f>
        <v/>
      </c>
      <c r="J12" s="66" t="n">
        <v>60.5</v>
      </c>
      <c r="K12" s="33" t="n">
        <v>4.2</v>
      </c>
      <c r="L12" s="33" t="n">
        <v>51.97</v>
      </c>
      <c r="M12" s="33" t="n">
        <v>-10.06</v>
      </c>
      <c r="N12" s="33" t="n">
        <v>5.51</v>
      </c>
      <c r="O12" s="66" t="n">
        <v>47.1</v>
      </c>
      <c r="P12" s="33" t="n">
        <v>3.87</v>
      </c>
      <c r="Q12" s="33" t="n">
        <v>1.1</v>
      </c>
      <c r="R12" s="33" t="n">
        <v>11</v>
      </c>
      <c r="S12" s="66">
        <f>IFERROR(AVERAGE(IFERROR(IF(P12="","",IF(P12&gt;=40,100,IF(P12&gt;=30,90,IF(P12&gt;=20,75,IF(P12&gt;=15,60,IF(P12&gt;=10,45,IF(P12&gt;=5,30,15))))))),""),IFERROR(IF(Q12="","",IF(Q12&gt;=40,100,IF(Q12&gt;=30,90,IF(Q12&gt;=20,75,IF(Q12&gt;=10,60,IF(Q12&gt;=5,45,IF(Q12&gt;=0,30,15))))))),""),IFERROR(IF(R12="","",IF(R12&gt;=40,100,IF(R12&gt;=30,90,IF(R12&gt;=20,75,IF(R12&gt;=10,60,IF(R12&gt;=0,45,IF(R12&gt;=-10,30,15))))))),"")),"")</f>
        <v/>
      </c>
      <c r="T12" s="33" t="n">
        <v>1</v>
      </c>
      <c r="U12" s="33" t="n">
        <v>3</v>
      </c>
      <c r="V12" s="33" t="n">
        <v>4</v>
      </c>
      <c r="W12" s="33" t="n">
        <v>5</v>
      </c>
      <c r="X12" s="33" t="n">
        <v>3</v>
      </c>
      <c r="Y12" s="66">
        <f>IFERROR((AVERAGE(T12,U12,V12,W12,X12)-1)*25,"")</f>
        <v/>
      </c>
      <c r="Z12" s="33" t="n">
        <v>4</v>
      </c>
      <c r="AA12" s="33" t="n">
        <v>3</v>
      </c>
      <c r="AB12" s="33" t="n">
        <v>3</v>
      </c>
      <c r="AC12" s="71" t="n">
        <v>22.5</v>
      </c>
      <c r="AD12" s="66">
        <f>IFERROR(AVERAGE(IFERROR(IF(Z12="","",Z12*20),""),IFERROR(IF(AA12="","",AA12*20),""),IFERROR(IF(AB12="","",AB12*20),""),IFERROR(IF(AC12="","",IF(AC12&gt;=85,100,IF(AC12&gt;=70,90,IF(AC12&gt;=55,75,IF(AC12&gt;=40,60,IF(AC12&gt;=25,40,20)))))),"")),"")</f>
        <v/>
      </c>
      <c r="AE12" s="33" t="n">
        <v>5</v>
      </c>
      <c r="AF12" s="33" t="n">
        <v>5</v>
      </c>
      <c r="AG12" s="33" t="n">
        <v>3</v>
      </c>
      <c r="AH12" s="33" t="n">
        <v>4</v>
      </c>
      <c r="AI12" s="66">
        <f>IFERROR((AVERAGE(AE12,AF12,AG12,AH12,AL12)-1)*25,"")</f>
        <v/>
      </c>
      <c r="AJ12" s="64">
        <f>IFERROR(J12*Weights!$B$4 + O12*Weights!$B$5 + S12*Weights!$B$6 + Y12*Weights!$B$7 + AD12*Weights!$B$8 + AI12*Weights!$B$9,"")</f>
        <v/>
      </c>
      <c r="AK12" s="65">
        <f>IF(AJ12="","",IF(AJ12&gt;=85,"✓✓✓",IF(AJ12&gt;=70,"✓✓",IF(AJ12&gt;=55,"✓",IF(AJ12&gt;=40,"?","✗")))))</f>
        <v/>
      </c>
      <c r="AL12" s="33" t="n">
        <v>5</v>
      </c>
    </row>
    <row r="13" ht="15" customHeight="1" s="34">
      <c r="A13" s="33" t="inlineStr">
        <is>
          <t>SO</t>
        </is>
      </c>
      <c r="B13" s="33" t="inlineStr">
        <is>
          <t>The Southern Company</t>
        </is>
      </c>
      <c r="C13" s="33" t="inlineStr">
        <is>
          <t>01 Power Generation / Regulated utilities (data-center geographic exposure)</t>
        </is>
      </c>
      <c r="D13" s="33" t="inlineStr">
        <is>
          <t>2026-10-11</t>
        </is>
      </c>
      <c r="E13" s="33" t="n">
        <v>17.502808</v>
      </c>
      <c r="F13" s="33" t="n">
        <v>12.285</v>
      </c>
      <c r="G13" s="33" t="n">
        <v>-3.3</v>
      </c>
      <c r="H13" s="33" t="n">
        <v>3.2846277</v>
      </c>
      <c r="I13" s="33">
        <f>IF(OR(E13="",R13="",R13&lt;=0,E13&lt;0),"",E13/R13)</f>
        <v/>
      </c>
      <c r="J13" s="66" t="n">
        <v>44.6</v>
      </c>
      <c r="K13" s="33" t="n">
        <v>4.35</v>
      </c>
      <c r="L13" s="33" t="n">
        <v>48.29</v>
      </c>
      <c r="M13" s="33" t="n">
        <v>-10.83</v>
      </c>
      <c r="N13" s="33" t="n">
        <v>5.2</v>
      </c>
      <c r="O13" s="66" t="n">
        <v>47.1</v>
      </c>
      <c r="P13" s="33" t="n">
        <v>0.31</v>
      </c>
      <c r="Q13" s="33" t="n">
        <v>0.1</v>
      </c>
      <c r="R13" s="33" t="n">
        <v>33.4</v>
      </c>
      <c r="S13" s="66">
        <f>IFERROR(AVERAGE(IFERROR(IF(P13="","",IF(P13&gt;=40,100,IF(P13&gt;=30,90,IF(P13&gt;=20,75,IF(P13&gt;=15,60,IF(P13&gt;=10,45,IF(P13&gt;=5,30,15))))))),""),IFERROR(IF(Q13="","",IF(Q13&gt;=40,100,IF(Q13&gt;=30,90,IF(Q13&gt;=20,75,IF(Q13&gt;=10,60,IF(Q13&gt;=5,45,IF(Q13&gt;=0,30,15))))))),""),IFERROR(IF(R13="","",IF(R13&gt;=40,100,IF(R13&gt;=30,90,IF(R13&gt;=20,75,IF(R13&gt;=10,60,IF(R13&gt;=0,45,IF(R13&gt;=-10,30,15))))))),"")),"")</f>
        <v/>
      </c>
      <c r="T13" s="33" t="n">
        <v>1</v>
      </c>
      <c r="U13" s="33" t="n">
        <v>3</v>
      </c>
      <c r="V13" s="33" t="n">
        <v>4</v>
      </c>
      <c r="W13" s="33" t="n">
        <v>5</v>
      </c>
      <c r="X13" s="33" t="n">
        <v>3</v>
      </c>
      <c r="Y13" s="66">
        <f>IFERROR((AVERAGE(T13,U13,V13,W13,X13)-1)*25,"")</f>
        <v/>
      </c>
      <c r="Z13" s="33" t="n">
        <v>2</v>
      </c>
      <c r="AA13" s="33" t="n">
        <v>4</v>
      </c>
      <c r="AB13" s="33" t="n">
        <v>3</v>
      </c>
      <c r="AC13" s="71" t="n">
        <v>29.2</v>
      </c>
      <c r="AD13" s="66">
        <f>IFERROR(AVERAGE(IFERROR(IF(Z13="","",Z13*20),""),IFERROR(IF(AA13="","",AA13*20),""),IFERROR(IF(AB13="","",AB13*20),""),IFERROR(IF(AC13="","",IF(AC13&gt;=85,100,IF(AC13&gt;=70,90,IF(AC13&gt;=55,75,IF(AC13&gt;=40,60,IF(AC13&gt;=25,40,20)))))),"")),"")</f>
        <v/>
      </c>
      <c r="AE13" s="33" t="n">
        <v>5</v>
      </c>
      <c r="AF13" s="33" t="n">
        <v>5</v>
      </c>
      <c r="AG13" s="33" t="n">
        <v>3</v>
      </c>
      <c r="AH13" s="33" t="n">
        <v>4</v>
      </c>
      <c r="AI13" s="66">
        <f>IFERROR((AVERAGE(AE13,AF13,AG13,AH13,AL13)-1)*25,"")</f>
        <v/>
      </c>
      <c r="AJ13" s="64">
        <f>IFERROR(J13*Weights!$B$4 + O13*Weights!$B$5 + S13*Weights!$B$6 + Y13*Weights!$B$7 + AD13*Weights!$B$8 + AI13*Weights!$B$9,"")</f>
        <v/>
      </c>
      <c r="AK13" s="65">
        <f>IF(AJ13="","",IF(AJ13&gt;=85,"✓✓✓",IF(AJ13&gt;=70,"✓✓",IF(AJ13&gt;=55,"✓",IF(AJ13&gt;=40,"?","✗")))))</f>
        <v/>
      </c>
      <c r="AL13" s="33" t="n">
        <v>5</v>
      </c>
    </row>
    <row r="14" ht="15" customHeight="1" s="34">
      <c r="A14" s="33" t="inlineStr">
        <is>
          <t>NEE</t>
        </is>
      </c>
      <c r="B14" s="33" t="inlineStr">
        <is>
          <t>NextEra Energy, Inc.</t>
        </is>
      </c>
      <c r="C14" s="33" t="inlineStr">
        <is>
          <t>01 Power Generation / Regulated utilities (data-center geographic exposure)</t>
        </is>
      </c>
      <c r="D14" s="33" t="inlineStr">
        <is>
          <t>2026-10-11</t>
        </is>
      </c>
      <c r="E14" s="33" t="n">
        <v>17.68144</v>
      </c>
      <c r="F14" s="33" t="n">
        <v>19.125</v>
      </c>
      <c r="G14" s="33" t="n">
        <v>1.89</v>
      </c>
      <c r="H14" s="33" t="n">
        <v>5.623141</v>
      </c>
      <c r="I14" s="33">
        <f>IF(OR(E14="",R14="",R14&lt;=0,E14&lt;0),"",E14/R14)</f>
        <v/>
      </c>
      <c r="J14" s="66" t="n">
        <v>46.9</v>
      </c>
      <c r="K14" s="33" t="n">
        <v>3.99</v>
      </c>
      <c r="L14" s="33" t="n">
        <v>61.02</v>
      </c>
      <c r="M14" s="33" t="n">
        <v>10.62</v>
      </c>
      <c r="N14" s="33" t="n">
        <v>7.35</v>
      </c>
      <c r="O14" s="66" t="n">
        <v>54.4</v>
      </c>
      <c r="P14" s="33" t="n">
        <v>9.359999999999999</v>
      </c>
      <c r="Q14" s="33" t="n">
        <v>12.4</v>
      </c>
      <c r="R14" s="33" t="n">
        <v>55</v>
      </c>
      <c r="S14" s="66">
        <f>IFERROR(AVERAGE(IFERROR(IF(P14="","",IF(P14&gt;=40,100,IF(P14&gt;=30,90,IF(P14&gt;=20,75,IF(P14&gt;=15,60,IF(P14&gt;=10,45,IF(P14&gt;=5,30,15))))))),""),IFERROR(IF(Q14="","",IF(Q14&gt;=40,100,IF(Q14&gt;=30,90,IF(Q14&gt;=20,75,IF(Q14&gt;=10,60,IF(Q14&gt;=5,45,IF(Q14&gt;=0,30,15))))))),""),IFERROR(IF(R14="","",IF(R14&gt;=40,100,IF(R14&gt;=30,90,IF(R14&gt;=20,75,IF(R14&gt;=10,60,IF(R14&gt;=0,45,IF(R14&gt;=-10,30,15))))))),"")),"")</f>
        <v/>
      </c>
      <c r="T14" s="33" t="n">
        <v>2</v>
      </c>
      <c r="U14" s="33" t="n">
        <v>4</v>
      </c>
      <c r="V14" s="33" t="n">
        <v>5</v>
      </c>
      <c r="W14" s="33" t="n">
        <v>5</v>
      </c>
      <c r="X14" s="33" t="n">
        <v>5</v>
      </c>
      <c r="Y14" s="66">
        <f>IFERROR((AVERAGE(T14,U14,V14,W14,X14)-1)*25,"")</f>
        <v/>
      </c>
      <c r="Z14" s="33" t="n">
        <v>4</v>
      </c>
      <c r="AA14" s="33" t="n">
        <v>3</v>
      </c>
      <c r="AB14" s="33" t="n">
        <v>3</v>
      </c>
      <c r="AC14" s="71" t="n">
        <v>25.8</v>
      </c>
      <c r="AD14" s="66">
        <f>IFERROR(AVERAGE(IFERROR(IF(Z14="","",Z14*20),""),IFERROR(IF(AA14="","",AA14*20),""),IFERROR(IF(AB14="","",AB14*20),""),IFERROR(IF(AC14="","",IF(AC14&gt;=85,100,IF(AC14&gt;=70,90,IF(AC14&gt;=55,75,IF(AC14&gt;=40,60,IF(AC14&gt;=25,40,20)))))),"")),"")</f>
        <v/>
      </c>
      <c r="AE14" s="33" t="n">
        <v>5</v>
      </c>
      <c r="AF14" s="33" t="n">
        <v>5</v>
      </c>
      <c r="AG14" s="33" t="n">
        <v>3</v>
      </c>
      <c r="AH14" s="33" t="n">
        <v>2</v>
      </c>
      <c r="AI14" s="66">
        <f>IFERROR((AVERAGE(AE14,AF14,AG14,AH14,AL14)-1)*25,"")</f>
        <v/>
      </c>
      <c r="AJ14" s="64">
        <f>IFERROR(J14*Weights!$B$4 + O14*Weights!$B$5 + S14*Weights!$B$6 + Y14*Weights!$B$7 + AD14*Weights!$B$8 + AI14*Weights!$B$9,"")</f>
        <v/>
      </c>
      <c r="AK14" s="65">
        <f>IF(AJ14="","",IF(AJ14&gt;=85,"✓✓✓",IF(AJ14&gt;=70,"✓✓",IF(AJ14&gt;=55,"✓",IF(AJ14&gt;=40,"?","✗")))))</f>
        <v/>
      </c>
      <c r="AL14" s="33" t="n">
        <v>5</v>
      </c>
    </row>
    <row r="15" ht="15" customHeight="1" s="34">
      <c r="A15" s="33" t="inlineStr">
        <is>
          <t>ETR</t>
        </is>
      </c>
      <c r="B15" s="33" t="inlineStr">
        <is>
          <t>Entergy Corporation</t>
        </is>
      </c>
      <c r="C15" s="33" t="inlineStr">
        <is>
          <t>01 Power Generation / Regulated utilities (data-center geographic exposure)</t>
        </is>
      </c>
      <c r="D15" s="33" t="inlineStr">
        <is>
          <t>2026-10-11</t>
        </is>
      </c>
      <c r="E15" s="33" t="n">
        <v>20.139488</v>
      </c>
      <c r="F15" s="33" t="n">
        <v>14.274</v>
      </c>
      <c r="G15" s="33" t="n">
        <v>-6.42</v>
      </c>
      <c r="H15" s="33" t="n">
        <v>3.6429832</v>
      </c>
      <c r="I15" s="33">
        <f>IF(OR(E15="",R15="",R15&lt;=0,E15&lt;0),"",E15/R15)</f>
        <v/>
      </c>
      <c r="J15" s="66" t="n">
        <v>34.2</v>
      </c>
      <c r="K15" s="33" t="n">
        <v>3.62</v>
      </c>
      <c r="L15" s="33" t="n">
        <v>47</v>
      </c>
      <c r="M15" s="33" t="n">
        <v>-23.37</v>
      </c>
      <c r="N15" s="33" t="n">
        <v>5.56</v>
      </c>
      <c r="O15" s="66" t="n">
        <v>35.5</v>
      </c>
      <c r="P15" s="33" t="n">
        <v>-2.02</v>
      </c>
      <c r="Q15" s="33" t="n">
        <v>5.9</v>
      </c>
      <c r="R15" s="33" t="n">
        <v>3.1</v>
      </c>
      <c r="S15" s="66">
        <f>IFERROR(AVERAGE(IFERROR(IF(P15="","",IF(P15&gt;=40,100,IF(P15&gt;=30,90,IF(P15&gt;=20,75,IF(P15&gt;=15,60,IF(P15&gt;=10,45,IF(P15&gt;=5,30,15))))))),""),IFERROR(IF(Q15="","",IF(Q15&gt;=40,100,IF(Q15&gt;=30,90,IF(Q15&gt;=20,75,IF(Q15&gt;=10,60,IF(Q15&gt;=5,45,IF(Q15&gt;=0,30,15))))))),""),IFERROR(IF(R15="","",IF(R15&gt;=40,100,IF(R15&gt;=30,90,IF(R15&gt;=20,75,IF(R15&gt;=10,60,IF(R15&gt;=0,45,IF(R15&gt;=-10,30,15))))))),"")),"")</f>
        <v/>
      </c>
      <c r="T15" s="33" t="n">
        <v>1</v>
      </c>
      <c r="U15" s="33" t="n">
        <v>3</v>
      </c>
      <c r="V15" s="33" t="n">
        <v>4</v>
      </c>
      <c r="W15" s="33" t="n">
        <v>5</v>
      </c>
      <c r="X15" s="33" t="n">
        <v>3</v>
      </c>
      <c r="Y15" s="66">
        <f>IFERROR((AVERAGE(T15,U15,V15,W15,X15)-1)*25,"")</f>
        <v/>
      </c>
      <c r="Z15" s="33" t="n">
        <v>5</v>
      </c>
      <c r="AA15" s="33" t="n">
        <v>4</v>
      </c>
      <c r="AB15" s="33" t="n">
        <v>3</v>
      </c>
      <c r="AC15" s="71" t="n">
        <v>40</v>
      </c>
      <c r="AD15" s="66">
        <f>IFERROR(AVERAGE(IFERROR(IF(Z15="","",Z15*20),""),IFERROR(IF(AA15="","",AA15*20),""),IFERROR(IF(AB15="","",AB15*20),""),IFERROR(IF(AC15="","",IF(AC15&gt;=85,100,IF(AC15&gt;=70,90,IF(AC15&gt;=55,75,IF(AC15&gt;=40,60,IF(AC15&gt;=25,40,20)))))),"")),"")</f>
        <v/>
      </c>
      <c r="AE15" s="33" t="n">
        <v>5</v>
      </c>
      <c r="AF15" s="33" t="n">
        <v>5</v>
      </c>
      <c r="AG15" s="33" t="n">
        <v>3</v>
      </c>
      <c r="AH15" s="33" t="n">
        <v>4</v>
      </c>
      <c r="AI15" s="66">
        <f>IFERROR((AVERAGE(AE15,AF15,AG15,AH15,AL15)-1)*25,"")</f>
        <v/>
      </c>
      <c r="AJ15" s="64">
        <f>IFERROR(J15*Weights!$B$4 + O15*Weights!$B$5 + S15*Weights!$B$6 + Y15*Weights!$B$7 + AD15*Weights!$B$8 + AI15*Weights!$B$9,"")</f>
        <v/>
      </c>
      <c r="AK15" s="65">
        <f>IF(AJ15="","",IF(AJ15&gt;=85,"✓✓✓",IF(AJ15&gt;=70,"✓✓",IF(AJ15&gt;=55,"✓",IF(AJ15&gt;=40,"?","✗")))))</f>
        <v/>
      </c>
      <c r="AL15" s="33" t="n">
        <v>5</v>
      </c>
    </row>
    <row r="16" ht="15" customHeight="1" s="34">
      <c r="A16" s="33" t="inlineStr">
        <is>
          <t>PPL</t>
        </is>
      </c>
      <c r="B16" s="33" t="inlineStr">
        <is>
          <t>PPL Corporation</t>
        </is>
      </c>
      <c r="C16" s="33" t="inlineStr">
        <is>
          <t>01 Power Generation / Regulated utilities (data-center geographic exposure)</t>
        </is>
      </c>
      <c r="D16" s="33" t="inlineStr">
        <is>
          <t>2026-10-11</t>
        </is>
      </c>
      <c r="E16" s="33" t="n">
        <v>16.162142</v>
      </c>
      <c r="F16" s="33" t="n">
        <v>12.129</v>
      </c>
      <c r="G16" s="33" t="n">
        <v>-7.73</v>
      </c>
      <c r="H16" s="33" t="n">
        <v>2.7425687</v>
      </c>
      <c r="I16" s="33">
        <f>IF(OR(E16="",R16="",R16&lt;=0,E16&lt;0),"",E16/R16)</f>
        <v/>
      </c>
      <c r="J16" s="66" t="n">
        <v>54.5</v>
      </c>
      <c r="K16" s="33" t="n">
        <v>4.26</v>
      </c>
      <c r="L16" s="33" t="n">
        <v>44.09</v>
      </c>
      <c r="M16" s="33" t="n">
        <v>-21.2</v>
      </c>
      <c r="N16" s="33" t="n">
        <v>5.33</v>
      </c>
      <c r="O16" s="66" t="n">
        <v>38.6</v>
      </c>
      <c r="P16" s="33" t="n">
        <v>4.59</v>
      </c>
      <c r="Q16" s="33" t="n">
        <v>4.2</v>
      </c>
      <c r="R16" s="33" t="n">
        <v>25.7</v>
      </c>
      <c r="S16" s="66">
        <f>IFERROR(AVERAGE(IFERROR(IF(P16="","",IF(P16&gt;=40,100,IF(P16&gt;=30,90,IF(P16&gt;=20,75,IF(P16&gt;=15,60,IF(P16&gt;=10,45,IF(P16&gt;=5,30,15))))))),""),IFERROR(IF(Q16="","",IF(Q16&gt;=40,100,IF(Q16&gt;=30,90,IF(Q16&gt;=20,75,IF(Q16&gt;=10,60,IF(Q16&gt;=5,45,IF(Q16&gt;=0,30,15))))))),""),IFERROR(IF(R16="","",IF(R16&gt;=40,100,IF(R16&gt;=30,90,IF(R16&gt;=20,75,IF(R16&gt;=10,60,IF(R16&gt;=0,45,IF(R16&gt;=-10,30,15))))))),"")),"")</f>
        <v/>
      </c>
      <c r="T16" s="33" t="n">
        <v>1</v>
      </c>
      <c r="U16" s="33" t="n">
        <v>3</v>
      </c>
      <c r="V16" s="33" t="n">
        <v>4</v>
      </c>
      <c r="W16" s="33" t="n">
        <v>5</v>
      </c>
      <c r="X16" s="33" t="n">
        <v>3</v>
      </c>
      <c r="Y16" s="66">
        <f>IFERROR((AVERAGE(T16,U16,V16,W16,X16)-1)*25,"")</f>
        <v/>
      </c>
      <c r="Z16" s="33" t="n">
        <v>4</v>
      </c>
      <c r="AA16" s="33" t="n">
        <v>3</v>
      </c>
      <c r="AB16" s="33" t="n">
        <v>3</v>
      </c>
      <c r="AC16" s="71" t="n">
        <v>22.5</v>
      </c>
      <c r="AD16" s="66">
        <f>IFERROR(AVERAGE(IFERROR(IF(Z16="","",Z16*20),""),IFERROR(IF(AA16="","",AA16*20),""),IFERROR(IF(AB16="","",AB16*20),""),IFERROR(IF(AC16="","",IF(AC16&gt;=85,100,IF(AC16&gt;=70,90,IF(AC16&gt;=55,75,IF(AC16&gt;=40,60,IF(AC16&gt;=25,40,20)))))),"")),"")</f>
        <v/>
      </c>
      <c r="AE16" s="33" t="n">
        <v>5</v>
      </c>
      <c r="AF16" s="33" t="n">
        <v>5</v>
      </c>
      <c r="AG16" s="33" t="n">
        <v>3</v>
      </c>
      <c r="AH16" s="33" t="n">
        <v>4</v>
      </c>
      <c r="AI16" s="66">
        <f>IFERROR((AVERAGE(AE16,AF16,AG16,AH16,AL16)-1)*25,"")</f>
        <v/>
      </c>
      <c r="AJ16" s="64">
        <f>IFERROR(J16*Weights!$B$4 + O16*Weights!$B$5 + S16*Weights!$B$6 + Y16*Weights!$B$7 + AD16*Weights!$B$8 + AI16*Weights!$B$9,"")</f>
        <v/>
      </c>
      <c r="AK16" s="65">
        <f>IF(AJ16="","",IF(AJ16&gt;=85,"✓✓✓",IF(AJ16&gt;=70,"✓✓",IF(AJ16&gt;=55,"✓",IF(AJ16&gt;=40,"?","✗")))))</f>
        <v/>
      </c>
      <c r="AL16" s="33" t="n">
        <v>5</v>
      </c>
    </row>
    <row r="17" ht="15" customHeight="1" s="34">
      <c r="A17" s="33" t="inlineStr">
        <is>
          <t>XEL</t>
        </is>
      </c>
      <c r="B17" s="33" t="inlineStr">
        <is>
          <t>Xcel Energy Inc.</t>
        </is>
      </c>
      <c r="C17" s="33" t="inlineStr">
        <is>
          <t>01 Power Generation / Regulated utilities (data-center geographic exposure)</t>
        </is>
      </c>
      <c r="D17" s="33" t="inlineStr">
        <is>
          <t>2026-10-11</t>
        </is>
      </c>
      <c r="E17" s="33" t="n">
        <v>16.258345</v>
      </c>
      <c r="F17" s="33" t="n">
        <v>13.861</v>
      </c>
      <c r="G17" s="33" t="n">
        <v>-16.69</v>
      </c>
      <c r="H17" s="33" t="n">
        <v>3.1528733</v>
      </c>
      <c r="I17" s="33">
        <f>IF(OR(E17="",R17="",R17&lt;=0,E17&lt;0),"",E17/R17)</f>
        <v/>
      </c>
      <c r="J17" s="66" t="n">
        <v>49.3</v>
      </c>
      <c r="K17" s="33" t="n">
        <v>3.91</v>
      </c>
      <c r="L17" s="33" t="n">
        <v>46.83</v>
      </c>
      <c r="M17" s="33" t="n">
        <v>-52.63</v>
      </c>
      <c r="N17" s="33" t="n">
        <v>6.47</v>
      </c>
      <c r="O17" s="66" t="n">
        <v>33.9</v>
      </c>
      <c r="P17" s="33" t="n">
        <v>-1.42</v>
      </c>
      <c r="Q17" s="33" t="n">
        <v>-5.1</v>
      </c>
      <c r="R17" s="33" t="n">
        <v>32</v>
      </c>
      <c r="S17" s="66">
        <f>IFERROR(AVERAGE(IFERROR(IF(P17="","",IF(P17&gt;=40,100,IF(P17&gt;=30,90,IF(P17&gt;=20,75,IF(P17&gt;=15,60,IF(P17&gt;=10,45,IF(P17&gt;=5,30,15))))))),""),IFERROR(IF(Q17="","",IF(Q17&gt;=40,100,IF(Q17&gt;=30,90,IF(Q17&gt;=20,75,IF(Q17&gt;=10,60,IF(Q17&gt;=5,45,IF(Q17&gt;=0,30,15))))))),""),IFERROR(IF(R17="","",IF(R17&gt;=40,100,IF(R17&gt;=30,90,IF(R17&gt;=20,75,IF(R17&gt;=10,60,IF(R17&gt;=0,45,IF(R17&gt;=-10,30,15))))))),"")),"")</f>
        <v/>
      </c>
      <c r="T17" s="33" t="n">
        <v>1</v>
      </c>
      <c r="U17" s="33" t="n">
        <v>3</v>
      </c>
      <c r="V17" s="33" t="n">
        <v>4</v>
      </c>
      <c r="W17" s="33" t="n">
        <v>4</v>
      </c>
      <c r="X17" s="33" t="n">
        <v>3</v>
      </c>
      <c r="Y17" s="66">
        <f>IFERROR((AVERAGE(T17,U17,V17,W17,X17)-1)*25,"")</f>
        <v/>
      </c>
      <c r="Z17" s="33" t="n">
        <v>4</v>
      </c>
      <c r="AA17" s="33" t="n">
        <v>3</v>
      </c>
      <c r="AB17" s="33" t="n">
        <v>3</v>
      </c>
      <c r="AC17" s="71" t="n">
        <v>27.5</v>
      </c>
      <c r="AD17" s="66">
        <f>IFERROR(AVERAGE(IFERROR(IF(Z17="","",Z17*20),""),IFERROR(IF(AA17="","",AA17*20),""),IFERROR(IF(AB17="","",AB17*20),""),IFERROR(IF(AC17="","",IF(AC17&gt;=85,100,IF(AC17&gt;=70,90,IF(AC17&gt;=55,75,IF(AC17&gt;=40,60,IF(AC17&gt;=25,40,20)))))),"")),"")</f>
        <v/>
      </c>
      <c r="AE17" s="33" t="n">
        <v>5</v>
      </c>
      <c r="AF17" s="33" t="n">
        <v>5</v>
      </c>
      <c r="AG17" s="33" t="n">
        <v>3</v>
      </c>
      <c r="AH17" s="33" t="n">
        <v>4</v>
      </c>
      <c r="AI17" s="66">
        <f>IFERROR((AVERAGE(AE17,AF17,AG17,AH17,AL17)-1)*25,"")</f>
        <v/>
      </c>
      <c r="AJ17" s="64">
        <f>IFERROR(J17*Weights!$B$4 + O17*Weights!$B$5 + S17*Weights!$B$6 + Y17*Weights!$B$7 + AD17*Weights!$B$8 + AI17*Weights!$B$9,"")</f>
        <v/>
      </c>
      <c r="AK17" s="65">
        <f>IF(AJ17="","",IF(AJ17&gt;=85,"✓✓✓",IF(AJ17&gt;=70,"✓✓",IF(AJ17&gt;=55,"✓",IF(AJ17&gt;=40,"?","✗")))))</f>
        <v/>
      </c>
      <c r="AL17" s="33" t="n">
        <v>5</v>
      </c>
    </row>
    <row r="18" ht="15" customHeight="1" s="34">
      <c r="A18" s="33" t="inlineStr">
        <is>
          <t>VST</t>
        </is>
      </c>
      <c r="B18" s="33" t="inlineStr">
        <is>
          <t>Vistra Corp.</t>
        </is>
      </c>
      <c r="C18" s="33" t="inlineStr">
        <is>
          <t>01 Power Generation / Independent Power Producers (IPPs)</t>
        </is>
      </c>
      <c r="D18" s="33" t="inlineStr">
        <is>
          <t>2026-10-11</t>
        </is>
      </c>
      <c r="E18" s="33" t="n">
        <v>15.502566</v>
      </c>
      <c r="F18" s="33" t="n">
        <v>11.814</v>
      </c>
      <c r="G18" s="33" t="n">
        <v>4.16</v>
      </c>
      <c r="H18" s="33" t="n">
        <v>2.8210688</v>
      </c>
      <c r="I18" s="33">
        <f>IF(OR(E18="",R18="",R18&lt;=0,E18&lt;0),"",E18/R18)</f>
        <v/>
      </c>
      <c r="J18" s="66" t="n">
        <v>71.59999999999999</v>
      </c>
      <c r="K18" s="33" t="n">
        <v>9.199999999999999</v>
      </c>
      <c r="L18" s="33" t="n">
        <v>38.31</v>
      </c>
      <c r="M18" s="33" t="n">
        <v>11.74</v>
      </c>
      <c r="N18" s="33" t="n">
        <v>3.02</v>
      </c>
      <c r="O18" s="66" t="n">
        <v>65.09999999999999</v>
      </c>
      <c r="P18" s="33" t="n">
        <v>8.92</v>
      </c>
      <c r="Q18" s="33" t="n">
        <v>-5.5</v>
      </c>
      <c r="S18" s="66">
        <f>IFERROR(AVERAGE(IFERROR(IF(P18="","",IF(P18&gt;=40,100,IF(P18&gt;=30,90,IF(P18&gt;=20,75,IF(P18&gt;=15,60,IF(P18&gt;=10,45,IF(P18&gt;=5,30,15))))))),""),IFERROR(IF(Q18="","",IF(Q18&gt;=40,100,IF(Q18&gt;=30,90,IF(Q18&gt;=20,75,IF(Q18&gt;=10,60,IF(Q18&gt;=5,45,IF(Q18&gt;=0,30,15))))))),""),IFERROR(IF(R18="","",IF(R18&gt;=40,100,IF(R18&gt;=30,90,IF(R18&gt;=20,75,IF(R18&gt;=10,60,IF(R18&gt;=0,45,IF(R18&gt;=-10,30,15))))))),"")),"")</f>
        <v/>
      </c>
      <c r="T18" s="33" t="n">
        <v>2</v>
      </c>
      <c r="U18" s="33" t="n">
        <v>5</v>
      </c>
      <c r="V18" s="33" t="n">
        <v>5</v>
      </c>
      <c r="W18" s="33" t="n">
        <v>5</v>
      </c>
      <c r="X18" s="33" t="n">
        <v>5</v>
      </c>
      <c r="Y18" s="66">
        <f>IFERROR((AVERAGE(T18,U18,V18,W18,X18)-1)*25,"")</f>
        <v/>
      </c>
      <c r="Z18" s="33" t="n">
        <v>4</v>
      </c>
      <c r="AA18" s="33" t="n">
        <v>1</v>
      </c>
      <c r="AB18" s="33" t="n">
        <v>3</v>
      </c>
      <c r="AC18" s="71" t="n">
        <v>36.7</v>
      </c>
      <c r="AD18" s="66">
        <f>IFERROR(AVERAGE(IFERROR(IF(Z18="","",Z18*20),""),IFERROR(IF(AA18="","",AA18*20),""),IFERROR(IF(AB18="","",AB18*20),""),IFERROR(IF(AC18="","",IF(AC18&gt;=85,100,IF(AC18&gt;=70,90,IF(AC18&gt;=55,75,IF(AC18&gt;=40,60,IF(AC18&gt;=25,40,20)))))),"")),"")</f>
        <v/>
      </c>
      <c r="AE18" s="33" t="n">
        <v>4</v>
      </c>
      <c r="AF18" s="33" t="n">
        <v>5</v>
      </c>
      <c r="AG18" s="33" t="n">
        <v>4</v>
      </c>
      <c r="AH18" s="33" t="n">
        <v>4</v>
      </c>
      <c r="AI18" s="66">
        <f>IFERROR((AVERAGE(AE18,AF18,AG18,AH18,AL18)-1)*25,"")</f>
        <v/>
      </c>
      <c r="AJ18" s="64">
        <f>IFERROR(J18*Weights!$B$4 + O18*Weights!$B$5 + S18*Weights!$B$6 + Y18*Weights!$B$7 + AD18*Weights!$B$8 + AI18*Weights!$B$9,"")</f>
        <v/>
      </c>
      <c r="AK18" s="65">
        <f>IF(AJ18="","",IF(AJ18&gt;=85,"✓✓✓",IF(AJ18&gt;=70,"✓✓",IF(AJ18&gt;=55,"✓",IF(AJ18&gt;=40,"?","✗")))))</f>
        <v/>
      </c>
      <c r="AL18" s="33" t="n">
        <v>5</v>
      </c>
    </row>
    <row r="19" ht="15" customHeight="1" s="34">
      <c r="A19" s="33" t="inlineStr">
        <is>
          <t>TLN</t>
        </is>
      </c>
      <c r="B19" s="33" t="inlineStr">
        <is>
          <t>Talen Energy Corporation</t>
        </is>
      </c>
      <c r="C19" s="33" t="inlineStr">
        <is>
          <t>01 Power Generation / Independent Power Producers (IPPs)</t>
        </is>
      </c>
      <c r="D19" s="33" t="inlineStr">
        <is>
          <t>2026-10-11</t>
        </is>
      </c>
      <c r="E19" s="33" t="n">
        <v>12.30933</v>
      </c>
      <c r="F19" s="33" t="n">
        <v>47.237</v>
      </c>
      <c r="G19" s="33" t="n">
        <v>2.48</v>
      </c>
      <c r="H19" s="33" t="n">
        <v>4.7865176</v>
      </c>
      <c r="I19" s="33">
        <f>IF(OR(E19="",R19="",R19&lt;=0,E19&lt;0),"",E19/R19)</f>
        <v/>
      </c>
      <c r="J19" s="66" t="n">
        <v>49.5</v>
      </c>
      <c r="K19" s="33" t="n">
        <v>2.69</v>
      </c>
      <c r="L19" s="33" t="n">
        <v>42.1</v>
      </c>
      <c r="M19" s="33" t="n">
        <v>11.87</v>
      </c>
      <c r="N19" s="33" t="n">
        <v>16.05</v>
      </c>
      <c r="O19" s="66" t="n">
        <v>47.1</v>
      </c>
      <c r="P19" s="33" t="n">
        <v>13.95</v>
      </c>
      <c r="Q19" s="33" t="n">
        <v>111.2</v>
      </c>
      <c r="S19" s="66">
        <f>IFERROR(AVERAGE(IFERROR(IF(P19="","",IF(P19&gt;=40,100,IF(P19&gt;=30,90,IF(P19&gt;=20,75,IF(P19&gt;=15,60,IF(P19&gt;=10,45,IF(P19&gt;=5,30,15))))))),""),IFERROR(IF(Q19="","",IF(Q19&gt;=40,100,IF(Q19&gt;=30,90,IF(Q19&gt;=20,75,IF(Q19&gt;=10,60,IF(Q19&gt;=5,45,IF(Q19&gt;=0,30,15))))))),""),IFERROR(IF(R19="","",IF(R19&gt;=40,100,IF(R19&gt;=30,90,IF(R19&gt;=20,75,IF(R19&gt;=10,60,IF(R19&gt;=0,45,IF(R19&gt;=-10,30,15))))))),"")),"")</f>
        <v/>
      </c>
      <c r="T19" s="33" t="n">
        <v>2</v>
      </c>
      <c r="U19" s="33" t="n">
        <v>5</v>
      </c>
      <c r="V19" s="33" t="n">
        <v>5</v>
      </c>
      <c r="W19" s="33" t="n">
        <v>5</v>
      </c>
      <c r="X19" s="33" t="n">
        <v>4</v>
      </c>
      <c r="Y19" s="66">
        <f>IFERROR((AVERAGE(T19,U19,V19,W19,X19)-1)*25,"")</f>
        <v/>
      </c>
      <c r="Z19" s="33" t="n">
        <v>4</v>
      </c>
      <c r="AA19" s="33" t="n">
        <v>2</v>
      </c>
      <c r="AB19" s="33" t="n">
        <v>3</v>
      </c>
      <c r="AC19" s="71" t="n">
        <v>47.5</v>
      </c>
      <c r="AD19" s="66">
        <f>IFERROR(AVERAGE(IFERROR(IF(Z19="","",Z19*20),""),IFERROR(IF(AA19="","",AA19*20),""),IFERROR(IF(AB19="","",AB19*20),""),IFERROR(IF(AC19="","",IF(AC19&gt;=85,100,IF(AC19&gt;=70,90,IF(AC19&gt;=55,75,IF(AC19&gt;=40,60,IF(AC19&gt;=25,40,20)))))),"")),"")</f>
        <v/>
      </c>
      <c r="AE19" s="33" t="n">
        <v>3</v>
      </c>
      <c r="AF19" s="33" t="n">
        <v>5</v>
      </c>
      <c r="AG19" s="33" t="n">
        <v>2</v>
      </c>
      <c r="AH19" s="33" t="n">
        <v>4</v>
      </c>
      <c r="AI19" s="66">
        <f>IFERROR((AVERAGE(AE19,AF19,AG19,AH19,AL19)-1)*25,"")</f>
        <v/>
      </c>
      <c r="AJ19" s="64">
        <f>IFERROR(J19*Weights!$B$4 + O19*Weights!$B$5 + S19*Weights!$B$6 + Y19*Weights!$B$7 + AD19*Weights!$B$8 + AI19*Weights!$B$9,"")</f>
        <v/>
      </c>
      <c r="AK19" s="65">
        <f>IF(AJ19="","",IF(AJ19&gt;=85,"✓✓✓",IF(AJ19&gt;=70,"✓✓",IF(AJ19&gt;=55,"✓",IF(AJ19&gt;=40,"?","✗")))))</f>
        <v/>
      </c>
      <c r="AL19" s="33" t="n">
        <v>5</v>
      </c>
    </row>
    <row r="20" ht="15" customHeight="1" s="34">
      <c r="A20" s="33" t="inlineStr">
        <is>
          <t>NRG</t>
        </is>
      </c>
      <c r="B20" s="33" t="inlineStr">
        <is>
          <t>NRG Energy, Inc.</t>
        </is>
      </c>
      <c r="C20" s="33" t="inlineStr">
        <is>
          <t>01 Power Generation / Independent Power Producers (IPPs)</t>
        </is>
      </c>
      <c r="D20" s="33" t="inlineStr">
        <is>
          <t>2026-10-11</t>
        </is>
      </c>
      <c r="E20" s="33" t="n">
        <v>9.649501000000001</v>
      </c>
      <c r="F20" s="33" t="n">
        <v>14.382</v>
      </c>
      <c r="G20" s="33" t="n">
        <v>1.39</v>
      </c>
      <c r="H20" s="33" t="n">
        <v>0.6851751</v>
      </c>
      <c r="I20" s="33">
        <f>IF(OR(E20="",R20="",R20&lt;=0,E20&lt;0),"",E20/R20)</f>
        <v/>
      </c>
      <c r="J20" s="66" t="n">
        <v>55.4</v>
      </c>
      <c r="K20" s="33" t="n">
        <v>5.62</v>
      </c>
      <c r="L20" s="33" t="n">
        <v>18.8</v>
      </c>
      <c r="M20" s="33" t="n">
        <v>0.95</v>
      </c>
      <c r="N20" s="33" t="n">
        <v>7.16</v>
      </c>
      <c r="O20" s="66" t="n">
        <v>35.9</v>
      </c>
      <c r="P20" s="33" t="n">
        <v>-0.88</v>
      </c>
      <c r="Q20" s="33" t="n">
        <v>11</v>
      </c>
      <c r="R20" s="33" t="n">
        <v>-83.3</v>
      </c>
      <c r="S20" s="66">
        <f>IFERROR(AVERAGE(IFERROR(IF(P20="","",IF(P20&gt;=40,100,IF(P20&gt;=30,90,IF(P20&gt;=20,75,IF(P20&gt;=15,60,IF(P20&gt;=10,45,IF(P20&gt;=5,30,15))))))),""),IFERROR(IF(Q20="","",IF(Q20&gt;=40,100,IF(Q20&gt;=30,90,IF(Q20&gt;=20,75,IF(Q20&gt;=10,60,IF(Q20&gt;=5,45,IF(Q20&gt;=0,30,15))))))),""),IFERROR(IF(R20="","",IF(R20&gt;=40,100,IF(R20&gt;=30,90,IF(R20&gt;=20,75,IF(R20&gt;=10,60,IF(R20&gt;=0,45,IF(R20&gt;=-10,30,15))))))),"")),"")</f>
        <v/>
      </c>
      <c r="T20" s="33" t="n">
        <v>1</v>
      </c>
      <c r="U20" s="33" t="n">
        <v>3</v>
      </c>
      <c r="V20" s="33" t="n">
        <v>3</v>
      </c>
      <c r="W20" s="33" t="n">
        <v>4</v>
      </c>
      <c r="X20" s="33" t="n">
        <v>2</v>
      </c>
      <c r="Y20" s="66">
        <f>IFERROR((AVERAGE(T20,U20,V20,W20,X20)-1)*25,"")</f>
        <v/>
      </c>
      <c r="Z20" s="33" t="n">
        <v>5</v>
      </c>
      <c r="AA20" s="33" t="n">
        <v>1</v>
      </c>
      <c r="AB20" s="33" t="n">
        <v>3</v>
      </c>
      <c r="AC20" s="71" t="n">
        <v>14.2</v>
      </c>
      <c r="AD20" s="66">
        <f>IFERROR(AVERAGE(IFERROR(IF(Z20="","",Z20*20),""),IFERROR(IF(AA20="","",AA20*20),""),IFERROR(IF(AB20="","",AB20*20),""),IFERROR(IF(AC20="","",IF(AC20&gt;=85,100,IF(AC20&gt;=70,90,IF(AC20&gt;=55,75,IF(AC20&gt;=40,60,IF(AC20&gt;=25,40,20)))))),"")),"")</f>
        <v/>
      </c>
      <c r="AE20" s="33" t="n">
        <v>4</v>
      </c>
      <c r="AF20" s="33" t="n">
        <v>5</v>
      </c>
      <c r="AG20" s="33" t="n">
        <v>3</v>
      </c>
      <c r="AH20" s="33" t="n">
        <v>4</v>
      </c>
      <c r="AI20" s="66">
        <f>IFERROR((AVERAGE(AE20,AF20,AG20,AH20,AL20)-1)*25,"")</f>
        <v/>
      </c>
      <c r="AJ20" s="64">
        <f>IFERROR(J20*Weights!$B$4 + O20*Weights!$B$5 + S20*Weights!$B$6 + Y20*Weights!$B$7 + AD20*Weights!$B$8 + AI20*Weights!$B$9,"")</f>
        <v/>
      </c>
      <c r="AK20" s="65">
        <f>IF(AJ20="","",IF(AJ20&gt;=85,"✓✓✓",IF(AJ20&gt;=70,"✓✓",IF(AJ20&gt;=55,"✓",IF(AJ20&gt;=40,"?","✗")))))</f>
        <v/>
      </c>
      <c r="AL20" s="33" t="n">
        <v>5</v>
      </c>
    </row>
    <row r="21" ht="15" customHeight="1" s="34">
      <c r="A21" s="33" t="inlineStr">
        <is>
          <t>CCJ</t>
        </is>
      </c>
      <c r="B21" s="33" t="inlineStr">
        <is>
          <t>Cameco Corporation</t>
        </is>
      </c>
      <c r="C21" s="33" t="inlineStr">
        <is>
          <t>01 Power Generation / Nuclear-specific</t>
        </is>
      </c>
      <c r="D21" s="33" t="inlineStr">
        <is>
          <t>2026-10-11</t>
        </is>
      </c>
      <c r="E21" s="33" t="n">
        <v>48.468468</v>
      </c>
      <c r="F21" s="33" t="n">
        <v>68.59</v>
      </c>
      <c r="G21" s="33" t="n">
        <v>1.69</v>
      </c>
      <c r="H21" s="33" t="n">
        <v>15.73</v>
      </c>
      <c r="I21" s="33">
        <f>IF(OR(E21="",R21="",R21&lt;=0,E21&lt;0),"",E21/R21)</f>
        <v/>
      </c>
      <c r="J21" s="66" t="n">
        <v>39.6</v>
      </c>
      <c r="K21" s="33" t="n">
        <v>5.16</v>
      </c>
      <c r="L21" s="33" t="n">
        <v>35.11</v>
      </c>
      <c r="M21" s="33" t="n">
        <v>26.53</v>
      </c>
      <c r="N21" s="33" t="n">
        <v>0.14</v>
      </c>
      <c r="O21" s="66" t="n">
        <v>76</v>
      </c>
      <c r="P21" s="33" t="n">
        <v>23.07</v>
      </c>
      <c r="Q21" s="33" t="n">
        <v>-7.2</v>
      </c>
      <c r="R21" s="33" t="n">
        <v>-92.09999999999999</v>
      </c>
      <c r="S21" s="66">
        <f>IFERROR(AVERAGE(IFERROR(IF(P21="","",IF(P21&gt;=40,100,IF(P21&gt;=30,90,IF(P21&gt;=20,75,IF(P21&gt;=15,60,IF(P21&gt;=10,45,IF(P21&gt;=5,30,15))))))),""),IFERROR(IF(Q21="","",IF(Q21&gt;=40,100,IF(Q21&gt;=30,90,IF(Q21&gt;=20,75,IF(Q21&gt;=10,60,IF(Q21&gt;=5,45,IF(Q21&gt;=0,30,15))))))),""),IFERROR(IF(R21="","",IF(R21&gt;=40,100,IF(R21&gt;=30,90,IF(R21&gt;=20,75,IF(R21&gt;=10,60,IF(R21&gt;=0,45,IF(R21&gt;=-10,30,15))))))),"")),"")</f>
        <v/>
      </c>
      <c r="T21" s="33" t="n">
        <v>1</v>
      </c>
      <c r="U21" s="33" t="n">
        <v>4</v>
      </c>
      <c r="V21" s="33" t="n">
        <v>4</v>
      </c>
      <c r="W21" s="33" t="n">
        <v>4</v>
      </c>
      <c r="X21" s="33" t="n">
        <v>2</v>
      </c>
      <c r="Y21" s="66">
        <f>IFERROR((AVERAGE(T21,U21,V21,W21,X21)-1)*25,"")</f>
        <v/>
      </c>
      <c r="Z21" s="33" t="n">
        <v>4</v>
      </c>
      <c r="AA21" s="33" t="n">
        <v>2</v>
      </c>
      <c r="AB21" s="33" t="n">
        <v>3</v>
      </c>
      <c r="AC21" s="71" t="n">
        <v>31.7</v>
      </c>
      <c r="AD21" s="66">
        <f>IFERROR(AVERAGE(IFERROR(IF(Z21="","",Z21*20),""),IFERROR(IF(AA21="","",AA21*20),""),IFERROR(IF(AB21="","",AB21*20),""),IFERROR(IF(AC21="","",IF(AC21&gt;=85,100,IF(AC21&gt;=70,90,IF(AC21&gt;=55,75,IF(AC21&gt;=40,60,IF(AC21&gt;=25,40,20)))))),"")),"")</f>
        <v/>
      </c>
      <c r="AE21" s="33" t="n">
        <v>5</v>
      </c>
      <c r="AF21" s="33" t="n">
        <v>4</v>
      </c>
      <c r="AG21" s="33" t="n">
        <v>5</v>
      </c>
      <c r="AH21" s="33" t="n">
        <v>4</v>
      </c>
      <c r="AI21" s="66">
        <f>IFERROR((AVERAGE(AE21,AF21,AG21,AH21,AL21)-1)*25,"")</f>
        <v/>
      </c>
      <c r="AJ21" s="64">
        <f>IFERROR(J21*Weights!$B$4 + O21*Weights!$B$5 + S21*Weights!$B$6 + Y21*Weights!$B$7 + AD21*Weights!$B$8 + AI21*Weights!$B$9,"")</f>
        <v/>
      </c>
      <c r="AK21" s="65">
        <f>IF(AJ21="","",IF(AJ21&gt;=85,"✓✓✓",IF(AJ21&gt;=70,"✓✓",IF(AJ21&gt;=55,"✓",IF(AJ21&gt;=40,"?","✗")))))</f>
        <v/>
      </c>
      <c r="AL21" s="33" t="n">
        <v>5</v>
      </c>
    </row>
    <row r="22" ht="15" customHeight="1" s="34">
      <c r="A22" s="33" t="inlineStr">
        <is>
          <t>UEC</t>
        </is>
      </c>
      <c r="B22" s="33" t="inlineStr">
        <is>
          <t>Uranium Energy Corp.</t>
        </is>
      </c>
      <c r="C22" s="33" t="inlineStr">
        <is>
          <t>01 Power Generation / Nuclear-specific</t>
        </is>
      </c>
      <c r="D22" s="33" t="inlineStr">
        <is>
          <t>2026-10-11</t>
        </is>
      </c>
      <c r="E22" s="33" t="n">
        <v>-124.18918</v>
      </c>
      <c r="F22" s="33" t="n">
        <v>-33.279</v>
      </c>
      <c r="G22" s="33" t="n">
        <v>-2.64</v>
      </c>
      <c r="H22" s="33" t="n">
        <v>122.26638</v>
      </c>
      <c r="I22" s="33">
        <f>IF(OR(E22="",R22="",R22&lt;=0,E22&lt;0),"",E22/R22)</f>
        <v/>
      </c>
      <c r="J22" s="66" t="n">
        <v>35.7</v>
      </c>
      <c r="K22" s="33" t="n">
        <v>-6.61</v>
      </c>
      <c r="L22" s="33" t="n">
        <v>-183.96</v>
      </c>
      <c r="M22" s="33" t="n">
        <v>-322.78</v>
      </c>
      <c r="N22" s="33" t="n"/>
      <c r="O22" s="66" t="n">
        <v>8.699999999999999</v>
      </c>
      <c r="P22" s="33" t="n">
        <v>42.37</v>
      </c>
      <c r="Q22" s="33" t="n">
        <v>-59.4</v>
      </c>
      <c r="S22" s="66">
        <f>IFERROR(AVERAGE(IFERROR(IF(P22="","",IF(P22&gt;=40,100,IF(P22&gt;=30,90,IF(P22&gt;=20,75,IF(P22&gt;=15,60,IF(P22&gt;=10,45,IF(P22&gt;=5,30,15))))))),""),IFERROR(IF(Q22="","",IF(Q22&gt;=40,100,IF(Q22&gt;=30,90,IF(Q22&gt;=20,75,IF(Q22&gt;=10,60,IF(Q22&gt;=5,45,IF(Q22&gt;=0,30,15))))))),""),IFERROR(IF(R22="","",IF(R22&gt;=40,100,IF(R22&gt;=30,90,IF(R22&gt;=20,75,IF(R22&gt;=10,60,IF(R22&gt;=0,45,IF(R22&gt;=-10,30,15))))))),"")),"")</f>
        <v/>
      </c>
      <c r="T22" s="33" t="n">
        <v>1</v>
      </c>
      <c r="U22" s="33" t="n">
        <v>2</v>
      </c>
      <c r="V22" s="33" t="n">
        <v>4</v>
      </c>
      <c r="W22" s="33" t="n">
        <v>4</v>
      </c>
      <c r="X22" s="33" t="n">
        <v>1</v>
      </c>
      <c r="Y22" s="66">
        <f>IFERROR((AVERAGE(T22,U22,V22,W22,X22)-1)*25,"")</f>
        <v/>
      </c>
      <c r="Z22" s="33" t="n">
        <v>2</v>
      </c>
      <c r="AA22" s="33" t="n">
        <v>1</v>
      </c>
      <c r="AB22" s="33" t="n">
        <v>3</v>
      </c>
      <c r="AC22" s="71" t="n">
        <v>34.2</v>
      </c>
      <c r="AD22" s="66">
        <f>IFERROR(AVERAGE(IFERROR(IF(Z22="","",Z22*20),""),IFERROR(IF(AA22="","",AA22*20),""),IFERROR(IF(AB22="","",AB22*20),""),IFERROR(IF(AC22="","",IF(AC22&gt;=85,100,IF(AC22&gt;=70,90,IF(AC22&gt;=55,75,IF(AC22&gt;=40,60,IF(AC22&gt;=25,40,20)))))),"")),"")</f>
        <v/>
      </c>
      <c r="AE22" s="33" t="n">
        <v>4</v>
      </c>
      <c r="AF22" s="33" t="n">
        <v>5</v>
      </c>
      <c r="AG22" s="33" t="n">
        <v>5</v>
      </c>
      <c r="AH22" s="33" t="n">
        <v>4</v>
      </c>
      <c r="AI22" s="66">
        <f>IFERROR((AVERAGE(AE22,AF22,AG22,AH22,AL22)-1)*25,"")</f>
        <v/>
      </c>
      <c r="AJ22" s="64">
        <f>IFERROR(J22*Weights!$B$4 + O22*Weights!$B$5 + S22*Weights!$B$6 + Y22*Weights!$B$7 + AD22*Weights!$B$8 + AI22*Weights!$B$9,"")</f>
        <v/>
      </c>
      <c r="AK22" s="65">
        <f>IF(AJ22="","",IF(AJ22&gt;=85,"✓✓✓",IF(AJ22&gt;=70,"✓✓",IF(AJ22&gt;=55,"✓",IF(AJ22&gt;=40,"?","✗")))))</f>
        <v/>
      </c>
      <c r="AL22" s="33" t="n">
        <v>5</v>
      </c>
    </row>
    <row r="23" ht="15" customHeight="1" s="34">
      <c r="A23" s="33" t="inlineStr">
        <is>
          <t>LEU</t>
        </is>
      </c>
      <c r="B23" s="33" t="inlineStr">
        <is>
          <t>Centrus Energy Corp.</t>
        </is>
      </c>
      <c r="C23" s="33" t="inlineStr">
        <is>
          <t>01 Power Generation / Nuclear-specific</t>
        </is>
      </c>
      <c r="D23" s="33" t="inlineStr">
        <is>
          <t>2026-10-11</t>
        </is>
      </c>
      <c r="E23" s="33" t="n">
        <v>37.26289</v>
      </c>
      <c r="F23" s="33" t="n">
        <v>222.264</v>
      </c>
      <c r="G23" s="33" t="n">
        <v>-5.62</v>
      </c>
      <c r="H23" s="33" t="n">
        <v>6.1475854</v>
      </c>
      <c r="I23" s="33">
        <f>IF(OR(E23="",R23="",R23&lt;=0,E23&lt;0),"",E23/R23)</f>
        <v/>
      </c>
      <c r="J23" s="66" t="n">
        <v>26.1</v>
      </c>
      <c r="K23" s="33" t="n">
        <v>0.35</v>
      </c>
      <c r="L23" s="33" t="n">
        <v>23.66</v>
      </c>
      <c r="M23" s="33" t="n">
        <v>-34.56</v>
      </c>
      <c r="N23" s="33" t="n">
        <v>-68.42</v>
      </c>
      <c r="O23" s="66" t="n">
        <v>48.6</v>
      </c>
      <c r="P23" s="33" t="n">
        <v>15.16</v>
      </c>
      <c r="Q23" s="33" t="n">
        <v>14</v>
      </c>
      <c r="R23" s="33" t="n">
        <v>-41.9</v>
      </c>
      <c r="S23" s="66">
        <f>IFERROR(AVERAGE(IFERROR(IF(P23="","",IF(P23&gt;=40,100,IF(P23&gt;=30,90,IF(P23&gt;=20,75,IF(P23&gt;=15,60,IF(P23&gt;=10,45,IF(P23&gt;=5,30,15))))))),""),IFERROR(IF(Q23="","",IF(Q23&gt;=40,100,IF(Q23&gt;=30,90,IF(Q23&gt;=20,75,IF(Q23&gt;=10,60,IF(Q23&gt;=5,45,IF(Q23&gt;=0,30,15))))))),""),IFERROR(IF(R23="","",IF(R23&gt;=40,100,IF(R23&gt;=30,90,IF(R23&gt;=20,75,IF(R23&gt;=10,60,IF(R23&gt;=0,45,IF(R23&gt;=-10,30,15))))))),"")),"")</f>
        <v/>
      </c>
      <c r="T23" s="33" t="n">
        <v>1</v>
      </c>
      <c r="U23" s="33" t="n">
        <v>4</v>
      </c>
      <c r="V23" s="33" t="n">
        <v>4</v>
      </c>
      <c r="W23" s="33" t="n">
        <v>5</v>
      </c>
      <c r="X23" s="33" t="n">
        <v>3</v>
      </c>
      <c r="Y23" s="66">
        <f>IFERROR((AVERAGE(T23,U23,V23,W23,X23)-1)*25,"")</f>
        <v/>
      </c>
      <c r="Z23" s="33" t="n">
        <v>3</v>
      </c>
      <c r="AA23" s="33" t="n">
        <v>1</v>
      </c>
      <c r="AB23" s="33" t="n">
        <v>3</v>
      </c>
      <c r="AC23" s="71" t="n">
        <v>35</v>
      </c>
      <c r="AD23" s="66">
        <f>IFERROR(AVERAGE(IFERROR(IF(Z23="","",Z23*20),""),IFERROR(IF(AA23="","",AA23*20),""),IFERROR(IF(AB23="","",AB23*20),""),IFERROR(IF(AC23="","",IF(AC23&gt;=85,100,IF(AC23&gt;=70,90,IF(AC23&gt;=55,75,IF(AC23&gt;=40,60,IF(AC23&gt;=25,40,20)))))),"")),"")</f>
        <v/>
      </c>
      <c r="AE23" s="33" t="n">
        <v>4</v>
      </c>
      <c r="AF23" s="33" t="n">
        <v>5</v>
      </c>
      <c r="AG23" s="33" t="n">
        <v>4</v>
      </c>
      <c r="AH23" s="33" t="n">
        <v>4</v>
      </c>
      <c r="AI23" s="66">
        <f>IFERROR((AVERAGE(AE23,AF23,AG23,AH23,AL23)-1)*25,"")</f>
        <v/>
      </c>
      <c r="AJ23" s="64">
        <f>IFERROR(J23*Weights!$B$4 + O23*Weights!$B$5 + S23*Weights!$B$6 + Y23*Weights!$B$7 + AD23*Weights!$B$8 + AI23*Weights!$B$9,"")</f>
        <v/>
      </c>
      <c r="AK23" s="65">
        <f>IF(AJ23="","",IF(AJ23&gt;=85,"✓✓✓",IF(AJ23&gt;=70,"✓✓",IF(AJ23&gt;=55,"✓",IF(AJ23&gt;=40,"?","✗")))))</f>
        <v/>
      </c>
      <c r="AL23" s="33" t="n">
        <v>5</v>
      </c>
    </row>
    <row r="24" ht="15" customHeight="1" s="34">
      <c r="A24" s="33" t="inlineStr">
        <is>
          <t>BWXT</t>
        </is>
      </c>
      <c r="B24" s="33" t="inlineStr">
        <is>
          <t>BWX Technologies, Inc.</t>
        </is>
      </c>
      <c r="C24" s="33" t="inlineStr">
        <is>
          <t>01 Power Generation / Nuclear-specific</t>
        </is>
      </c>
      <c r="D24" s="33" t="inlineStr">
        <is>
          <t>2026-10-11</t>
        </is>
      </c>
      <c r="E24" s="33" t="n">
        <v>27.50027</v>
      </c>
      <c r="F24" s="33" t="n">
        <v>30.178</v>
      </c>
      <c r="G24" s="33" t="n">
        <v>2.4</v>
      </c>
      <c r="H24" s="33" t="n">
        <v>3.7501717</v>
      </c>
      <c r="I24" s="33">
        <f>IF(OR(E24="",R24="",R24&lt;=0,E24&lt;0),"",E24/R24)</f>
        <v/>
      </c>
      <c r="J24" s="66" t="n">
        <v>38.3</v>
      </c>
      <c r="K24" s="33" t="n">
        <v>7.6</v>
      </c>
      <c r="L24" s="33" t="n">
        <v>22.08</v>
      </c>
      <c r="M24" s="33" t="n">
        <v>9.01</v>
      </c>
      <c r="N24" s="33" t="n">
        <v>2.96</v>
      </c>
      <c r="O24" s="66" t="n">
        <v>54.4</v>
      </c>
      <c r="P24" s="33" t="n">
        <v>12.73</v>
      </c>
      <c r="Q24" s="33" t="n">
        <v>18</v>
      </c>
      <c r="R24" s="33" t="n">
        <v>13.6</v>
      </c>
      <c r="S24" s="66">
        <f>IFERROR(AVERAGE(IFERROR(IF(P24="","",IF(P24&gt;=40,100,IF(P24&gt;=30,90,IF(P24&gt;=20,75,IF(P24&gt;=15,60,IF(P24&gt;=10,45,IF(P24&gt;=5,30,15))))))),""),IFERROR(IF(Q24="","",IF(Q24&gt;=40,100,IF(Q24&gt;=30,90,IF(Q24&gt;=20,75,IF(Q24&gt;=10,60,IF(Q24&gt;=5,45,IF(Q24&gt;=0,30,15))))))),""),IFERROR(IF(R24="","",IF(R24&gt;=40,100,IF(R24&gt;=30,90,IF(R24&gt;=20,75,IF(R24&gt;=10,60,IF(R24&gt;=0,45,IF(R24&gt;=-10,30,15))))))),"")),"")</f>
        <v/>
      </c>
      <c r="T24" s="33" t="n">
        <v>2</v>
      </c>
      <c r="U24" s="33" t="n">
        <v>3</v>
      </c>
      <c r="V24" s="33" t="n">
        <v>5</v>
      </c>
      <c r="W24" s="33" t="n">
        <v>5</v>
      </c>
      <c r="X24" s="33" t="n">
        <v>2</v>
      </c>
      <c r="Y24" s="66">
        <f>IFERROR((AVERAGE(T24,U24,V24,W24,X24)-1)*25,"")</f>
        <v/>
      </c>
      <c r="Z24" s="33" t="n">
        <v>4</v>
      </c>
      <c r="AA24" s="33" t="n">
        <v>3</v>
      </c>
      <c r="AB24" s="33" t="n">
        <v>3</v>
      </c>
      <c r="AC24" s="71" t="n">
        <v>10</v>
      </c>
      <c r="AD24" s="66">
        <f>IFERROR(AVERAGE(IFERROR(IF(Z24="","",Z24*20),""),IFERROR(IF(AA24="","",AA24*20),""),IFERROR(IF(AB24="","",AB24*20),""),IFERROR(IF(AC24="","",IF(AC24&gt;=85,100,IF(AC24&gt;=70,90,IF(AC24&gt;=55,75,IF(AC24&gt;=40,60,IF(AC24&gt;=25,40,20)))))),"")),"")</f>
        <v/>
      </c>
      <c r="AE24" s="33" t="n">
        <v>4</v>
      </c>
      <c r="AF24" s="33" t="n">
        <v>5</v>
      </c>
      <c r="AG24" s="33" t="n">
        <v>4</v>
      </c>
      <c r="AH24" s="33" t="n">
        <v>4</v>
      </c>
      <c r="AI24" s="66">
        <f>IFERROR((AVERAGE(AE24,AF24,AG24,AH24,AL24)-1)*25,"")</f>
        <v/>
      </c>
      <c r="AJ24" s="64">
        <f>IFERROR(J24*Weights!$B$4 + O24*Weights!$B$5 + S24*Weights!$B$6 + Y24*Weights!$B$7 + AD24*Weights!$B$8 + AI24*Weights!$B$9,"")</f>
        <v/>
      </c>
      <c r="AK24" s="65">
        <f>IF(AJ24="","",IF(AJ24&gt;=85,"✓✓✓",IF(AJ24&gt;=70,"✓✓",IF(AJ24&gt;=55,"✓",IF(AJ24&gt;=40,"?","✗")))))</f>
        <v/>
      </c>
      <c r="AL24" s="33" t="n">
        <v>5</v>
      </c>
    </row>
    <row r="25" ht="15" customHeight="1" s="34">
      <c r="A25" s="33" t="inlineStr">
        <is>
          <t>SMR</t>
        </is>
      </c>
      <c r="B25" s="33" t="inlineStr">
        <is>
          <t>NuScale Power Corporation</t>
        </is>
      </c>
      <c r="C25" s="33" t="inlineStr">
        <is>
          <t>01 Power Generation / Nuclear-specific</t>
        </is>
      </c>
      <c r="D25" s="33" t="inlineStr">
        <is>
          <t>2026-10-11</t>
        </is>
      </c>
      <c r="E25" s="33" t="n">
        <v>-10.907438</v>
      </c>
      <c r="F25" s="33" t="n">
        <v>-9.079000000000001</v>
      </c>
      <c r="G25" s="33" t="n">
        <v>-26.36</v>
      </c>
      <c r="H25" s="33" t="n">
        <v>276.40826</v>
      </c>
      <c r="I25" s="33">
        <f>IF(OR(E25="",R25="",R25&lt;=0,E25&lt;0),"",E25/R25)</f>
        <v/>
      </c>
      <c r="J25" s="66" t="n">
        <v>28.1</v>
      </c>
      <c r="K25" s="33" t="n">
        <v>-28.65</v>
      </c>
      <c r="L25" s="33" t="n">
        <v>23.54</v>
      </c>
      <c r="M25" s="33" t="n">
        <v>-7284.85</v>
      </c>
      <c r="N25" s="33" t="n"/>
      <c r="O25" s="66" t="n">
        <v>11.6</v>
      </c>
      <c r="P25" s="33" t="n">
        <v>38.67</v>
      </c>
      <c r="Q25" s="33" t="n">
        <v>-99.09999999999999</v>
      </c>
      <c r="S25" s="66">
        <f>IFERROR(AVERAGE(IFERROR(IF(P25="","",IF(P25&gt;=40,100,IF(P25&gt;=30,90,IF(P25&gt;=20,75,IF(P25&gt;=15,60,IF(P25&gt;=10,45,IF(P25&gt;=5,30,15))))))),""),IFERROR(IF(Q25="","",IF(Q25&gt;=40,100,IF(Q25&gt;=30,90,IF(Q25&gt;=20,75,IF(Q25&gt;=10,60,IF(Q25&gt;=5,45,IF(Q25&gt;=0,30,15))))))),""),IFERROR(IF(R25="","",IF(R25&gt;=40,100,IF(R25&gt;=30,90,IF(R25&gt;=20,75,IF(R25&gt;=10,60,IF(R25&gt;=0,45,IF(R25&gt;=-10,30,15))))))),"")),"")</f>
        <v/>
      </c>
      <c r="T25" s="33" t="n">
        <v>1</v>
      </c>
      <c r="U25" s="33" t="n">
        <v>3</v>
      </c>
      <c r="V25" s="33" t="n">
        <v>3</v>
      </c>
      <c r="W25" s="33" t="n">
        <v>2</v>
      </c>
      <c r="X25" s="33" t="n">
        <v>2</v>
      </c>
      <c r="Y25" s="66">
        <f>IFERROR((AVERAGE(T25,U25,V25,W25,X25)-1)*25,"")</f>
        <v/>
      </c>
      <c r="Z25" s="33" t="n">
        <v>1</v>
      </c>
      <c r="AA25" s="33" t="n">
        <v>1</v>
      </c>
      <c r="AB25" s="33" t="n">
        <v>1</v>
      </c>
      <c r="AC25" s="71" t="n">
        <v>34.2</v>
      </c>
      <c r="AD25" s="66">
        <f>IFERROR(AVERAGE(IFERROR(IF(Z25="","",Z25*20),""),IFERROR(IF(AA25="","",AA25*20),""),IFERROR(IF(AB25="","",AB25*20),""),IFERROR(IF(AC25="","",IF(AC25&gt;=85,100,IF(AC25&gt;=70,90,IF(AC25&gt;=55,75,IF(AC25&gt;=40,60,IF(AC25&gt;=25,40,20)))))),"")),"")</f>
        <v/>
      </c>
      <c r="AE25" s="33" t="n">
        <v>3</v>
      </c>
      <c r="AF25" s="33" t="n">
        <v>5</v>
      </c>
      <c r="AG25" s="33" t="n">
        <v>2</v>
      </c>
      <c r="AH25" s="33" t="n">
        <v>1</v>
      </c>
      <c r="AI25" s="66">
        <f>IFERROR((AVERAGE(AE25,AF25,AG25,AH25,AL25)-1)*25,"")</f>
        <v/>
      </c>
      <c r="AJ25" s="64">
        <f>IFERROR(J25*Weights!$B$4 + O25*Weights!$B$5 + S25*Weights!$B$6 + Y25*Weights!$B$7 + AD25*Weights!$B$8 + AI25*Weights!$B$9,"")</f>
        <v/>
      </c>
      <c r="AK25" s="65">
        <f>IF(AJ25="","",IF(AJ25&gt;=85,"✓✓✓",IF(AJ25&gt;=70,"✓✓",IF(AJ25&gt;=55,"✓",IF(AJ25&gt;=40,"?","✗")))))</f>
        <v/>
      </c>
      <c r="AL25" s="33" t="n">
        <v>5</v>
      </c>
    </row>
    <row r="26" ht="15" customHeight="1" s="34">
      <c r="A26" s="33" t="inlineStr">
        <is>
          <t>OKLO</t>
        </is>
      </c>
      <c r="B26" s="33" t="inlineStr">
        <is>
          <t>Oklo Inc.</t>
        </is>
      </c>
      <c r="C26" s="33" t="inlineStr">
        <is>
          <t>01 Power Generation / Nuclear-specific</t>
        </is>
      </c>
      <c r="D26" s="33" t="inlineStr">
        <is>
          <t>2026-10-11</t>
        </is>
      </c>
      <c r="E26" s="33" t="n">
        <v>-32.21464</v>
      </c>
      <c r="F26" s="33" t="n">
        <v>-20.241</v>
      </c>
      <c r="G26" s="33" t="n">
        <v>-4.27</v>
      </c>
      <c r="H26" s="33" t="n">
        <v>5334.556</v>
      </c>
      <c r="I26" s="33">
        <f>IF(OR(E26="",R26="",R26&lt;=0,E26&lt;0),"",E26/R26)</f>
        <v/>
      </c>
      <c r="J26" s="66" t="n">
        <v>47.5</v>
      </c>
      <c r="K26" s="33" t="n">
        <v>-5.21</v>
      </c>
      <c r="L26" s="33" t="n">
        <v>40.41</v>
      </c>
      <c r="M26" s="33" t="n">
        <v>-22794.71</v>
      </c>
      <c r="N26" s="33" t="n"/>
      <c r="O26" s="66" t="n">
        <v>12.1</v>
      </c>
      <c r="S26" s="66">
        <f>IFERROR(AVERAGE(IFERROR(IF(P26="","",IF(P26&gt;=40,100,IF(P26&gt;=30,90,IF(P26&gt;=20,75,IF(P26&gt;=15,60,IF(P26&gt;=10,45,IF(P26&gt;=5,30,15))))))),""),IFERROR(IF(Q26="","",IF(Q26&gt;=40,100,IF(Q26&gt;=30,90,IF(Q26&gt;=20,75,IF(Q26&gt;=10,60,IF(Q26&gt;=5,45,IF(Q26&gt;=0,30,15))))))),""),IFERROR(IF(R26="","",IF(R26&gt;=40,100,IF(R26&gt;=30,90,IF(R26&gt;=20,75,IF(R26&gt;=10,60,IF(R26&gt;=0,45,IF(R26&gt;=-10,30,15))))))),"")),"")</f>
        <v/>
      </c>
      <c r="T26" s="33" t="n">
        <v>1</v>
      </c>
      <c r="U26" s="33" t="n">
        <v>3</v>
      </c>
      <c r="V26" s="33" t="n">
        <v>3</v>
      </c>
      <c r="W26" s="33" t="n">
        <v>5</v>
      </c>
      <c r="X26" s="33" t="n">
        <v>3</v>
      </c>
      <c r="Y26" s="66">
        <f>IFERROR((AVERAGE(T26,U26,V26,W26,X26)-1)*25,"")</f>
        <v/>
      </c>
      <c r="Z26" s="33" t="n">
        <v>3</v>
      </c>
      <c r="AA26" s="33" t="n">
        <v>1</v>
      </c>
      <c r="AB26" s="33" t="n">
        <v>3</v>
      </c>
      <c r="AC26" s="71" t="n">
        <v>25</v>
      </c>
      <c r="AD26" s="66">
        <f>IFERROR(AVERAGE(IFERROR(IF(Z26="","",Z26*20),""),IFERROR(IF(AA26="","",AA26*20),""),IFERROR(IF(AB26="","",AB26*20),""),IFERROR(IF(AC26="","",IF(AC26&gt;=85,100,IF(AC26&gt;=70,90,IF(AC26&gt;=55,75,IF(AC26&gt;=40,60,IF(AC26&gt;=25,40,20)))))),"")),"")</f>
        <v/>
      </c>
      <c r="AE26" s="33" t="n">
        <v>3</v>
      </c>
      <c r="AF26" s="33" t="n">
        <v>5</v>
      </c>
      <c r="AG26" s="33" t="n">
        <v>3</v>
      </c>
      <c r="AH26" s="33" t="n">
        <v>4</v>
      </c>
      <c r="AI26" s="66">
        <f>IFERROR((AVERAGE(AE26,AF26,AG26,AH26,AL26)-1)*25,"")</f>
        <v/>
      </c>
      <c r="AJ26" s="64">
        <f>IFERROR(J26*Weights!$B$4 + O26*Weights!$B$5 + S26*Weights!$B$6 + Y26*Weights!$B$7 + AD26*Weights!$B$8 + AI26*Weights!$B$9,"")</f>
        <v/>
      </c>
      <c r="AK26" s="65">
        <f>IF(AJ26="","",IF(AJ26&gt;=85,"✓✓✓",IF(AJ26&gt;=70,"✓✓",IF(AJ26&gt;=55,"✓",IF(AJ26&gt;=40,"?","✗")))))</f>
        <v/>
      </c>
      <c r="AL26" s="33" t="n">
        <v>5</v>
      </c>
    </row>
    <row r="27" ht="15" customHeight="1" s="34">
      <c r="A27" s="33" t="inlineStr">
        <is>
          <t>NNE</t>
        </is>
      </c>
      <c r="B27" s="33" t="inlineStr">
        <is>
          <t>NANO Nuclear Energy Inc.</t>
        </is>
      </c>
      <c r="C27" s="33" t="inlineStr">
        <is>
          <t>01 Power Generation / Nuclear-specific</t>
        </is>
      </c>
      <c r="D27" s="33" t="inlineStr">
        <is>
          <t>2026-10-11</t>
        </is>
      </c>
      <c r="E27" s="33" t="n">
        <v>-15.225806</v>
      </c>
      <c r="F27" s="33" t="n">
        <v>-5.449</v>
      </c>
      <c r="G27" s="33" t="n">
        <v>-4.62</v>
      </c>
      <c r="H27" s="33" t="n">
        <v>3848.4482</v>
      </c>
      <c r="I27" s="33">
        <f>IF(OR(E27="",R27="",R27&lt;=0,E27&lt;0),"",E27/R27)</f>
        <v/>
      </c>
      <c r="J27" s="66" t="n">
        <v>37.9</v>
      </c>
      <c r="K27" s="33" t="n">
        <v>-6.66</v>
      </c>
      <c r="L27" s="33" t="n">
        <v>29.07</v>
      </c>
      <c r="M27" s="33" t="n">
        <v>-17776.09</v>
      </c>
      <c r="N27" s="33" t="n"/>
      <c r="O27" s="66" t="n">
        <v>9.1</v>
      </c>
      <c r="S27" s="66">
        <f>IFERROR(AVERAGE(IFERROR(IF(P27="","",IF(P27&gt;=40,100,IF(P27&gt;=30,90,IF(P27&gt;=20,75,IF(P27&gt;=15,60,IF(P27&gt;=10,45,IF(P27&gt;=5,30,15))))))),""),IFERROR(IF(Q27="","",IF(Q27&gt;=40,100,IF(Q27&gt;=30,90,IF(Q27&gt;=20,75,IF(Q27&gt;=10,60,IF(Q27&gt;=5,45,IF(Q27&gt;=0,30,15))))))),""),IFERROR(IF(R27="","",IF(R27&gt;=40,100,IF(R27&gt;=30,90,IF(R27&gt;=20,75,IF(R27&gt;=10,60,IF(R27&gt;=0,45,IF(R27&gt;=-10,30,15))))))),"")),"")</f>
        <v/>
      </c>
      <c r="T27" s="33" t="n">
        <v>1</v>
      </c>
      <c r="U27" s="33" t="n">
        <v>3</v>
      </c>
      <c r="V27" s="33" t="n">
        <v>3</v>
      </c>
      <c r="W27" s="33" t="n">
        <v>4</v>
      </c>
      <c r="X27" s="33" t="n">
        <v>2</v>
      </c>
      <c r="Y27" s="66">
        <f>IFERROR((AVERAGE(T27,U27,V27,W27,X27)-1)*25,"")</f>
        <v/>
      </c>
      <c r="Z27" s="33" t="n">
        <v>4</v>
      </c>
      <c r="AA27" s="33" t="n">
        <v>1</v>
      </c>
      <c r="AB27" s="33" t="n">
        <v>3</v>
      </c>
      <c r="AC27" s="71" t="n">
        <v>29.2</v>
      </c>
      <c r="AD27" s="66">
        <f>IFERROR(AVERAGE(IFERROR(IF(Z27="","",Z27*20),""),IFERROR(IF(AA27="","",AA27*20),""),IFERROR(IF(AB27="","",AB27*20),""),IFERROR(IF(AC27="","",IF(AC27&gt;=85,100,IF(AC27&gt;=70,90,IF(AC27&gt;=55,75,IF(AC27&gt;=40,60,IF(AC27&gt;=25,40,20)))))),"")),"")</f>
        <v/>
      </c>
      <c r="AE27" s="33" t="n">
        <v>3</v>
      </c>
      <c r="AF27" s="33" t="n">
        <v>5</v>
      </c>
      <c r="AG27" s="33" t="n">
        <v>3</v>
      </c>
      <c r="AH27" s="33" t="n">
        <v>4</v>
      </c>
      <c r="AI27" s="66">
        <f>IFERROR((AVERAGE(AE27,AF27,AG27,AH27,AL27)-1)*25,"")</f>
        <v/>
      </c>
      <c r="AJ27" s="64">
        <f>IFERROR(J27*Weights!$B$4 + O27*Weights!$B$5 + S27*Weights!$B$6 + Y27*Weights!$B$7 + AD27*Weights!$B$8 + AI27*Weights!$B$9,"")</f>
        <v/>
      </c>
      <c r="AK27" s="65">
        <f>IF(AJ27="","",IF(AJ27&gt;=85,"✓✓✓",IF(AJ27&gt;=70,"✓✓",IF(AJ27&gt;=55,"✓",IF(AJ27&gt;=40,"?","✗")))))</f>
        <v/>
      </c>
      <c r="AL27" s="33" t="n">
        <v>5</v>
      </c>
    </row>
    <row r="28" ht="15" customHeight="1" s="34">
      <c r="A28" s="33" t="inlineStr">
        <is>
          <t>EQT</t>
        </is>
      </c>
      <c r="B28" s="33" t="inlineStr">
        <is>
          <t>EQT Corporation</t>
        </is>
      </c>
      <c r="C28" s="33" t="inlineStr">
        <is>
          <t>01 Power Generation / Natural gas E&amp;P (powering gas turbines for data centers)</t>
        </is>
      </c>
      <c r="D28" s="33" t="inlineStr">
        <is>
          <t>2026-10-11</t>
        </is>
      </c>
      <c r="E28" s="33" t="n">
        <v>14.009398</v>
      </c>
      <c r="F28" s="33" t="n">
        <v>5.985</v>
      </c>
      <c r="G28" s="33" t="n">
        <v>11.37</v>
      </c>
      <c r="H28" s="33" t="n">
        <v>3.5556598</v>
      </c>
      <c r="I28" s="33">
        <f>IF(OR(E28="",R28="",R28&lt;=0,E28&lt;0),"",E28/R28)</f>
        <v/>
      </c>
      <c r="J28" s="66" t="n">
        <v>78.2</v>
      </c>
      <c r="K28" s="33" t="n">
        <v>7.96</v>
      </c>
      <c r="L28" s="33" t="n">
        <v>80.75</v>
      </c>
      <c r="M28" s="33" t="n">
        <v>40.44</v>
      </c>
      <c r="N28" s="33" t="n">
        <v>0.79</v>
      </c>
      <c r="O28" s="66" t="n">
        <v>91.8</v>
      </c>
      <c r="P28" s="33" t="n">
        <v>-11.72</v>
      </c>
      <c r="Q28" s="33" t="n">
        <v>-3.9</v>
      </c>
      <c r="R28" s="33" t="n">
        <v>-73</v>
      </c>
      <c r="S28" s="66">
        <f>IFERROR(AVERAGE(IFERROR(IF(P28="","",IF(P28&gt;=40,100,IF(P28&gt;=30,90,IF(P28&gt;=20,75,IF(P28&gt;=15,60,IF(P28&gt;=10,45,IF(P28&gt;=5,30,15))))))),""),IFERROR(IF(Q28="","",IF(Q28&gt;=40,100,IF(Q28&gt;=30,90,IF(Q28&gt;=20,75,IF(Q28&gt;=10,60,IF(Q28&gt;=5,45,IF(Q28&gt;=0,30,15))))))),""),IFERROR(IF(R28="","",IF(R28&gt;=40,100,IF(R28&gt;=30,90,IF(R28&gt;=20,75,IF(R28&gt;=10,60,IF(R28&gt;=0,45,IF(R28&gt;=-10,30,15))))))),"")),"")</f>
        <v/>
      </c>
      <c r="T28" s="33" t="n">
        <v>1</v>
      </c>
      <c r="U28" s="33" t="n">
        <v>2</v>
      </c>
      <c r="V28" s="33" t="n">
        <v>3</v>
      </c>
      <c r="W28" s="33" t="n">
        <v>5</v>
      </c>
      <c r="X28" s="33" t="n">
        <v>2</v>
      </c>
      <c r="Y28" s="66">
        <f>IFERROR((AVERAGE(T28,U28,V28,W28,X28)-1)*25,"")</f>
        <v/>
      </c>
      <c r="Z28" s="33" t="n">
        <v>2</v>
      </c>
      <c r="AA28" s="33" t="n">
        <v>1</v>
      </c>
      <c r="AB28" s="33" t="n">
        <v>3</v>
      </c>
      <c r="AC28" s="71" t="n">
        <v>29.2</v>
      </c>
      <c r="AD28" s="66">
        <f>IFERROR(AVERAGE(IFERROR(IF(Z28="","",Z28*20),""),IFERROR(IF(AA28="","",AA28*20),""),IFERROR(IF(AB28="","",AB28*20),""),IFERROR(IF(AC28="","",IF(AC28&gt;=85,100,IF(AC28&gt;=70,90,IF(AC28&gt;=55,75,IF(AC28&gt;=40,60,IF(AC28&gt;=25,40,20)))))),"")),"")</f>
        <v/>
      </c>
      <c r="AE28" s="33" t="n">
        <v>4</v>
      </c>
      <c r="AF28" s="33" t="n">
        <v>5</v>
      </c>
      <c r="AG28" s="33" t="n">
        <v>5</v>
      </c>
      <c r="AH28" s="33" t="n">
        <v>4</v>
      </c>
      <c r="AI28" s="66">
        <f>IFERROR((AVERAGE(AE28,AF28,AG28,AH28,AL28)-1)*25,"")</f>
        <v/>
      </c>
      <c r="AJ28" s="64">
        <f>IFERROR(J28*Weights!$B$4 + O28*Weights!$B$5 + S28*Weights!$B$6 + Y28*Weights!$B$7 + AD28*Weights!$B$8 + AI28*Weights!$B$9,"")</f>
        <v/>
      </c>
      <c r="AK28" s="65">
        <f>IF(AJ28="","",IF(AJ28&gt;=85,"✓✓✓",IF(AJ28&gt;=70,"✓✓",IF(AJ28&gt;=55,"✓",IF(AJ28&gt;=40,"?","✗")))))</f>
        <v/>
      </c>
      <c r="AL28" s="33" t="n">
        <v>5</v>
      </c>
    </row>
    <row r="29" ht="15" customHeight="1" s="34">
      <c r="A29" s="33" t="inlineStr">
        <is>
          <t>RRC</t>
        </is>
      </c>
      <c r="B29" s="33" t="inlineStr">
        <is>
          <t>Range Resources Corporation</t>
        </is>
      </c>
      <c r="C29" s="33" t="inlineStr">
        <is>
          <t>01 Power Generation / Natural gas E&amp;P (powering gas turbines for data centers)</t>
        </is>
      </c>
      <c r="D29" s="33" t="inlineStr">
        <is>
          <t>2026-10-11</t>
        </is>
      </c>
      <c r="E29" s="33" t="n">
        <v>10.368882</v>
      </c>
      <c r="F29" s="33" t="n">
        <v>6.356</v>
      </c>
      <c r="G29" s="33" t="n">
        <v>7.22</v>
      </c>
      <c r="H29" s="33" t="n">
        <v>2.921856</v>
      </c>
      <c r="I29" s="33">
        <f>IF(OR(E29="",R29="",R29&lt;=0,E29&lt;0),"",E29/R29)</f>
        <v/>
      </c>
      <c r="J29" s="66" t="n">
        <v>77.90000000000001</v>
      </c>
      <c r="K29" s="33" t="n">
        <v>12.19</v>
      </c>
      <c r="L29" s="33" t="n">
        <v>52.12</v>
      </c>
      <c r="M29" s="33" t="n">
        <v>21.1</v>
      </c>
      <c r="N29" s="33" t="n">
        <v>0.63</v>
      </c>
      <c r="O29" s="66" t="n">
        <v>88.59999999999999</v>
      </c>
      <c r="P29" s="33" t="n">
        <v>-17.55</v>
      </c>
      <c r="Q29" s="33" t="n">
        <v>8.6</v>
      </c>
      <c r="R29" s="33" t="n">
        <v>-17.8</v>
      </c>
      <c r="S29" s="66">
        <f>IFERROR(AVERAGE(IFERROR(IF(P29="","",IF(P29&gt;=40,100,IF(P29&gt;=30,90,IF(P29&gt;=20,75,IF(P29&gt;=15,60,IF(P29&gt;=10,45,IF(P29&gt;=5,30,15))))))),""),IFERROR(IF(Q29="","",IF(Q29&gt;=40,100,IF(Q29&gt;=30,90,IF(Q29&gt;=20,75,IF(Q29&gt;=10,60,IF(Q29&gt;=5,45,IF(Q29&gt;=0,30,15))))))),""),IFERROR(IF(R29="","",IF(R29&gt;=40,100,IF(R29&gt;=30,90,IF(R29&gt;=20,75,IF(R29&gt;=10,60,IF(R29&gt;=0,45,IF(R29&gt;=-10,30,15))))))),"")),"")</f>
        <v/>
      </c>
      <c r="T29" s="33" t="n">
        <v>1</v>
      </c>
      <c r="U29" s="33" t="n">
        <v>2</v>
      </c>
      <c r="V29" s="33" t="n">
        <v>2</v>
      </c>
      <c r="W29" s="33" t="n">
        <v>4</v>
      </c>
      <c r="X29" s="33" t="n">
        <v>1</v>
      </c>
      <c r="Y29" s="66">
        <f>IFERROR((AVERAGE(T29,U29,V29,W29,X29)-1)*25,"")</f>
        <v/>
      </c>
      <c r="Z29" s="33" t="n">
        <v>4</v>
      </c>
      <c r="AA29" s="33" t="n">
        <v>1</v>
      </c>
      <c r="AB29" s="33" t="n">
        <v>3</v>
      </c>
      <c r="AC29" s="71" t="n">
        <v>40.8</v>
      </c>
      <c r="AD29" s="66">
        <f>IFERROR(AVERAGE(IFERROR(IF(Z29="","",Z29*20),""),IFERROR(IF(AA29="","",AA29*20),""),IFERROR(IF(AB29="","",AB29*20),""),IFERROR(IF(AC29="","",IF(AC29&gt;=85,100,IF(AC29&gt;=70,90,IF(AC29&gt;=55,75,IF(AC29&gt;=40,60,IF(AC29&gt;=25,40,20)))))),"")),"")</f>
        <v/>
      </c>
      <c r="AE29" s="33" t="n">
        <v>4</v>
      </c>
      <c r="AF29" s="33" t="n">
        <v>5</v>
      </c>
      <c r="AG29" s="33" t="n">
        <v>5</v>
      </c>
      <c r="AH29" s="33" t="n">
        <v>4</v>
      </c>
      <c r="AI29" s="66">
        <f>IFERROR((AVERAGE(AE29,AF29,AG29,AH29,AL29)-1)*25,"")</f>
        <v/>
      </c>
      <c r="AJ29" s="64">
        <f>IFERROR(J29*Weights!$B$4 + O29*Weights!$B$5 + S29*Weights!$B$6 + Y29*Weights!$B$7 + AD29*Weights!$B$8 + AI29*Weights!$B$9,"")</f>
        <v/>
      </c>
      <c r="AK29" s="65">
        <f>IF(AJ29="","",IF(AJ29&gt;=85,"✓✓✓",IF(AJ29&gt;=70,"✓✓",IF(AJ29&gt;=55,"✓",IF(AJ29&gt;=40,"?","✗")))))</f>
        <v/>
      </c>
      <c r="AL29" s="33" t="n">
        <v>5</v>
      </c>
    </row>
    <row r="30" ht="15" customHeight="1" s="34">
      <c r="A30" s="33" t="inlineStr">
        <is>
          <t>AR</t>
        </is>
      </c>
      <c r="B30" s="33" t="inlineStr">
        <is>
          <t>Antero Resources Corporation</t>
        </is>
      </c>
      <c r="C30" s="33" t="inlineStr">
        <is>
          <t>01 Power Generation / Natural gas E&amp;P (powering gas turbines for data centers)</t>
        </is>
      </c>
      <c r="D30" s="33" t="inlineStr">
        <is>
          <t>2026-10-11</t>
        </is>
      </c>
      <c r="E30" s="33" t="n">
        <v>8.182038</v>
      </c>
      <c r="F30" s="33" t="n"/>
      <c r="G30" s="33" t="n">
        <v>14.45</v>
      </c>
      <c r="H30" s="33" t="n">
        <v>1.9091189</v>
      </c>
      <c r="I30" s="33">
        <f>IF(OR(E30="",R30="",R30&lt;=0,E30&lt;0),"",E30/R30)</f>
        <v/>
      </c>
      <c r="J30" s="66" t="n">
        <v>86.8</v>
      </c>
      <c r="K30" s="33" t="n">
        <v>6.71</v>
      </c>
      <c r="L30" s="33" t="n">
        <v>67.15000000000001</v>
      </c>
      <c r="M30" s="33" t="n">
        <v>27.58</v>
      </c>
      <c r="N30" s="33" t="n"/>
      <c r="O30" s="66" t="n">
        <v>86.3</v>
      </c>
      <c r="P30" s="33" t="n">
        <v>-15.47</v>
      </c>
      <c r="Q30" s="33" t="n">
        <v>12.6</v>
      </c>
      <c r="R30" s="33" t="n">
        <v>78</v>
      </c>
      <c r="S30" s="66">
        <f>IFERROR(AVERAGE(IFERROR(IF(P30="","",IF(P30&gt;=40,100,IF(P30&gt;=30,90,IF(P30&gt;=20,75,IF(P30&gt;=15,60,IF(P30&gt;=10,45,IF(P30&gt;=5,30,15))))))),""),IFERROR(IF(Q30="","",IF(Q30&gt;=40,100,IF(Q30&gt;=30,90,IF(Q30&gt;=20,75,IF(Q30&gt;=10,60,IF(Q30&gt;=5,45,IF(Q30&gt;=0,30,15))))))),""),IFERROR(IF(R30="","",IF(R30&gt;=40,100,IF(R30&gt;=30,90,IF(R30&gt;=20,75,IF(R30&gt;=10,60,IF(R30&gt;=0,45,IF(R30&gt;=-10,30,15))))))),"")),"")</f>
        <v/>
      </c>
      <c r="T30" s="33" t="n">
        <v>1</v>
      </c>
      <c r="U30" s="33" t="n">
        <v>2</v>
      </c>
      <c r="V30" s="33" t="n">
        <v>2</v>
      </c>
      <c r="W30" s="33" t="n">
        <v>5</v>
      </c>
      <c r="X30" s="33" t="n">
        <v>1</v>
      </c>
      <c r="Y30" s="66">
        <f>IFERROR((AVERAGE(T30,U30,V30,W30,X30)-1)*25,"")</f>
        <v/>
      </c>
      <c r="Z30" s="33" t="n">
        <v>5</v>
      </c>
      <c r="AA30" s="33" t="n">
        <v>1</v>
      </c>
      <c r="AB30" s="33" t="n">
        <v>3</v>
      </c>
      <c r="AC30" s="71" t="n">
        <v>30.8</v>
      </c>
      <c r="AD30" s="66">
        <f>IFERROR(AVERAGE(IFERROR(IF(Z30="","",Z30*20),""),IFERROR(IF(AA30="","",AA30*20),""),IFERROR(IF(AB30="","",AB30*20),""),IFERROR(IF(AC30="","",IF(AC30&gt;=85,100,IF(AC30&gt;=70,90,IF(AC30&gt;=55,75,IF(AC30&gt;=40,60,IF(AC30&gt;=25,40,20)))))),"")),"")</f>
        <v/>
      </c>
      <c r="AE30" s="33" t="n">
        <v>4</v>
      </c>
      <c r="AF30" s="33" t="n">
        <v>5</v>
      </c>
      <c r="AG30" s="33" t="n">
        <v>4</v>
      </c>
      <c r="AH30" s="33" t="n">
        <v>4</v>
      </c>
      <c r="AI30" s="66">
        <f>IFERROR((AVERAGE(AE30,AF30,AG30,AH30,AL30)-1)*25,"")</f>
        <v/>
      </c>
      <c r="AJ30" s="64">
        <f>IFERROR(J30*Weights!$B$4 + O30*Weights!$B$5 + S30*Weights!$B$6 + Y30*Weights!$B$7 + AD30*Weights!$B$8 + AI30*Weights!$B$9,"")</f>
        <v/>
      </c>
      <c r="AK30" s="65">
        <f>IF(AJ30="","",IF(AJ30&gt;=85,"✓✓✓",IF(AJ30&gt;=70,"✓✓",IF(AJ30&gt;=55,"✓",IF(AJ30&gt;=40,"?","✗")))))</f>
        <v/>
      </c>
      <c r="AL30" s="33" t="n">
        <v>5</v>
      </c>
    </row>
    <row r="31" ht="15" customHeight="1" s="34">
      <c r="A31" s="33" t="inlineStr">
        <is>
          <t>EXE</t>
        </is>
      </c>
      <c r="B31" s="33" t="inlineStr">
        <is>
          <t>Expand Energy Corporation</t>
        </is>
      </c>
      <c r="C31" s="33" t="inlineStr">
        <is>
          <t>01 Power Generation / Natural gas E&amp;P (powering gas turbines for data centers)</t>
        </is>
      </c>
      <c r="D31" s="33" t="inlineStr">
        <is>
          <t>2026-10-11</t>
        </is>
      </c>
      <c r="E31" s="33" t="n">
        <v>10.623668</v>
      </c>
      <c r="F31" s="33" t="n">
        <v>3.491</v>
      </c>
      <c r="G31" s="33" t="n">
        <v>11.74</v>
      </c>
      <c r="H31" s="33" t="n">
        <v>1.6673068</v>
      </c>
      <c r="I31" s="33">
        <f>IF(OR(E31="",R31="",R31&lt;=0,E31&lt;0),"",E31/R31)</f>
        <v/>
      </c>
      <c r="J31" s="66" t="n">
        <v>82.8</v>
      </c>
      <c r="K31" s="33" t="n">
        <v>12.56</v>
      </c>
      <c r="L31" s="33" t="n">
        <v>47.07</v>
      </c>
      <c r="M31" s="33" t="n">
        <v>19.57</v>
      </c>
      <c r="N31" s="33" t="n">
        <v>0.46</v>
      </c>
      <c r="O31" s="66" t="n">
        <v>86.2</v>
      </c>
      <c r="P31" s="33" t="n">
        <v>2.13</v>
      </c>
      <c r="Q31" s="33" t="n">
        <v>-10.6</v>
      </c>
      <c r="S31" s="66">
        <f>IFERROR(AVERAGE(IFERROR(IF(P31="","",IF(P31&gt;=40,100,IF(P31&gt;=30,90,IF(P31&gt;=20,75,IF(P31&gt;=15,60,IF(P31&gt;=10,45,IF(P31&gt;=5,30,15))))))),""),IFERROR(IF(Q31="","",IF(Q31&gt;=40,100,IF(Q31&gt;=30,90,IF(Q31&gt;=20,75,IF(Q31&gt;=10,60,IF(Q31&gt;=5,45,IF(Q31&gt;=0,30,15))))))),""),IFERROR(IF(R31="","",IF(R31&gt;=40,100,IF(R31&gt;=30,90,IF(R31&gt;=20,75,IF(R31&gt;=10,60,IF(R31&gt;=0,45,IF(R31&gt;=-10,30,15))))))),"")),"")</f>
        <v/>
      </c>
      <c r="T31" s="33" t="n">
        <v>1</v>
      </c>
      <c r="U31" s="33" t="n">
        <v>2</v>
      </c>
      <c r="V31" s="33" t="n">
        <v>2</v>
      </c>
      <c r="W31" s="33" t="n">
        <v>5</v>
      </c>
      <c r="X31" s="33" t="n">
        <v>1</v>
      </c>
      <c r="Y31" s="66">
        <f>IFERROR((AVERAGE(T31,U31,V31,W31,X31)-1)*25,"")</f>
        <v/>
      </c>
      <c r="Z31" s="33" t="n">
        <v>5</v>
      </c>
      <c r="AA31" s="33" t="n">
        <v>1</v>
      </c>
      <c r="AB31" s="33" t="n">
        <v>3</v>
      </c>
      <c r="AC31" s="71" t="n">
        <v>30.8</v>
      </c>
      <c r="AD31" s="66">
        <f>IFERROR(AVERAGE(IFERROR(IF(Z31="","",Z31*20),""),IFERROR(IF(AA31="","",AA31*20),""),IFERROR(IF(AB31="","",AB31*20),""),IFERROR(IF(AC31="","",IF(AC31&gt;=85,100,IF(AC31&gt;=70,90,IF(AC31&gt;=55,75,IF(AC31&gt;=40,60,IF(AC31&gt;=25,40,20)))))),"")),"")</f>
        <v/>
      </c>
      <c r="AE31" s="33" t="n">
        <v>4</v>
      </c>
      <c r="AF31" s="33" t="n">
        <v>5</v>
      </c>
      <c r="AG31" s="33" t="n">
        <v>5</v>
      </c>
      <c r="AH31" s="33" t="n">
        <v>4</v>
      </c>
      <c r="AI31" s="66">
        <f>IFERROR((AVERAGE(AE31,AF31,AG31,AH31,AL31)-1)*25,"")</f>
        <v/>
      </c>
      <c r="AJ31" s="64">
        <f>IFERROR(J31*Weights!$B$4 + O31*Weights!$B$5 + S31*Weights!$B$6 + Y31*Weights!$B$7 + AD31*Weights!$B$8 + AI31*Weights!$B$9,"")</f>
        <v/>
      </c>
      <c r="AK31" s="65">
        <f>IF(AJ31="","",IF(AJ31&gt;=85,"✓✓✓",IF(AJ31&gt;=70,"✓✓",IF(AJ31&gt;=55,"✓",IF(AJ31&gt;=40,"?","✗")))))</f>
        <v/>
      </c>
      <c r="AL31" s="33" t="n">
        <v>5</v>
      </c>
    </row>
    <row r="32" ht="15" customHeight="1" s="34">
      <c r="A32" s="33" t="inlineStr">
        <is>
          <t>PLUG</t>
        </is>
      </c>
      <c r="B32" s="33" t="inlineStr">
        <is>
          <t>Plug Power Inc.</t>
        </is>
      </c>
      <c r="C32" s="33" t="inlineStr">
        <is>
          <t>01 Power Generation / Distributed / on-site power</t>
        </is>
      </c>
      <c r="D32" s="33" t="inlineStr">
        <is>
          <t>2026-10-11</t>
        </is>
      </c>
      <c r="E32" s="33" t="n">
        <v>-11.326097</v>
      </c>
      <c r="F32" s="33" t="n">
        <v>-6.556</v>
      </c>
      <c r="G32" s="33" t="n">
        <v>-23.88</v>
      </c>
      <c r="H32" s="33" t="n">
        <v>3.1545882</v>
      </c>
      <c r="I32" s="33">
        <f>IF(OR(E32="",R32="",R32&lt;=0,E32&lt;0),"",E32/R32)</f>
        <v/>
      </c>
      <c r="J32" s="66" t="n">
        <v>31.6</v>
      </c>
      <c r="K32" s="33" t="n">
        <v>-23.36</v>
      </c>
      <c r="L32" s="33" t="n">
        <v>-24.75</v>
      </c>
      <c r="M32" s="33" t="n">
        <v>-75.33</v>
      </c>
      <c r="N32" s="33" t="n"/>
      <c r="O32" s="66" t="n">
        <v>4.7</v>
      </c>
      <c r="P32" s="33" t="n">
        <v>0.4</v>
      </c>
      <c r="Q32" s="33" t="n">
        <v>2.5</v>
      </c>
      <c r="S32" s="66">
        <f>IFERROR(AVERAGE(IFERROR(IF(P32="","",IF(P32&gt;=40,100,IF(P32&gt;=30,90,IF(P32&gt;=20,75,IF(P32&gt;=15,60,IF(P32&gt;=10,45,IF(P32&gt;=5,30,15))))))),""),IFERROR(IF(Q32="","",IF(Q32&gt;=40,100,IF(Q32&gt;=30,90,IF(Q32&gt;=20,75,IF(Q32&gt;=10,60,IF(Q32&gt;=5,45,IF(Q32&gt;=0,30,15))))))),""),IFERROR(IF(R32="","",IF(R32&gt;=40,100,IF(R32&gt;=30,90,IF(R32&gt;=20,75,IF(R32&gt;=10,60,IF(R32&gt;=0,45,IF(R32&gt;=-10,30,15))))))),"")),"")</f>
        <v/>
      </c>
      <c r="T32" s="33" t="n">
        <v>1</v>
      </c>
      <c r="U32" s="33" t="n">
        <v>2</v>
      </c>
      <c r="V32" s="33" t="n">
        <v>2</v>
      </c>
      <c r="W32" s="33" t="n">
        <v>3</v>
      </c>
      <c r="X32" s="33" t="n">
        <v>2</v>
      </c>
      <c r="Y32" s="66">
        <f>IFERROR((AVERAGE(T32,U32,V32,W32,X32)-1)*25,"")</f>
        <v/>
      </c>
      <c r="Z32" s="33" t="n">
        <v>3</v>
      </c>
      <c r="AA32" s="33" t="n">
        <v>5</v>
      </c>
      <c r="AB32" s="33" t="n">
        <v>3</v>
      </c>
      <c r="AC32" s="71" t="n">
        <v>28.3</v>
      </c>
      <c r="AD32" s="66">
        <f>IFERROR(AVERAGE(IFERROR(IF(Z32="","",Z32*20),""),IFERROR(IF(AA32="","",AA32*20),""),IFERROR(IF(AB32="","",AB32*20),""),IFERROR(IF(AC32="","",IF(AC32&gt;=85,100,IF(AC32&gt;=70,90,IF(AC32&gt;=55,75,IF(AC32&gt;=40,60,IF(AC32&gt;=25,40,20)))))),"")),"")</f>
        <v/>
      </c>
      <c r="AE32" s="33" t="n">
        <v>3</v>
      </c>
      <c r="AF32" s="33" t="n">
        <v>4</v>
      </c>
      <c r="AG32" s="33" t="n">
        <v>2</v>
      </c>
      <c r="AH32" s="33" t="n">
        <v>4</v>
      </c>
      <c r="AI32" s="66">
        <f>IFERROR((AVERAGE(AE32,AF32,AG32,AH32,AL32)-1)*25,"")</f>
        <v/>
      </c>
      <c r="AJ32" s="64">
        <f>IFERROR(J32*Weights!$B$4 + O32*Weights!$B$5 + S32*Weights!$B$6 + Y32*Weights!$B$7 + AD32*Weights!$B$8 + AI32*Weights!$B$9,"")</f>
        <v/>
      </c>
      <c r="AK32" s="65">
        <f>IF(AJ32="","",IF(AJ32&gt;=85,"✓✓✓",IF(AJ32&gt;=70,"✓✓",IF(AJ32&gt;=55,"✓",IF(AJ32&gt;=40,"?","✗")))))</f>
        <v/>
      </c>
      <c r="AL32" s="33" t="n">
        <v>5</v>
      </c>
    </row>
    <row r="33" ht="15" customHeight="1" s="34">
      <c r="A33" s="33" t="inlineStr">
        <is>
          <t>CMI</t>
        </is>
      </c>
      <c r="B33" s="33" t="inlineStr">
        <is>
          <t>Cummins Inc.</t>
        </is>
      </c>
      <c r="C33" s="33" t="inlineStr">
        <is>
          <t>01 Power Generation / Distributed / on-site power</t>
        </is>
      </c>
      <c r="D33" s="33" t="inlineStr">
        <is>
          <t>2026-10-11</t>
        </is>
      </c>
      <c r="E33" s="33" t="n">
        <v>15.038128</v>
      </c>
      <c r="F33" s="33" t="n">
        <v>15.266</v>
      </c>
      <c r="G33" s="33" t="n">
        <v>3.7</v>
      </c>
      <c r="H33" s="33" t="n">
        <v>2.080849</v>
      </c>
      <c r="I33" s="33">
        <f>IF(OR(E33="",R33="",R33&lt;=0,E33&lt;0),"",E33/R33)</f>
        <v/>
      </c>
      <c r="J33" s="66" t="n">
        <v>57.6</v>
      </c>
      <c r="K33" s="33" t="n">
        <v>11.7</v>
      </c>
      <c r="L33" s="33" t="n">
        <v>25.77</v>
      </c>
      <c r="M33" s="33" t="n">
        <v>7.7</v>
      </c>
      <c r="N33" s="33" t="n">
        <v>0.87</v>
      </c>
      <c r="O33" s="66" t="n">
        <v>67.09999999999999</v>
      </c>
      <c r="P33" s="33" t="n">
        <v>6.25</v>
      </c>
      <c r="Q33" s="33" t="n">
        <v>9.4</v>
      </c>
      <c r="R33" s="33" t="n">
        <v>4.7</v>
      </c>
      <c r="S33" s="66">
        <f>IFERROR(AVERAGE(IFERROR(IF(P33="","",IF(P33&gt;=40,100,IF(P33&gt;=30,90,IF(P33&gt;=20,75,IF(P33&gt;=15,60,IF(P33&gt;=10,45,IF(P33&gt;=5,30,15))))))),""),IFERROR(IF(Q33="","",IF(Q33&gt;=40,100,IF(Q33&gt;=30,90,IF(Q33&gt;=20,75,IF(Q33&gt;=10,60,IF(Q33&gt;=5,45,IF(Q33&gt;=0,30,15))))))),""),IFERROR(IF(R33="","",IF(R33&gt;=40,100,IF(R33&gt;=30,90,IF(R33&gt;=20,75,IF(R33&gt;=10,60,IF(R33&gt;=0,45,IF(R33&gt;=-10,30,15))))))),"")),"")</f>
        <v/>
      </c>
      <c r="T33" s="33" t="n">
        <v>2</v>
      </c>
      <c r="U33" s="33" t="n">
        <v>4</v>
      </c>
      <c r="V33" s="33" t="n">
        <v>4</v>
      </c>
      <c r="W33" s="33" t="n">
        <v>5</v>
      </c>
      <c r="X33" s="33" t="n">
        <v>2</v>
      </c>
      <c r="Y33" s="66">
        <f>IFERROR((AVERAGE(T33,U33,V33,W33,X33)-1)*25,"")</f>
        <v/>
      </c>
      <c r="Z33" s="33" t="n">
        <v>5</v>
      </c>
      <c r="AA33" s="33" t="n">
        <v>5</v>
      </c>
      <c r="AB33" s="33" t="n">
        <v>3</v>
      </c>
      <c r="AC33" s="71" t="n">
        <v>41.7</v>
      </c>
      <c r="AD33" s="66">
        <f>IFERROR(AVERAGE(IFERROR(IF(Z33="","",Z33*20),""),IFERROR(IF(AA33="","",AA33*20),""),IFERROR(IF(AB33="","",AB33*20),""),IFERROR(IF(AC33="","",IF(AC33&gt;=85,100,IF(AC33&gt;=70,90,IF(AC33&gt;=55,75,IF(AC33&gt;=40,60,IF(AC33&gt;=25,40,20)))))),"")),"")</f>
        <v/>
      </c>
      <c r="AE33" s="33" t="n">
        <v>5</v>
      </c>
      <c r="AF33" s="33" t="n">
        <v>4</v>
      </c>
      <c r="AG33" s="33" t="n">
        <v>4</v>
      </c>
      <c r="AH33" s="33" t="n">
        <v>4</v>
      </c>
      <c r="AI33" s="66">
        <f>IFERROR((AVERAGE(AE33,AF33,AG33,AH33,AL33)-1)*25,"")</f>
        <v/>
      </c>
      <c r="AJ33" s="64">
        <f>IFERROR(J33*Weights!$B$4 + O33*Weights!$B$5 + S33*Weights!$B$6 + Y33*Weights!$B$7 + AD33*Weights!$B$8 + AI33*Weights!$B$9,"")</f>
        <v/>
      </c>
      <c r="AK33" s="65">
        <f>IF(AJ33="","",IF(AJ33&gt;=85,"✓✓✓",IF(AJ33&gt;=70,"✓✓",IF(AJ33&gt;=55,"✓",IF(AJ33&gt;=40,"?","✗")))))</f>
        <v/>
      </c>
      <c r="AL33" s="33" t="n">
        <v>5</v>
      </c>
    </row>
    <row r="34" ht="15" customHeight="1" s="34">
      <c r="A34" s="33" t="inlineStr">
        <is>
          <t>GNRC</t>
        </is>
      </c>
      <c r="B34" s="33" t="inlineStr">
        <is>
          <t>Generac Holdings Inc.</t>
        </is>
      </c>
      <c r="C34" s="33" t="inlineStr">
        <is>
          <t>01 Power Generation / Distributed / on-site power</t>
        </is>
      </c>
      <c r="D34" s="33" t="inlineStr">
        <is>
          <t>2026-10-11</t>
        </is>
      </c>
      <c r="E34" s="33" t="n">
        <v>17.343113</v>
      </c>
      <c r="F34" s="33" t="n">
        <v>22.318</v>
      </c>
      <c r="G34" s="33" t="n">
        <v>2.85</v>
      </c>
      <c r="H34" s="33" t="n">
        <v>2.9931617</v>
      </c>
      <c r="I34" s="33">
        <f>IF(OR(E34="",R34="",R34&lt;=0,E34&lt;0),"",E34/R34)</f>
        <v/>
      </c>
      <c r="J34" s="66" t="n">
        <v>57.9</v>
      </c>
      <c r="K34" s="33" t="n">
        <v>7.06</v>
      </c>
      <c r="L34" s="33" t="n">
        <v>39.54</v>
      </c>
      <c r="M34" s="33" t="n">
        <v>8.539999999999999</v>
      </c>
      <c r="N34" s="33" t="n">
        <v>1.79</v>
      </c>
      <c r="O34" s="66" t="n">
        <v>61</v>
      </c>
      <c r="P34" s="33" t="n">
        <v>-2.67</v>
      </c>
      <c r="Q34" s="33" t="n">
        <v>10.6</v>
      </c>
      <c r="R34" s="33" t="n">
        <v>93.5</v>
      </c>
      <c r="S34" s="66">
        <f>IFERROR(AVERAGE(IFERROR(IF(P34="","",IF(P34&gt;=40,100,IF(P34&gt;=30,90,IF(P34&gt;=20,75,IF(P34&gt;=15,60,IF(P34&gt;=10,45,IF(P34&gt;=5,30,15))))))),""),IFERROR(IF(Q34="","",IF(Q34&gt;=40,100,IF(Q34&gt;=30,90,IF(Q34&gt;=20,75,IF(Q34&gt;=10,60,IF(Q34&gt;=5,45,IF(Q34&gt;=0,30,15))))))),""),IFERROR(IF(R34="","",IF(R34&gt;=40,100,IF(R34&gt;=30,90,IF(R34&gt;=20,75,IF(R34&gt;=10,60,IF(R34&gt;=0,45,IF(R34&gt;=-10,30,15))))))),"")),"")</f>
        <v/>
      </c>
      <c r="T34" s="33" t="n">
        <v>2</v>
      </c>
      <c r="U34" s="33" t="n">
        <v>3</v>
      </c>
      <c r="V34" s="33" t="n">
        <v>3</v>
      </c>
      <c r="W34" s="33" t="n">
        <v>5</v>
      </c>
      <c r="X34" s="33" t="n">
        <v>3</v>
      </c>
      <c r="Y34" s="66">
        <f>IFERROR((AVERAGE(T34,U34,V34,W34,X34)-1)*25,"")</f>
        <v/>
      </c>
      <c r="Z34" s="33" t="n">
        <v>5</v>
      </c>
      <c r="AA34" s="33" t="n">
        <v>5</v>
      </c>
      <c r="AB34" s="33" t="n">
        <v>3</v>
      </c>
      <c r="AC34" s="71" t="n">
        <v>53.3</v>
      </c>
      <c r="AD34" s="66">
        <f>IFERROR(AVERAGE(IFERROR(IF(Z34="","",Z34*20),""),IFERROR(IF(AA34="","",AA34*20),""),IFERROR(IF(AB34="","",AB34*20),""),IFERROR(IF(AC34="","",IF(AC34&gt;=85,100,IF(AC34&gt;=70,90,IF(AC34&gt;=55,75,IF(AC34&gt;=40,60,IF(AC34&gt;=25,40,20)))))),"")),"")</f>
        <v/>
      </c>
      <c r="AE34" s="33" t="n">
        <v>4</v>
      </c>
      <c r="AF34" s="33" t="n">
        <v>4</v>
      </c>
      <c r="AG34" s="33" t="n">
        <v>4</v>
      </c>
      <c r="AH34" s="33" t="n">
        <v>4</v>
      </c>
      <c r="AI34" s="66">
        <f>IFERROR((AVERAGE(AE34,AF34,AG34,AH34,AL34)-1)*25,"")</f>
        <v/>
      </c>
      <c r="AJ34" s="64">
        <f>IFERROR(J34*Weights!$B$4 + O34*Weights!$B$5 + S34*Weights!$B$6 + Y34*Weights!$B$7 + AD34*Weights!$B$8 + AI34*Weights!$B$9,"")</f>
        <v/>
      </c>
      <c r="AK34" s="65">
        <f>IF(AJ34="","",IF(AJ34&gt;=85,"✓✓✓",IF(AJ34&gt;=70,"✓✓",IF(AJ34&gt;=55,"✓",IF(AJ34&gt;=40,"?","✗")))))</f>
        <v/>
      </c>
      <c r="AL34" s="33" t="n">
        <v>5</v>
      </c>
    </row>
    <row r="35" ht="15" customHeight="1" s="34">
      <c r="A35" s="33" t="inlineStr">
        <is>
          <t>ETN</t>
        </is>
      </c>
      <c r="B35" s="33" t="inlineStr">
        <is>
          <t>Eaton Corporation plc</t>
        </is>
      </c>
      <c r="C35" s="33" t="inlineStr">
        <is>
          <t>02 Grid &amp; Power Equipment</t>
        </is>
      </c>
      <c r="D35" s="33" t="inlineStr">
        <is>
          <t>2026-10-11</t>
        </is>
      </c>
      <c r="E35" s="33" t="n">
        <v>26.446348</v>
      </c>
      <c r="F35" s="33" t="n">
        <v>28.348</v>
      </c>
      <c r="G35" s="33" t="n">
        <v>2.26</v>
      </c>
      <c r="H35" s="33" t="n">
        <v>5.556288</v>
      </c>
      <c r="I35" s="33">
        <f>IF(OR(E35="",R35="",R35&lt;=0,E35&lt;0),"",E35/R35)</f>
        <v/>
      </c>
      <c r="J35" s="66" t="n">
        <v>33.4</v>
      </c>
      <c r="K35" s="33" t="n">
        <v>9.82</v>
      </c>
      <c r="L35" s="33" t="n">
        <v>36.02</v>
      </c>
      <c r="M35" s="33" t="n">
        <v>12.58</v>
      </c>
      <c r="N35" s="33" t="n">
        <v>3.11</v>
      </c>
      <c r="O35" s="66" t="n">
        <v>55.6</v>
      </c>
      <c r="P35" s="33" t="n">
        <v>9.77</v>
      </c>
      <c r="Q35" s="33" t="n">
        <v>21.4</v>
      </c>
      <c r="R35" s="33" t="n">
        <v>-16.4</v>
      </c>
      <c r="S35" s="66">
        <f>IFERROR(AVERAGE(IFERROR(IF(P35="","",IF(P35&gt;=40,100,IF(P35&gt;=30,90,IF(P35&gt;=20,75,IF(P35&gt;=15,60,IF(P35&gt;=10,45,IF(P35&gt;=5,30,15))))))),""),IFERROR(IF(Q35="","",IF(Q35&gt;=40,100,IF(Q35&gt;=30,90,IF(Q35&gt;=20,75,IF(Q35&gt;=10,60,IF(Q35&gt;=5,45,IF(Q35&gt;=0,30,15))))))),""),IFERROR(IF(R35="","",IF(R35&gt;=40,100,IF(R35&gt;=30,90,IF(R35&gt;=20,75,IF(R35&gt;=10,60,IF(R35&gt;=0,45,IF(R35&gt;=-10,30,15))))))),"")),"")</f>
        <v/>
      </c>
      <c r="T35" s="33" t="n">
        <v>4</v>
      </c>
      <c r="U35" s="33" t="n">
        <v>4</v>
      </c>
      <c r="V35" s="33" t="n">
        <v>4</v>
      </c>
      <c r="W35" s="33" t="n">
        <v>5</v>
      </c>
      <c r="X35" s="33" t="n">
        <v>5</v>
      </c>
      <c r="Y35" s="66">
        <f>IFERROR((AVERAGE(T35,U35,V35,W35,X35)-1)*25,"")</f>
        <v/>
      </c>
      <c r="Z35" s="33" t="n">
        <v>5</v>
      </c>
      <c r="AA35" s="33" t="n">
        <v>3</v>
      </c>
      <c r="AB35" s="33" t="n">
        <v>3</v>
      </c>
      <c r="AC35" s="71" t="n">
        <v>67.5</v>
      </c>
      <c r="AD35" s="66">
        <f>IFERROR(AVERAGE(IFERROR(IF(Z35="","",Z35*20),""),IFERROR(IF(AA35="","",AA35*20),""),IFERROR(IF(AB35="","",AB35*20),""),IFERROR(IF(AC35="","",IF(AC35&gt;=85,100,IF(AC35&gt;=70,90,IF(AC35&gt;=55,75,IF(AC35&gt;=40,60,IF(AC35&gt;=25,40,20)))))),"")),"")</f>
        <v/>
      </c>
      <c r="AE35" s="33" t="n">
        <v>5</v>
      </c>
      <c r="AF35" s="33" t="n">
        <v>4</v>
      </c>
      <c r="AG35" s="33" t="n">
        <v>4</v>
      </c>
      <c r="AH35" s="33" t="n">
        <v>4</v>
      </c>
      <c r="AI35" s="66">
        <f>IFERROR((AVERAGE(AE35,AF35,AG35,AH35,AL35)-1)*25,"")</f>
        <v/>
      </c>
      <c r="AJ35" s="64">
        <f>IFERROR(J35*Weights!$B$4 + O35*Weights!$B$5 + S35*Weights!$B$6 + Y35*Weights!$B$7 + AD35*Weights!$B$8 + AI35*Weights!$B$9,"")</f>
        <v/>
      </c>
      <c r="AK35" s="65">
        <f>IF(AJ35="","",IF(AJ35&gt;=85,"✓✓✓",IF(AJ35&gt;=70,"✓✓",IF(AJ35&gt;=55,"✓",IF(AJ35&gt;=40,"?","✗")))))</f>
        <v/>
      </c>
      <c r="AL35" s="33" t="n">
        <v>5</v>
      </c>
    </row>
    <row r="36" ht="15" customHeight="1" s="34">
      <c r="A36" s="33" t="inlineStr">
        <is>
          <t>SBGSY</t>
        </is>
      </c>
      <c r="B36" s="33" t="inlineStr">
        <is>
          <t>Schneider Electric S.E.</t>
        </is>
      </c>
      <c r="C36" s="33" t="inlineStr">
        <is>
          <t>02 Grid &amp; Power Equipment</t>
        </is>
      </c>
      <c r="D36" s="33" t="inlineStr">
        <is>
          <t>2026-10-11</t>
        </is>
      </c>
      <c r="E36" s="33" t="n">
        <v>21.28942</v>
      </c>
      <c r="F36" s="33" t="n">
        <v>19.52</v>
      </c>
      <c r="G36" s="33" t="n">
        <v>3.58</v>
      </c>
      <c r="H36" s="33" t="n">
        <v>3.57</v>
      </c>
      <c r="I36" s="33">
        <f>IF(OR(E36="",R36="",R36&lt;=0,E36&lt;0),"",E36/R36)</f>
        <v/>
      </c>
      <c r="J36" s="33" t="n">
        <v>69.8</v>
      </c>
      <c r="K36" s="33" t="n">
        <v>12.2</v>
      </c>
      <c r="L36" s="33" t="n">
        <v>42.12</v>
      </c>
      <c r="M36" s="33" t="n">
        <v>12.78</v>
      </c>
      <c r="N36" s="33" t="n">
        <v>1.91</v>
      </c>
      <c r="O36" s="33" t="n">
        <v>79</v>
      </c>
      <c r="P36" s="33" t="n">
        <v>5.52</v>
      </c>
      <c r="Q36" s="33" t="n">
        <v>9.800000000000001</v>
      </c>
      <c r="R36" s="33" t="n">
        <v>30.1</v>
      </c>
      <c r="S36" s="33">
        <f>IFERROR(AVERAGE(IFERROR(IF(P36="","",IF(P36&gt;=40,100,IF(P36&gt;=30,90,IF(P36&gt;=20,75,IF(P36&gt;=15,60,IF(P36&gt;=10,45,IF(P36&gt;=5,30,15))))))),""),IFERROR(IF(Q36="","",IF(Q36&gt;=40,100,IF(Q36&gt;=30,90,IF(Q36&gt;=20,75,IF(Q36&gt;=10,60,IF(Q36&gt;=5,45,IF(Q36&gt;=0,30,15))))))),""),IFERROR(IF(R36="","",IF(R36&gt;=40,100,IF(R36&gt;=30,90,IF(R36&gt;=20,75,IF(R36&gt;=10,60,IF(R36&gt;=0,45,IF(R36&gt;=-10,30,15))))))),"")),"")</f>
        <v/>
      </c>
      <c r="T36" s="33" t="n">
        <v>4</v>
      </c>
      <c r="U36" s="33" t="n">
        <v>4</v>
      </c>
      <c r="V36" s="33" t="n">
        <v>4</v>
      </c>
      <c r="W36" s="33" t="n">
        <v>5</v>
      </c>
      <c r="X36" s="33" t="n">
        <v>4</v>
      </c>
      <c r="Y36" s="33">
        <f>IFERROR((AVERAGE(T36,U36,V36,W36,X36)-1)*25,"")</f>
        <v/>
      </c>
      <c r="Z36" s="33" t="n">
        <v>4</v>
      </c>
      <c r="AA36" s="33" t="n">
        <v>4</v>
      </c>
      <c r="AB36" s="33" t="n">
        <v>3</v>
      </c>
      <c r="AC36" s="71" t="n">
        <v>68.3</v>
      </c>
      <c r="AD36" s="33">
        <f>IFERROR(AVERAGE(IFERROR(IF(Z36="","",Z36*20),""),IFERROR(IF(AA36="","",AA36*20),""),IFERROR(IF(AB36="","",AB36*20),""),IFERROR(IF(AC36="","",IF(AC36&gt;=85,100,IF(AC36&gt;=70,90,IF(AC36&gt;=55,75,IF(AC36&gt;=40,60,IF(AC36&gt;=25,40,20)))))),"")),"")</f>
        <v/>
      </c>
      <c r="AE36" s="33" t="n">
        <v>5</v>
      </c>
      <c r="AF36" s="33" t="n">
        <v>4</v>
      </c>
      <c r="AG36" s="33" t="n">
        <v>3</v>
      </c>
      <c r="AH36" s="33" t="n">
        <v>4</v>
      </c>
      <c r="AI36" s="33">
        <f>IFERROR((AVERAGE(AE36,AF36,AG36,AH36,AL36)-1)*25,"")</f>
        <v/>
      </c>
      <c r="AJ36" s="33">
        <f>IFERROR(J36*Weights!$B$4 + O36*Weights!$B$5 + S36*Weights!$B$6 + Y36*Weights!$B$7 + AD36*Weights!$B$8 + AI36*Weights!$B$9,"")</f>
        <v/>
      </c>
      <c r="AK36" s="33">
        <f>IF(AJ36="","",IF(AJ36&gt;=85,"✓✓✓",IF(AJ36&gt;=70,"✓✓",IF(AJ36&gt;=55,"✓",IF(AJ36&gt;=40,"?","✗")))))</f>
        <v/>
      </c>
      <c r="AL36" s="33" t="n">
        <v>5</v>
      </c>
    </row>
    <row r="37">
      <c r="A37" s="33" t="inlineStr">
        <is>
          <t>ABBNY</t>
        </is>
      </c>
      <c r="B37" s="33" t="inlineStr">
        <is>
          <t>ABB Ltd</t>
        </is>
      </c>
      <c r="C37" s="33" t="inlineStr">
        <is>
          <t>02 Grid &amp; Power Equipment</t>
        </is>
      </c>
      <c r="D37" s="33" t="inlineStr">
        <is>
          <t>2026-10-11</t>
        </is>
      </c>
      <c r="E37" s="33" t="n">
        <v>26.253393</v>
      </c>
      <c r="F37" s="33" t="n">
        <v>98.238</v>
      </c>
      <c r="G37" s="33" t="n">
        <v>2.39</v>
      </c>
      <c r="H37" s="33" t="n">
        <v>4.857817</v>
      </c>
      <c r="I37" s="33">
        <f>IF(OR(E37="",R37="",R37&lt;=0,E37&lt;0),"",E37/R37)</f>
        <v/>
      </c>
      <c r="J37" s="33" t="n">
        <v>32.2</v>
      </c>
      <c r="K37" s="33" t="n">
        <v>16.73</v>
      </c>
      <c r="L37" s="33" t="n">
        <v>40.25</v>
      </c>
      <c r="M37" s="33" t="n">
        <v>11.63</v>
      </c>
      <c r="N37" s="33" t="n">
        <v>0.46</v>
      </c>
      <c r="O37" s="33" t="n">
        <v>78.2</v>
      </c>
      <c r="P37" s="33" t="n">
        <v>4.1</v>
      </c>
      <c r="Q37" s="33" t="n">
        <v>14.2</v>
      </c>
      <c r="R37" s="33" t="n">
        <v>7</v>
      </c>
      <c r="S37" s="33">
        <f>IFERROR(AVERAGE(IFERROR(IF(P37="","",IF(P37&gt;=40,100,IF(P37&gt;=30,90,IF(P37&gt;=20,75,IF(P37&gt;=15,60,IF(P37&gt;=10,45,IF(P37&gt;=5,30,15))))))),""),IFERROR(IF(Q37="","",IF(Q37&gt;=40,100,IF(Q37&gt;=30,90,IF(Q37&gt;=20,75,IF(Q37&gt;=10,60,IF(Q37&gt;=5,45,IF(Q37&gt;=0,30,15))))))),""),IFERROR(IF(R37="","",IF(R37&gt;=40,100,IF(R37&gt;=30,90,IF(R37&gt;=20,75,IF(R37&gt;=10,60,IF(R37&gt;=0,45,IF(R37&gt;=-10,30,15))))))),"")),"")</f>
        <v/>
      </c>
      <c r="T37" s="33" t="n">
        <v>4</v>
      </c>
      <c r="U37" s="33" t="n">
        <v>4</v>
      </c>
      <c r="V37" s="33" t="n">
        <v>4</v>
      </c>
      <c r="W37" s="33" t="n">
        <v>5</v>
      </c>
      <c r="X37" s="33" t="n">
        <v>4</v>
      </c>
      <c r="Y37" s="33">
        <f>IFERROR((AVERAGE(T37,U37,V37,W37,X37)-1)*25,"")</f>
        <v/>
      </c>
      <c r="Z37" s="33" t="n">
        <v>5</v>
      </c>
      <c r="AA37" s="33" t="n">
        <v>5</v>
      </c>
      <c r="AB37" s="33" t="n">
        <v>3</v>
      </c>
      <c r="AC37" s="71" t="n">
        <v>50</v>
      </c>
      <c r="AD37" s="33">
        <f>IFERROR(AVERAGE(IFERROR(IF(Z37="","",Z37*20),""),IFERROR(IF(AA37="","",AA37*20),""),IFERROR(IF(AB37="","",AB37*20),""),IFERROR(IF(AC37="","",IF(AC37&gt;=85,100,IF(AC37&gt;=70,90,IF(AC37&gt;=55,75,IF(AC37&gt;=40,60,IF(AC37&gt;=25,40,20)))))),"")),"")</f>
        <v/>
      </c>
      <c r="AE37" s="33" t="n">
        <v>5</v>
      </c>
      <c r="AF37" s="33" t="n">
        <v>4</v>
      </c>
      <c r="AG37" s="33" t="n">
        <v>4</v>
      </c>
      <c r="AH37" s="33" t="n">
        <v>4</v>
      </c>
      <c r="AI37" s="33">
        <f>IFERROR((AVERAGE(AE37,AF37,AG37,AH37,AL37)-1)*25,"")</f>
        <v/>
      </c>
      <c r="AJ37" s="33">
        <f>IFERROR(J37*Weights!$B$4 + O37*Weights!$B$5 + S37*Weights!$B$6 + Y37*Weights!$B$7 + AD37*Weights!$B$8 + AI37*Weights!$B$9,"")</f>
        <v/>
      </c>
      <c r="AK37" s="33">
        <f>IF(AJ37="","",IF(AJ37&gt;=85,"✓✓✓",IF(AJ37&gt;=70,"✓✓",IF(AJ37&gt;=55,"✓",IF(AJ37&gt;=40,"?","✗")))))</f>
        <v/>
      </c>
      <c r="AL37" s="33" t="n">
        <v>5</v>
      </c>
    </row>
    <row r="38">
      <c r="A38" s="33" t="inlineStr">
        <is>
          <t>HTHIY</t>
        </is>
      </c>
      <c r="B38" s="33" t="inlineStr">
        <is>
          <t>Hitachi, Ltd.</t>
        </is>
      </c>
      <c r="C38" s="33" t="inlineStr">
        <is>
          <t>02 Grid &amp; Power Equipment</t>
        </is>
      </c>
      <c r="D38" s="33" t="inlineStr">
        <is>
          <t>2026-10-11</t>
        </is>
      </c>
      <c r="E38" s="33" t="n">
        <v>15.07152435576481</v>
      </c>
      <c r="F38" s="33" t="n">
        <v>14.02</v>
      </c>
      <c r="G38" s="33" t="n"/>
      <c r="H38" s="33" t="n">
        <v>2.3</v>
      </c>
      <c r="I38" s="33">
        <f>IF(OR(E38="",R38="",R38&lt;=0,E38&lt;0),"",E38/R38)</f>
        <v/>
      </c>
      <c r="J38" s="33" t="n">
        <v>84.09999999999999</v>
      </c>
      <c r="K38" s="33" t="n">
        <v>9.800000000000001</v>
      </c>
      <c r="L38" s="33" t="n">
        <v>30.15</v>
      </c>
      <c r="M38" s="33" t="n">
        <v>11.46</v>
      </c>
      <c r="N38" s="33" t="n">
        <v>-0.47</v>
      </c>
      <c r="O38" s="33" t="n">
        <v>58</v>
      </c>
      <c r="P38" s="33" t="n">
        <v>-0.91</v>
      </c>
      <c r="Q38" s="33" t="n">
        <v>20</v>
      </c>
      <c r="R38" s="33" t="n">
        <v>-1.4</v>
      </c>
      <c r="S38" s="33">
        <f>IFERROR(AVERAGE(IFERROR(IF(P38="","",IF(P38&gt;=40,100,IF(P38&gt;=30,90,IF(P38&gt;=20,75,IF(P38&gt;=15,60,IF(P38&gt;=10,45,IF(P38&gt;=5,30,15))))))),""),IFERROR(IF(Q38="","",IF(Q38&gt;=40,100,IF(Q38&gt;=30,90,IF(Q38&gt;=20,75,IF(Q38&gt;=10,60,IF(Q38&gt;=5,45,IF(Q38&gt;=0,30,15))))))),""),IFERROR(IF(R38="","",IF(R38&gt;=40,100,IF(R38&gt;=30,90,IF(R38&gt;=20,75,IF(R38&gt;=10,60,IF(R38&gt;=0,45,IF(R38&gt;=-10,30,15))))))),"")),"")</f>
        <v/>
      </c>
      <c r="T38" s="33" t="n">
        <v>4</v>
      </c>
      <c r="U38" s="33" t="n">
        <v>5</v>
      </c>
      <c r="V38" s="33" t="n">
        <v>4</v>
      </c>
      <c r="W38" s="33" t="n">
        <v>5</v>
      </c>
      <c r="X38" s="33" t="n">
        <v>4</v>
      </c>
      <c r="Y38" s="33">
        <f>IFERROR((AVERAGE(T38,U38,V38,W38,X38)-1)*25,"")</f>
        <v/>
      </c>
      <c r="Z38" s="33" t="n">
        <v>4</v>
      </c>
      <c r="AA38" s="33" t="n">
        <v>2</v>
      </c>
      <c r="AB38" s="33" t="n">
        <v>3</v>
      </c>
      <c r="AC38" s="71" t="n">
        <v>65.8</v>
      </c>
      <c r="AD38" s="33">
        <f>IFERROR(AVERAGE(IFERROR(IF(Z38="","",Z38*20),""),IFERROR(IF(AA38="","",AA38*20),""),IFERROR(IF(AB38="","",AB38*20),""),IFERROR(IF(AC38="","",IF(AC38&gt;=85,100,IF(AC38&gt;=70,90,IF(AC38&gt;=55,75,IF(AC38&gt;=40,60,IF(AC38&gt;=25,40,20)))))),"")),"")</f>
        <v/>
      </c>
      <c r="AE38" s="33" t="n">
        <v>5</v>
      </c>
      <c r="AF38" s="33" t="n">
        <v>4</v>
      </c>
      <c r="AG38" s="33" t="n">
        <v>4</v>
      </c>
      <c r="AH38" s="33" t="n">
        <v>4</v>
      </c>
      <c r="AI38" s="33">
        <f>IFERROR((AVERAGE(AE38,AF38,AG38,AH38,AL38)-1)*25,"")</f>
        <v/>
      </c>
      <c r="AJ38" s="33">
        <f>IFERROR(J38*Weights!$B$4 + O38*Weights!$B$5 + S38*Weights!$B$6 + Y38*Weights!$B$7 + AD38*Weights!$B$8 + AI38*Weights!$B$9,"")</f>
        <v/>
      </c>
      <c r="AK38" s="33">
        <f>IF(AJ38="","",IF(AJ38&gt;=85,"✓✓✓",IF(AJ38&gt;=70,"✓✓",IF(AJ38&gt;=55,"✓",IF(AJ38&gt;=40,"?","✗")))))</f>
        <v/>
      </c>
      <c r="AL38" s="33" t="n">
        <v>5</v>
      </c>
    </row>
    <row r="39">
      <c r="A39" s="33" t="inlineStr">
        <is>
          <t>HUBB</t>
        </is>
      </c>
      <c r="B39" s="33" t="inlineStr">
        <is>
          <t>Hubbell Incorporated</t>
        </is>
      </c>
      <c r="C39" s="33" t="inlineStr">
        <is>
          <t>02 Grid &amp; Power Equipment</t>
        </is>
      </c>
      <c r="D39" s="33" t="inlineStr">
        <is>
          <t>2026-10-11</t>
        </is>
      </c>
      <c r="E39" s="33" t="n">
        <v>20.645487</v>
      </c>
      <c r="F39" s="33" t="n">
        <v>19.987</v>
      </c>
      <c r="G39" s="33" t="n">
        <v>3.6</v>
      </c>
      <c r="H39" s="33" t="n">
        <v>4.0254536</v>
      </c>
      <c r="I39" s="33">
        <f>IF(OR(E39="",R39="",R39&lt;=0,E39&lt;0),"",E39/R39)</f>
        <v/>
      </c>
      <c r="J39" s="33" t="n">
        <v>63</v>
      </c>
      <c r="K39" s="33" t="n">
        <v>10.07</v>
      </c>
      <c r="L39" s="33" t="n">
        <v>35.34</v>
      </c>
      <c r="M39" s="33" t="n">
        <v>14.48</v>
      </c>
      <c r="N39" s="33" t="n">
        <v>3.41</v>
      </c>
      <c r="O39" s="33" t="n">
        <v>60.1</v>
      </c>
      <c r="P39" s="33" t="n">
        <v>5.71</v>
      </c>
      <c r="Q39" s="33" t="n">
        <v>15.3</v>
      </c>
      <c r="R39" s="33" t="n">
        <v>-1.6</v>
      </c>
      <c r="S39" s="33">
        <f>IFERROR(AVERAGE(IFERROR(IF(P39="","",IF(P39&gt;=40,100,IF(P39&gt;=30,90,IF(P39&gt;=20,75,IF(P39&gt;=15,60,IF(P39&gt;=10,45,IF(P39&gt;=5,30,15))))))),""),IFERROR(IF(Q39="","",IF(Q39&gt;=40,100,IF(Q39&gt;=30,90,IF(Q39&gt;=20,75,IF(Q39&gt;=10,60,IF(Q39&gt;=5,45,IF(Q39&gt;=0,30,15))))))),""),IFERROR(IF(R39="","",IF(R39&gt;=40,100,IF(R39&gt;=30,90,IF(R39&gt;=20,75,IF(R39&gt;=10,60,IF(R39&gt;=0,45,IF(R39&gt;=-10,30,15))))))),"")),"")</f>
        <v/>
      </c>
      <c r="T39" s="33" t="n">
        <v>3</v>
      </c>
      <c r="U39" s="33" t="n">
        <v>3</v>
      </c>
      <c r="V39" s="33" t="n">
        <v>3</v>
      </c>
      <c r="W39" s="33" t="n">
        <v>4</v>
      </c>
      <c r="X39" s="33" t="n">
        <v>3</v>
      </c>
      <c r="Y39" s="33">
        <f>IFERROR((AVERAGE(T39,U39,V39,W39,X39)-1)*25,"")</f>
        <v/>
      </c>
      <c r="Z39" s="33" t="n">
        <v>4</v>
      </c>
      <c r="AA39" s="33" t="n">
        <v>2</v>
      </c>
      <c r="AB39" s="33" t="n">
        <v>3</v>
      </c>
      <c r="AC39" s="71" t="n">
        <v>30.8</v>
      </c>
      <c r="AD39" s="33">
        <f>IFERROR(AVERAGE(IFERROR(IF(Z39="","",Z39*20),""),IFERROR(IF(AA39="","",AA39*20),""),IFERROR(IF(AB39="","",AB39*20),""),IFERROR(IF(AC39="","",IF(AC39&gt;=85,100,IF(AC39&gt;=70,90,IF(AC39&gt;=55,75,IF(AC39&gt;=40,60,IF(AC39&gt;=25,40,20)))))),"")),"")</f>
        <v/>
      </c>
      <c r="AE39" s="33" t="n">
        <v>5</v>
      </c>
      <c r="AF39" s="33" t="n">
        <v>4</v>
      </c>
      <c r="AG39" s="33" t="n">
        <v>3</v>
      </c>
      <c r="AH39" s="33" t="n">
        <v>4</v>
      </c>
      <c r="AI39" s="33">
        <f>IFERROR((AVERAGE(AE39,AF39,AG39,AH39,AL39)-1)*25,"")</f>
        <v/>
      </c>
      <c r="AJ39" s="33">
        <f>IFERROR(J39*Weights!$B$4 + O39*Weights!$B$5 + S39*Weights!$B$6 + Y39*Weights!$B$7 + AD39*Weights!$B$8 + AI39*Weights!$B$9,"")</f>
        <v/>
      </c>
      <c r="AK39" s="33">
        <f>IF(AJ39="","",IF(AJ39&gt;=85,"✓✓✓",IF(AJ39&gt;=70,"✓✓",IF(AJ39&gt;=55,"✓",IF(AJ39&gt;=40,"?","✗")))))</f>
        <v/>
      </c>
      <c r="AL39" s="33" t="n">
        <v>5</v>
      </c>
    </row>
    <row r="40">
      <c r="A40" s="33" t="inlineStr">
        <is>
          <t>PWR</t>
        </is>
      </c>
      <c r="B40" s="33" t="inlineStr">
        <is>
          <t>Quanta Services, Inc.</t>
        </is>
      </c>
      <c r="C40" s="33" t="inlineStr">
        <is>
          <t>02 Grid &amp; Power Equipment</t>
        </is>
      </c>
      <c r="D40" s="33" t="inlineStr">
        <is>
          <t>2026-10-11</t>
        </is>
      </c>
      <c r="E40" s="33" t="n">
        <v>35.700523</v>
      </c>
      <c r="F40" s="33" t="n">
        <v>36.651</v>
      </c>
      <c r="G40" s="33" t="n">
        <v>2.25</v>
      </c>
      <c r="H40" s="33" t="n">
        <v>3.2254357</v>
      </c>
      <c r="I40" s="33">
        <f>IF(OR(E40="",R40="",R40&lt;=0,E40&lt;0),"",E40/R40)</f>
        <v/>
      </c>
      <c r="J40" s="33" t="n">
        <v>56.4</v>
      </c>
      <c r="K40" s="33" t="n">
        <v>8.859999999999999</v>
      </c>
      <c r="L40" s="33" t="n">
        <v>15.46</v>
      </c>
      <c r="M40" s="33" t="n">
        <v>7.27</v>
      </c>
      <c r="N40" s="33" t="n">
        <v>2</v>
      </c>
      <c r="O40" s="33" t="n">
        <v>33.5</v>
      </c>
      <c r="P40" s="33" t="n">
        <v>18.6</v>
      </c>
      <c r="Q40" s="33" t="n">
        <v>41.1</v>
      </c>
      <c r="R40" s="33" t="n">
        <v>96.90000000000001</v>
      </c>
      <c r="S40" s="33">
        <f>IFERROR(AVERAGE(IFERROR(IF(P40="","",IF(P40&gt;=40,100,IF(P40&gt;=30,90,IF(P40&gt;=20,75,IF(P40&gt;=15,60,IF(P40&gt;=10,45,IF(P40&gt;=5,30,15))))))),""),IFERROR(IF(Q40="","",IF(Q40&gt;=40,100,IF(Q40&gt;=30,90,IF(Q40&gt;=20,75,IF(Q40&gt;=10,60,IF(Q40&gt;=5,45,IF(Q40&gt;=0,30,15))))))),""),IFERROR(IF(R40="","",IF(R40&gt;=40,100,IF(R40&gt;=30,90,IF(R40&gt;=20,75,IF(R40&gt;=10,60,IF(R40&gt;=0,45,IF(R40&gt;=-10,30,15))))))),"")),"")</f>
        <v/>
      </c>
      <c r="T40" s="33" t="n">
        <v>4</v>
      </c>
      <c r="U40" s="33" t="n">
        <v>4</v>
      </c>
      <c r="V40" s="33" t="n">
        <v>4</v>
      </c>
      <c r="W40" s="33" t="n">
        <v>5</v>
      </c>
      <c r="X40" s="33" t="n">
        <v>4</v>
      </c>
      <c r="Y40" s="33">
        <f>IFERROR((AVERAGE(T40,U40,V40,W40,X40)-1)*25,"")</f>
        <v/>
      </c>
      <c r="Z40" s="33" t="n">
        <v>5</v>
      </c>
      <c r="AA40" s="33" t="n">
        <v>5</v>
      </c>
      <c r="AB40" s="33" t="n">
        <v>3</v>
      </c>
      <c r="AC40" s="71" t="n">
        <v>57.5</v>
      </c>
      <c r="AD40" s="33">
        <f>IFERROR(AVERAGE(IFERROR(IF(Z40="","",Z40*20),""),IFERROR(IF(AA40="","",AA40*20),""),IFERROR(IF(AB40="","",AB40*20),""),IFERROR(IF(AC40="","",IF(AC40&gt;=85,100,IF(AC40&gt;=70,90,IF(AC40&gt;=55,75,IF(AC40&gt;=40,60,IF(AC40&gt;=25,40,20)))))),"")),"")</f>
        <v/>
      </c>
      <c r="AE40" s="33" t="n">
        <v>5</v>
      </c>
      <c r="AF40" s="33" t="n">
        <v>5</v>
      </c>
      <c r="AG40" s="33" t="n">
        <v>4</v>
      </c>
      <c r="AH40" s="33" t="n">
        <v>4</v>
      </c>
      <c r="AI40" s="33">
        <f>IFERROR((AVERAGE(AE40,AF40,AG40,AH40,AL40)-1)*25,"")</f>
        <v/>
      </c>
      <c r="AJ40" s="33">
        <f>IFERROR(J40*Weights!$B$4 + O40*Weights!$B$5 + S40*Weights!$B$6 + Y40*Weights!$B$7 + AD40*Weights!$B$8 + AI40*Weights!$B$9,"")</f>
        <v/>
      </c>
      <c r="AK40" s="33">
        <f>IF(AJ40="","",IF(AJ40&gt;=85,"✓✓✓",IF(AJ40&gt;=70,"✓✓",IF(AJ40&gt;=55,"✓",IF(AJ40&gt;=40,"?","✗")))))</f>
        <v/>
      </c>
      <c r="AL40" s="33" t="n">
        <v>5</v>
      </c>
    </row>
    <row r="41">
      <c r="A41" s="33" t="inlineStr">
        <is>
          <t>MTZ</t>
        </is>
      </c>
      <c r="B41" s="33" t="inlineStr">
        <is>
          <t>MasTec, Inc.</t>
        </is>
      </c>
      <c r="C41" s="33" t="inlineStr">
        <is>
          <t>02 Grid &amp; Power Equipment</t>
        </is>
      </c>
      <c r="D41" s="33" t="inlineStr">
        <is>
          <t>2026-10-11</t>
        </is>
      </c>
      <c r="E41" s="33" t="n">
        <v>17.149788</v>
      </c>
      <c r="F41" s="33" t="n">
        <v>15.859</v>
      </c>
      <c r="G41" s="33" t="n">
        <v>1.43</v>
      </c>
      <c r="H41" s="33" t="n">
        <v>1.0600742</v>
      </c>
      <c r="I41" s="33">
        <f>IF(OR(E41="",R41="",R41&lt;=0,E41&lt;0),"",E41/R41)</f>
        <v/>
      </c>
      <c r="J41" s="33" t="n">
        <v>48.6</v>
      </c>
      <c r="K41" s="33" t="n">
        <v>8.93</v>
      </c>
      <c r="L41" s="33" t="n">
        <v>12.91</v>
      </c>
      <c r="M41" s="33" t="n">
        <v>1.52</v>
      </c>
      <c r="N41" s="33" t="n">
        <v>2.23</v>
      </c>
      <c r="O41" s="33" t="n">
        <v>25.2</v>
      </c>
      <c r="P41" s="33" t="n">
        <v>13.51</v>
      </c>
      <c r="Q41" s="33" t="n">
        <v>23.4</v>
      </c>
      <c r="R41" s="33" t="n">
        <v>51.7</v>
      </c>
      <c r="S41" s="33">
        <f>IFERROR(AVERAGE(IFERROR(IF(P41="","",IF(P41&gt;=40,100,IF(P41&gt;=30,90,IF(P41&gt;=20,75,IF(P41&gt;=15,60,IF(P41&gt;=10,45,IF(P41&gt;=5,30,15))))))),""),IFERROR(IF(Q41="","",IF(Q41&gt;=40,100,IF(Q41&gt;=30,90,IF(Q41&gt;=20,75,IF(Q41&gt;=10,60,IF(Q41&gt;=5,45,IF(Q41&gt;=0,30,15))))))),""),IFERROR(IF(R41="","",IF(R41&gt;=40,100,IF(R41&gt;=30,90,IF(R41&gt;=20,75,IF(R41&gt;=10,60,IF(R41&gt;=0,45,IF(R41&gt;=-10,30,15))))))),"")),"")</f>
        <v/>
      </c>
      <c r="T41" s="33" t="n">
        <v>3</v>
      </c>
      <c r="U41" s="33" t="n">
        <v>3</v>
      </c>
      <c r="V41" s="33" t="n">
        <v>3</v>
      </c>
      <c r="W41" s="33" t="n">
        <v>5</v>
      </c>
      <c r="X41" s="33" t="n">
        <v>3</v>
      </c>
      <c r="Y41" s="33">
        <f>IFERROR((AVERAGE(T41,U41,V41,W41,X41)-1)*25,"")</f>
        <v/>
      </c>
      <c r="Z41" s="33" t="n">
        <v>5</v>
      </c>
      <c r="AA41" s="33" t="n">
        <v>5</v>
      </c>
      <c r="AB41" s="33" t="n">
        <v>3</v>
      </c>
      <c r="AC41" s="71" t="n">
        <v>30</v>
      </c>
      <c r="AD41" s="33">
        <f>IFERROR(AVERAGE(IFERROR(IF(Z41="","",Z41*20),""),IFERROR(IF(AA41="","",AA41*20),""),IFERROR(IF(AB41="","",AB41*20),""),IFERROR(IF(AC41="","",IF(AC41&gt;=85,100,IF(AC41&gt;=70,90,IF(AC41&gt;=55,75,IF(AC41&gt;=40,60,IF(AC41&gt;=25,40,20)))))),"")),"")</f>
        <v/>
      </c>
      <c r="AE41" s="33" t="n">
        <v>5</v>
      </c>
      <c r="AF41" s="33" t="n">
        <v>5</v>
      </c>
      <c r="AG41" s="33" t="n">
        <v>4</v>
      </c>
      <c r="AH41" s="33" t="n">
        <v>4</v>
      </c>
      <c r="AI41" s="33">
        <f>IFERROR((AVERAGE(AE41,AF41,AG41,AH41,AL41)-1)*25,"")</f>
        <v/>
      </c>
      <c r="AJ41" s="33">
        <f>IFERROR(J41*Weights!$B$4 + O41*Weights!$B$5 + S41*Weights!$B$6 + Y41*Weights!$B$7 + AD41*Weights!$B$8 + AI41*Weights!$B$9,"")</f>
        <v/>
      </c>
      <c r="AK41" s="33">
        <f>IF(AJ41="","",IF(AJ41&gt;=85,"✓✓✓",IF(AJ41&gt;=70,"✓✓",IF(AJ41&gt;=55,"✓",IF(AJ41&gt;=40,"?","✗")))))</f>
        <v/>
      </c>
      <c r="AL41" s="33" t="n">
        <v>5</v>
      </c>
    </row>
    <row r="42">
      <c r="A42" s="33" t="inlineStr">
        <is>
          <t>POWL</t>
        </is>
      </c>
      <c r="B42" s="33" t="inlineStr">
        <is>
          <t>Powell Industries, Inc.</t>
        </is>
      </c>
      <c r="C42" s="33" t="inlineStr">
        <is>
          <t>02 Grid &amp; Power Equipment</t>
        </is>
      </c>
      <c r="D42" s="33" t="inlineStr">
        <is>
          <t>2026-10-11</t>
        </is>
      </c>
      <c r="E42" s="33" t="n">
        <v>27.458424</v>
      </c>
      <c r="F42" s="33" t="n">
        <v>27.826</v>
      </c>
      <c r="G42" s="33" t="n">
        <v>3.49</v>
      </c>
      <c r="H42" s="33" t="n">
        <v>6.0407715</v>
      </c>
      <c r="I42" s="33">
        <f>IF(OR(E42="",R42="",R42&lt;=0,E42&lt;0),"",E42/R42)</f>
        <v/>
      </c>
      <c r="J42" s="33" t="n">
        <v>36.9</v>
      </c>
      <c r="K42" s="33" t="n">
        <v>22.63</v>
      </c>
      <c r="L42" s="33" t="n">
        <v>30.08</v>
      </c>
      <c r="M42" s="33" t="n">
        <v>21.08</v>
      </c>
      <c r="N42" s="33" t="n">
        <v>-2.67</v>
      </c>
      <c r="O42" s="33" t="n">
        <v>80.7</v>
      </c>
      <c r="P42" s="33" t="n">
        <v>27.52</v>
      </c>
      <c r="Q42" s="33" t="n">
        <v>8.9</v>
      </c>
      <c r="R42" s="33" t="n">
        <v>8.1</v>
      </c>
      <c r="S42" s="33">
        <f>IFERROR(AVERAGE(IFERROR(IF(P42="","",IF(P42&gt;=40,100,IF(P42&gt;=30,90,IF(P42&gt;=20,75,IF(P42&gt;=15,60,IF(P42&gt;=10,45,IF(P42&gt;=5,30,15))))))),""),IFERROR(IF(Q42="","",IF(Q42&gt;=40,100,IF(Q42&gt;=30,90,IF(Q42&gt;=20,75,IF(Q42&gt;=10,60,IF(Q42&gt;=5,45,IF(Q42&gt;=0,30,15))))))),""),IFERROR(IF(R42="","",IF(R42&gt;=40,100,IF(R42&gt;=30,90,IF(R42&gt;=20,75,IF(R42&gt;=10,60,IF(R42&gt;=0,45,IF(R42&gt;=-10,30,15))))))),"")),"")</f>
        <v/>
      </c>
      <c r="T42" s="33" t="n">
        <v>4</v>
      </c>
      <c r="U42" s="33" t="n">
        <v>4</v>
      </c>
      <c r="V42" s="33" t="n">
        <v>3</v>
      </c>
      <c r="W42" s="33" t="n">
        <v>5</v>
      </c>
      <c r="X42" s="33" t="n">
        <v>4</v>
      </c>
      <c r="Y42" s="33">
        <f>IFERROR((AVERAGE(T42,U42,V42,W42,X42)-1)*25,"")</f>
        <v/>
      </c>
      <c r="Z42" s="33" t="n">
        <v>4</v>
      </c>
      <c r="AA42" s="33" t="n">
        <v>5</v>
      </c>
      <c r="AB42" s="33" t="n">
        <v>3</v>
      </c>
      <c r="AC42" s="71" t="n">
        <v>41.7</v>
      </c>
      <c r="AD42" s="33">
        <f>IFERROR(AVERAGE(IFERROR(IF(Z42="","",Z42*20),""),IFERROR(IF(AA42="","",AA42*20),""),IFERROR(IF(AB42="","",AB42*20),""),IFERROR(IF(AC42="","",IF(AC42&gt;=85,100,IF(AC42&gt;=70,90,IF(AC42&gt;=55,75,IF(AC42&gt;=40,60,IF(AC42&gt;=25,40,20)))))),"")),"")</f>
        <v/>
      </c>
      <c r="AE42" s="33" t="n">
        <v>4</v>
      </c>
      <c r="AF42" s="33" t="n">
        <v>4</v>
      </c>
      <c r="AG42" s="33" t="n">
        <v>4</v>
      </c>
      <c r="AH42" s="33" t="n">
        <v>4</v>
      </c>
      <c r="AI42" s="33">
        <f>IFERROR((AVERAGE(AE42,AF42,AG42,AH42,AL42)-1)*25,"")</f>
        <v/>
      </c>
      <c r="AJ42" s="33">
        <f>IFERROR(J42*Weights!$B$4 + O42*Weights!$B$5 + S42*Weights!$B$6 + Y42*Weights!$B$7 + AD42*Weights!$B$8 + AI42*Weights!$B$9,"")</f>
        <v/>
      </c>
      <c r="AK42" s="33">
        <f>IF(AJ42="","",IF(AJ42&gt;=85,"✓✓✓",IF(AJ42&gt;=70,"✓✓",IF(AJ42&gt;=55,"✓",IF(AJ42&gt;=40,"?","✗")))))</f>
        <v/>
      </c>
      <c r="AL42" s="33" t="n">
        <v>5</v>
      </c>
    </row>
    <row r="43">
      <c r="A43" s="33" t="inlineStr">
        <is>
          <t>NVT</t>
        </is>
      </c>
      <c r="B43" s="33" t="inlineStr">
        <is>
          <t>nVent Electric plc</t>
        </is>
      </c>
      <c r="C43" s="33" t="inlineStr">
        <is>
          <t>02 Grid &amp; Power Equipment</t>
        </is>
      </c>
      <c r="D43" s="33" t="inlineStr">
        <is>
          <t>2026-10-11</t>
        </is>
      </c>
      <c r="E43" s="33" t="n">
        <v>25.72648</v>
      </c>
      <c r="F43" s="33" t="n">
        <v>27.191</v>
      </c>
      <c r="G43" s="33" t="n">
        <v>2.13</v>
      </c>
      <c r="H43" s="33" t="n">
        <v>5.606097</v>
      </c>
      <c r="I43" s="33">
        <f>IF(OR(E43="",R43="",R43&lt;=0,E43&lt;0),"",E43/R43)</f>
        <v/>
      </c>
      <c r="J43" s="33" t="n">
        <v>37.5</v>
      </c>
      <c r="K43" s="33" t="n">
        <v>10.66</v>
      </c>
      <c r="L43" s="33" t="n">
        <v>36.45</v>
      </c>
      <c r="M43" s="33" t="n">
        <v>11.95</v>
      </c>
      <c r="N43" s="33" t="n">
        <v>1.31</v>
      </c>
      <c r="O43" s="33" t="n">
        <v>63.1</v>
      </c>
      <c r="P43" s="33" t="n">
        <v>19.26</v>
      </c>
      <c r="Q43" s="33" t="n">
        <v>52.8</v>
      </c>
      <c r="R43" s="33" t="n">
        <v>97.2</v>
      </c>
      <c r="S43" s="33">
        <f>IFERROR(AVERAGE(IFERROR(IF(P43="","",IF(P43&gt;=40,100,IF(P43&gt;=30,90,IF(P43&gt;=20,75,IF(P43&gt;=15,60,IF(P43&gt;=10,45,IF(P43&gt;=5,30,15))))))),""),IFERROR(IF(Q43="","",IF(Q43&gt;=40,100,IF(Q43&gt;=30,90,IF(Q43&gt;=20,75,IF(Q43&gt;=10,60,IF(Q43&gt;=5,45,IF(Q43&gt;=0,30,15))))))),""),IFERROR(IF(R43="","",IF(R43&gt;=40,100,IF(R43&gt;=30,90,IF(R43&gt;=20,75,IF(R43&gt;=10,60,IF(R43&gt;=0,45,IF(R43&gt;=-10,30,15))))))),"")),"")</f>
        <v/>
      </c>
      <c r="T43" s="33" t="n">
        <v>4</v>
      </c>
      <c r="U43" s="33" t="n">
        <v>4</v>
      </c>
      <c r="V43" s="33" t="n">
        <v>4</v>
      </c>
      <c r="W43" s="33" t="n">
        <v>5</v>
      </c>
      <c r="X43" s="33" t="n">
        <v>4</v>
      </c>
      <c r="Y43" s="33">
        <f>IFERROR((AVERAGE(T43,U43,V43,W43,X43)-1)*25,"")</f>
        <v/>
      </c>
      <c r="Z43" s="33" t="n">
        <v>5</v>
      </c>
      <c r="AA43" s="33" t="n">
        <v>5</v>
      </c>
      <c r="AB43" s="33" t="n">
        <v>3</v>
      </c>
      <c r="AC43" s="71" t="n">
        <v>65.8</v>
      </c>
      <c r="AD43" s="33">
        <f>IFERROR(AVERAGE(IFERROR(IF(Z43="","",Z43*20),""),IFERROR(IF(AA43="","",AA43*20),""),IFERROR(IF(AB43="","",AB43*20),""),IFERROR(IF(AC43="","",IF(AC43&gt;=85,100,IF(AC43&gt;=70,90,IF(AC43&gt;=55,75,IF(AC43&gt;=40,60,IF(AC43&gt;=25,40,20)))))),"")),"")</f>
        <v/>
      </c>
      <c r="AE43" s="33" t="n">
        <v>4</v>
      </c>
      <c r="AF43" s="33" t="n">
        <v>4</v>
      </c>
      <c r="AG43" s="33" t="n">
        <v>4</v>
      </c>
      <c r="AH43" s="33" t="n">
        <v>4</v>
      </c>
      <c r="AI43" s="33">
        <f>IFERROR((AVERAGE(AE43,AF43,AG43,AH43,AL43)-1)*25,"")</f>
        <v/>
      </c>
      <c r="AJ43" s="33">
        <f>IFERROR(J43*Weights!$B$4 + O43*Weights!$B$5 + S43*Weights!$B$6 + Y43*Weights!$B$7 + AD43*Weights!$B$8 + AI43*Weights!$B$9,"")</f>
        <v/>
      </c>
      <c r="AK43" s="33">
        <f>IF(AJ43="","",IF(AJ43&gt;=85,"✓✓✓",IF(AJ43&gt;=70,"✓✓",IF(AJ43&gt;=55,"✓",IF(AJ43&gt;=40,"?","✗")))))</f>
        <v/>
      </c>
      <c r="AL43" s="33" t="n">
        <v>5</v>
      </c>
    </row>
    <row r="44">
      <c r="A44" s="33" t="inlineStr">
        <is>
          <t>ATKR</t>
        </is>
      </c>
      <c r="B44" s="33" t="inlineStr">
        <is>
          <t>Atkore Inc.</t>
        </is>
      </c>
      <c r="C44" s="33" t="inlineStr">
        <is>
          <t>02 Grid &amp; Power Equipment</t>
        </is>
      </c>
      <c r="D44" s="33" t="inlineStr">
        <is>
          <t>2026-10-11</t>
        </is>
      </c>
      <c r="E44" s="33" t="n">
        <v>14.8314495</v>
      </c>
      <c r="F44" s="33" t="n">
        <v>12.878</v>
      </c>
      <c r="G44" s="33" t="n">
        <v>1.79</v>
      </c>
      <c r="H44" s="33" t="n">
        <v>1.091795</v>
      </c>
      <c r="I44" s="33">
        <f>IF(OR(E44="",R44="",R44&lt;=0,E44&lt;0),"",E44/R44)</f>
        <v/>
      </c>
      <c r="J44" s="33" t="n">
        <v>78.09999999999999</v>
      </c>
      <c r="K44" s="33" t="n">
        <v>4.92</v>
      </c>
      <c r="L44" s="33" t="n">
        <v>20.59</v>
      </c>
      <c r="M44" s="33" t="n">
        <v>1.96</v>
      </c>
      <c r="N44" s="33" t="n">
        <v>1.94</v>
      </c>
      <c r="O44" s="33" t="n">
        <v>31.2</v>
      </c>
      <c r="P44" s="33" t="n">
        <v>-10.03</v>
      </c>
      <c r="Q44" s="33" t="n">
        <v>8.1</v>
      </c>
      <c r="R44" s="33" t="inlineStr"/>
      <c r="S44" s="33">
        <f>IFERROR(AVERAGE(IFERROR(IF(P44="","",IF(P44&gt;=40,100,IF(P44&gt;=30,90,IF(P44&gt;=20,75,IF(P44&gt;=15,60,IF(P44&gt;=10,45,IF(P44&gt;=5,30,15))))))),""),IFERROR(IF(Q44="","",IF(Q44&gt;=40,100,IF(Q44&gt;=30,90,IF(Q44&gt;=20,75,IF(Q44&gt;=10,60,IF(Q44&gt;=5,45,IF(Q44&gt;=0,30,15))))))),""),IFERROR(IF(R44="","",IF(R44&gt;=40,100,IF(R44&gt;=30,90,IF(R44&gt;=20,75,IF(R44&gt;=10,60,IF(R44&gt;=0,45,IF(R44&gt;=-10,30,15))))))),"")),"")</f>
        <v/>
      </c>
      <c r="T44" s="33" t="n">
        <v>3</v>
      </c>
      <c r="U44" s="33" t="n">
        <v>3</v>
      </c>
      <c r="V44" s="33" t="n">
        <v>3</v>
      </c>
      <c r="W44" s="33" t="n">
        <v>4</v>
      </c>
      <c r="X44" s="33" t="n">
        <v>3</v>
      </c>
      <c r="Y44" s="33">
        <f>IFERROR((AVERAGE(T44,U44,V44,W44,X44)-1)*25,"")</f>
        <v/>
      </c>
      <c r="Z44" s="33" t="n">
        <v>4</v>
      </c>
      <c r="AA44" s="33" t="n">
        <v>3</v>
      </c>
      <c r="AB44" s="33" t="n">
        <v>3</v>
      </c>
      <c r="AC44" s="71" t="n">
        <v>80.8</v>
      </c>
      <c r="AD44" s="33">
        <f>IFERROR(AVERAGE(IFERROR(IF(Z44="","",Z44*20),""),IFERROR(IF(AA44="","",AA44*20),""),IFERROR(IF(AB44="","",AB44*20),""),IFERROR(IF(AC44="","",IF(AC44&gt;=85,100,IF(AC44&gt;=70,90,IF(AC44&gt;=55,75,IF(AC44&gt;=40,60,IF(AC44&gt;=25,40,20)))))),"")),"")</f>
        <v/>
      </c>
      <c r="AE44" s="33" t="n">
        <v>4</v>
      </c>
      <c r="AF44" s="33" t="n">
        <v>4</v>
      </c>
      <c r="AG44" s="33" t="n">
        <v>4</v>
      </c>
      <c r="AH44" s="33" t="n">
        <v>4</v>
      </c>
      <c r="AI44" s="33">
        <f>IFERROR((AVERAGE(AE44,AF44,AG44,AH44,AL44)-1)*25,"")</f>
        <v/>
      </c>
      <c r="AJ44" s="33">
        <f>IFERROR(J44*Weights!$B$4 + O44*Weights!$B$5 + S44*Weights!$B$6 + Y44*Weights!$B$7 + AD44*Weights!$B$8 + AI44*Weights!$B$9,"")</f>
        <v/>
      </c>
      <c r="AK44" s="33">
        <f>IF(AJ44="","",IF(AJ44&gt;=85,"✓✓✓",IF(AJ44&gt;=70,"✓✓",IF(AJ44&gt;=55,"✓",IF(AJ44&gt;=40,"?","✗")))))</f>
        <v/>
      </c>
      <c r="AL44" s="33" t="n">
        <v>5</v>
      </c>
    </row>
    <row r="45">
      <c r="A45" s="33" t="inlineStr">
        <is>
          <t>DLR</t>
        </is>
      </c>
      <c r="B45" s="33" t="inlineStr">
        <is>
          <t>Digital Realty Trust, Inc.</t>
        </is>
      </c>
      <c r="C45" s="33" t="inlineStr">
        <is>
          <t>03 Data Center Construction, REITs &amp; Cooling</t>
        </is>
      </c>
      <c r="D45" s="33" t="inlineStr">
        <is>
          <t>2026-10-11</t>
        </is>
      </c>
      <c r="E45" s="33" t="n">
        <v>64.71934</v>
      </c>
      <c r="F45" s="33" t="n">
        <v>27.347</v>
      </c>
      <c r="G45" s="33" t="n">
        <v>5.58</v>
      </c>
      <c r="H45" s="33" t="n">
        <v>9.991239999999999</v>
      </c>
      <c r="I45" s="33">
        <f>IF(OR(E45="",R45="",R45&lt;=0,E45&lt;0),"",E45/R45)</f>
        <v/>
      </c>
      <c r="J45" s="33" t="n">
        <v>46</v>
      </c>
      <c r="K45" s="33" t="n">
        <v>2.11</v>
      </c>
      <c r="L45" s="33" t="n">
        <v>56.99</v>
      </c>
      <c r="M45" s="33" t="n">
        <v>55.77</v>
      </c>
      <c r="N45" s="33" t="n">
        <v>5.66</v>
      </c>
      <c r="O45" s="33" t="n">
        <v>52.6</v>
      </c>
      <c r="P45" s="33" t="n">
        <v>9.220000000000001</v>
      </c>
      <c r="Q45" s="33" t="n">
        <v>29.9</v>
      </c>
      <c r="R45" s="33" t="n">
        <v>-56.1</v>
      </c>
      <c r="S45" s="33">
        <f>IFERROR(AVERAGE(IFERROR(IF(P45="","",IF(P45&gt;=40,100,IF(P45&gt;=30,90,IF(P45&gt;=20,75,IF(P45&gt;=15,60,IF(P45&gt;=10,45,IF(P45&gt;=5,30,15))))))),""),IFERROR(IF(Q45="","",IF(Q45&gt;=40,100,IF(Q45&gt;=30,90,IF(Q45&gt;=20,75,IF(Q45&gt;=10,60,IF(Q45&gt;=5,45,IF(Q45&gt;=0,30,15))))))),""),IFERROR(IF(R45="","",IF(R45&gt;=40,100,IF(R45&gt;=30,90,IF(R45&gt;=20,75,IF(R45&gt;=10,60,IF(R45&gt;=0,45,IF(R45&gt;=-10,30,15))))))),"")),"")</f>
        <v/>
      </c>
      <c r="T45" s="33" t="n">
        <v>5</v>
      </c>
      <c r="U45" s="33" t="n">
        <v>5</v>
      </c>
      <c r="V45" s="33" t="n">
        <v>4</v>
      </c>
      <c r="W45" s="33" t="n">
        <v>5</v>
      </c>
      <c r="X45" s="33" t="n">
        <v>5</v>
      </c>
      <c r="Y45" s="33">
        <f>IFERROR((AVERAGE(T45,U45,V45,W45,X45)-1)*25,"")</f>
        <v/>
      </c>
      <c r="Z45" s="33" t="n">
        <v>2</v>
      </c>
      <c r="AA45" s="33" t="n">
        <v>4</v>
      </c>
      <c r="AB45" s="33" t="n">
        <v>3</v>
      </c>
      <c r="AC45" s="71" t="n">
        <v>50</v>
      </c>
      <c r="AD45" s="33">
        <f>IFERROR(AVERAGE(IFERROR(IF(Z45="","",Z45*20),""),IFERROR(IF(AA45="","",AA45*20),""),IFERROR(IF(AB45="","",AB45*20),""),IFERROR(IF(AC45="","",IF(AC45&gt;=85,100,IF(AC45&gt;=70,90,IF(AC45&gt;=55,75,IF(AC45&gt;=40,60,IF(AC45&gt;=25,40,20)))))),"")),"")</f>
        <v/>
      </c>
      <c r="AE45" s="33" t="n">
        <v>4</v>
      </c>
      <c r="AF45" s="33" t="n">
        <v>4</v>
      </c>
      <c r="AG45" s="33" t="n">
        <v>3</v>
      </c>
      <c r="AH45" s="33" t="n">
        <v>4</v>
      </c>
      <c r="AI45" s="33">
        <f>IFERROR((AVERAGE(AE45,AF45,AG45,AH45,AL45)-1)*25,"")</f>
        <v/>
      </c>
      <c r="AJ45" s="33">
        <f>IFERROR(J45*Weights!$B$4 + O45*Weights!$B$5 + S45*Weights!$B$6 + Y45*Weights!$B$7 + AD45*Weights!$B$8 + AI45*Weights!$B$9,"")</f>
        <v/>
      </c>
      <c r="AK45" s="33">
        <f>IF(AJ45="","",IF(AJ45&gt;=85,"✓✓✓",IF(AJ45&gt;=70,"✓✓",IF(AJ45&gt;=55,"✓",IF(AJ45&gt;=40,"?","✗")))))</f>
        <v/>
      </c>
      <c r="AL45" s="33" t="n">
        <v>5</v>
      </c>
    </row>
    <row r="46">
      <c r="A46" s="33" t="inlineStr">
        <is>
          <t>EQIX</t>
        </is>
      </c>
      <c r="B46" s="33" t="inlineStr">
        <is>
          <t>Equinix, Inc.</t>
        </is>
      </c>
      <c r="C46" s="33" t="inlineStr">
        <is>
          <t>03 Data Center Construction, REITs &amp; Cooling</t>
        </is>
      </c>
      <c r="D46" s="33" t="inlineStr">
        <is>
          <t>2026-10-11</t>
        </is>
      </c>
      <c r="E46" s="33" t="n">
        <v>55.380383</v>
      </c>
      <c r="F46" s="33" t="n">
        <v>27.357</v>
      </c>
      <c r="G46" s="33" t="n">
        <v>-1.45</v>
      </c>
      <c r="H46" s="33" t="n">
        <v>10.222444</v>
      </c>
      <c r="I46" s="33">
        <f>IF(OR(E46="",R46="",R46&lt;=0,E46&lt;0),"",E46/R46)</f>
        <v/>
      </c>
      <c r="J46" s="33" t="n">
        <v>23.8</v>
      </c>
      <c r="K46" s="33" t="n">
        <v>5.44</v>
      </c>
      <c r="L46" s="33" t="n">
        <v>51.98</v>
      </c>
      <c r="M46" s="33" t="n">
        <v>-14.78</v>
      </c>
      <c r="N46" s="33" t="n">
        <v>4.93</v>
      </c>
      <c r="O46" s="33" t="n">
        <v>32.2</v>
      </c>
      <c r="P46" s="33" t="n">
        <v>8.27</v>
      </c>
      <c r="Q46" s="33" t="n">
        <v>16.7</v>
      </c>
      <c r="R46" s="33" t="n">
        <v>30.2</v>
      </c>
      <c r="S46" s="33">
        <f>IFERROR(AVERAGE(IFERROR(IF(P46="","",IF(P46&gt;=40,100,IF(P46&gt;=30,90,IF(P46&gt;=20,75,IF(P46&gt;=15,60,IF(P46&gt;=10,45,IF(P46&gt;=5,30,15))))))),""),IFERROR(IF(Q46="","",IF(Q46&gt;=40,100,IF(Q46&gt;=30,90,IF(Q46&gt;=20,75,IF(Q46&gt;=10,60,IF(Q46&gt;=5,45,IF(Q46&gt;=0,30,15))))))),""),IFERROR(IF(R46="","",IF(R46&gt;=40,100,IF(R46&gt;=30,90,IF(R46&gt;=20,75,IF(R46&gt;=10,60,IF(R46&gt;=0,45,IF(R46&gt;=-10,30,15))))))),"")),"")</f>
        <v/>
      </c>
      <c r="T46" s="33" t="n">
        <v>4</v>
      </c>
      <c r="U46" s="33" t="n">
        <v>5</v>
      </c>
      <c r="V46" s="33" t="n">
        <v>5</v>
      </c>
      <c r="W46" s="33" t="n">
        <v>5</v>
      </c>
      <c r="X46" s="33" t="n">
        <v>5</v>
      </c>
      <c r="Y46" s="33">
        <f>IFERROR((AVERAGE(T46,U46,V46,W46,X46)-1)*25,"")</f>
        <v/>
      </c>
      <c r="Z46" s="33" t="n">
        <v>4</v>
      </c>
      <c r="AA46" s="33" t="n">
        <v>5</v>
      </c>
      <c r="AB46" s="33" t="n">
        <v>3</v>
      </c>
      <c r="AC46" s="71" t="n">
        <v>52.5</v>
      </c>
      <c r="AD46" s="33">
        <f>IFERROR(AVERAGE(IFERROR(IF(Z46="","",Z46*20),""),IFERROR(IF(AA46="","",AA46*20),""),IFERROR(IF(AB46="","",AB46*20),""),IFERROR(IF(AC46="","",IF(AC46&gt;=85,100,IF(AC46&gt;=70,90,IF(AC46&gt;=55,75,IF(AC46&gt;=40,60,IF(AC46&gt;=25,40,20)))))),"")),"")</f>
        <v/>
      </c>
      <c r="AE46" s="33" t="n">
        <v>4</v>
      </c>
      <c r="AF46" s="33" t="n">
        <v>4</v>
      </c>
      <c r="AG46" s="33" t="n">
        <v>3</v>
      </c>
      <c r="AH46" s="33" t="n">
        <v>4</v>
      </c>
      <c r="AI46" s="33">
        <f>IFERROR((AVERAGE(AE46,AF46,AG46,AH46,AL46)-1)*25,"")</f>
        <v/>
      </c>
      <c r="AJ46" s="33">
        <f>IFERROR(J46*Weights!$B$4 + O46*Weights!$B$5 + S46*Weights!$B$6 + Y46*Weights!$B$7 + AD46*Weights!$B$8 + AI46*Weights!$B$9,"")</f>
        <v/>
      </c>
      <c r="AK46" s="33">
        <f>IF(AJ46="","",IF(AJ46&gt;=85,"✓✓✓",IF(AJ46&gt;=70,"✓✓",IF(AJ46&gt;=55,"✓",IF(AJ46&gt;=40,"?","✗")))))</f>
        <v/>
      </c>
      <c r="AL46" s="33" t="n">
        <v>5</v>
      </c>
    </row>
    <row r="47">
      <c r="A47" s="33" t="inlineStr">
        <is>
          <t>IRM</t>
        </is>
      </c>
      <c r="B47" s="33" t="inlineStr">
        <is>
          <t>Iron Mountain Incorporated</t>
        </is>
      </c>
      <c r="C47" s="33" t="inlineStr">
        <is>
          <t>03 Data Center Construction, REITs &amp; Cooling</t>
        </is>
      </c>
      <c r="D47" s="33" t="inlineStr">
        <is>
          <t>2026-10-11</t>
        </is>
      </c>
      <c r="E47" s="33" t="n">
        <v>41.993664</v>
      </c>
      <c r="F47" s="33" t="n">
        <v>21.4</v>
      </c>
      <c r="G47" s="33" t="n">
        <v>-1.75</v>
      </c>
      <c r="H47" s="33" t="n">
        <v>4.507779</v>
      </c>
      <c r="I47" s="33">
        <f>IF(OR(E47="",R47="",R47&lt;=0,E47&lt;0),"",E47/R47)</f>
        <v/>
      </c>
      <c r="J47" s="33" t="n">
        <v>49.4</v>
      </c>
      <c r="K47" s="33" t="n">
        <v>7.06</v>
      </c>
      <c r="L47" s="33" t="n">
        <v>54.21</v>
      </c>
      <c r="M47" s="33" t="n">
        <v>-7.89</v>
      </c>
      <c r="N47" s="33" t="n">
        <v>7.74</v>
      </c>
      <c r="O47" s="33" t="n">
        <v>39</v>
      </c>
      <c r="P47" s="33" t="n">
        <v>10.58</v>
      </c>
      <c r="Q47" s="33" t="n">
        <v>18.5</v>
      </c>
      <c r="R47" s="33" t="n">
        <v>800.6</v>
      </c>
      <c r="S47" s="33">
        <f>IFERROR(AVERAGE(IFERROR(IF(P47="","",IF(P47&gt;=40,100,IF(P47&gt;=30,90,IF(P47&gt;=20,75,IF(P47&gt;=15,60,IF(P47&gt;=10,45,IF(P47&gt;=5,30,15))))))),""),IFERROR(IF(Q47="","",IF(Q47&gt;=40,100,IF(Q47&gt;=30,90,IF(Q47&gt;=20,75,IF(Q47&gt;=10,60,IF(Q47&gt;=5,45,IF(Q47&gt;=0,30,15))))))),""),IFERROR(IF(R47="","",IF(R47&gt;=40,100,IF(R47&gt;=30,90,IF(R47&gt;=20,75,IF(R47&gt;=10,60,IF(R47&gt;=0,45,IF(R47&gt;=-10,30,15))))))),"")),"")</f>
        <v/>
      </c>
      <c r="T47" s="33" t="n">
        <v>4</v>
      </c>
      <c r="U47" s="33" t="n">
        <v>3</v>
      </c>
      <c r="V47" s="33" t="n">
        <v>3</v>
      </c>
      <c r="W47" s="33" t="n">
        <v>5</v>
      </c>
      <c r="X47" s="33" t="n">
        <v>4</v>
      </c>
      <c r="Y47" s="33">
        <f>IFERROR((AVERAGE(T47,U47,V47,W47,X47)-1)*25,"")</f>
        <v/>
      </c>
      <c r="Z47" s="33" t="n">
        <v>4</v>
      </c>
      <c r="AA47" s="33" t="n">
        <v>5</v>
      </c>
      <c r="AB47" s="33" t="n">
        <v>3</v>
      </c>
      <c r="AC47" s="71" t="n">
        <v>49.2</v>
      </c>
      <c r="AD47" s="33">
        <f>IFERROR(AVERAGE(IFERROR(IF(Z47="","",Z47*20),""),IFERROR(IF(AA47="","",AA47*20),""),IFERROR(IF(AB47="","",AB47*20),""),IFERROR(IF(AC47="","",IF(AC47&gt;=85,100,IF(AC47&gt;=70,90,IF(AC47&gt;=55,75,IF(AC47&gt;=40,60,IF(AC47&gt;=25,40,20)))))),"")),"")</f>
        <v/>
      </c>
      <c r="AE47" s="33" t="n">
        <v>4</v>
      </c>
      <c r="AF47" s="33" t="n">
        <v>4</v>
      </c>
      <c r="AG47" s="33" t="n">
        <v>2</v>
      </c>
      <c r="AH47" s="33" t="n">
        <v>4</v>
      </c>
      <c r="AI47" s="33">
        <f>IFERROR((AVERAGE(AE47,AF47,AG47,AH47,AL47)-1)*25,"")</f>
        <v/>
      </c>
      <c r="AJ47" s="33">
        <f>IFERROR(J47*Weights!$B$4 + O47*Weights!$B$5 + S47*Weights!$B$6 + Y47*Weights!$B$7 + AD47*Weights!$B$8 + AI47*Weights!$B$9,"")</f>
        <v/>
      </c>
      <c r="AK47" s="33">
        <f>IF(AJ47="","",IF(AJ47&gt;=85,"✓✓✓",IF(AJ47&gt;=70,"✓✓",IF(AJ47&gt;=55,"✓",IF(AJ47&gt;=40,"?","✗")))))</f>
        <v/>
      </c>
      <c r="AL47" s="33" t="n">
        <v>5</v>
      </c>
    </row>
    <row r="48">
      <c r="A48" s="33" t="inlineStr">
        <is>
          <t>FIX</t>
        </is>
      </c>
      <c r="B48" s="33" t="inlineStr">
        <is>
          <t>Comfort Systems USA, Inc.</t>
        </is>
      </c>
      <c r="C48" s="33" t="inlineStr">
        <is>
          <t>03 Data Center Construction, REITs &amp; Cooling</t>
        </is>
      </c>
      <c r="D48" s="33" t="inlineStr">
        <is>
          <t>2026-10-11</t>
        </is>
      </c>
      <c r="E48" s="33" t="n">
        <v>28.510025</v>
      </c>
      <c r="F48" s="33" t="n">
        <v>29.784</v>
      </c>
      <c r="G48" s="33" t="n">
        <v>3.58</v>
      </c>
      <c r="H48" s="33" t="n">
        <v>5.3778434</v>
      </c>
      <c r="I48" s="33">
        <f>IF(OR(E48="",R48="",R48&lt;=0,E48&lt;0),"",E48/R48)</f>
        <v/>
      </c>
      <c r="J48" s="33" t="n">
        <v>65.8</v>
      </c>
      <c r="K48" s="33" t="n">
        <v>38.78</v>
      </c>
      <c r="L48" s="33" t="n">
        <v>25.66</v>
      </c>
      <c r="M48" s="33" t="n">
        <v>19.24</v>
      </c>
      <c r="N48" s="33" t="n">
        <v>-0.77</v>
      </c>
      <c r="O48" s="33" t="n">
        <v>73.59999999999999</v>
      </c>
      <c r="P48" s="33" t="n">
        <v>30.03</v>
      </c>
      <c r="Q48" s="33" t="n">
        <v>50.3</v>
      </c>
      <c r="R48" s="33" t="n">
        <v>91.3</v>
      </c>
      <c r="S48" s="33">
        <f>IFERROR(AVERAGE(IFERROR(IF(P48="","",IF(P48&gt;=40,100,IF(P48&gt;=30,90,IF(P48&gt;=20,75,IF(P48&gt;=15,60,IF(P48&gt;=10,45,IF(P48&gt;=5,30,15))))))),""),IFERROR(IF(Q48="","",IF(Q48&gt;=40,100,IF(Q48&gt;=30,90,IF(Q48&gt;=20,75,IF(Q48&gt;=10,60,IF(Q48&gt;=5,45,IF(Q48&gt;=0,30,15))))))),""),IFERROR(IF(R48="","",IF(R48&gt;=40,100,IF(R48&gt;=30,90,IF(R48&gt;=20,75,IF(R48&gt;=10,60,IF(R48&gt;=0,45,IF(R48&gt;=-10,30,15))))))),"")),"")</f>
        <v/>
      </c>
      <c r="T48" s="33" t="n">
        <v>5</v>
      </c>
      <c r="U48" s="33" t="n">
        <v>4</v>
      </c>
      <c r="V48" s="33" t="n">
        <v>4</v>
      </c>
      <c r="W48" s="33" t="n">
        <v>5</v>
      </c>
      <c r="X48" s="33" t="n">
        <v>5</v>
      </c>
      <c r="Y48" s="33">
        <f>IFERROR((AVERAGE(T48,U48,V48,W48,X48)-1)*25,"")</f>
        <v/>
      </c>
      <c r="Z48" s="33" t="n">
        <v>5</v>
      </c>
      <c r="AA48" s="33" t="n">
        <v>4</v>
      </c>
      <c r="AB48" s="33" t="n">
        <v>3</v>
      </c>
      <c r="AC48" s="71" t="n">
        <v>47.5</v>
      </c>
      <c r="AD48" s="33">
        <f>IFERROR(AVERAGE(IFERROR(IF(Z48="","",Z48*20),""),IFERROR(IF(AA48="","",AA48*20),""),IFERROR(IF(AB48="","",AB48*20),""),IFERROR(IF(AC48="","",IF(AC48&gt;=85,100,IF(AC48&gt;=70,90,IF(AC48&gt;=55,75,IF(AC48&gt;=40,60,IF(AC48&gt;=25,40,20)))))),"")),"")</f>
        <v/>
      </c>
      <c r="AE48" s="33" t="n">
        <v>4</v>
      </c>
      <c r="AF48" s="33" t="n">
        <v>5</v>
      </c>
      <c r="AG48" s="33" t="n">
        <v>5</v>
      </c>
      <c r="AH48" s="33" t="n">
        <v>4</v>
      </c>
      <c r="AI48" s="33">
        <f>IFERROR((AVERAGE(AE48,AF48,AG48,AH48,AL48)-1)*25,"")</f>
        <v/>
      </c>
      <c r="AJ48" s="33">
        <f>IFERROR(J48*Weights!$B$4 + O48*Weights!$B$5 + S48*Weights!$B$6 + Y48*Weights!$B$7 + AD48*Weights!$B$8 + AI48*Weights!$B$9,"")</f>
        <v/>
      </c>
      <c r="AK48" s="33">
        <f>IF(AJ48="","",IF(AJ48&gt;=85,"✓✓✓",IF(AJ48&gt;=70,"✓✓",IF(AJ48&gt;=55,"✓",IF(AJ48&gt;=40,"?","✗")))))</f>
        <v/>
      </c>
      <c r="AL48" s="33" t="n">
        <v>5</v>
      </c>
    </row>
    <row r="49">
      <c r="A49" s="33" t="inlineStr">
        <is>
          <t>EME</t>
        </is>
      </c>
      <c r="B49" s="33" t="inlineStr">
        <is>
          <t>EMCOR Group, Inc.</t>
        </is>
      </c>
      <c r="C49" s="33" t="inlineStr">
        <is>
          <t>03 Data Center Construction, REITs &amp; Cooling</t>
        </is>
      </c>
      <c r="D49" s="33" t="inlineStr">
        <is>
          <t>2026-10-11</t>
        </is>
      </c>
      <c r="E49" s="33" t="n">
        <v>21.479156</v>
      </c>
      <c r="F49" s="33" t="n">
        <v>17.199</v>
      </c>
      <c r="G49" s="33" t="n">
        <v>3.36</v>
      </c>
      <c r="H49" s="33" t="n">
        <v>1.8724047</v>
      </c>
      <c r="I49" s="33">
        <f>IF(OR(E49="",R49="",R49&lt;=0,E49&lt;0),"",E49/R49)</f>
        <v/>
      </c>
      <c r="J49" s="33" t="n">
        <v>79.7</v>
      </c>
      <c r="K49" s="33" t="n">
        <v>26.76</v>
      </c>
      <c r="L49" s="33" t="n">
        <v>19.43</v>
      </c>
      <c r="M49" s="33" t="n">
        <v>6.3</v>
      </c>
      <c r="N49" s="33" t="n">
        <v>-0.19</v>
      </c>
      <c r="O49" s="33" t="n">
        <v>60.2</v>
      </c>
      <c r="P49" s="33" t="n">
        <v>15.32</v>
      </c>
      <c r="Q49" s="33" t="n">
        <v>19.8</v>
      </c>
      <c r="R49" s="33" t="n">
        <v>33.6</v>
      </c>
      <c r="S49" s="33">
        <f>IFERROR(AVERAGE(IFERROR(IF(P49="","",IF(P49&gt;=40,100,IF(P49&gt;=30,90,IF(P49&gt;=20,75,IF(P49&gt;=15,60,IF(P49&gt;=10,45,IF(P49&gt;=5,30,15))))))),""),IFERROR(IF(Q49="","",IF(Q49&gt;=40,100,IF(Q49&gt;=30,90,IF(Q49&gt;=20,75,IF(Q49&gt;=10,60,IF(Q49&gt;=5,45,IF(Q49&gt;=0,30,15))))))),""),IFERROR(IF(R49="","",IF(R49&gt;=40,100,IF(R49&gt;=30,90,IF(R49&gt;=20,75,IF(R49&gt;=10,60,IF(R49&gt;=0,45,IF(R49&gt;=-10,30,15))))))),"")),"")</f>
        <v/>
      </c>
      <c r="T49" s="33" t="n">
        <v>4</v>
      </c>
      <c r="U49" s="33" t="n">
        <v>4</v>
      </c>
      <c r="V49" s="33" t="n">
        <v>4</v>
      </c>
      <c r="W49" s="33" t="n">
        <v>4</v>
      </c>
      <c r="X49" s="33" t="n">
        <v>4</v>
      </c>
      <c r="Y49" s="33">
        <f>IFERROR((AVERAGE(T49,U49,V49,W49,X49)-1)*25,"")</f>
        <v/>
      </c>
      <c r="Z49" s="33" t="n">
        <v>5</v>
      </c>
      <c r="AA49" s="33" t="n">
        <v>3</v>
      </c>
      <c r="AB49" s="33" t="n">
        <v>3</v>
      </c>
      <c r="AC49" s="71" t="n">
        <v>42.5</v>
      </c>
      <c r="AD49" s="33">
        <f>IFERROR(AVERAGE(IFERROR(IF(Z49="","",Z49*20),""),IFERROR(IF(AA49="","",AA49*20),""),IFERROR(IF(AB49="","",AB49*20),""),IFERROR(IF(AC49="","",IF(AC49&gt;=85,100,IF(AC49&gt;=70,90,IF(AC49&gt;=55,75,IF(AC49&gt;=40,60,IF(AC49&gt;=25,40,20)))))),"")),"")</f>
        <v/>
      </c>
      <c r="AE49" s="33" t="n">
        <v>5</v>
      </c>
      <c r="AF49" s="33" t="n">
        <v>5</v>
      </c>
      <c r="AG49" s="33" t="n">
        <v>5</v>
      </c>
      <c r="AH49" s="33" t="n">
        <v>4</v>
      </c>
      <c r="AI49" s="33">
        <f>IFERROR((AVERAGE(AE49,AF49,AG49,AH49,AL49)-1)*25,"")</f>
        <v/>
      </c>
      <c r="AJ49" s="33">
        <f>IFERROR(J49*Weights!$B$4 + O49*Weights!$B$5 + S49*Weights!$B$6 + Y49*Weights!$B$7 + AD49*Weights!$B$8 + AI49*Weights!$B$9,"")</f>
        <v/>
      </c>
      <c r="AK49" s="33">
        <f>IF(AJ49="","",IF(AJ49&gt;=85,"✓✓✓",IF(AJ49&gt;=70,"✓✓",IF(AJ49&gt;=55,"✓",IF(AJ49&gt;=40,"?","✗")))))</f>
        <v/>
      </c>
      <c r="AL49" s="33" t="n">
        <v>5</v>
      </c>
    </row>
    <row r="50">
      <c r="A50" s="33" t="inlineStr">
        <is>
          <t>MOD</t>
        </is>
      </c>
      <c r="B50" s="33" t="inlineStr">
        <is>
          <t>Modine Manufacturing Company</t>
        </is>
      </c>
      <c r="C50" s="33" t="inlineStr">
        <is>
          <t>03 Data Center Construction, REITs &amp; Cooling</t>
        </is>
      </c>
      <c r="D50" s="33" t="inlineStr">
        <is>
          <t>2026-10-11</t>
        </is>
      </c>
      <c r="E50" s="33" t="n">
        <v>19.62104553790581</v>
      </c>
      <c r="F50" s="33" t="n">
        <v>23.674</v>
      </c>
      <c r="G50" s="33" t="n">
        <v>1.04</v>
      </c>
      <c r="H50" s="33" t="n">
        <v>2.8594303</v>
      </c>
      <c r="I50" s="33">
        <f>IF(OR(E50="",R50="",R50&lt;=0,E50&lt;0),"",E50/R50)</f>
        <v/>
      </c>
      <c r="J50" s="33" t="n">
        <v>56.7</v>
      </c>
      <c r="K50" s="33" t="n">
        <v>13.9</v>
      </c>
      <c r="L50" s="33" t="n">
        <v>22.21</v>
      </c>
      <c r="M50" s="33" t="n">
        <v>2.97</v>
      </c>
      <c r="N50" s="33" t="n">
        <v>1.28</v>
      </c>
      <c r="O50" s="33" t="n">
        <v>44.9</v>
      </c>
      <c r="P50" s="33" t="n">
        <v>11.45</v>
      </c>
      <c r="Q50" s="33" t="n">
        <v>28</v>
      </c>
      <c r="R50" s="33" t="n">
        <v>44.3</v>
      </c>
      <c r="S50" s="33">
        <f>IFERROR(AVERAGE(IFERROR(IF(P50="","",IF(P50&gt;=40,100,IF(P50&gt;=30,90,IF(P50&gt;=20,75,IF(P50&gt;=15,60,IF(P50&gt;=10,45,IF(P50&gt;=5,30,15))))))),""),IFERROR(IF(Q50="","",IF(Q50&gt;=40,100,IF(Q50&gt;=30,90,IF(Q50&gt;=20,75,IF(Q50&gt;=10,60,IF(Q50&gt;=5,45,IF(Q50&gt;=0,30,15))))))),""),IFERROR(IF(R50="","",IF(R50&gt;=40,100,IF(R50&gt;=30,90,IF(R50&gt;=20,75,IF(R50&gt;=10,60,IF(R50&gt;=0,45,IF(R50&gt;=-10,30,15))))))),"")),"")</f>
        <v/>
      </c>
      <c r="T50" s="33" t="n">
        <v>4</v>
      </c>
      <c r="U50" s="33" t="n">
        <v>4</v>
      </c>
      <c r="V50" s="33" t="n">
        <v>4</v>
      </c>
      <c r="W50" s="33" t="n">
        <v>5</v>
      </c>
      <c r="X50" s="33" t="n">
        <v>5</v>
      </c>
      <c r="Y50" s="33">
        <f>IFERROR((AVERAGE(T50,U50,V50,W50,X50)-1)*25,"")</f>
        <v/>
      </c>
      <c r="Z50" s="33" t="n">
        <v>4</v>
      </c>
      <c r="AA50" s="33" t="n">
        <v>5</v>
      </c>
      <c r="AB50" s="33" t="n">
        <v>3</v>
      </c>
      <c r="AC50" s="71" t="n">
        <v>37.5</v>
      </c>
      <c r="AD50" s="33">
        <f>IFERROR(AVERAGE(IFERROR(IF(Z50="","",Z50*20),""),IFERROR(IF(AA50="","",AA50*20),""),IFERROR(IF(AB50="","",AB50*20),""),IFERROR(IF(AC50="","",IF(AC50&gt;=85,100,IF(AC50&gt;=70,90,IF(AC50&gt;=55,75,IF(AC50&gt;=40,60,IF(AC50&gt;=25,40,20)))))),"")),"")</f>
        <v/>
      </c>
      <c r="AE50" s="33" t="n">
        <v>2</v>
      </c>
      <c r="AF50" s="33" t="n">
        <v>4</v>
      </c>
      <c r="AG50" s="33" t="n">
        <v>3</v>
      </c>
      <c r="AH50" s="33" t="n">
        <v>4</v>
      </c>
      <c r="AI50" s="33">
        <f>IFERROR((AVERAGE(AE50,AF50,AG50,AH50,AL50)-1)*25,"")</f>
        <v/>
      </c>
      <c r="AJ50" s="33">
        <f>IFERROR(J50*Weights!$B$4 + O50*Weights!$B$5 + S50*Weights!$B$6 + Y50*Weights!$B$7 + AD50*Weights!$B$8 + AI50*Weights!$B$9,"")</f>
        <v/>
      </c>
      <c r="AK50" s="33">
        <f>IF(AJ50="","",IF(AJ50&gt;=85,"✓✓✓",IF(AJ50&gt;=70,"✓✓",IF(AJ50&gt;=55,"✓",IF(AJ50&gt;=40,"?","✗")))))</f>
        <v/>
      </c>
      <c r="AL50" s="33" t="n">
        <v>5</v>
      </c>
    </row>
    <row r="51">
      <c r="A51" s="33" t="inlineStr">
        <is>
          <t>CARR</t>
        </is>
      </c>
      <c r="B51" s="33" t="inlineStr">
        <is>
          <t>Carrier Global Corporation</t>
        </is>
      </c>
      <c r="C51" s="33" t="inlineStr">
        <is>
          <t>03 Data Center Construction, REITs &amp; Cooling</t>
        </is>
      </c>
      <c r="D51" s="33" t="inlineStr">
        <is>
          <t>2026-10-11</t>
        </is>
      </c>
      <c r="E51" s="33" t="n">
        <v>16.849077</v>
      </c>
      <c r="F51" s="33" t="n">
        <v>18.336</v>
      </c>
      <c r="G51" s="33" t="n">
        <v>4.18</v>
      </c>
      <c r="H51" s="33" t="n">
        <v>2.087346</v>
      </c>
      <c r="I51" s="33">
        <f>IF(OR(E51="",R51="",R51&lt;=0,E51&lt;0),"",E51/R51)</f>
        <v/>
      </c>
      <c r="J51" s="33" t="n">
        <v>60.7</v>
      </c>
      <c r="K51" s="33" t="n">
        <v>5.33</v>
      </c>
      <c r="L51" s="33" t="n">
        <v>24.69</v>
      </c>
      <c r="M51" s="33" t="n">
        <v>8.720000000000001</v>
      </c>
      <c r="N51" s="33" t="n">
        <v>3.57</v>
      </c>
      <c r="O51" s="33" t="n">
        <v>35.1</v>
      </c>
      <c r="P51" s="33" t="n">
        <v>7.95</v>
      </c>
      <c r="Q51" s="33" t="n">
        <v>3.9</v>
      </c>
      <c r="R51" s="33" t="n">
        <v>-15.2</v>
      </c>
      <c r="S51" s="33">
        <f>IFERROR(AVERAGE(IFERROR(IF(P51="","",IF(P51&gt;=40,100,IF(P51&gt;=30,90,IF(P51&gt;=20,75,IF(P51&gt;=15,60,IF(P51&gt;=10,45,IF(P51&gt;=5,30,15))))))),""),IFERROR(IF(Q51="","",IF(Q51&gt;=40,100,IF(Q51&gt;=30,90,IF(Q51&gt;=20,75,IF(Q51&gt;=10,60,IF(Q51&gt;=5,45,IF(Q51&gt;=0,30,15))))))),""),IFERROR(IF(R51="","",IF(R51&gt;=40,100,IF(R51&gt;=30,90,IF(R51&gt;=20,75,IF(R51&gt;=10,60,IF(R51&gt;=0,45,IF(R51&gt;=-10,30,15))))))),"")),"")</f>
        <v/>
      </c>
      <c r="T51" s="33" t="n">
        <v>3</v>
      </c>
      <c r="U51" s="33" t="n">
        <v>4</v>
      </c>
      <c r="V51" s="33" t="n">
        <v>3</v>
      </c>
      <c r="W51" s="33" t="n">
        <v>4</v>
      </c>
      <c r="X51" s="33" t="n">
        <v>4</v>
      </c>
      <c r="Y51" s="33">
        <f>IFERROR((AVERAGE(T51,U51,V51,W51,X51)-1)*25,"")</f>
        <v/>
      </c>
      <c r="Z51" s="33" t="n">
        <v>3</v>
      </c>
      <c r="AA51" s="33" t="n">
        <v>4</v>
      </c>
      <c r="AB51" s="33" t="n">
        <v>3</v>
      </c>
      <c r="AC51" s="71" t="n">
        <v>53.3</v>
      </c>
      <c r="AD51" s="33">
        <f>IFERROR(AVERAGE(IFERROR(IF(Z51="","",Z51*20),""),IFERROR(IF(AA51="","",AA51*20),""),IFERROR(IF(AB51="","",AB51*20),""),IFERROR(IF(AC51="","",IF(AC51&gt;=85,100,IF(AC51&gt;=70,90,IF(AC51&gt;=55,75,IF(AC51&gt;=40,60,IF(AC51&gt;=25,40,20)))))),"")),"")</f>
        <v/>
      </c>
      <c r="AE51" s="33" t="n">
        <v>5</v>
      </c>
      <c r="AF51" s="33" t="n">
        <v>4</v>
      </c>
      <c r="AG51" s="33" t="n">
        <v>3</v>
      </c>
      <c r="AH51" s="33" t="n">
        <v>4</v>
      </c>
      <c r="AI51" s="33">
        <f>IFERROR((AVERAGE(AE51,AF51,AG51,AH51,AL51)-1)*25,"")</f>
        <v/>
      </c>
      <c r="AJ51" s="33">
        <f>IFERROR(J51*Weights!$B$4 + O51*Weights!$B$5 + S51*Weights!$B$6 + Y51*Weights!$B$7 + AD51*Weights!$B$8 + AI51*Weights!$B$9,"")</f>
        <v/>
      </c>
      <c r="AK51" s="33">
        <f>IF(AJ51="","",IF(AJ51&gt;=85,"✓✓✓",IF(AJ51&gt;=70,"✓✓",IF(AJ51&gt;=55,"✓",IF(AJ51&gt;=40,"?","✗")))))</f>
        <v/>
      </c>
      <c r="AL51" s="33" t="n">
        <v>5</v>
      </c>
    </row>
    <row r="52">
      <c r="A52" s="33" t="inlineStr">
        <is>
          <t>TT</t>
        </is>
      </c>
      <c r="B52" s="33" t="inlineStr">
        <is>
          <t>Trane Technologies plc</t>
        </is>
      </c>
      <c r="C52" s="33" t="inlineStr">
        <is>
          <t>03 Data Center Construction, REITs &amp; Cooling</t>
        </is>
      </c>
      <c r="D52" s="33" t="inlineStr">
        <is>
          <t>2026-10-11</t>
        </is>
      </c>
      <c r="E52" s="33" t="n">
        <v>27.09564</v>
      </c>
      <c r="F52" s="33" t="n">
        <v>24.633</v>
      </c>
      <c r="G52" s="33" t="n">
        <v>3.38</v>
      </c>
      <c r="H52" s="33" t="n">
        <v>4.7252197</v>
      </c>
      <c r="I52" s="33">
        <f>IF(OR(E52="",R52="",R52&lt;=0,E52&lt;0),"",E52/R52)</f>
        <v/>
      </c>
      <c r="J52" s="33" t="n">
        <v>54.4</v>
      </c>
      <c r="K52" s="33" t="n">
        <v>20.78</v>
      </c>
      <c r="L52" s="33" t="n">
        <v>35.39</v>
      </c>
      <c r="M52" s="33" t="n">
        <v>15.97</v>
      </c>
      <c r="N52" s="33" t="n">
        <v>0.77</v>
      </c>
      <c r="O52" s="33" t="n">
        <v>69.09999999999999</v>
      </c>
      <c r="P52" s="33" t="n">
        <v>10.06</v>
      </c>
      <c r="Q52" s="33" t="n">
        <v>10.6</v>
      </c>
      <c r="R52" s="33" t="n">
        <v>5.8</v>
      </c>
      <c r="S52" s="33">
        <f>IFERROR(AVERAGE(IFERROR(IF(P52="","",IF(P52&gt;=40,100,IF(P52&gt;=30,90,IF(P52&gt;=20,75,IF(P52&gt;=15,60,IF(P52&gt;=10,45,IF(P52&gt;=5,30,15))))))),""),IFERROR(IF(Q52="","",IF(Q52&gt;=40,100,IF(Q52&gt;=30,90,IF(Q52&gt;=20,75,IF(Q52&gt;=10,60,IF(Q52&gt;=5,45,IF(Q52&gt;=0,30,15))))))),""),IFERROR(IF(R52="","",IF(R52&gt;=40,100,IF(R52&gt;=30,90,IF(R52&gt;=20,75,IF(R52&gt;=10,60,IF(R52&gt;=0,45,IF(R52&gt;=-10,30,15))))))),"")),"")</f>
        <v/>
      </c>
      <c r="T52" s="33" t="n">
        <v>3</v>
      </c>
      <c r="U52" s="33" t="n">
        <v>4</v>
      </c>
      <c r="V52" s="33" t="n">
        <v>4</v>
      </c>
      <c r="W52" s="33" t="n">
        <v>5</v>
      </c>
      <c r="X52" s="33" t="n">
        <v>4</v>
      </c>
      <c r="Y52" s="33">
        <f>IFERROR((AVERAGE(T52,U52,V52,W52,X52)-1)*25,"")</f>
        <v/>
      </c>
      <c r="Z52" s="33" t="n">
        <v>5</v>
      </c>
      <c r="AA52" s="33" t="n">
        <v>3</v>
      </c>
      <c r="AB52" s="33" t="n">
        <v>3</v>
      </c>
      <c r="AC52" s="71" t="n">
        <v>60.8</v>
      </c>
      <c r="AD52" s="33">
        <f>IFERROR(AVERAGE(IFERROR(IF(Z52="","",Z52*20),""),IFERROR(IF(AA52="","",AA52*20),""),IFERROR(IF(AB52="","",AB52*20),""),IFERROR(IF(AC52="","",IF(AC52&gt;=85,100,IF(AC52&gt;=70,90,IF(AC52&gt;=55,75,IF(AC52&gt;=40,60,IF(AC52&gt;=25,40,20)))))),"")),"")</f>
        <v/>
      </c>
      <c r="AE52" s="33" t="n">
        <v>5</v>
      </c>
      <c r="AF52" s="33" t="n">
        <v>4</v>
      </c>
      <c r="AG52" s="33" t="n">
        <v>4</v>
      </c>
      <c r="AH52" s="33" t="n">
        <v>4</v>
      </c>
      <c r="AI52" s="33">
        <f>IFERROR((AVERAGE(AE52,AF52,AG52,AH52,AL52)-1)*25,"")</f>
        <v/>
      </c>
      <c r="AJ52" s="33">
        <f>IFERROR(J52*Weights!$B$4 + O52*Weights!$B$5 + S52*Weights!$B$6 + Y52*Weights!$B$7 + AD52*Weights!$B$8 + AI52*Weights!$B$9,"")</f>
        <v/>
      </c>
      <c r="AK52" s="33">
        <f>IF(AJ52="","",IF(AJ52&gt;=85,"✓✓✓",IF(AJ52&gt;=70,"✓✓",IF(AJ52&gt;=55,"✓",IF(AJ52&gt;=40,"?","✗")))))</f>
        <v/>
      </c>
      <c r="AL52" s="33" t="n">
        <v>5</v>
      </c>
    </row>
    <row r="53">
      <c r="A53" s="33" t="inlineStr">
        <is>
          <t>JCI</t>
        </is>
      </c>
      <c r="B53" s="33" t="inlineStr">
        <is>
          <t>Johnson Controls International plc</t>
        </is>
      </c>
      <c r="C53" s="33" t="inlineStr">
        <is>
          <t>03 Data Center Construction, REITs &amp; Cooling</t>
        </is>
      </c>
      <c r="D53" s="33" t="inlineStr">
        <is>
          <t>2026-10-11</t>
        </is>
      </c>
      <c r="E53" s="33" t="n">
        <v>25.793896</v>
      </c>
      <c r="F53" s="33" t="n">
        <v>23.889</v>
      </c>
      <c r="G53" s="33" t="n">
        <v>1.74</v>
      </c>
      <c r="H53" s="33" t="n">
        <v>3.8154802</v>
      </c>
      <c r="I53" s="33">
        <f>IF(OR(E53="",R53="",R53&lt;=0,E53&lt;0),"",E53/R53)</f>
        <v/>
      </c>
      <c r="J53" s="33" t="n">
        <v>61.6</v>
      </c>
      <c r="K53" s="33" t="n">
        <v>10.59</v>
      </c>
      <c r="L53" s="33" t="n">
        <v>36.65</v>
      </c>
      <c r="M53" s="33" t="n">
        <v>6.64</v>
      </c>
      <c r="N53" s="33" t="n">
        <v>2.04</v>
      </c>
      <c r="O53" s="33" t="n">
        <v>50.2</v>
      </c>
      <c r="P53" s="33" t="n">
        <v>4.57</v>
      </c>
      <c r="Q53" s="33" t="n">
        <v>9.300000000000001</v>
      </c>
      <c r="R53" s="33" t="n">
        <v>6.8</v>
      </c>
      <c r="S53" s="33">
        <f>IFERROR(AVERAGE(IFERROR(IF(P53="","",IF(P53&gt;=40,100,IF(P53&gt;=30,90,IF(P53&gt;=20,75,IF(P53&gt;=15,60,IF(P53&gt;=10,45,IF(P53&gt;=5,30,15))))))),""),IFERROR(IF(Q53="","",IF(Q53&gt;=40,100,IF(Q53&gt;=30,90,IF(Q53&gt;=20,75,IF(Q53&gt;=10,60,IF(Q53&gt;=5,45,IF(Q53&gt;=0,30,15))))))),""),IFERROR(IF(R53="","",IF(R53&gt;=40,100,IF(R53&gt;=30,90,IF(R53&gt;=20,75,IF(R53&gt;=10,60,IF(R53&gt;=0,45,IF(R53&gt;=-10,30,15))))))),"")),"")</f>
        <v/>
      </c>
      <c r="T53" s="33" t="n">
        <v>3</v>
      </c>
      <c r="U53" s="33" t="n">
        <v>4</v>
      </c>
      <c r="V53" s="33" t="n">
        <v>4</v>
      </c>
      <c r="W53" s="33" t="n">
        <v>4</v>
      </c>
      <c r="X53" s="33" t="n">
        <v>4</v>
      </c>
      <c r="Y53" s="33">
        <f>IFERROR((AVERAGE(T53,U53,V53,W53,X53)-1)*25,"")</f>
        <v/>
      </c>
      <c r="Z53" s="33" t="n">
        <v>5</v>
      </c>
      <c r="AA53" s="33" t="n">
        <v>4</v>
      </c>
      <c r="AB53" s="33" t="n">
        <v>3</v>
      </c>
      <c r="AC53" s="71" t="n">
        <v>67.5</v>
      </c>
      <c r="AD53" s="33">
        <f>IFERROR(AVERAGE(IFERROR(IF(Z53="","",Z53*20),""),IFERROR(IF(AA53="","",AA53*20),""),IFERROR(IF(AB53="","",AB53*20),""),IFERROR(IF(AC53="","",IF(AC53&gt;=85,100,IF(AC53&gt;=70,90,IF(AC53&gt;=55,75,IF(AC53&gt;=40,60,IF(AC53&gt;=25,40,20)))))),"")),"")</f>
        <v/>
      </c>
      <c r="AE53" s="33" t="n">
        <v>5</v>
      </c>
      <c r="AF53" s="33" t="n">
        <v>4</v>
      </c>
      <c r="AG53" s="33" t="n">
        <v>4</v>
      </c>
      <c r="AH53" s="33" t="n">
        <v>4</v>
      </c>
      <c r="AI53" s="33">
        <f>IFERROR((AVERAGE(AE53,AF53,AG53,AH53,AL53)-1)*25,"")</f>
        <v/>
      </c>
      <c r="AJ53" s="33">
        <f>IFERROR(J53*Weights!$B$4 + O53*Weights!$B$5 + S53*Weights!$B$6 + Y53*Weights!$B$7 + AD53*Weights!$B$8 + AI53*Weights!$B$9,"")</f>
        <v/>
      </c>
      <c r="AK53" s="33">
        <f>IF(AJ53="","",IF(AJ53&gt;=85,"✓✓✓",IF(AJ53&gt;=70,"✓✓",IF(AJ53&gt;=55,"✓",IF(AJ53&gt;=40,"?","✗")))))</f>
        <v/>
      </c>
      <c r="AL53" s="33" t="n">
        <v>5</v>
      </c>
    </row>
    <row r="54">
      <c r="A54" s="33" t="inlineStr">
        <is>
          <t>ASML</t>
        </is>
      </c>
      <c r="B54" s="33" t="inlineStr">
        <is>
          <t>ASML Holding N.V.</t>
        </is>
      </c>
      <c r="C54" s="33" t="inlineStr">
        <is>
          <t>04 Semiconductor Equipment &amp; Materials / Equipment</t>
        </is>
      </c>
      <c r="D54" s="33" t="inlineStr">
        <is>
          <t>2026-10-11</t>
        </is>
      </c>
      <c r="E54" s="33" t="n">
        <v>30.446087</v>
      </c>
      <c r="F54" s="33" t="n">
        <v>44.83</v>
      </c>
      <c r="G54" s="33" t="n">
        <v>1.46</v>
      </c>
      <c r="H54" s="33" t="n">
        <v>17.27</v>
      </c>
      <c r="I54" s="33">
        <f>IF(OR(E54="",R54="",R54&lt;=0,E54&lt;0),"",E54/R54)</f>
        <v/>
      </c>
      <c r="J54" s="33" t="n">
        <v>45.3</v>
      </c>
      <c r="K54" s="33" t="n">
        <v>36.76</v>
      </c>
      <c r="L54" s="33" t="n">
        <v>52.73</v>
      </c>
      <c r="M54" s="33" t="n">
        <v>25.18</v>
      </c>
      <c r="N54" s="33" t="n">
        <v>-0.41</v>
      </c>
      <c r="O54" s="33" t="n">
        <v>59.9</v>
      </c>
      <c r="P54" s="33" t="n">
        <v>15.55</v>
      </c>
      <c r="Q54" s="33" t="n">
        <v>21.3</v>
      </c>
      <c r="R54" s="33" t="n">
        <v>27.4</v>
      </c>
      <c r="S54" s="33">
        <f>IFERROR(AVERAGE(IFERROR(IF(P54="","",IF(P54&gt;=40,100,IF(P54&gt;=30,90,IF(P54&gt;=20,75,IF(P54&gt;=15,60,IF(P54&gt;=10,45,IF(P54&gt;=5,30,15))))))),""),IFERROR(IF(Q54="","",IF(Q54&gt;=40,100,IF(Q54&gt;=30,90,IF(Q54&gt;=20,75,IF(Q54&gt;=10,60,IF(Q54&gt;=5,45,IF(Q54&gt;=0,30,15))))))),""),IFERROR(IF(R54="","",IF(R54&gt;=40,100,IF(R54&gt;=30,90,IF(R54&gt;=20,75,IF(R54&gt;=10,60,IF(R54&gt;=0,45,IF(R54&gt;=-10,30,15))))))),"")),"")</f>
        <v/>
      </c>
      <c r="T54" s="33" t="n">
        <v>3</v>
      </c>
      <c r="U54" s="33" t="n">
        <v>5</v>
      </c>
      <c r="V54" s="33" t="n">
        <v>5</v>
      </c>
      <c r="W54" s="33" t="n">
        <v>4</v>
      </c>
      <c r="X54" s="33" t="n">
        <v>2</v>
      </c>
      <c r="Y54" s="33">
        <f>IFERROR((AVERAGE(T54,U54,V54,W54,X54)-1)*25,"")</f>
        <v/>
      </c>
      <c r="Z54" s="33" t="n">
        <v>4</v>
      </c>
      <c r="AA54" s="33" t="n">
        <v>2</v>
      </c>
      <c r="AB54" s="33" t="n">
        <v>3</v>
      </c>
      <c r="AC54" s="71" t="n">
        <v>70</v>
      </c>
      <c r="AD54" s="33">
        <f>IFERROR(AVERAGE(IFERROR(IF(Z54="","",Z54*20),""),IFERROR(IF(AA54="","",AA54*20),""),IFERROR(IF(AB54="","",AB54*20),""),IFERROR(IF(AC54="","",IF(AC54&gt;=85,100,IF(AC54&gt;=70,90,IF(AC54&gt;=55,75,IF(AC54&gt;=40,60,IF(AC54&gt;=25,40,20)))))),"")),"")</f>
        <v/>
      </c>
      <c r="AE54" s="33" t="n">
        <v>4</v>
      </c>
      <c r="AF54" s="33" t="n">
        <v>3</v>
      </c>
      <c r="AG54" s="33" t="n">
        <v>5</v>
      </c>
      <c r="AH54" s="33" t="n">
        <v>3</v>
      </c>
      <c r="AI54" s="33">
        <f>IFERROR((AVERAGE(AE54,AF54,AG54,AH54,AL54)-1)*25,"")</f>
        <v/>
      </c>
      <c r="AJ54" s="33">
        <f>IFERROR(J54*Weights!$B$4 + O54*Weights!$B$5 + S54*Weights!$B$6 + Y54*Weights!$B$7 + AD54*Weights!$B$8 + AI54*Weights!$B$9,"")</f>
        <v/>
      </c>
      <c r="AK54" s="33">
        <f>IF(AJ54="","",IF(AJ54&gt;=85,"✓✓✓",IF(AJ54&gt;=70,"✓✓",IF(AJ54&gt;=55,"✓",IF(AJ54&gt;=40,"?","✗")))))</f>
        <v/>
      </c>
      <c r="AL54" s="33" t="n">
        <v>5</v>
      </c>
    </row>
    <row r="55">
      <c r="A55" s="33" t="inlineStr">
        <is>
          <t>AMAT</t>
        </is>
      </c>
      <c r="B55" s="33" t="inlineStr">
        <is>
          <t>Applied Materials, Inc.</t>
        </is>
      </c>
      <c r="C55" s="33" t="inlineStr">
        <is>
          <t>04 Semiconductor Equipment &amp; Materials / Equipment</t>
        </is>
      </c>
      <c r="D55" s="33" t="inlineStr">
        <is>
          <t>2026-10-11</t>
        </is>
      </c>
      <c r="E55" s="33" t="n">
        <v>27.438263</v>
      </c>
      <c r="F55" s="33" t="n">
        <v>40.502</v>
      </c>
      <c r="G55" s="33" t="n">
        <v>1.4</v>
      </c>
      <c r="H55" s="33" t="n">
        <v>13.048536</v>
      </c>
      <c r="I55" s="33">
        <f>IF(OR(E55="",R55="",R55&lt;=0,E55&lt;0),"",E55/R55)</f>
        <v/>
      </c>
      <c r="J55" s="33" t="n">
        <v>37.6</v>
      </c>
      <c r="K55" s="33" t="n">
        <v>24.97</v>
      </c>
      <c r="L55" s="33" t="n">
        <v>49.4</v>
      </c>
      <c r="M55" s="33" t="n">
        <v>18.23</v>
      </c>
      <c r="N55" s="33" t="n">
        <v>-0.19</v>
      </c>
      <c r="O55" s="33" t="n">
        <v>75</v>
      </c>
      <c r="P55" s="33" t="n">
        <v>3.23</v>
      </c>
      <c r="Q55" s="33" t="n">
        <v>24.8</v>
      </c>
      <c r="R55" s="33" t="n">
        <v>42.7</v>
      </c>
      <c r="S55" s="33">
        <f>IFERROR(AVERAGE(IFERROR(IF(P55="","",IF(P55&gt;=40,100,IF(P55&gt;=30,90,IF(P55&gt;=20,75,IF(P55&gt;=15,60,IF(P55&gt;=10,45,IF(P55&gt;=5,30,15))))))),""),IFERROR(IF(Q55="","",IF(Q55&gt;=40,100,IF(Q55&gt;=30,90,IF(Q55&gt;=20,75,IF(Q55&gt;=10,60,IF(Q55&gt;=5,45,IF(Q55&gt;=0,30,15))))))),""),IFERROR(IF(R55="","",IF(R55&gt;=40,100,IF(R55&gt;=30,90,IF(R55&gt;=20,75,IF(R55&gt;=10,60,IF(R55&gt;=0,45,IF(R55&gt;=-10,30,15))))))),"")),"")</f>
        <v/>
      </c>
      <c r="T55" s="33" t="n">
        <v>3</v>
      </c>
      <c r="U55" s="33" t="n">
        <v>4</v>
      </c>
      <c r="V55" s="33" t="n">
        <v>4</v>
      </c>
      <c r="W55" s="33" t="n">
        <v>5</v>
      </c>
      <c r="X55" s="33" t="n">
        <v>2</v>
      </c>
      <c r="Y55" s="33">
        <f>IFERROR((AVERAGE(T55,U55,V55,W55,X55)-1)*25,"")</f>
        <v/>
      </c>
      <c r="Z55" s="33" t="n">
        <v>4</v>
      </c>
      <c r="AA55" s="33" t="n">
        <v>3</v>
      </c>
      <c r="AB55" s="33" t="n">
        <v>3</v>
      </c>
      <c r="AC55" s="71" t="n">
        <v>60.8</v>
      </c>
      <c r="AD55" s="33">
        <f>IFERROR(AVERAGE(IFERROR(IF(Z55="","",Z55*20),""),IFERROR(IF(AA55="","",AA55*20),""),IFERROR(IF(AB55="","",AB55*20),""),IFERROR(IF(AC55="","",IF(AC55&gt;=85,100,IF(AC55&gt;=70,90,IF(AC55&gt;=55,75,IF(AC55&gt;=40,60,IF(AC55&gt;=25,40,20)))))),"")),"")</f>
        <v/>
      </c>
      <c r="AE55" s="33" t="n">
        <v>4</v>
      </c>
      <c r="AF55" s="33" t="n">
        <v>3</v>
      </c>
      <c r="AG55" s="33" t="n">
        <v>5</v>
      </c>
      <c r="AH55" s="33" t="n">
        <v>4</v>
      </c>
      <c r="AI55" s="33">
        <f>IFERROR((AVERAGE(AE55,AF55,AG55,AH55,AL55)-1)*25,"")</f>
        <v/>
      </c>
      <c r="AJ55" s="33">
        <f>IFERROR(J55*Weights!$B$4 + O55*Weights!$B$5 + S55*Weights!$B$6 + Y55*Weights!$B$7 + AD55*Weights!$B$8 + AI55*Weights!$B$9,"")</f>
        <v/>
      </c>
      <c r="AK55" s="33">
        <f>IF(AJ55="","",IF(AJ55&gt;=85,"✓✓✓",IF(AJ55&gt;=70,"✓✓",IF(AJ55&gt;=55,"✓",IF(AJ55&gt;=40,"?","✗")))))</f>
        <v/>
      </c>
      <c r="AL55" s="33" t="n">
        <v>5</v>
      </c>
    </row>
    <row r="56">
      <c r="A56" s="33" t="inlineStr">
        <is>
          <t>LRCX</t>
        </is>
      </c>
      <c r="B56" s="33" t="inlineStr">
        <is>
          <t>Lam Research Corporation</t>
        </is>
      </c>
      <c r="C56" s="33" t="inlineStr">
        <is>
          <t>04 Semiconductor Equipment &amp; Materials / Equipment</t>
        </is>
      </c>
      <c r="D56" s="33" t="inlineStr">
        <is>
          <t>2026-10-11</t>
        </is>
      </c>
      <c r="E56" s="33" t="n">
        <v>29.9621306308694</v>
      </c>
      <c r="F56" s="33" t="n">
        <v>47.547</v>
      </c>
      <c r="G56" s="33" t="n">
        <v>1.23</v>
      </c>
      <c r="H56" s="33" t="n">
        <v>17.174255</v>
      </c>
      <c r="I56" s="33">
        <f>IF(OR(E56="",R56="",R56&lt;=0,E56&lt;0),"",E56/R56)</f>
        <v/>
      </c>
      <c r="J56" s="33" t="n">
        <v>37</v>
      </c>
      <c r="K56" s="33" t="n">
        <v>40.98</v>
      </c>
      <c r="L56" s="33" t="n">
        <v>50.47</v>
      </c>
      <c r="M56" s="33" t="n">
        <v>21.05</v>
      </c>
      <c r="N56" s="33" t="n">
        <v>-0.17</v>
      </c>
      <c r="O56" s="33" t="n">
        <v>87</v>
      </c>
      <c r="P56" s="33" t="n">
        <v>10.06</v>
      </c>
      <c r="Q56" s="33" t="n">
        <v>30</v>
      </c>
      <c r="R56" s="33" t="n">
        <v>32.4</v>
      </c>
      <c r="S56" s="33">
        <f>IFERROR(AVERAGE(IFERROR(IF(P56="","",IF(P56&gt;=40,100,IF(P56&gt;=30,90,IF(P56&gt;=20,75,IF(P56&gt;=15,60,IF(P56&gt;=10,45,IF(P56&gt;=5,30,15))))))),""),IFERROR(IF(Q56="","",IF(Q56&gt;=40,100,IF(Q56&gt;=30,90,IF(Q56&gt;=20,75,IF(Q56&gt;=10,60,IF(Q56&gt;=5,45,IF(Q56&gt;=0,30,15))))))),""),IFERROR(IF(R56="","",IF(R56&gt;=40,100,IF(R56&gt;=30,90,IF(R56&gt;=20,75,IF(R56&gt;=10,60,IF(R56&gt;=0,45,IF(R56&gt;=-10,30,15))))))),"")),"")</f>
        <v/>
      </c>
      <c r="T56" s="33" t="n">
        <v>3</v>
      </c>
      <c r="U56" s="33" t="n">
        <v>4</v>
      </c>
      <c r="V56" s="33" t="n">
        <v>4</v>
      </c>
      <c r="W56" s="33" t="n">
        <v>5</v>
      </c>
      <c r="X56" s="33" t="n">
        <v>2</v>
      </c>
      <c r="Y56" s="33">
        <f>IFERROR((AVERAGE(T56,U56,V56,W56,X56)-1)*25,"")</f>
        <v/>
      </c>
      <c r="Z56" s="33" t="n">
        <v>5</v>
      </c>
      <c r="AA56" s="33" t="n">
        <v>4</v>
      </c>
      <c r="AB56" s="33" t="n">
        <v>3</v>
      </c>
      <c r="AC56" s="71" t="n">
        <v>60.8</v>
      </c>
      <c r="AD56" s="33">
        <f>IFERROR(AVERAGE(IFERROR(IF(Z56="","",Z56*20),""),IFERROR(IF(AA56="","",AA56*20),""),IFERROR(IF(AB56="","",AB56*20),""),IFERROR(IF(AC56="","",IF(AC56&gt;=85,100,IF(AC56&gt;=70,90,IF(AC56&gt;=55,75,IF(AC56&gt;=40,60,IF(AC56&gt;=25,40,20)))))),"")),"")</f>
        <v/>
      </c>
      <c r="AE56" s="33" t="n">
        <v>4</v>
      </c>
      <c r="AF56" s="33" t="n">
        <v>3</v>
      </c>
      <c r="AG56" s="33" t="n">
        <v>5</v>
      </c>
      <c r="AH56" s="33" t="n">
        <v>4</v>
      </c>
      <c r="AI56" s="33">
        <f>IFERROR((AVERAGE(AE56,AF56,AG56,AH56,AL56)-1)*25,"")</f>
        <v/>
      </c>
      <c r="AJ56" s="33">
        <f>IFERROR(J56*Weights!$B$4 + O56*Weights!$B$5 + S56*Weights!$B$6 + Y56*Weights!$B$7 + AD56*Weights!$B$8 + AI56*Weights!$B$9,"")</f>
        <v/>
      </c>
      <c r="AK56" s="33">
        <f>IF(AJ56="","",IF(AJ56&gt;=85,"✓✓✓",IF(AJ56&gt;=70,"✓✓",IF(AJ56&gt;=55,"✓",IF(AJ56&gt;=40,"?","✗")))))</f>
        <v/>
      </c>
      <c r="AL56" s="33" t="n">
        <v>5</v>
      </c>
    </row>
    <row r="57">
      <c r="A57" s="33" t="inlineStr">
        <is>
          <t>KLAC</t>
        </is>
      </c>
      <c r="B57" s="33" t="inlineStr">
        <is>
          <t>KLA Corporation</t>
        </is>
      </c>
      <c r="C57" s="33" t="inlineStr">
        <is>
          <t>04 Semiconductor Equipment &amp; Materials / Equipment</t>
        </is>
      </c>
      <c r="D57" s="33" t="inlineStr">
        <is>
          <t>2026-10-11</t>
        </is>
      </c>
      <c r="E57" s="33" t="n">
        <v>32.09056876577424</v>
      </c>
      <c r="F57" s="33" t="n">
        <v>42.68</v>
      </c>
      <c r="G57" s="33" t="n">
        <v>1.48</v>
      </c>
      <c r="H57" s="33" t="n">
        <v>18.794548</v>
      </c>
      <c r="I57" s="33">
        <f>IF(OR(E57="",R57="",R57&lt;=0,E57&lt;0),"",E57/R57)</f>
        <v/>
      </c>
      <c r="J57" s="33" t="n">
        <v>23.2</v>
      </c>
      <c r="K57" s="33" t="n">
        <v>35.75</v>
      </c>
      <c r="L57" s="33" t="n">
        <v>61.3</v>
      </c>
      <c r="M57" s="33" t="n">
        <v>27.74</v>
      </c>
      <c r="N57" s="33" t="n">
        <v>0.21</v>
      </c>
      <c r="O57" s="33" t="n">
        <v>88</v>
      </c>
      <c r="P57" s="33" t="n">
        <v>8.960000000000001</v>
      </c>
      <c r="Q57" s="33" t="n">
        <v>15.2</v>
      </c>
      <c r="R57" s="33" t="n">
        <v>13.3</v>
      </c>
      <c r="S57" s="33">
        <f>IFERROR(AVERAGE(IFERROR(IF(P57="","",IF(P57&gt;=40,100,IF(P57&gt;=30,90,IF(P57&gt;=20,75,IF(P57&gt;=15,60,IF(P57&gt;=10,45,IF(P57&gt;=5,30,15))))))),""),IFERROR(IF(Q57="","",IF(Q57&gt;=40,100,IF(Q57&gt;=30,90,IF(Q57&gt;=20,75,IF(Q57&gt;=10,60,IF(Q57&gt;=5,45,IF(Q57&gt;=0,30,15))))))),""),IFERROR(IF(R57="","",IF(R57&gt;=40,100,IF(R57&gt;=30,90,IF(R57&gt;=20,75,IF(R57&gt;=10,60,IF(R57&gt;=0,45,IF(R57&gt;=-10,30,15))))))),"")),"")</f>
        <v/>
      </c>
      <c r="T57" s="33" t="n">
        <v>4</v>
      </c>
      <c r="U57" s="33" t="n">
        <v>5</v>
      </c>
      <c r="V57" s="33" t="n">
        <v>5</v>
      </c>
      <c r="W57" s="33" t="n">
        <v>4</v>
      </c>
      <c r="X57" s="33" t="n">
        <v>4</v>
      </c>
      <c r="Y57" s="33">
        <f>IFERROR((AVERAGE(T57,U57,V57,W57,X57)-1)*25,"")</f>
        <v/>
      </c>
      <c r="Z57" s="33" t="n">
        <v>5</v>
      </c>
      <c r="AA57" s="33" t="n">
        <v>2</v>
      </c>
      <c r="AB57" s="33" t="n">
        <v>3</v>
      </c>
      <c r="AC57" s="71" t="n">
        <v>58.3</v>
      </c>
      <c r="AD57" s="33">
        <f>IFERROR(AVERAGE(IFERROR(IF(Z57="","",Z57*20),""),IFERROR(IF(AA57="","",AA57*20),""),IFERROR(IF(AB57="","",AB57*20),""),IFERROR(IF(AC57="","",IF(AC57&gt;=85,100,IF(AC57&gt;=70,90,IF(AC57&gt;=55,75,IF(AC57&gt;=40,60,IF(AC57&gt;=25,40,20)))))),"")),"")</f>
        <v/>
      </c>
      <c r="AE57" s="33" t="n">
        <v>4</v>
      </c>
      <c r="AF57" s="33" t="n">
        <v>3</v>
      </c>
      <c r="AG57" s="33" t="n">
        <v>5</v>
      </c>
      <c r="AH57" s="33" t="n">
        <v>4</v>
      </c>
      <c r="AI57" s="33">
        <f>IFERROR((AVERAGE(AE57,AF57,AG57,AH57,AL57)-1)*25,"")</f>
        <v/>
      </c>
      <c r="AJ57" s="33">
        <f>IFERROR(J57*Weights!$B$4 + O57*Weights!$B$5 + S57*Weights!$B$6 + Y57*Weights!$B$7 + AD57*Weights!$B$8 + AI57*Weights!$B$9,"")</f>
        <v/>
      </c>
      <c r="AK57" s="33">
        <f>IF(AJ57="","",IF(AJ57&gt;=85,"✓✓✓",IF(AJ57&gt;=70,"✓✓",IF(AJ57&gt;=55,"✓",IF(AJ57&gt;=40,"?","✗")))))</f>
        <v/>
      </c>
      <c r="AL57" s="33" t="n">
        <v>5</v>
      </c>
    </row>
    <row r="58">
      <c r="A58" s="33" t="inlineStr">
        <is>
          <t>TOELY</t>
        </is>
      </c>
      <c r="B58" s="33" t="inlineStr">
        <is>
          <t>Tokyo Electron Limited</t>
        </is>
      </c>
      <c r="C58" s="33" t="inlineStr">
        <is>
          <t>04 Semiconductor Equipment &amp; Materials / Equipment</t>
        </is>
      </c>
      <c r="D58" s="33" t="inlineStr">
        <is>
          <t>2026-10-11</t>
        </is>
      </c>
      <c r="E58" s="33" t="n"/>
      <c r="F58" s="33" t="n">
        <v>31.27</v>
      </c>
      <c r="G58" s="33" t="n">
        <v>1.2</v>
      </c>
      <c r="H58" s="33" t="n">
        <v>9.42</v>
      </c>
      <c r="I58" s="33">
        <f>IF(OR(E58="",R58="",R58&lt;=0,E58&lt;0),"",E58/R58)</f>
        <v/>
      </c>
      <c r="J58" s="33" t="n">
        <v>38.9</v>
      </c>
      <c r="K58" s="33" t="n"/>
      <c r="L58" s="33" t="n">
        <v>45.56</v>
      </c>
      <c r="M58" s="33" t="n">
        <v>11.32</v>
      </c>
      <c r="N58" s="33" t="n">
        <v>-0.53</v>
      </c>
      <c r="O58" s="33" t="n">
        <v>61.2</v>
      </c>
      <c r="P58" s="33" t="n">
        <v>3.42</v>
      </c>
      <c r="Q58" s="33" t="n">
        <v>33.3</v>
      </c>
      <c r="R58" s="33" t="n">
        <v>39.5</v>
      </c>
      <c r="S58" s="33">
        <f>IFERROR(AVERAGE(IFERROR(IF(P58="","",IF(P58&gt;=40,100,IF(P58&gt;=30,90,IF(P58&gt;=20,75,IF(P58&gt;=15,60,IF(P58&gt;=10,45,IF(P58&gt;=5,30,15))))))),""),IFERROR(IF(Q58="","",IF(Q58&gt;=40,100,IF(Q58&gt;=30,90,IF(Q58&gt;=20,75,IF(Q58&gt;=10,60,IF(Q58&gt;=5,45,IF(Q58&gt;=0,30,15))))))),""),IFERROR(IF(R58="","",IF(R58&gt;=40,100,IF(R58&gt;=30,90,IF(R58&gt;=20,75,IF(R58&gt;=10,60,IF(R58&gt;=0,45,IF(R58&gt;=-10,30,15))))))),"")),"")</f>
        <v/>
      </c>
      <c r="T58" s="33" t="n">
        <v>3</v>
      </c>
      <c r="U58" s="33" t="n">
        <v>4</v>
      </c>
      <c r="V58" s="33" t="n">
        <v>4</v>
      </c>
      <c r="W58" s="33" t="n">
        <v>4</v>
      </c>
      <c r="X58" s="33" t="n">
        <v>3</v>
      </c>
      <c r="Y58" s="33">
        <f>IFERROR((AVERAGE(T58,U58,V58,W58,X58)-1)*25,"")</f>
        <v/>
      </c>
      <c r="Z58" s="33" t="n">
        <v>3</v>
      </c>
      <c r="AA58" s="33" t="n">
        <v>2</v>
      </c>
      <c r="AB58" s="33" t="n">
        <v>3</v>
      </c>
      <c r="AC58" s="71" t="n">
        <v>81.7</v>
      </c>
      <c r="AD58" s="33">
        <f>IFERROR(AVERAGE(IFERROR(IF(Z58="","",Z58*20),""),IFERROR(IF(AA58="","",AA58*20),""),IFERROR(IF(AB58="","",AB58*20),""),IFERROR(IF(AC58="","",IF(AC58&gt;=85,100,IF(AC58&gt;=70,90,IF(AC58&gt;=55,75,IF(AC58&gt;=40,60,IF(AC58&gt;=25,40,20)))))),"")),"")</f>
        <v/>
      </c>
      <c r="AE58" s="33" t="n">
        <v>4</v>
      </c>
      <c r="AF58" s="33" t="n">
        <v>3</v>
      </c>
      <c r="AG58" s="33" t="n">
        <v>5</v>
      </c>
      <c r="AH58" s="33" t="n">
        <v>4</v>
      </c>
      <c r="AI58" s="33">
        <f>IFERROR((AVERAGE(AE58,AF58,AG58,AH58,AL58)-1)*25,"")</f>
        <v/>
      </c>
      <c r="AJ58" s="33">
        <f>IFERROR(J58*Weights!$B$4 + O58*Weights!$B$5 + S58*Weights!$B$6 + Y58*Weights!$B$7 + AD58*Weights!$B$8 + AI58*Weights!$B$9,"")</f>
        <v/>
      </c>
      <c r="AK58" s="33">
        <f>IF(AJ58="","",IF(AJ58&gt;=85,"✓✓✓",IF(AJ58&gt;=70,"✓✓",IF(AJ58&gt;=55,"✓",IF(AJ58&gt;=40,"?","✗")))))</f>
        <v/>
      </c>
      <c r="AL58" s="33" t="n">
        <v>5</v>
      </c>
    </row>
    <row r="59">
      <c r="A59" s="33" t="inlineStr">
        <is>
          <t>TER</t>
        </is>
      </c>
      <c r="B59" s="33" t="inlineStr">
        <is>
          <t>Teradyne, Inc.</t>
        </is>
      </c>
      <c r="C59" s="33" t="inlineStr">
        <is>
          <t>04 Semiconductor Equipment &amp; Materials / Equipment</t>
        </is>
      </c>
      <c r="D59" s="33" t="inlineStr">
        <is>
          <t>2026-10-11</t>
        </is>
      </c>
      <c r="E59" s="33" t="n">
        <v>34.55748</v>
      </c>
      <c r="F59" s="33" t="n">
        <v>42.634</v>
      </c>
      <c r="G59" s="33" t="n">
        <v>1.27</v>
      </c>
      <c r="H59" s="33" t="n">
        <v>14.10279</v>
      </c>
      <c r="I59" s="33">
        <f>IF(OR(E59="",R59="",R59&lt;=0,E59&lt;0),"",E59/R59)</f>
        <v/>
      </c>
      <c r="J59" s="33" t="n">
        <v>48.5</v>
      </c>
      <c r="K59" s="33" t="n">
        <v>31.27</v>
      </c>
      <c r="L59" s="33" t="n">
        <v>59.24</v>
      </c>
      <c r="M59" s="33" t="n">
        <v>17.92</v>
      </c>
      <c r="N59" s="33" t="n">
        <v>-0.17</v>
      </c>
      <c r="O59" s="33" t="n">
        <v>79.40000000000001</v>
      </c>
      <c r="P59" s="33" t="n">
        <v>0.37</v>
      </c>
      <c r="Q59" s="33" t="n">
        <v>103.9</v>
      </c>
      <c r="R59" s="33" t="n">
        <v>377.9</v>
      </c>
      <c r="S59" s="33">
        <f>IFERROR(AVERAGE(IFERROR(IF(P59="","",IF(P59&gt;=40,100,IF(P59&gt;=30,90,IF(P59&gt;=20,75,IF(P59&gt;=15,60,IF(P59&gt;=10,45,IF(P59&gt;=5,30,15))))))),""),IFERROR(IF(Q59="","",IF(Q59&gt;=40,100,IF(Q59&gt;=30,90,IF(Q59&gt;=20,75,IF(Q59&gt;=10,60,IF(Q59&gt;=5,45,IF(Q59&gt;=0,30,15))))))),""),IFERROR(IF(R59="","",IF(R59&gt;=40,100,IF(R59&gt;=30,90,IF(R59&gt;=20,75,IF(R59&gt;=10,60,IF(R59&gt;=0,45,IF(R59&gt;=-10,30,15))))))),"")),"")</f>
        <v/>
      </c>
      <c r="T59" s="33" t="n">
        <v>5</v>
      </c>
      <c r="U59" s="33" t="n">
        <v>4</v>
      </c>
      <c r="V59" s="33" t="n">
        <v>4</v>
      </c>
      <c r="W59" s="33" t="n">
        <v>4</v>
      </c>
      <c r="X59" s="33" t="n">
        <v>3</v>
      </c>
      <c r="Y59" s="33">
        <f>IFERROR((AVERAGE(T59,U59,V59,W59,X59)-1)*25,"")</f>
        <v/>
      </c>
      <c r="Z59" s="33" t="n">
        <v>5</v>
      </c>
      <c r="AA59" s="33" t="n">
        <v>1</v>
      </c>
      <c r="AB59" s="33" t="n">
        <v>3</v>
      </c>
      <c r="AC59" s="71" t="n">
        <v>61.7</v>
      </c>
      <c r="AD59" s="33">
        <f>IFERROR(AVERAGE(IFERROR(IF(Z59="","",Z59*20),""),IFERROR(IF(AA59="","",AA59*20),""),IFERROR(IF(AB59="","",AB59*20),""),IFERROR(IF(AC59="","",IF(AC59&gt;=85,100,IF(AC59&gt;=70,90,IF(AC59&gt;=55,75,IF(AC59&gt;=40,60,IF(AC59&gt;=25,40,20)))))),"")),"")</f>
        <v/>
      </c>
      <c r="AE59" s="33" t="n">
        <v>4</v>
      </c>
      <c r="AF59" s="33" t="n">
        <v>4</v>
      </c>
      <c r="AG59" s="33" t="n">
        <v>5</v>
      </c>
      <c r="AH59" s="33" t="n">
        <v>4</v>
      </c>
      <c r="AI59" s="33">
        <f>IFERROR((AVERAGE(AE59,AF59,AG59,AH59,AL59)-1)*25,"")</f>
        <v/>
      </c>
      <c r="AJ59" s="33">
        <f>IFERROR(J59*Weights!$B$4 + O59*Weights!$B$5 + S59*Weights!$B$6 + Y59*Weights!$B$7 + AD59*Weights!$B$8 + AI59*Weights!$B$9,"")</f>
        <v/>
      </c>
      <c r="AK59" s="33">
        <f>IF(AJ59="","",IF(AJ59&gt;=85,"✓✓✓",IF(AJ59&gt;=70,"✓✓",IF(AJ59&gt;=55,"✓",IF(AJ59&gt;=40,"?","✗")))))</f>
        <v/>
      </c>
      <c r="AL59" s="33" t="n">
        <v>5</v>
      </c>
    </row>
    <row r="60">
      <c r="A60" s="33" t="inlineStr">
        <is>
          <t>ONTO</t>
        </is>
      </c>
      <c r="B60" s="33" t="inlineStr">
        <is>
          <t>Onto Innovation Inc.</t>
        </is>
      </c>
      <c r="C60" s="33" t="inlineStr">
        <is>
          <t>04 Semiconductor Equipment &amp; Materials / Equipment</t>
        </is>
      </c>
      <c r="D60" s="33" t="inlineStr">
        <is>
          <t>2026-10-11</t>
        </is>
      </c>
      <c r="E60" s="33" t="n">
        <v>25.24386842800877</v>
      </c>
      <c r="F60" s="33" t="n">
        <v>47.014</v>
      </c>
      <c r="G60" s="33" t="n">
        <v>1.75</v>
      </c>
      <c r="H60" s="33" t="n">
        <v>12.903634</v>
      </c>
      <c r="I60" s="33">
        <f>IF(OR(E60="",R60="",R60&lt;=0,E60&lt;0),"",E60/R60)</f>
        <v/>
      </c>
      <c r="J60" s="33" t="n">
        <v>38.3</v>
      </c>
      <c r="K60" s="33" t="n">
        <v>3.79</v>
      </c>
      <c r="L60" s="33" t="n">
        <v>55.49</v>
      </c>
      <c r="M60" s="33" t="n">
        <v>22.54</v>
      </c>
      <c r="N60" s="33" t="n">
        <v>-1.33</v>
      </c>
      <c r="O60" s="33" t="n">
        <v>65.59999999999999</v>
      </c>
      <c r="P60" s="33" t="n">
        <v>0</v>
      </c>
      <c r="Q60" s="33" t="n">
        <v>35.3</v>
      </c>
      <c r="R60" s="33" t="n">
        <v>77.2</v>
      </c>
      <c r="S60" s="33">
        <f>IFERROR(AVERAGE(IFERROR(IF(P60="","",IF(P60&gt;=40,100,IF(P60&gt;=30,90,IF(P60&gt;=20,75,IF(P60&gt;=15,60,IF(P60&gt;=10,45,IF(P60&gt;=5,30,15))))))),""),IFERROR(IF(Q60="","",IF(Q60&gt;=40,100,IF(Q60&gt;=30,90,IF(Q60&gt;=20,75,IF(Q60&gt;=10,60,IF(Q60&gt;=5,45,IF(Q60&gt;=0,30,15))))))),""),IFERROR(IF(R60="","",IF(R60&gt;=40,100,IF(R60&gt;=30,90,IF(R60&gt;=20,75,IF(R60&gt;=10,60,IF(R60&gt;=0,45,IF(R60&gt;=-10,30,15))))))),"")),"")</f>
        <v/>
      </c>
      <c r="T60" s="33" t="n">
        <v>5</v>
      </c>
      <c r="U60" s="33" t="n">
        <v>4</v>
      </c>
      <c r="V60" s="33" t="n">
        <v>4</v>
      </c>
      <c r="W60" s="33" t="n">
        <v>5</v>
      </c>
      <c r="X60" s="33" t="n">
        <v>4</v>
      </c>
      <c r="Y60" s="33">
        <f>IFERROR((AVERAGE(T60,U60,V60,W60,X60)-1)*25,"")</f>
        <v/>
      </c>
      <c r="Z60" s="33" t="n">
        <v>5</v>
      </c>
      <c r="AA60" s="33" t="n">
        <v>2</v>
      </c>
      <c r="AB60" s="33" t="n">
        <v>3</v>
      </c>
      <c r="AC60" s="71" t="n">
        <v>62.5</v>
      </c>
      <c r="AD60" s="33">
        <f>IFERROR(AVERAGE(IFERROR(IF(Z60="","",Z60*20),""),IFERROR(IF(AA60="","",AA60*20),""),IFERROR(IF(AB60="","",AB60*20),""),IFERROR(IF(AC60="","",IF(AC60&gt;=85,100,IF(AC60&gt;=70,90,IF(AC60&gt;=55,75,IF(AC60&gt;=40,60,IF(AC60&gt;=25,40,20)))))),"")),"")</f>
        <v/>
      </c>
      <c r="AE60" s="33" t="n">
        <v>4</v>
      </c>
      <c r="AF60" s="33" t="n">
        <v>4</v>
      </c>
      <c r="AG60" s="33" t="n">
        <v>5</v>
      </c>
      <c r="AH60" s="33" t="n">
        <v>4</v>
      </c>
      <c r="AI60" s="33">
        <f>IFERROR((AVERAGE(AE60,AF60,AG60,AH60,AL60)-1)*25,"")</f>
        <v/>
      </c>
      <c r="AJ60" s="33">
        <f>IFERROR(J60*Weights!$B$4 + O60*Weights!$B$5 + S60*Weights!$B$6 + Y60*Weights!$B$7 + AD60*Weights!$B$8 + AI60*Weights!$B$9,"")</f>
        <v/>
      </c>
      <c r="AK60" s="33">
        <f>IF(AJ60="","",IF(AJ60&gt;=85,"✓✓✓",IF(AJ60&gt;=70,"✓✓",IF(AJ60&gt;=55,"✓",IF(AJ60&gt;=40,"?","✗")))))</f>
        <v/>
      </c>
      <c r="AL60" s="33" t="n">
        <v>5</v>
      </c>
    </row>
    <row r="61">
      <c r="A61" s="33" t="inlineStr">
        <is>
          <t>CAMT</t>
        </is>
      </c>
      <c r="B61" s="33" t="inlineStr">
        <is>
          <t>Camtek Ltd.</t>
        </is>
      </c>
      <c r="C61" s="33" t="inlineStr">
        <is>
          <t>04 Semiconductor Equipment &amp; Materials / Equipment</t>
        </is>
      </c>
      <c r="D61" s="33" t="inlineStr">
        <is>
          <t>2026-10-11</t>
        </is>
      </c>
      <c r="E61" s="33" t="n">
        <v>31.907806</v>
      </c>
      <c r="F61" s="33" t="n">
        <v>50.318</v>
      </c>
      <c r="G61" s="33" t="n"/>
      <c r="H61" s="33" t="n">
        <v>14.288648</v>
      </c>
      <c r="I61" s="33">
        <f>IF(OR(E61="",R61="",R61&lt;=0,E61&lt;0),"",E61/R61)</f>
        <v/>
      </c>
      <c r="J61" s="33" t="n">
        <v>32.2</v>
      </c>
      <c r="K61" s="33" t="n">
        <v>7.81</v>
      </c>
      <c r="L61" s="33" t="n">
        <v>50.97</v>
      </c>
      <c r="M61" s="33" t="n"/>
      <c r="N61" s="33" t="n">
        <v>-1.32</v>
      </c>
      <c r="O61" s="33" t="n">
        <v>68.40000000000001</v>
      </c>
      <c r="P61" s="33" t="n">
        <v>15.63</v>
      </c>
      <c r="Q61" s="33" t="n">
        <v>2.5</v>
      </c>
      <c r="R61" s="33" t="n">
        <v>-7.8</v>
      </c>
      <c r="S61" s="33">
        <f>IFERROR(AVERAGE(IFERROR(IF(P61="","",IF(P61&gt;=40,100,IF(P61&gt;=30,90,IF(P61&gt;=20,75,IF(P61&gt;=15,60,IF(P61&gt;=10,45,IF(P61&gt;=5,30,15))))))),""),IFERROR(IF(Q61="","",IF(Q61&gt;=40,100,IF(Q61&gt;=30,90,IF(Q61&gt;=20,75,IF(Q61&gt;=10,60,IF(Q61&gt;=5,45,IF(Q61&gt;=0,30,15))))))),""),IFERROR(IF(R61="","",IF(R61&gt;=40,100,IF(R61&gt;=30,90,IF(R61&gt;=20,75,IF(R61&gt;=10,60,IF(R61&gt;=0,45,IF(R61&gt;=-10,30,15))))))),"")),"")</f>
        <v/>
      </c>
      <c r="T61" s="33" t="n">
        <v>5</v>
      </c>
      <c r="U61" s="33" t="n">
        <v>3</v>
      </c>
      <c r="V61" s="33" t="n">
        <v>3</v>
      </c>
      <c r="W61" s="33" t="n">
        <v>4</v>
      </c>
      <c r="X61" s="33" t="n">
        <v>4</v>
      </c>
      <c r="Y61" s="33">
        <f>IFERROR((AVERAGE(T61,U61,V61,W61,X61)-1)*25,"")</f>
        <v/>
      </c>
      <c r="Z61" s="33" t="n">
        <v>3</v>
      </c>
      <c r="AA61" s="33" t="n">
        <v>2</v>
      </c>
      <c r="AB61" s="33" t="n">
        <v>3</v>
      </c>
      <c r="AC61" s="71" t="n">
        <v>36.7</v>
      </c>
      <c r="AD61" s="33">
        <f>IFERROR(AVERAGE(IFERROR(IF(Z61="","",Z61*20),""),IFERROR(IF(AA61="","",AA61*20),""),IFERROR(IF(AB61="","",AB61*20),""),IFERROR(IF(AC61="","",IF(AC61&gt;=85,100,IF(AC61&gt;=70,90,IF(AC61&gt;=55,75,IF(AC61&gt;=40,60,IF(AC61&gt;=25,40,20)))))),"")),"")</f>
        <v/>
      </c>
      <c r="AE61" s="33" t="n">
        <v>4</v>
      </c>
      <c r="AF61" s="33" t="n">
        <v>4</v>
      </c>
      <c r="AG61" s="33" t="n">
        <v>4</v>
      </c>
      <c r="AH61" s="33" t="n">
        <v>4</v>
      </c>
      <c r="AI61" s="33">
        <f>IFERROR((AVERAGE(AE61,AF61,AG61,AH61,AL61)-1)*25,"")</f>
        <v/>
      </c>
      <c r="AJ61" s="33">
        <f>IFERROR(J61*Weights!$B$4 + O61*Weights!$B$5 + S61*Weights!$B$6 + Y61*Weights!$B$7 + AD61*Weights!$B$8 + AI61*Weights!$B$9,"")</f>
        <v/>
      </c>
      <c r="AK61" s="33">
        <f>IF(AJ61="","",IF(AJ61&gt;=85,"✓✓✓",IF(AJ61&gt;=70,"✓✓",IF(AJ61&gt;=55,"✓",IF(AJ61&gt;=40,"?","✗")))))</f>
        <v/>
      </c>
      <c r="AL61" s="33" t="n">
        <v>5</v>
      </c>
    </row>
    <row r="62">
      <c r="A62" s="33" t="inlineStr">
        <is>
          <t>KLIC</t>
        </is>
      </c>
      <c r="B62" s="33" t="inlineStr">
        <is>
          <t>Kulicke and Soffa Industries, Inc.</t>
        </is>
      </c>
      <c r="C62" s="33" t="inlineStr">
        <is>
          <t>04 Semiconductor Equipment &amp; Materials / Equipment</t>
        </is>
      </c>
      <c r="D62" s="33" t="inlineStr">
        <is>
          <t>2026-10-11</t>
        </is>
      </c>
      <c r="E62" s="33" t="n">
        <v>15.586119</v>
      </c>
      <c r="F62" s="33" t="n">
        <v>23.396</v>
      </c>
      <c r="G62" s="33" t="n">
        <v>0.83</v>
      </c>
      <c r="H62" s="33" t="n">
        <v>5.0670767</v>
      </c>
      <c r="I62" s="33">
        <f>IF(OR(E62="",R62="",R62&lt;=0,E62&lt;0),"",E62/R62)</f>
        <v/>
      </c>
      <c r="J62" s="33" t="n">
        <v>33.1</v>
      </c>
      <c r="K62" s="33" t="n">
        <v>10.07</v>
      </c>
      <c r="L62" s="33" t="n">
        <v>52.64</v>
      </c>
      <c r="M62" s="33" t="n">
        <v>4.21</v>
      </c>
      <c r="N62" s="33" t="n">
        <v>-2.49</v>
      </c>
      <c r="O62" s="33" t="n">
        <v>59.2</v>
      </c>
      <c r="P62" s="33" t="n">
        <v>-24.23</v>
      </c>
      <c r="Q62" s="33" t="n">
        <v>122.6</v>
      </c>
      <c r="R62" s="33" t="inlineStr"/>
      <c r="S62" s="33">
        <f>IFERROR(AVERAGE(IFERROR(IF(P62="","",IF(P62&gt;=40,100,IF(P62&gt;=30,90,IF(P62&gt;=20,75,IF(P62&gt;=15,60,IF(P62&gt;=10,45,IF(P62&gt;=5,30,15))))))),""),IFERROR(IF(Q62="","",IF(Q62&gt;=40,100,IF(Q62&gt;=30,90,IF(Q62&gt;=20,75,IF(Q62&gt;=10,60,IF(Q62&gt;=5,45,IF(Q62&gt;=0,30,15))))))),""),IFERROR(IF(R62="","",IF(R62&gt;=40,100,IF(R62&gt;=30,90,IF(R62&gt;=20,75,IF(R62&gt;=10,60,IF(R62&gt;=0,45,IF(R62&gt;=-10,30,15))))))),"")),"")</f>
        <v/>
      </c>
      <c r="T62" s="33" t="n">
        <v>4</v>
      </c>
      <c r="U62" s="33" t="n">
        <v>3</v>
      </c>
      <c r="V62" s="33" t="n">
        <v>3</v>
      </c>
      <c r="W62" s="33" t="n">
        <v>5</v>
      </c>
      <c r="X62" s="33" t="n">
        <v>4</v>
      </c>
      <c r="Y62" s="33">
        <f>IFERROR((AVERAGE(T62,U62,V62,W62,X62)-1)*25,"")</f>
        <v/>
      </c>
      <c r="Z62" s="33" t="n">
        <v>3</v>
      </c>
      <c r="AA62" s="33" t="n">
        <v>5</v>
      </c>
      <c r="AB62" s="33" t="n">
        <v>3</v>
      </c>
      <c r="AC62" s="71" t="n">
        <v>55.8</v>
      </c>
      <c r="AD62" s="33">
        <f>IFERROR(AVERAGE(IFERROR(IF(Z62="","",Z62*20),""),IFERROR(IF(AA62="","",AA62*20),""),IFERROR(IF(AB62="","",AB62*20),""),IFERROR(IF(AC62="","",IF(AC62&gt;=85,100,IF(AC62&gt;=70,90,IF(AC62&gt;=55,75,IF(AC62&gt;=40,60,IF(AC62&gt;=25,40,20)))))),"")),"")</f>
        <v/>
      </c>
      <c r="AE62" s="33" t="n">
        <v>4</v>
      </c>
      <c r="AF62" s="33" t="n">
        <v>4</v>
      </c>
      <c r="AG62" s="33" t="n">
        <v>4</v>
      </c>
      <c r="AH62" s="33" t="n">
        <v>4</v>
      </c>
      <c r="AI62" s="33">
        <f>IFERROR((AVERAGE(AE62,AF62,AG62,AH62,AL62)-1)*25,"")</f>
        <v/>
      </c>
      <c r="AJ62" s="33">
        <f>IFERROR(J62*Weights!$B$4 + O62*Weights!$B$5 + S62*Weights!$B$6 + Y62*Weights!$B$7 + AD62*Weights!$B$8 + AI62*Weights!$B$9,"")</f>
        <v/>
      </c>
      <c r="AK62" s="33">
        <f>IF(AJ62="","",IF(AJ62&gt;=85,"✓✓✓",IF(AJ62&gt;=70,"✓✓",IF(AJ62&gt;=55,"✓",IF(AJ62&gt;=40,"?","✗")))))</f>
        <v/>
      </c>
      <c r="AL62" s="33" t="n">
        <v>5</v>
      </c>
    </row>
    <row r="63">
      <c r="A63" s="33" t="inlineStr">
        <is>
          <t>ENTG</t>
        </is>
      </c>
      <c r="B63" s="33" t="inlineStr">
        <is>
          <t>Entegris, Inc.</t>
        </is>
      </c>
      <c r="C63" s="33" t="inlineStr">
        <is>
          <t>04 Semiconductor Equipment &amp; Materials / Materials &amp; consumables</t>
        </is>
      </c>
      <c r="D63" s="33" t="inlineStr">
        <is>
          <t>2026-10-11</t>
        </is>
      </c>
      <c r="E63" s="33" t="n">
        <v>32.961285</v>
      </c>
      <c r="F63" s="33" t="n">
        <v>31.289</v>
      </c>
      <c r="G63" s="33" t="n">
        <v>2</v>
      </c>
      <c r="H63" s="33" t="n">
        <v>7.5914183</v>
      </c>
      <c r="I63" s="33">
        <f>IF(OR(E63="",R63="",R63&lt;=0,E63&lt;0),"",E63/R63)</f>
        <v/>
      </c>
      <c r="J63" s="33" t="n">
        <v>61.7</v>
      </c>
      <c r="K63" s="33" t="n">
        <v>11.41</v>
      </c>
      <c r="L63" s="33" t="n">
        <v>45.56</v>
      </c>
      <c r="M63" s="33" t="n">
        <v>15.19</v>
      </c>
      <c r="N63" s="33" t="n">
        <v>3.51</v>
      </c>
      <c r="O63" s="33" t="n">
        <v>51.2</v>
      </c>
      <c r="P63" s="33" t="n">
        <v>-0.88</v>
      </c>
      <c r="Q63" s="33" t="n">
        <v>11.5</v>
      </c>
      <c r="R63" s="33" t="n">
        <v>77.3</v>
      </c>
      <c r="S63" s="33">
        <f>IFERROR(AVERAGE(IFERROR(IF(P63="","",IF(P63&gt;=40,100,IF(P63&gt;=30,90,IF(P63&gt;=20,75,IF(P63&gt;=15,60,IF(P63&gt;=10,45,IF(P63&gt;=5,30,15))))))),""),IFERROR(IF(Q63="","",IF(Q63&gt;=40,100,IF(Q63&gt;=30,90,IF(Q63&gt;=20,75,IF(Q63&gt;=10,60,IF(Q63&gt;=5,45,IF(Q63&gt;=0,30,15))))))),""),IFERROR(IF(R63="","",IF(R63&gt;=40,100,IF(R63&gt;=30,90,IF(R63&gt;=20,75,IF(R63&gt;=10,60,IF(R63&gt;=0,45,IF(R63&gt;=-10,30,15))))))),"")),"")</f>
        <v/>
      </c>
      <c r="T63" s="33" t="n">
        <v>4</v>
      </c>
      <c r="U63" s="33" t="n">
        <v>4</v>
      </c>
      <c r="V63" s="33" t="n">
        <v>4</v>
      </c>
      <c r="W63" s="33" t="n">
        <v>4</v>
      </c>
      <c r="X63" s="33" t="n">
        <v>4</v>
      </c>
      <c r="Y63" s="33">
        <f>IFERROR((AVERAGE(T63,U63,V63,W63,X63)-1)*25,"")</f>
        <v/>
      </c>
      <c r="Z63" s="33" t="n">
        <v>4</v>
      </c>
      <c r="AA63" s="33" t="n">
        <v>3</v>
      </c>
      <c r="AB63" s="33" t="n">
        <v>3</v>
      </c>
      <c r="AC63" s="71" t="n">
        <v>58.3</v>
      </c>
      <c r="AD63" s="33">
        <f>IFERROR(AVERAGE(IFERROR(IF(Z63="","",Z63*20),""),IFERROR(IF(AA63="","",AA63*20),""),IFERROR(IF(AB63="","",AB63*20),""),IFERROR(IF(AC63="","",IF(AC63&gt;=85,100,IF(AC63&gt;=70,90,IF(AC63&gt;=55,75,IF(AC63&gt;=40,60,IF(AC63&gt;=25,40,20)))))),"")),"")</f>
        <v/>
      </c>
      <c r="AE63" s="33" t="n">
        <v>4</v>
      </c>
      <c r="AF63" s="33" t="n">
        <v>4</v>
      </c>
      <c r="AG63" s="33" t="n">
        <v>4</v>
      </c>
      <c r="AH63" s="33" t="n">
        <v>4</v>
      </c>
      <c r="AI63" s="33">
        <f>IFERROR((AVERAGE(AE63,AF63,AG63,AH63,AL63)-1)*25,"")</f>
        <v/>
      </c>
      <c r="AJ63" s="33">
        <f>IFERROR(J63*Weights!$B$4 + O63*Weights!$B$5 + S63*Weights!$B$6 + Y63*Weights!$B$7 + AD63*Weights!$B$8 + AI63*Weights!$B$9,"")</f>
        <v/>
      </c>
      <c r="AK63" s="33">
        <f>IF(AJ63="","",IF(AJ63&gt;=85,"✓✓✓",IF(AJ63&gt;=70,"✓✓",IF(AJ63&gt;=55,"✓",IF(AJ63&gt;=40,"?","✗")))))</f>
        <v/>
      </c>
      <c r="AL63" s="33" t="n">
        <v>5</v>
      </c>
    </row>
    <row r="64">
      <c r="A64" s="33" t="inlineStr">
        <is>
          <t>MKSI</t>
        </is>
      </c>
      <c r="B64" s="33" t="inlineStr">
        <is>
          <t>MKS Inc.</t>
        </is>
      </c>
      <c r="C64" s="33" t="inlineStr">
        <is>
          <t>04 Semiconductor Equipment &amp; Materials / Materials &amp; consumables</t>
        </is>
      </c>
      <c r="D64" s="33" t="inlineStr">
        <is>
          <t>2026-10-11</t>
        </is>
      </c>
      <c r="E64" s="33" t="n">
        <v>15.073424</v>
      </c>
      <c r="F64" s="33" t="n">
        <v>20.856</v>
      </c>
      <c r="G64" s="33" t="n">
        <v>2.54</v>
      </c>
      <c r="H64" s="33" t="n">
        <v>4.114296</v>
      </c>
      <c r="I64" s="33">
        <f>IF(OR(E64="",R64="",R64&lt;=0,E64&lt;0),"",E64/R64)</f>
        <v/>
      </c>
      <c r="J64" s="33" t="n">
        <v>64.7</v>
      </c>
      <c r="K64" s="33" t="n">
        <v>10.04</v>
      </c>
      <c r="L64" s="33" t="n">
        <v>46.95</v>
      </c>
      <c r="M64" s="33" t="n">
        <v>10.47</v>
      </c>
      <c r="N64" s="33" t="n">
        <v>3.38</v>
      </c>
      <c r="O64" s="33" t="n">
        <v>48.3</v>
      </c>
      <c r="P64" s="33" t="n">
        <v>3.49</v>
      </c>
      <c r="Q64" s="33" t="n">
        <v>28.3</v>
      </c>
      <c r="R64" s="33" t="n">
        <v>182.3</v>
      </c>
      <c r="S64" s="33">
        <f>IFERROR(AVERAGE(IFERROR(IF(P64="","",IF(P64&gt;=40,100,IF(P64&gt;=30,90,IF(P64&gt;=20,75,IF(P64&gt;=15,60,IF(P64&gt;=10,45,IF(P64&gt;=5,30,15))))))),""),IFERROR(IF(Q64="","",IF(Q64&gt;=40,100,IF(Q64&gt;=30,90,IF(Q64&gt;=20,75,IF(Q64&gt;=10,60,IF(Q64&gt;=5,45,IF(Q64&gt;=0,30,15))))))),""),IFERROR(IF(R64="","",IF(R64&gt;=40,100,IF(R64&gt;=30,90,IF(R64&gt;=20,75,IF(R64&gt;=10,60,IF(R64&gt;=0,45,IF(R64&gt;=-10,30,15))))))),"")),"")</f>
        <v/>
      </c>
      <c r="T64" s="33" t="n">
        <v>4</v>
      </c>
      <c r="U64" s="33" t="n">
        <v>3</v>
      </c>
      <c r="V64" s="33" t="n">
        <v>3</v>
      </c>
      <c r="W64" s="33" t="n">
        <v>4</v>
      </c>
      <c r="X64" s="33" t="n">
        <v>4</v>
      </c>
      <c r="Y64" s="33">
        <f>IFERROR((AVERAGE(T64,U64,V64,W64,X64)-1)*25,"")</f>
        <v/>
      </c>
      <c r="Z64" s="33" t="n">
        <v>5</v>
      </c>
      <c r="AA64" s="33" t="n">
        <v>5</v>
      </c>
      <c r="AB64" s="33" t="n">
        <v>3</v>
      </c>
      <c r="AC64" s="71" t="n">
        <v>51.7</v>
      </c>
      <c r="AD64" s="33">
        <f>IFERROR(AVERAGE(IFERROR(IF(Z64="","",Z64*20),""),IFERROR(IF(AA64="","",AA64*20),""),IFERROR(IF(AB64="","",AB64*20),""),IFERROR(IF(AC64="","",IF(AC64&gt;=85,100,IF(AC64&gt;=70,90,IF(AC64&gt;=55,75,IF(AC64&gt;=40,60,IF(AC64&gt;=25,40,20)))))),"")),"")</f>
        <v/>
      </c>
      <c r="AE64" s="33" t="n">
        <v>4</v>
      </c>
      <c r="AF64" s="33" t="n">
        <v>4</v>
      </c>
      <c r="AG64" s="33" t="n">
        <v>4</v>
      </c>
      <c r="AH64" s="33" t="n">
        <v>4</v>
      </c>
      <c r="AI64" s="33">
        <f>IFERROR((AVERAGE(AE64,AF64,AG64,AH64,AL64)-1)*25,"")</f>
        <v/>
      </c>
      <c r="AJ64" s="33">
        <f>IFERROR(J64*Weights!$B$4 + O64*Weights!$B$5 + S64*Weights!$B$6 + Y64*Weights!$B$7 + AD64*Weights!$B$8 + AI64*Weights!$B$9,"")</f>
        <v/>
      </c>
      <c r="AK64" s="33">
        <f>IF(AJ64="","",IF(AJ64&gt;=85,"✓✓✓",IF(AJ64&gt;=70,"✓✓",IF(AJ64&gt;=55,"✓",IF(AJ64&gt;=40,"?","✗")))))</f>
        <v/>
      </c>
      <c r="AL64" s="33" t="n">
        <v>5</v>
      </c>
    </row>
    <row r="65">
      <c r="A65" s="33" t="inlineStr">
        <is>
          <t>PLAB</t>
        </is>
      </c>
      <c r="B65" s="33" t="inlineStr">
        <is>
          <t>Photronics, Inc.</t>
        </is>
      </c>
      <c r="C65" s="33" t="inlineStr">
        <is>
          <t>04 Semiconductor Equipment &amp; Materials / Materials &amp; consumables</t>
        </is>
      </c>
      <c r="D65" s="33" t="inlineStr">
        <is>
          <t>2026-10-11</t>
        </is>
      </c>
      <c r="E65" s="33" t="n">
        <v>14.263221</v>
      </c>
      <c r="F65" s="33" t="n">
        <v>5.735</v>
      </c>
      <c r="G65" s="33" t="n">
        <v>6.32</v>
      </c>
      <c r="H65" s="33" t="n">
        <v>2.0159757</v>
      </c>
      <c r="I65" s="33">
        <f>IF(OR(E65="",R65="",R65&lt;=0,E65&lt;0),"",E65/R65)</f>
        <v/>
      </c>
      <c r="J65" s="33" t="n">
        <v>86.40000000000001</v>
      </c>
      <c r="K65" s="33" t="n">
        <v>9.460000000000001</v>
      </c>
      <c r="L65" s="33" t="n">
        <v>33.66</v>
      </c>
      <c r="M65" s="33" t="n">
        <v>12.73</v>
      </c>
      <c r="N65" s="33" t="n">
        <v>-2.44</v>
      </c>
      <c r="O65" s="33" t="n">
        <v>55.8</v>
      </c>
      <c r="P65" s="33" t="n">
        <v>0.99</v>
      </c>
      <c r="Q65" s="33" t="n">
        <v>2.7</v>
      </c>
      <c r="R65" s="33" t="n">
        <v>26.3</v>
      </c>
      <c r="S65" s="33">
        <f>IFERROR(AVERAGE(IFERROR(IF(P65="","",IF(P65&gt;=40,100,IF(P65&gt;=30,90,IF(P65&gt;=20,75,IF(P65&gt;=15,60,IF(P65&gt;=10,45,IF(P65&gt;=5,30,15))))))),""),IFERROR(IF(Q65="","",IF(Q65&gt;=40,100,IF(Q65&gt;=30,90,IF(Q65&gt;=20,75,IF(Q65&gt;=10,60,IF(Q65&gt;=5,45,IF(Q65&gt;=0,30,15))))))),""),IFERROR(IF(R65="","",IF(R65&gt;=40,100,IF(R65&gt;=30,90,IF(R65&gt;=20,75,IF(R65&gt;=10,60,IF(R65&gt;=0,45,IF(R65&gt;=-10,30,15))))))),"")),"")</f>
        <v/>
      </c>
      <c r="T65" s="33" t="n">
        <v>3</v>
      </c>
      <c r="U65" s="33" t="n">
        <v>3</v>
      </c>
      <c r="V65" s="33" t="n">
        <v>3</v>
      </c>
      <c r="W65" s="33" t="n">
        <v>4</v>
      </c>
      <c r="X65" s="33" t="n">
        <v>3</v>
      </c>
      <c r="Y65" s="33">
        <f>IFERROR((AVERAGE(T65,U65,V65,W65,X65)-1)*25,"")</f>
        <v/>
      </c>
      <c r="Z65" s="33" t="n">
        <v>3</v>
      </c>
      <c r="AA65" s="33" t="n">
        <v>5</v>
      </c>
      <c r="AB65" s="33" t="n">
        <v>3</v>
      </c>
      <c r="AC65" s="71" t="n">
        <v>39.2</v>
      </c>
      <c r="AD65" s="33">
        <f>IFERROR(AVERAGE(IFERROR(IF(Z65="","",Z65*20),""),IFERROR(IF(AA65="","",AA65*20),""),IFERROR(IF(AB65="","",AB65*20),""),IFERROR(IF(AC65="","",IF(AC65&gt;=85,100,IF(AC65&gt;=70,90,IF(AC65&gt;=55,75,IF(AC65&gt;=40,60,IF(AC65&gt;=25,40,20)))))),"")),"")</f>
        <v/>
      </c>
      <c r="AE65" s="33" t="n">
        <v>4</v>
      </c>
      <c r="AF65" s="33" t="n">
        <v>4</v>
      </c>
      <c r="AG65" s="33" t="n">
        <v>5</v>
      </c>
      <c r="AH65" s="33" t="n">
        <v>4</v>
      </c>
      <c r="AI65" s="33">
        <f>IFERROR((AVERAGE(AE65,AF65,AG65,AH65,AL65)-1)*25,"")</f>
        <v/>
      </c>
      <c r="AJ65" s="33">
        <f>IFERROR(J65*Weights!$B$4 + O65*Weights!$B$5 + S65*Weights!$B$6 + Y65*Weights!$B$7 + AD65*Weights!$B$8 + AI65*Weights!$B$9,"")</f>
        <v/>
      </c>
      <c r="AK65" s="33">
        <f>IF(AJ65="","",IF(AJ65&gt;=85,"✓✓✓",IF(AJ65&gt;=70,"✓✓",IF(AJ65&gt;=55,"✓",IF(AJ65&gt;=40,"?","✗")))))</f>
        <v/>
      </c>
      <c r="AL65" s="33" t="n">
        <v>5</v>
      </c>
    </row>
    <row r="66">
      <c r="A66" s="33" t="inlineStr">
        <is>
          <t>UCTT</t>
        </is>
      </c>
      <c r="B66" s="33" t="inlineStr">
        <is>
          <t>Ultra Clean Holdings, Inc.</t>
        </is>
      </c>
      <c r="C66" s="33" t="inlineStr">
        <is>
          <t>04 Semiconductor Equipment &amp; Materials / Materials &amp; consumables</t>
        </is>
      </c>
      <c r="D66" s="33" t="inlineStr">
        <is>
          <t>2026-10-11</t>
        </is>
      </c>
      <c r="E66" s="33" t="n">
        <v>10.9844</v>
      </c>
      <c r="F66" s="33" t="n">
        <v>27.541</v>
      </c>
      <c r="G66" s="33" t="n">
        <v>-3.68</v>
      </c>
      <c r="H66" s="33" t="n">
        <v>1.4006817</v>
      </c>
      <c r="I66" s="33">
        <f>IF(OR(E66="",R66="",R66&lt;=0,E66&lt;0),"",E66/R66)</f>
        <v/>
      </c>
      <c r="J66" s="33" t="n">
        <v>50.6</v>
      </c>
      <c r="K66" s="33" t="n">
        <v>2.72</v>
      </c>
      <c r="L66" s="33" t="n">
        <v>15.83</v>
      </c>
      <c r="M66" s="33" t="n">
        <v>-5.15</v>
      </c>
      <c r="N66" s="33" t="n">
        <v>3.74</v>
      </c>
      <c r="O66" s="33" t="n">
        <v>20.9</v>
      </c>
      <c r="P66" s="33" t="n">
        <v>-4.72</v>
      </c>
      <c r="Q66" s="33" t="n">
        <v>24.3</v>
      </c>
      <c r="R66" s="33" t="inlineStr"/>
      <c r="S66" s="33">
        <f>IFERROR(AVERAGE(IFERROR(IF(P66="","",IF(P66&gt;=40,100,IF(P66&gt;=30,90,IF(P66&gt;=20,75,IF(P66&gt;=15,60,IF(P66&gt;=10,45,IF(P66&gt;=5,30,15))))))),""),IFERROR(IF(Q66="","",IF(Q66&gt;=40,100,IF(Q66&gt;=30,90,IF(Q66&gt;=20,75,IF(Q66&gt;=10,60,IF(Q66&gt;=5,45,IF(Q66&gt;=0,30,15))))))),""),IFERROR(IF(R66="","",IF(R66&gt;=40,100,IF(R66&gt;=30,90,IF(R66&gt;=20,75,IF(R66&gt;=10,60,IF(R66&gt;=0,45,IF(R66&gt;=-10,30,15))))))),"")),"")</f>
        <v/>
      </c>
      <c r="T66" s="33" t="n">
        <v>4</v>
      </c>
      <c r="U66" s="33" t="n">
        <v>3</v>
      </c>
      <c r="V66" s="33" t="n">
        <v>3</v>
      </c>
      <c r="W66" s="33" t="n">
        <v>4</v>
      </c>
      <c r="X66" s="33" t="n">
        <v>4</v>
      </c>
      <c r="Y66" s="33">
        <f>IFERROR((AVERAGE(T66,U66,V66,W66,X66)-1)*25,"")</f>
        <v/>
      </c>
      <c r="Z66" s="33" t="n">
        <v>4</v>
      </c>
      <c r="AA66" s="33" t="n">
        <v>5</v>
      </c>
      <c r="AB66" s="33" t="n">
        <v>3</v>
      </c>
      <c r="AC66" s="71" t="n">
        <v>53.3</v>
      </c>
      <c r="AD66" s="33">
        <f>IFERROR(AVERAGE(IFERROR(IF(Z66="","",Z66*20),""),IFERROR(IF(AA66="","",AA66*20),""),IFERROR(IF(AB66="","",AB66*20),""),IFERROR(IF(AC66="","",IF(AC66&gt;=85,100,IF(AC66&gt;=70,90,IF(AC66&gt;=55,75,IF(AC66&gt;=40,60,IF(AC66&gt;=25,40,20)))))),"")),"")</f>
        <v/>
      </c>
      <c r="AE66" s="33" t="n">
        <v>4</v>
      </c>
      <c r="AF66" s="33" t="n">
        <v>4</v>
      </c>
      <c r="AG66" s="33" t="n">
        <v>4</v>
      </c>
      <c r="AH66" s="33" t="n">
        <v>4</v>
      </c>
      <c r="AI66" s="33">
        <f>IFERROR((AVERAGE(AE66,AF66,AG66,AH66,AL66)-1)*25,"")</f>
        <v/>
      </c>
      <c r="AJ66" s="33">
        <f>IFERROR(J66*Weights!$B$4 + O66*Weights!$B$5 + S66*Weights!$B$6 + Y66*Weights!$B$7 + AD66*Weights!$B$8 + AI66*Weights!$B$9,"")</f>
        <v/>
      </c>
      <c r="AK66" s="33">
        <f>IF(AJ66="","",IF(AJ66&gt;=85,"✓✓✓",IF(AJ66&gt;=70,"✓✓",IF(AJ66&gt;=55,"✓",IF(AJ66&gt;=40,"?","✗")))))</f>
        <v/>
      </c>
      <c r="AL66" s="33" t="n">
        <v>5</v>
      </c>
    </row>
    <row r="67">
      <c r="A67" s="33" t="inlineStr">
        <is>
          <t>CDNS</t>
        </is>
      </c>
      <c r="B67" s="33" t="inlineStr">
        <is>
          <t>Cadence Design Systems, Inc.</t>
        </is>
      </c>
      <c r="C67" s="33" t="inlineStr">
        <is>
          <t>04 Semiconductor Equipment &amp; Materials / EDA &amp; IP</t>
        </is>
      </c>
      <c r="D67" s="33" t="inlineStr">
        <is>
          <t>2026-10-11</t>
        </is>
      </c>
      <c r="E67" s="33" t="n">
        <v>36.878246</v>
      </c>
      <c r="F67" s="33" t="n">
        <v>46.009</v>
      </c>
      <c r="G67" s="33" t="n">
        <v>1.72</v>
      </c>
      <c r="H67" s="33" t="n">
        <v>16.670984</v>
      </c>
      <c r="I67" s="33">
        <f>IF(OR(E67="",R67="",R67&lt;=0,E67&lt;0),"",E67/R67)</f>
        <v/>
      </c>
      <c r="J67" s="33" t="n">
        <v>37</v>
      </c>
      <c r="K67" s="33" t="n">
        <v>13.29</v>
      </c>
      <c r="L67" s="33" t="n">
        <v>85.87</v>
      </c>
      <c r="M67" s="33" t="n">
        <v>28.64</v>
      </c>
      <c r="N67" s="33" t="n">
        <v>0.52</v>
      </c>
      <c r="O67" s="33" t="n">
        <v>83.3</v>
      </c>
      <c r="P67" s="33" t="n">
        <v>14.14</v>
      </c>
      <c r="Q67" s="33" t="n">
        <v>24.2</v>
      </c>
      <c r="R67" s="33" t="n">
        <v>129.3</v>
      </c>
      <c r="S67" s="33">
        <f>IFERROR(AVERAGE(IFERROR(IF(P67="","",IF(P67&gt;=40,100,IF(P67&gt;=30,90,IF(P67&gt;=20,75,IF(P67&gt;=15,60,IF(P67&gt;=10,45,IF(P67&gt;=5,30,15))))))),""),IFERROR(IF(Q67="","",IF(Q67&gt;=40,100,IF(Q67&gt;=30,90,IF(Q67&gt;=20,75,IF(Q67&gt;=10,60,IF(Q67&gt;=5,45,IF(Q67&gt;=0,30,15))))))),""),IFERROR(IF(R67="","",IF(R67&gt;=40,100,IF(R67&gt;=30,90,IF(R67&gt;=20,75,IF(R67&gt;=10,60,IF(R67&gt;=0,45,IF(R67&gt;=-10,30,15))))))),"")),"")</f>
        <v/>
      </c>
      <c r="T67" s="33" t="n">
        <v>4</v>
      </c>
      <c r="U67" s="33" t="n">
        <v>4</v>
      </c>
      <c r="V67" s="33" t="n">
        <v>5</v>
      </c>
      <c r="W67" s="33" t="n">
        <v>4</v>
      </c>
      <c r="X67" s="33" t="n">
        <v>4</v>
      </c>
      <c r="Y67" s="33">
        <f>IFERROR((AVERAGE(T67,U67,V67,W67,X67)-1)*25,"")</f>
        <v/>
      </c>
      <c r="Z67" s="33" t="n">
        <v>3</v>
      </c>
      <c r="AA67" s="33" t="n">
        <v>1</v>
      </c>
      <c r="AB67" s="33" t="n">
        <v>3</v>
      </c>
      <c r="AC67" s="71" t="n">
        <v>58.3</v>
      </c>
      <c r="AD67" s="33">
        <f>IFERROR(AVERAGE(IFERROR(IF(Z67="","",Z67*20),""),IFERROR(IF(AA67="","",AA67*20),""),IFERROR(IF(AB67="","",AB67*20),""),IFERROR(IF(AC67="","",IF(AC67&gt;=85,100,IF(AC67&gt;=70,90,IF(AC67&gt;=55,75,IF(AC67&gt;=40,60,IF(AC67&gt;=25,40,20)))))),"")),"")</f>
        <v/>
      </c>
      <c r="AE67" s="33" t="n">
        <v>5</v>
      </c>
      <c r="AF67" s="33" t="n">
        <v>4</v>
      </c>
      <c r="AG67" s="33" t="n">
        <v>4</v>
      </c>
      <c r="AH67" s="33" t="n">
        <v>4</v>
      </c>
      <c r="AI67" s="33">
        <f>IFERROR((AVERAGE(AE67,AF67,AG67,AH67,AL67)-1)*25,"")</f>
        <v/>
      </c>
      <c r="AJ67" s="33">
        <f>IFERROR(J67*Weights!$B$4 + O67*Weights!$B$5 + S67*Weights!$B$6 + Y67*Weights!$B$7 + AD67*Weights!$B$8 + AI67*Weights!$B$9,"")</f>
        <v/>
      </c>
      <c r="AK67" s="33">
        <f>IF(AJ67="","",IF(AJ67&gt;=85,"✓✓✓",IF(AJ67&gt;=70,"✓✓",IF(AJ67&gt;=55,"✓",IF(AJ67&gt;=40,"?","✗")))))</f>
        <v/>
      </c>
      <c r="AL67" s="33" t="n">
        <v>5</v>
      </c>
    </row>
    <row r="68">
      <c r="A68" s="33" t="inlineStr">
        <is>
          <t>SNPS</t>
        </is>
      </c>
      <c r="B68" s="33" t="inlineStr">
        <is>
          <t>Synopsys, Inc.</t>
        </is>
      </c>
      <c r="C68" s="33" t="inlineStr">
        <is>
          <t>04 Semiconductor Equipment &amp; Materials / EDA &amp; IP</t>
        </is>
      </c>
      <c r="D68" s="33" t="inlineStr">
        <is>
          <t>2026-10-11</t>
        </is>
      </c>
      <c r="E68" s="33" t="n">
        <v>27.443886</v>
      </c>
      <c r="F68" s="33" t="n">
        <v>49.898</v>
      </c>
      <c r="G68" s="33" t="n">
        <v>2.81</v>
      </c>
      <c r="H68" s="33" t="n">
        <v>10.378923</v>
      </c>
      <c r="I68" s="33">
        <f>IF(OR(E68="",R68="",R68&lt;=0,E68&lt;0),"",E68/R68)</f>
        <v/>
      </c>
      <c r="J68" s="33" t="n">
        <v>56.2</v>
      </c>
      <c r="K68" s="33" t="n">
        <v>2.01</v>
      </c>
      <c r="L68" s="33" t="n">
        <v>82.92</v>
      </c>
      <c r="M68" s="33" t="n">
        <v>29.18</v>
      </c>
      <c r="N68" s="33" t="n">
        <v>3.49</v>
      </c>
      <c r="O68" s="33" t="n">
        <v>55.3</v>
      </c>
      <c r="P68" s="33" t="n">
        <v>15.19</v>
      </c>
      <c r="Q68" s="33" t="n">
        <v>42.4</v>
      </c>
      <c r="R68" s="33" t="n">
        <v>125.1</v>
      </c>
      <c r="S68" s="33">
        <f>IFERROR(AVERAGE(IFERROR(IF(P68="","",IF(P68&gt;=40,100,IF(P68&gt;=30,90,IF(P68&gt;=20,75,IF(P68&gt;=15,60,IF(P68&gt;=10,45,IF(P68&gt;=5,30,15))))))),""),IFERROR(IF(Q68="","",IF(Q68&gt;=40,100,IF(Q68&gt;=30,90,IF(Q68&gt;=20,75,IF(Q68&gt;=10,60,IF(Q68&gt;=5,45,IF(Q68&gt;=0,30,15))))))),""),IFERROR(IF(R68="","",IF(R68&gt;=40,100,IF(R68&gt;=30,90,IF(R68&gt;=20,75,IF(R68&gt;=10,60,IF(R68&gt;=0,45,IF(R68&gt;=-10,30,15))))))),"")),"")</f>
        <v/>
      </c>
      <c r="T68" s="33" t="n">
        <v>4</v>
      </c>
      <c r="U68" s="33" t="n">
        <v>4</v>
      </c>
      <c r="V68" s="33" t="n">
        <v>5</v>
      </c>
      <c r="W68" s="33" t="n">
        <v>5</v>
      </c>
      <c r="X68" s="33" t="n">
        <v>4</v>
      </c>
      <c r="Y68" s="33">
        <f>IFERROR((AVERAGE(T68,U68,V68,W68,X68)-1)*25,"")</f>
        <v/>
      </c>
      <c r="Z68" s="33" t="n">
        <v>4</v>
      </c>
      <c r="AA68" s="33" t="n">
        <v>1</v>
      </c>
      <c r="AB68" s="33" t="n">
        <v>3</v>
      </c>
      <c r="AC68" s="71" t="n">
        <v>44.2</v>
      </c>
      <c r="AD68" s="33">
        <f>IFERROR(AVERAGE(IFERROR(IF(Z68="","",Z68*20),""),IFERROR(IF(AA68="","",AA68*20),""),IFERROR(IF(AB68="","",AB68*20),""),IFERROR(IF(AC68="","",IF(AC68&gt;=85,100,IF(AC68&gt;=70,90,IF(AC68&gt;=55,75,IF(AC68&gt;=40,60,IF(AC68&gt;=25,40,20)))))),"")),"")</f>
        <v/>
      </c>
      <c r="AE68" s="33" t="n">
        <v>5</v>
      </c>
      <c r="AF68" s="33" t="n">
        <v>4</v>
      </c>
      <c r="AG68" s="33" t="n">
        <v>4</v>
      </c>
      <c r="AH68" s="33" t="n">
        <v>4</v>
      </c>
      <c r="AI68" s="33">
        <f>IFERROR((AVERAGE(AE68,AF68,AG68,AH68,AL68)-1)*25,"")</f>
        <v/>
      </c>
      <c r="AJ68" s="33">
        <f>IFERROR(J68*Weights!$B$4 + O68*Weights!$B$5 + S68*Weights!$B$6 + Y68*Weights!$B$7 + AD68*Weights!$B$8 + AI68*Weights!$B$9,"")</f>
        <v/>
      </c>
      <c r="AK68" s="33">
        <f>IF(AJ68="","",IF(AJ68&gt;=85,"✓✓✓",IF(AJ68&gt;=70,"✓✓",IF(AJ68&gt;=55,"✓",IF(AJ68&gt;=40,"?","✗")))))</f>
        <v/>
      </c>
      <c r="AL68" s="33" t="n">
        <v>5</v>
      </c>
    </row>
    <row r="69">
      <c r="A69" s="33" t="inlineStr">
        <is>
          <t>ARM</t>
        </is>
      </c>
      <c r="B69" s="33" t="inlineStr">
        <is>
          <t>Arm Holdings plc</t>
        </is>
      </c>
      <c r="C69" s="33" t="inlineStr">
        <is>
          <t>04 Semiconductor Equipment &amp; Materials / EDA &amp; IP</t>
        </is>
      </c>
      <c r="D69" s="33" t="inlineStr">
        <is>
          <t>2026-10-11</t>
        </is>
      </c>
      <c r="E69" s="33" t="n">
        <v>93.20361079483172</v>
      </c>
      <c r="F69" s="33" t="n">
        <v>292.361</v>
      </c>
      <c r="G69" s="33" t="n">
        <v>0.52</v>
      </c>
      <c r="H69" s="33" t="n">
        <v>55.156452</v>
      </c>
      <c r="I69" s="33">
        <f>IF(OR(E69="",R69="",R69&lt;=0,E69&lt;0),"",E69/R69)</f>
        <v/>
      </c>
      <c r="J69" s="33" t="n">
        <v>18</v>
      </c>
      <c r="K69" s="33" t="n">
        <v>7.38</v>
      </c>
      <c r="L69" s="33" t="n">
        <v>97.54000000000001</v>
      </c>
      <c r="M69" s="33" t="n">
        <v>28.55</v>
      </c>
      <c r="N69" s="33" t="n">
        <v>-3.2</v>
      </c>
      <c r="O69" s="33" t="n">
        <v>74.59999999999999</v>
      </c>
      <c r="P69" s="33" t="n">
        <v>22.46</v>
      </c>
      <c r="Q69" s="33" t="n">
        <v>22.4</v>
      </c>
      <c r="R69" s="33" t="n">
        <v>107.7</v>
      </c>
      <c r="S69" s="33">
        <f>IFERROR(AVERAGE(IFERROR(IF(P69="","",IF(P69&gt;=40,100,IF(P69&gt;=30,90,IF(P69&gt;=20,75,IF(P69&gt;=15,60,IF(P69&gt;=10,45,IF(P69&gt;=5,30,15))))))),""),IFERROR(IF(Q69="","",IF(Q69&gt;=40,100,IF(Q69&gt;=30,90,IF(Q69&gt;=20,75,IF(Q69&gt;=10,60,IF(Q69&gt;=5,45,IF(Q69&gt;=0,30,15))))))),""),IFERROR(IF(R69="","",IF(R69&gt;=40,100,IF(R69&gt;=30,90,IF(R69&gt;=20,75,IF(R69&gt;=10,60,IF(R69&gt;=0,45,IF(R69&gt;=-10,30,15))))))),"")),"")</f>
        <v/>
      </c>
      <c r="T69" s="33" t="n">
        <v>4</v>
      </c>
      <c r="U69" s="33" t="n">
        <v>5</v>
      </c>
      <c r="V69" s="33" t="n">
        <v>5</v>
      </c>
      <c r="W69" s="33" t="n">
        <v>4</v>
      </c>
      <c r="X69" s="33" t="n">
        <v>4</v>
      </c>
      <c r="Y69" s="33">
        <f>IFERROR((AVERAGE(T69,U69,V69,W69,X69)-1)*25,"")</f>
        <v/>
      </c>
      <c r="Z69" s="33" t="n">
        <v>4</v>
      </c>
      <c r="AA69" s="33" t="n">
        <v>2</v>
      </c>
      <c r="AB69" s="33" t="n">
        <v>3</v>
      </c>
      <c r="AC69" s="71" t="n">
        <v>58.3</v>
      </c>
      <c r="AD69" s="33">
        <f>IFERROR(AVERAGE(IFERROR(IF(Z69="","",Z69*20),""),IFERROR(IF(AA69="","",AA69*20),""),IFERROR(IF(AB69="","",AB69*20),""),IFERROR(IF(AC69="","",IF(AC69&gt;=85,100,IF(AC69&gt;=70,90,IF(AC69&gt;=55,75,IF(AC69&gt;=40,60,IF(AC69&gt;=25,40,20)))))),"")),"")</f>
        <v/>
      </c>
      <c r="AE69" s="33" t="n">
        <v>5</v>
      </c>
      <c r="AF69" s="33" t="n">
        <v>4</v>
      </c>
      <c r="AG69" s="33" t="n">
        <v>5</v>
      </c>
      <c r="AH69" s="33" t="n">
        <v>3</v>
      </c>
      <c r="AI69" s="33">
        <f>IFERROR((AVERAGE(AE69,AF69,AG69,AH69,AL69)-1)*25,"")</f>
        <v/>
      </c>
      <c r="AJ69" s="33">
        <f>IFERROR(J69*Weights!$B$4 + O69*Weights!$B$5 + S69*Weights!$B$6 + Y69*Weights!$B$7 + AD69*Weights!$B$8 + AI69*Weights!$B$9,"")</f>
        <v/>
      </c>
      <c r="AK69" s="33">
        <f>IF(AJ69="","",IF(AJ69&gt;=85,"✓✓✓",IF(AJ69&gt;=70,"✓✓",IF(AJ69&gt;=55,"✓",IF(AJ69&gt;=40,"?","✗")))))</f>
        <v/>
      </c>
      <c r="AL69" s="33" t="n">
        <v>5</v>
      </c>
    </row>
    <row r="70">
      <c r="A70" s="33" t="inlineStr">
        <is>
          <t>TSM</t>
        </is>
      </c>
      <c r="B70" s="33" t="inlineStr">
        <is>
          <t>Taiwan Semiconductor Manufacturing Company Limited</t>
        </is>
      </c>
      <c r="C70" s="33" t="inlineStr">
        <is>
          <t>05 Fabs &amp; Foundries</t>
        </is>
      </c>
      <c r="D70" s="33" t="inlineStr">
        <is>
          <t>2026-10-11</t>
        </is>
      </c>
      <c r="E70" s="33" t="n">
        <v>20.67539</v>
      </c>
      <c r="F70" s="33" t="n">
        <v>20.117</v>
      </c>
      <c r="G70" s="33" t="n">
        <v>1.7</v>
      </c>
      <c r="H70" s="33" t="n">
        <v>14.891939</v>
      </c>
      <c r="I70" s="33">
        <f>IF(OR(E70="",R70="",R70&lt;=0,E70&lt;0),"",E70/R70)</f>
        <v/>
      </c>
      <c r="J70" s="33" t="n">
        <v>60.6</v>
      </c>
      <c r="K70" s="33" t="n">
        <v>27.53</v>
      </c>
      <c r="L70" s="33" t="n">
        <v>64.23</v>
      </c>
      <c r="M70" s="33" t="n">
        <v>25.33</v>
      </c>
      <c r="N70" s="33" t="n">
        <v>-0.77</v>
      </c>
      <c r="O70" s="33" t="n">
        <v>96.90000000000001</v>
      </c>
      <c r="P70" s="33" t="n">
        <v>18.94</v>
      </c>
      <c r="Q70" s="33" t="n">
        <v>36</v>
      </c>
      <c r="R70" s="33" t="n">
        <v>77.40000000000001</v>
      </c>
      <c r="S70" s="33">
        <f>IFERROR(AVERAGE(IFERROR(IF(P70="","",IF(P70&gt;=40,100,IF(P70&gt;=30,90,IF(P70&gt;=20,75,IF(P70&gt;=15,60,IF(P70&gt;=10,45,IF(P70&gt;=5,30,15))))))),""),IFERROR(IF(Q70="","",IF(Q70&gt;=40,100,IF(Q70&gt;=30,90,IF(Q70&gt;=20,75,IF(Q70&gt;=10,60,IF(Q70&gt;=5,45,IF(Q70&gt;=0,30,15))))))),""),IFERROR(IF(R70="","",IF(R70&gt;=40,100,IF(R70&gt;=30,90,IF(R70&gt;=20,75,IF(R70&gt;=10,60,IF(R70&gt;=0,45,IF(R70&gt;=-10,30,15))))))),"")),"")</f>
        <v/>
      </c>
      <c r="T70" s="33" t="n">
        <v>5</v>
      </c>
      <c r="U70" s="33" t="n">
        <v>5</v>
      </c>
      <c r="V70" s="33" t="n">
        <v>5</v>
      </c>
      <c r="W70" s="33" t="n">
        <v>5</v>
      </c>
      <c r="X70" s="33" t="n">
        <v>5</v>
      </c>
      <c r="Y70" s="33">
        <f>IFERROR((AVERAGE(T70,U70,V70,W70,X70)-1)*25,"")</f>
        <v/>
      </c>
      <c r="Z70" s="33" t="n">
        <v>5</v>
      </c>
      <c r="AA70" s="33" t="n">
        <v>2</v>
      </c>
      <c r="AB70" s="33" t="n">
        <v>5</v>
      </c>
      <c r="AC70" s="71" t="n">
        <v>70</v>
      </c>
      <c r="AD70" s="33">
        <f>IFERROR(AVERAGE(IFERROR(IF(Z70="","",Z70*20),""),IFERROR(IF(AA70="","",AA70*20),""),IFERROR(IF(AB70="","",AB70*20),""),IFERROR(IF(AC70="","",IF(AC70&gt;=85,100,IF(AC70&gt;=70,90,IF(AC70&gt;=55,75,IF(AC70&gt;=40,60,IF(AC70&gt;=25,40,20)))))),"")),"")</f>
        <v/>
      </c>
      <c r="AE70" s="33" t="n">
        <v>3</v>
      </c>
      <c r="AF70" s="33" t="n">
        <v>2</v>
      </c>
      <c r="AG70" s="33" t="n">
        <v>5</v>
      </c>
      <c r="AH70" s="33" t="n">
        <v>4</v>
      </c>
      <c r="AI70" s="33">
        <f>IFERROR((AVERAGE(AE70,AF70,AG70,AH70,AL70)-1)*25,"")</f>
        <v/>
      </c>
      <c r="AJ70" s="33">
        <f>IFERROR(J70*Weights!$B$4 + O70*Weights!$B$5 + S70*Weights!$B$6 + Y70*Weights!$B$7 + AD70*Weights!$B$8 + AI70*Weights!$B$9,"")</f>
        <v/>
      </c>
      <c r="AK70" s="33">
        <f>IF(AJ70="","",IF(AJ70&gt;=85,"✓✓✓",IF(AJ70&gt;=70,"✓✓",IF(AJ70&gt;=55,"✓",IF(AJ70&gt;=40,"?","✗")))))</f>
        <v/>
      </c>
      <c r="AL70" s="33" t="n">
        <v>5</v>
      </c>
    </row>
    <row r="71">
      <c r="A71" s="33" t="inlineStr">
        <is>
          <t>INTC</t>
        </is>
      </c>
      <c r="B71" s="33" t="inlineStr">
        <is>
          <t>Intel Corporation</t>
        </is>
      </c>
      <c r="C71" s="33" t="inlineStr">
        <is>
          <t>05 Fabs &amp; Foundries</t>
        </is>
      </c>
      <c r="D71" s="33" t="inlineStr">
        <is>
          <t>2026-10-11</t>
        </is>
      </c>
      <c r="E71" s="33" t="n">
        <v>50.272007</v>
      </c>
      <c r="F71" s="33" t="n">
        <v>36.044</v>
      </c>
      <c r="G71" s="33" t="n">
        <v>0.51</v>
      </c>
      <c r="H71" s="33" t="n">
        <v>9.704292000000001</v>
      </c>
      <c r="I71" s="33">
        <f>IF(OR(E71="",R71="",R71&lt;=0,E71&lt;0),"",E71/R71)</f>
        <v/>
      </c>
      <c r="J71" s="33" t="n">
        <v>27.8</v>
      </c>
      <c r="K71" s="33" t="n">
        <v>2.04</v>
      </c>
      <c r="L71" s="33" t="n">
        <v>38.87</v>
      </c>
      <c r="M71" s="33" t="n">
        <v>4.96</v>
      </c>
      <c r="N71" s="33" t="n">
        <v>1.24</v>
      </c>
      <c r="O71" s="33" t="n">
        <v>61.2</v>
      </c>
      <c r="P71" s="33" t="n">
        <v>-5.71</v>
      </c>
      <c r="Q71" s="33" t="n">
        <v>25.4</v>
      </c>
      <c r="R71" s="33" t="inlineStr"/>
      <c r="S71" s="33">
        <f>IFERROR(AVERAGE(IFERROR(IF(P71="","",IF(P71&gt;=40,100,IF(P71&gt;=30,90,IF(P71&gt;=20,75,IF(P71&gt;=15,60,IF(P71&gt;=10,45,IF(P71&gt;=5,30,15))))))),""),IFERROR(IF(Q71="","",IF(Q71&gt;=40,100,IF(Q71&gt;=30,90,IF(Q71&gt;=20,75,IF(Q71&gt;=10,60,IF(Q71&gt;=5,45,IF(Q71&gt;=0,30,15))))))),""),IFERROR(IF(R71="","",IF(R71&gt;=40,100,IF(R71&gt;=30,90,IF(R71&gt;=20,75,IF(R71&gt;=10,60,IF(R71&gt;=0,45,IF(R71&gt;=-10,30,15))))))),"")),"")</f>
        <v/>
      </c>
      <c r="T71" s="33" t="n">
        <v>3</v>
      </c>
      <c r="U71" s="33" t="n">
        <v>3</v>
      </c>
      <c r="V71" s="33" t="n">
        <v>3</v>
      </c>
      <c r="W71" s="33" t="n">
        <v>4</v>
      </c>
      <c r="X71" s="33" t="n">
        <v>4</v>
      </c>
      <c r="Y71" s="33">
        <f>IFERROR((AVERAGE(T71,U71,V71,W71,X71)-1)*25,"")</f>
        <v/>
      </c>
      <c r="Z71" s="33" t="n">
        <v>5</v>
      </c>
      <c r="AA71" s="33" t="n">
        <v>5</v>
      </c>
      <c r="AB71" s="33" t="n">
        <v>3</v>
      </c>
      <c r="AC71" s="71" t="n">
        <v>61.7</v>
      </c>
      <c r="AD71" s="33">
        <f>IFERROR(AVERAGE(IFERROR(IF(Z71="","",Z71*20),""),IFERROR(IF(AA71="","",AA71*20),""),IFERROR(IF(AB71="","",AB71*20),""),IFERROR(IF(AC71="","",IF(AC71&gt;=85,100,IF(AC71&gt;=70,90,IF(AC71&gt;=55,75,IF(AC71&gt;=40,60,IF(AC71&gt;=25,40,20)))))),"")),"")</f>
        <v/>
      </c>
      <c r="AE71" s="33" t="n">
        <v>5</v>
      </c>
      <c r="AF71" s="33" t="n">
        <v>3</v>
      </c>
      <c r="AG71" s="33" t="n">
        <v>2</v>
      </c>
      <c r="AH71" s="33" t="n">
        <v>3</v>
      </c>
      <c r="AI71" s="33">
        <f>IFERROR((AVERAGE(AE71,AF71,AG71,AH71,AL71)-1)*25,"")</f>
        <v/>
      </c>
      <c r="AJ71" s="33">
        <f>IFERROR(J71*Weights!$B$4 + O71*Weights!$B$5 + S71*Weights!$B$6 + Y71*Weights!$B$7 + AD71*Weights!$B$8 + AI71*Weights!$B$9,"")</f>
        <v/>
      </c>
      <c r="AK71" s="33">
        <f>IF(AJ71="","",IF(AJ71&gt;=85,"✓✓✓",IF(AJ71&gt;=70,"✓✓",IF(AJ71&gt;=55,"✓",IF(AJ71&gt;=40,"?","✗")))))</f>
        <v/>
      </c>
      <c r="AL71" s="33" t="n">
        <v>5</v>
      </c>
    </row>
    <row r="72">
      <c r="A72" s="33" t="inlineStr">
        <is>
          <t>GFS</t>
        </is>
      </c>
      <c r="B72" s="33" t="inlineStr">
        <is>
          <t>GLOBALFOUNDRIES Inc.</t>
        </is>
      </c>
      <c r="C72" s="33" t="inlineStr">
        <is>
          <t>05 Fabs &amp; Foundries</t>
        </is>
      </c>
      <c r="D72" s="33" t="inlineStr">
        <is>
          <t>2026-10-11</t>
        </is>
      </c>
      <c r="E72" s="33" t="n">
        <v>18.329521</v>
      </c>
      <c r="F72" s="33" t="n">
        <v>13.001</v>
      </c>
      <c r="G72" s="33" t="n">
        <v>2.96</v>
      </c>
      <c r="H72" s="33" t="n">
        <v>3.8757389</v>
      </c>
      <c r="I72" s="33">
        <f>IF(OR(E72="",R72="",R72&lt;=0,E72&lt;0),"",E72/R72)</f>
        <v/>
      </c>
      <c r="J72" s="33" t="n">
        <v>71.2</v>
      </c>
      <c r="K72" s="33" t="n">
        <v>4.5</v>
      </c>
      <c r="L72" s="33" t="n">
        <v>27.14</v>
      </c>
      <c r="M72" s="33" t="n">
        <v>11.47</v>
      </c>
      <c r="N72" s="33" t="n">
        <v>-0.34</v>
      </c>
      <c r="O72" s="33" t="n">
        <v>57.5</v>
      </c>
      <c r="P72" s="33" t="n">
        <v>-5.74</v>
      </c>
      <c r="Q72" s="33" t="n">
        <v>5.8</v>
      </c>
      <c r="R72" s="33" t="n">
        <v>-27.2</v>
      </c>
      <c r="S72" s="33">
        <f>IFERROR(AVERAGE(IFERROR(IF(P72="","",IF(P72&gt;=40,100,IF(P72&gt;=30,90,IF(P72&gt;=20,75,IF(P72&gt;=15,60,IF(P72&gt;=10,45,IF(P72&gt;=5,30,15))))))),""),IFERROR(IF(Q72="","",IF(Q72&gt;=40,100,IF(Q72&gt;=30,90,IF(Q72&gt;=20,75,IF(Q72&gt;=10,60,IF(Q72&gt;=5,45,IF(Q72&gt;=0,30,15))))))),""),IFERROR(IF(R72="","",IF(R72&gt;=40,100,IF(R72&gt;=30,90,IF(R72&gt;=20,75,IF(R72&gt;=10,60,IF(R72&gt;=0,45,IF(R72&gt;=-10,30,15))))))),"")),"")</f>
        <v/>
      </c>
      <c r="T72" s="33" t="n">
        <v>3</v>
      </c>
      <c r="U72" s="33" t="n">
        <v>3</v>
      </c>
      <c r="V72" s="33" t="n">
        <v>4</v>
      </c>
      <c r="W72" s="33" t="n">
        <v>4</v>
      </c>
      <c r="X72" s="33" t="n">
        <v>3</v>
      </c>
      <c r="Y72" s="33">
        <f>IFERROR((AVERAGE(T72,U72,V72,W72,X72)-1)*25,"")</f>
        <v/>
      </c>
      <c r="Z72" s="33" t="n">
        <v>4</v>
      </c>
      <c r="AA72" s="33" t="n">
        <v>5</v>
      </c>
      <c r="AB72" s="33" t="n">
        <v>3</v>
      </c>
      <c r="AC72" s="71" t="n">
        <v>48.3</v>
      </c>
      <c r="AD72" s="33">
        <f>IFERROR(AVERAGE(IFERROR(IF(Z72="","",Z72*20),""),IFERROR(IF(AA72="","",AA72*20),""),IFERROR(IF(AB72="","",AB72*20),""),IFERROR(IF(AC72="","",IF(AC72&gt;=85,100,IF(AC72&gt;=70,90,IF(AC72&gt;=55,75,IF(AC72&gt;=40,60,IF(AC72&gt;=25,40,20)))))),"")),"")</f>
        <v/>
      </c>
      <c r="AE72" s="33" t="n">
        <v>4</v>
      </c>
      <c r="AF72" s="33" t="n">
        <v>4</v>
      </c>
      <c r="AG72" s="33" t="n">
        <v>4</v>
      </c>
      <c r="AH72" s="33" t="n">
        <v>4</v>
      </c>
      <c r="AI72" s="33">
        <f>IFERROR((AVERAGE(AE72,AF72,AG72,AH72,AL72)-1)*25,"")</f>
        <v/>
      </c>
      <c r="AJ72" s="33">
        <f>IFERROR(J72*Weights!$B$4 + O72*Weights!$B$5 + S72*Weights!$B$6 + Y72*Weights!$B$7 + AD72*Weights!$B$8 + AI72*Weights!$B$9,"")</f>
        <v/>
      </c>
      <c r="AK72" s="33">
        <f>IF(AJ72="","",IF(AJ72&gt;=85,"✓✓✓",IF(AJ72&gt;=70,"✓✓",IF(AJ72&gt;=55,"✓",IF(AJ72&gt;=40,"?","✗")))))</f>
        <v/>
      </c>
      <c r="AL72" s="33" t="n">
        <v>5</v>
      </c>
    </row>
    <row r="73">
      <c r="A73" s="33" t="inlineStr">
        <is>
          <t>TSEM</t>
        </is>
      </c>
      <c r="B73" s="33" t="inlineStr">
        <is>
          <t>Tower Semiconductor Ltd.</t>
        </is>
      </c>
      <c r="C73" s="33" t="inlineStr">
        <is>
          <t>05 Fabs &amp; Foundries</t>
        </is>
      </c>
      <c r="D73" s="33" t="inlineStr">
        <is>
          <t>2026-10-11</t>
        </is>
      </c>
      <c r="E73" s="33" t="n">
        <v>34.080784</v>
      </c>
      <c r="F73" s="33" t="n">
        <v>44.732</v>
      </c>
      <c r="G73" s="33" t="n">
        <v>1.16</v>
      </c>
      <c r="H73" s="33" t="n">
        <v>15.121451</v>
      </c>
      <c r="I73" s="33">
        <f>IF(OR(E73="",R73="",R73&lt;=0,E73&lt;0),"",E73/R73)</f>
        <v/>
      </c>
      <c r="J73" s="33" t="n">
        <v>33.5</v>
      </c>
      <c r="K73" s="33" t="n">
        <v>7.41</v>
      </c>
      <c r="L73" s="33" t="n">
        <v>26.87</v>
      </c>
      <c r="M73" s="33" t="n">
        <v>17.58</v>
      </c>
      <c r="N73" s="33" t="n">
        <v>-2.24</v>
      </c>
      <c r="O73" s="33" t="n">
        <v>61.2</v>
      </c>
      <c r="P73" s="33" t="n">
        <v>-2.27</v>
      </c>
      <c r="Q73" s="33" t="n">
        <v>23.7</v>
      </c>
      <c r="R73" s="33" t="n">
        <v>95</v>
      </c>
      <c r="S73" s="33">
        <f>IFERROR(AVERAGE(IFERROR(IF(P73="","",IF(P73&gt;=40,100,IF(P73&gt;=30,90,IF(P73&gt;=20,75,IF(P73&gt;=15,60,IF(P73&gt;=10,45,IF(P73&gt;=5,30,15))))))),""),IFERROR(IF(Q73="","",IF(Q73&gt;=40,100,IF(Q73&gt;=30,90,IF(Q73&gt;=20,75,IF(Q73&gt;=10,60,IF(Q73&gt;=5,45,IF(Q73&gt;=0,30,15))))))),""),IFERROR(IF(R73="","",IF(R73&gt;=40,100,IF(R73&gt;=30,90,IF(R73&gt;=20,75,IF(R73&gt;=10,60,IF(R73&gt;=0,45,IF(R73&gt;=-10,30,15))))))),"")),"")</f>
        <v/>
      </c>
      <c r="T73" s="33" t="n">
        <v>4</v>
      </c>
      <c r="U73" s="33" t="n">
        <v>4</v>
      </c>
      <c r="V73" s="33" t="n">
        <v>4</v>
      </c>
      <c r="W73" s="33" t="n">
        <v>5</v>
      </c>
      <c r="X73" s="33" t="n">
        <v>4</v>
      </c>
      <c r="Y73" s="33">
        <f>IFERROR((AVERAGE(T73,U73,V73,W73,X73)-1)*25,"")</f>
        <v/>
      </c>
      <c r="Z73" s="33" t="n">
        <v>4</v>
      </c>
      <c r="AA73" s="33" t="n">
        <v>5</v>
      </c>
      <c r="AB73" s="33" t="n">
        <v>3</v>
      </c>
      <c r="AC73" s="71" t="n">
        <v>59.2</v>
      </c>
      <c r="AD73" s="33">
        <f>IFERROR(AVERAGE(IFERROR(IF(Z73="","",Z73*20),""),IFERROR(IF(AA73="","",AA73*20),""),IFERROR(IF(AB73="","",AB73*20),""),IFERROR(IF(AC73="","",IF(AC73&gt;=85,100,IF(AC73&gt;=70,90,IF(AC73&gt;=55,75,IF(AC73&gt;=40,60,IF(AC73&gt;=25,40,20)))))),"")),"")</f>
        <v/>
      </c>
      <c r="AE73" s="33" t="n">
        <v>4</v>
      </c>
      <c r="AF73" s="33" t="n">
        <v>4</v>
      </c>
      <c r="AG73" s="33" t="n">
        <v>4</v>
      </c>
      <c r="AH73" s="33" t="n">
        <v>4</v>
      </c>
      <c r="AI73" s="33">
        <f>IFERROR((AVERAGE(AE73,AF73,AG73,AH73,AL73)-1)*25,"")</f>
        <v/>
      </c>
      <c r="AJ73" s="33">
        <f>IFERROR(J73*Weights!$B$4 + O73*Weights!$B$5 + S73*Weights!$B$6 + Y73*Weights!$B$7 + AD73*Weights!$B$8 + AI73*Weights!$B$9,"")</f>
        <v/>
      </c>
      <c r="AK73" s="33">
        <f>IF(AJ73="","",IF(AJ73&gt;=85,"✓✓✓",IF(AJ73&gt;=70,"✓✓",IF(AJ73&gt;=55,"✓",IF(AJ73&gt;=40,"?","✗")))))</f>
        <v/>
      </c>
      <c r="AL73" s="33" t="n">
        <v>5</v>
      </c>
    </row>
    <row r="74">
      <c r="A74" s="33" t="inlineStr">
        <is>
          <t>UMC</t>
        </is>
      </c>
      <c r="B74" s="33" t="inlineStr">
        <is>
          <t>United Microelectronics Corporation</t>
        </is>
      </c>
      <c r="C74" s="33" t="inlineStr">
        <is>
          <t>05 Fabs &amp; Foundries</t>
        </is>
      </c>
      <c r="D74" s="33" t="inlineStr">
        <is>
          <t>2026-10-11</t>
        </is>
      </c>
      <c r="E74" s="33" t="n">
        <v>26.145576</v>
      </c>
      <c r="F74" s="33" t="n">
        <v>16.126</v>
      </c>
      <c r="G74" s="33" t="n">
        <v>3.2</v>
      </c>
      <c r="H74" s="33" t="n">
        <v>7.3774624</v>
      </c>
      <c r="I74" s="33">
        <f>IF(OR(E74="",R74="",R74&lt;=0,E74&lt;0),"",E74/R74)</f>
        <v/>
      </c>
      <c r="J74" s="33" t="n">
        <v>63.1</v>
      </c>
      <c r="K74" s="33" t="n">
        <v>8.17</v>
      </c>
      <c r="L74" s="33" t="n">
        <v>30.6</v>
      </c>
      <c r="M74" s="33" t="n">
        <v>23.64</v>
      </c>
      <c r="N74" s="33" t="n">
        <v>-0.76</v>
      </c>
      <c r="O74" s="33" t="n">
        <v>73.8</v>
      </c>
      <c r="P74" s="33" t="n">
        <v>-5.19</v>
      </c>
      <c r="Q74" s="33" t="n">
        <v>17</v>
      </c>
      <c r="R74" s="33" t="n"/>
      <c r="S74" s="33">
        <f>IFERROR(AVERAGE(IFERROR(IF(P74="","",IF(P74&gt;=40,100,IF(P74&gt;=30,90,IF(P74&gt;=20,75,IF(P74&gt;=15,60,IF(P74&gt;=10,45,IF(P74&gt;=5,30,15))))))),""),IFERROR(IF(Q74="","",IF(Q74&gt;=40,100,IF(Q74&gt;=30,90,IF(Q74&gt;=20,75,IF(Q74&gt;=10,60,IF(Q74&gt;=5,45,IF(Q74&gt;=0,30,15))))))),""),IFERROR(IF(R74="","",IF(R74&gt;=40,100,IF(R74&gt;=30,90,IF(R74&gt;=20,75,IF(R74&gt;=10,60,IF(R74&gt;=0,45,IF(R74&gt;=-10,30,15))))))),"")),"")</f>
        <v/>
      </c>
      <c r="T74" s="33" t="n">
        <v>3</v>
      </c>
      <c r="U74" s="33" t="n">
        <v>3</v>
      </c>
      <c r="V74" s="33" t="n">
        <v>3</v>
      </c>
      <c r="W74" s="33" t="n">
        <v>3</v>
      </c>
      <c r="X74" s="33" t="n">
        <v>2</v>
      </c>
      <c r="Y74" s="33">
        <f>IFERROR((AVERAGE(T74,U74,V74,W74,X74)-1)*25,"")</f>
        <v/>
      </c>
      <c r="Z74" s="33" t="n">
        <v>3</v>
      </c>
      <c r="AA74" s="33" t="n">
        <v>5</v>
      </c>
      <c r="AB74" s="33" t="n">
        <v>3</v>
      </c>
      <c r="AC74" s="71" t="n">
        <v>70</v>
      </c>
      <c r="AD74" s="33">
        <f>IFERROR(AVERAGE(IFERROR(IF(Z74="","",Z74*20),""),IFERROR(IF(AA74="","",AA74*20),""),IFERROR(IF(AB74="","",AB74*20),""),IFERROR(IF(AC74="","",IF(AC74&gt;=85,100,IF(AC74&gt;=70,90,IF(AC74&gt;=55,75,IF(AC74&gt;=40,60,IF(AC74&gt;=25,40,20)))))),"")),"")</f>
        <v/>
      </c>
      <c r="AE74" s="33" t="n">
        <v>4</v>
      </c>
      <c r="AF74" s="33" t="n">
        <v>2</v>
      </c>
      <c r="AG74" s="33" t="n">
        <v>4</v>
      </c>
      <c r="AH74" s="33" t="n">
        <v>4</v>
      </c>
      <c r="AI74" s="33">
        <f>IFERROR((AVERAGE(AE74,AF74,AG74,AH74,AL74)-1)*25,"")</f>
        <v/>
      </c>
      <c r="AJ74" s="33">
        <f>IFERROR(J74*Weights!$B$4 + O74*Weights!$B$5 + S74*Weights!$B$6 + Y74*Weights!$B$7 + AD74*Weights!$B$8 + AI74*Weights!$B$9,"")</f>
        <v/>
      </c>
      <c r="AK74" s="33">
        <f>IF(AJ74="","",IF(AJ74&gt;=85,"✓✓✓",IF(AJ74&gt;=70,"✓✓",IF(AJ74&gt;=55,"✓",IF(AJ74&gt;=40,"?","✗")))))</f>
        <v/>
      </c>
      <c r="AL74" s="33" t="n">
        <v>5</v>
      </c>
    </row>
    <row r="75">
      <c r="A75" s="33" t="inlineStr">
        <is>
          <t>AVGO</t>
        </is>
      </c>
      <c r="B75" s="33" t="inlineStr">
        <is>
          <t>Broadcom Inc.</t>
        </is>
      </c>
      <c r="C75" s="33" t="inlineStr">
        <is>
          <t>06 AI Compute Silicon / Custom silicon / ASIC designers</t>
        </is>
      </c>
      <c r="D75" s="33" t="inlineStr">
        <is>
          <t>2026-10-11</t>
        </is>
      </c>
      <c r="E75" s="33" t="n">
        <v>18.642021</v>
      </c>
      <c r="F75" s="33" t="n">
        <v>35.07</v>
      </c>
      <c r="G75" s="33" t="n">
        <v>2.28</v>
      </c>
      <c r="H75" s="33" t="n">
        <v>19.369032</v>
      </c>
      <c r="I75" s="33">
        <f>IF(OR(E75="",R75="",R75&lt;=0,E75&lt;0),"",E75/R75)</f>
        <v/>
      </c>
      <c r="J75" s="33" t="n">
        <v>57</v>
      </c>
      <c r="K75" s="33" t="n">
        <v>24.44</v>
      </c>
      <c r="L75" s="33" t="n">
        <v>75.52</v>
      </c>
      <c r="M75" s="33" t="n">
        <v>44.22</v>
      </c>
      <c r="N75" s="33" t="n">
        <v>0.68</v>
      </c>
      <c r="O75" s="33" t="n">
        <v>88.8</v>
      </c>
      <c r="P75" s="33" t="n">
        <v>24.38</v>
      </c>
      <c r="Q75" s="33" t="n">
        <v>85.5</v>
      </c>
      <c r="R75" s="33" t="n">
        <v>216.1</v>
      </c>
      <c r="S75" s="33">
        <f>IFERROR(AVERAGE(IFERROR(IF(P75="","",IF(P75&gt;=40,100,IF(P75&gt;=30,90,IF(P75&gt;=20,75,IF(P75&gt;=15,60,IF(P75&gt;=10,45,IF(P75&gt;=5,30,15))))))),""),IFERROR(IF(Q75="","",IF(Q75&gt;=40,100,IF(Q75&gt;=30,90,IF(Q75&gt;=20,75,IF(Q75&gt;=10,60,IF(Q75&gt;=5,45,IF(Q75&gt;=0,30,15))))))),""),IFERROR(IF(R75="","",IF(R75&gt;=40,100,IF(R75&gt;=30,90,IF(R75&gt;=20,75,IF(R75&gt;=10,60,IF(R75&gt;=0,45,IF(R75&gt;=-10,30,15))))))),"")),"")</f>
        <v/>
      </c>
      <c r="T75" s="33" t="n">
        <v>5</v>
      </c>
      <c r="U75" s="33" t="n">
        <v>5</v>
      </c>
      <c r="V75" s="33" t="n">
        <v>4</v>
      </c>
      <c r="W75" s="33" t="n">
        <v>5</v>
      </c>
      <c r="X75" s="33" t="n">
        <v>5</v>
      </c>
      <c r="Y75" s="33">
        <f>IFERROR((AVERAGE(T75,U75,V75,W75,X75)-1)*25,"")</f>
        <v/>
      </c>
      <c r="Z75" s="33" t="n">
        <v>4</v>
      </c>
      <c r="AA75" s="33" t="n">
        <v>1</v>
      </c>
      <c r="AB75" s="33" t="n">
        <v>4</v>
      </c>
      <c r="AC75" s="71" t="n">
        <v>36.7</v>
      </c>
      <c r="AD75" s="33">
        <f>IFERROR(AVERAGE(IFERROR(IF(Z75="","",Z75*20),""),IFERROR(IF(AA75="","",AA75*20),""),IFERROR(IF(AB75="","",AB75*20),""),IFERROR(IF(AC75="","",IF(AC75&gt;=85,100,IF(AC75&gt;=70,90,IF(AC75&gt;=55,75,IF(AC75&gt;=40,60,IF(AC75&gt;=25,40,20)))))),"")),"")</f>
        <v/>
      </c>
      <c r="AE75" s="33" t="n">
        <v>3</v>
      </c>
      <c r="AF75" s="33" t="n">
        <v>4</v>
      </c>
      <c r="AG75" s="33" t="n">
        <v>4</v>
      </c>
      <c r="AH75" s="33" t="n">
        <v>4</v>
      </c>
      <c r="AI75" s="33">
        <f>IFERROR((AVERAGE(AE75,AF75,AG75,AH75,AL75)-1)*25,"")</f>
        <v/>
      </c>
      <c r="AJ75" s="33">
        <f>IFERROR(J75*Weights!$B$4 + O75*Weights!$B$5 + S75*Weights!$B$6 + Y75*Weights!$B$7 + AD75*Weights!$B$8 + AI75*Weights!$B$9,"")</f>
        <v/>
      </c>
      <c r="AK75" s="33">
        <f>IF(AJ75="","",IF(AJ75&gt;=85,"✓✓✓",IF(AJ75&gt;=70,"✓✓",IF(AJ75&gt;=55,"✓",IF(AJ75&gt;=40,"?","✗")))))</f>
        <v/>
      </c>
      <c r="AL75" s="33" t="n">
        <v>5</v>
      </c>
    </row>
    <row r="76">
      <c r="A76" s="33" t="inlineStr">
        <is>
          <t>MRVL</t>
        </is>
      </c>
      <c r="B76" s="33" t="inlineStr">
        <is>
          <t>Marvell Technology, Inc.</t>
        </is>
      </c>
      <c r="C76" s="33" t="inlineStr">
        <is>
          <t>06 AI Compute Silicon / Custom silicon / ASIC designers</t>
        </is>
      </c>
      <c r="D76" s="33" t="inlineStr">
        <is>
          <t>2026-10-11</t>
        </is>
      </c>
      <c r="E76" s="33" t="n">
        <v>39.19890053064152</v>
      </c>
      <c r="F76" s="33" t="n">
        <v>88.057</v>
      </c>
      <c r="G76" s="33" t="n">
        <v>0.7</v>
      </c>
      <c r="H76" s="33" t="n">
        <v>26.178577</v>
      </c>
      <c r="I76" s="33">
        <f>IF(OR(E76="",R76="",R76&lt;=0,E76&lt;0),"",E76/R76)</f>
        <v/>
      </c>
      <c r="J76" s="33" t="n">
        <v>23.5</v>
      </c>
      <c r="K76" s="33" t="n">
        <v>5.47</v>
      </c>
      <c r="L76" s="33" t="n">
        <v>52.22</v>
      </c>
      <c r="M76" s="33" t="n">
        <v>18.23</v>
      </c>
      <c r="N76" s="33" t="n">
        <v>0.47</v>
      </c>
      <c r="O76" s="33" t="n">
        <v>45.1</v>
      </c>
      <c r="P76" s="33" t="n">
        <v>11.45</v>
      </c>
      <c r="Q76" s="33" t="n">
        <v>36.5</v>
      </c>
      <c r="R76" s="33" t="n">
        <v>58.1</v>
      </c>
      <c r="S76" s="33">
        <f>IFERROR(AVERAGE(IFERROR(IF(P76="","",IF(P76&gt;=40,100,IF(P76&gt;=30,90,IF(P76&gt;=20,75,IF(P76&gt;=15,60,IF(P76&gt;=10,45,IF(P76&gt;=5,30,15))))))),""),IFERROR(IF(Q76="","",IF(Q76&gt;=40,100,IF(Q76&gt;=30,90,IF(Q76&gt;=20,75,IF(Q76&gt;=10,60,IF(Q76&gt;=5,45,IF(Q76&gt;=0,30,15))))))),""),IFERROR(IF(R76="","",IF(R76&gt;=40,100,IF(R76&gt;=30,90,IF(R76&gt;=20,75,IF(R76&gt;=10,60,IF(R76&gt;=0,45,IF(R76&gt;=-10,30,15))))))),"")),"")</f>
        <v/>
      </c>
      <c r="T76" s="33" t="n">
        <v>4</v>
      </c>
      <c r="U76" s="33" t="n">
        <v>4</v>
      </c>
      <c r="V76" s="33" t="n">
        <v>4</v>
      </c>
      <c r="W76" s="33" t="n">
        <v>5</v>
      </c>
      <c r="X76" s="33" t="n">
        <v>5</v>
      </c>
      <c r="Y76" s="33">
        <f>IFERROR((AVERAGE(T76,U76,V76,W76,X76)-1)*25,"")</f>
        <v/>
      </c>
      <c r="Z76" s="33" t="n">
        <v>4</v>
      </c>
      <c r="AA76" s="33" t="n">
        <v>5</v>
      </c>
      <c r="AB76" s="33" t="n">
        <v>5</v>
      </c>
      <c r="AC76" s="71" t="n">
        <v>72.5</v>
      </c>
      <c r="AD76" s="33">
        <f>IFERROR(AVERAGE(IFERROR(IF(Z76="","",Z76*20),""),IFERROR(IF(AA76="","",AA76*20),""),IFERROR(IF(AB76="","",AB76*20),""),IFERROR(IF(AC76="","",IF(AC76&gt;=85,100,IF(AC76&gt;=70,90,IF(AC76&gt;=55,75,IF(AC76&gt;=40,60,IF(AC76&gt;=25,40,20)))))),"")),"")</f>
        <v/>
      </c>
      <c r="AE76" s="33" t="n">
        <v>3</v>
      </c>
      <c r="AF76" s="33" t="n">
        <v>4</v>
      </c>
      <c r="AG76" s="33" t="n">
        <v>4</v>
      </c>
      <c r="AH76" s="33" t="n">
        <v>4</v>
      </c>
      <c r="AI76" s="33">
        <f>IFERROR((AVERAGE(AE76,AF76,AG76,AH76,AL76)-1)*25,"")</f>
        <v/>
      </c>
      <c r="AJ76" s="33">
        <f>IFERROR(J76*Weights!$B$4 + O76*Weights!$B$5 + S76*Weights!$B$6 + Y76*Weights!$B$7 + AD76*Weights!$B$8 + AI76*Weights!$B$9,"")</f>
        <v/>
      </c>
      <c r="AK76" s="33">
        <f>IF(AJ76="","",IF(AJ76&gt;=85,"✓✓✓",IF(AJ76&gt;=70,"✓✓",IF(AJ76&gt;=55,"✓",IF(AJ76&gt;=40,"?","✗")))))</f>
        <v/>
      </c>
      <c r="AL76" s="33" t="n">
        <v>5</v>
      </c>
    </row>
    <row r="77">
      <c r="A77" s="33" t="inlineStr">
        <is>
          <t>ALAB</t>
        </is>
      </c>
      <c r="B77" s="33" t="inlineStr">
        <is>
          <t>Astera Labs, Inc.</t>
        </is>
      </c>
      <c r="C77" s="33" t="inlineStr">
        <is>
          <t>06 AI Compute Silicon / Custom silicon / ASIC designers</t>
        </is>
      </c>
      <c r="D77" s="33" t="inlineStr">
        <is>
          <t>2026-10-11</t>
        </is>
      </c>
      <c r="E77" s="33" t="n">
        <v>53.52484</v>
      </c>
      <c r="F77" s="33" t="n">
        <v>228.126</v>
      </c>
      <c r="G77" s="33" t="n">
        <v>0.47</v>
      </c>
      <c r="H77" s="33" t="n">
        <v>49.394627</v>
      </c>
      <c r="I77" s="33">
        <f>IF(OR(E77="",R77="",R77&lt;=0,E77&lt;0),"",E77/R77)</f>
        <v/>
      </c>
      <c r="J77" s="33" t="n">
        <v>32.6</v>
      </c>
      <c r="K77" s="33" t="n">
        <v>15.47</v>
      </c>
      <c r="L77" s="33" t="n">
        <v>75.13</v>
      </c>
      <c r="M77" s="33" t="n">
        <v>23.02</v>
      </c>
      <c r="N77" s="33" t="n">
        <v>-4.23</v>
      </c>
      <c r="O77" s="33" t="n">
        <v>78.59999999999999</v>
      </c>
      <c r="P77" s="33" t="n">
        <v>120.18</v>
      </c>
      <c r="Q77" s="33" t="n">
        <v>104.5</v>
      </c>
      <c r="R77" s="33" t="n">
        <v>198.9</v>
      </c>
      <c r="S77" s="33">
        <f>IFERROR(AVERAGE(IFERROR(IF(P77="","",IF(P77&gt;=40,100,IF(P77&gt;=30,90,IF(P77&gt;=20,75,IF(P77&gt;=15,60,IF(P77&gt;=10,45,IF(P77&gt;=5,30,15))))))),""),IFERROR(IF(Q77="","",IF(Q77&gt;=40,100,IF(Q77&gt;=30,90,IF(Q77&gt;=20,75,IF(Q77&gt;=10,60,IF(Q77&gt;=5,45,IF(Q77&gt;=0,30,15))))))),""),IFERROR(IF(R77="","",IF(R77&gt;=40,100,IF(R77&gt;=30,90,IF(R77&gt;=20,75,IF(R77&gt;=10,60,IF(R77&gt;=0,45,IF(R77&gt;=-10,30,15))))))),"")),"")</f>
        <v/>
      </c>
      <c r="T77" s="33" t="n">
        <v>5</v>
      </c>
      <c r="U77" s="33" t="n">
        <v>4</v>
      </c>
      <c r="V77" s="33" t="n">
        <v>5</v>
      </c>
      <c r="W77" s="33" t="n">
        <v>5</v>
      </c>
      <c r="X77" s="33" t="n">
        <v>5</v>
      </c>
      <c r="Y77" s="33">
        <f>IFERROR((AVERAGE(T77,U77,V77,W77,X77)-1)*25,"")</f>
        <v/>
      </c>
      <c r="Z77" s="33" t="n">
        <v>5</v>
      </c>
      <c r="AA77" s="33" t="n">
        <v>5</v>
      </c>
      <c r="AB77" s="33" t="n">
        <v>2</v>
      </c>
      <c r="AC77" s="71" t="n">
        <v>62.5</v>
      </c>
      <c r="AD77" s="33">
        <f>IFERROR(AVERAGE(IFERROR(IF(Z77="","",Z77*20),""),IFERROR(IF(AA77="","",AA77*20),""),IFERROR(IF(AB77="","",AB77*20),""),IFERROR(IF(AC77="","",IF(AC77&gt;=85,100,IF(AC77&gt;=70,90,IF(AC77&gt;=55,75,IF(AC77&gt;=40,60,IF(AC77&gt;=25,40,20)))))),"")),"")</f>
        <v/>
      </c>
      <c r="AE77" s="33" t="n">
        <v>2</v>
      </c>
      <c r="AF77" s="33" t="n">
        <v>5</v>
      </c>
      <c r="AG77" s="33" t="n">
        <v>5</v>
      </c>
      <c r="AH77" s="33" t="n">
        <v>4</v>
      </c>
      <c r="AI77" s="33">
        <f>IFERROR((AVERAGE(AE77,AF77,AG77,AH77,AL77)-1)*25,"")</f>
        <v/>
      </c>
      <c r="AJ77" s="33">
        <f>IFERROR(J77*Weights!$B$4 + O77*Weights!$B$5 + S77*Weights!$B$6 + Y77*Weights!$B$7 + AD77*Weights!$B$8 + AI77*Weights!$B$9,"")</f>
        <v/>
      </c>
      <c r="AK77" s="33">
        <f>IF(AJ77="","",IF(AJ77&gt;=85,"✓✓✓",IF(AJ77&gt;=70,"✓✓",IF(AJ77&gt;=55,"✓",IF(AJ77&gt;=40,"?","✗")))))</f>
        <v/>
      </c>
      <c r="AL77" s="33" t="n">
        <v>5</v>
      </c>
    </row>
    <row r="78">
      <c r="A78" s="33" t="inlineStr">
        <is>
          <t>SNDK</t>
        </is>
      </c>
      <c r="B78" s="33" t="inlineStr">
        <is>
          <t>Sandisk Corporation</t>
        </is>
      </c>
      <c r="C78" s="33" t="inlineStr">
        <is>
          <t>06 AI Compute Silicon / Memory (HBM is the bottleneck)</t>
        </is>
      </c>
      <c r="D78" s="33" t="inlineStr">
        <is>
          <t>2026-10-11</t>
        </is>
      </c>
      <c r="E78" s="33" t="n">
        <v>6.575668486047666</v>
      </c>
      <c r="F78" s="33" t="n">
        <v>19.279</v>
      </c>
      <c r="G78" s="33" t="n">
        <v>5.03</v>
      </c>
      <c r="H78" s="33" t="n">
        <v>11.290823</v>
      </c>
      <c r="I78" s="33">
        <f>IF(OR(E78="",R78="",R78&lt;=0,E78&lt;0),"",E78/R78)</f>
        <v/>
      </c>
      <c r="J78" s="33" t="n">
        <v>76.59999999999999</v>
      </c>
      <c r="K78" s="33" t="n">
        <v>64.7</v>
      </c>
      <c r="L78" s="33" t="n">
        <v>71.47</v>
      </c>
      <c r="M78" s="33" t="n">
        <v>56.77</v>
      </c>
      <c r="N78" s="33" t="n">
        <v>-0.36</v>
      </c>
      <c r="O78" s="33" t="n">
        <v>80.09999999999999</v>
      </c>
      <c r="P78" s="33" t="n">
        <v>49.29</v>
      </c>
      <c r="Q78" s="33" t="n">
        <v>371.6</v>
      </c>
      <c r="R78" s="33" t="n">
        <v>272.8</v>
      </c>
      <c r="S78" s="33">
        <f>IFERROR(AVERAGE(IFERROR(IF(P78="","",IF(P78&gt;=40,100,IF(P78&gt;=30,90,IF(P78&gt;=20,75,IF(P78&gt;=15,60,IF(P78&gt;=10,45,IF(P78&gt;=5,30,15))))))),""),IFERROR(IF(Q78="","",IF(Q78&gt;=40,100,IF(Q78&gt;=30,90,IF(Q78&gt;=20,75,IF(Q78&gt;=10,60,IF(Q78&gt;=5,45,IF(Q78&gt;=0,30,15))))))),""),IFERROR(IF(R78="","",IF(R78&gt;=40,100,IF(R78&gt;=30,90,IF(R78&gt;=20,75,IF(R78&gt;=10,60,IF(R78&gt;=0,45,IF(R78&gt;=-10,30,15))))))),"")),"")</f>
        <v/>
      </c>
      <c r="T78" s="33" t="n">
        <v>3</v>
      </c>
      <c r="U78" s="33" t="n">
        <v>3</v>
      </c>
      <c r="V78" s="33" t="n">
        <v>3</v>
      </c>
      <c r="W78" s="33" t="n">
        <v>4</v>
      </c>
      <c r="X78" s="33" t="n">
        <v>3</v>
      </c>
      <c r="Y78" s="33">
        <f>IFERROR((AVERAGE(T78,U78,V78,W78,X78)-1)*25,"")</f>
        <v/>
      </c>
      <c r="Z78" s="33" t="n">
        <v>5</v>
      </c>
      <c r="AA78" s="33" t="n">
        <v>5</v>
      </c>
      <c r="AB78" s="33" t="n">
        <v>3</v>
      </c>
      <c r="AC78" s="71" t="n">
        <v>67.5</v>
      </c>
      <c r="AD78" s="33">
        <f>IFERROR(AVERAGE(IFERROR(IF(Z78="","",Z78*20),""),IFERROR(IF(AA78="","",AA78*20),""),IFERROR(IF(AB78="","",AB78*20),""),IFERROR(IF(AC78="","",IF(AC78&gt;=85,100,IF(AC78&gt;=70,90,IF(AC78&gt;=55,75,IF(AC78&gt;=40,60,IF(AC78&gt;=25,40,20)))))),"")),"")</f>
        <v/>
      </c>
      <c r="AE78" s="33" t="n">
        <v>4</v>
      </c>
      <c r="AF78" s="33" t="n">
        <v>4</v>
      </c>
      <c r="AG78" s="33" t="n">
        <v>5</v>
      </c>
      <c r="AH78" s="33" t="n">
        <v>4</v>
      </c>
      <c r="AI78" s="33">
        <f>IFERROR((AVERAGE(AE78,AF78,AG78,AH78,AL78)-1)*25,"")</f>
        <v/>
      </c>
      <c r="AJ78" s="33">
        <f>IFERROR(J78*Weights!$B$4 + O78*Weights!$B$5 + S78*Weights!$B$6 + Y78*Weights!$B$7 + AD78*Weights!$B$8 + AI78*Weights!$B$9,"")</f>
        <v/>
      </c>
      <c r="AK78" s="33">
        <f>IF(AJ78="","",IF(AJ78&gt;=85,"✓✓✓",IF(AJ78&gt;=70,"✓✓",IF(AJ78&gt;=55,"✓",IF(AJ78&gt;=40,"?","✗")))))</f>
        <v/>
      </c>
      <c r="AL78" s="33" t="n">
        <v>5</v>
      </c>
    </row>
    <row r="79">
      <c r="A79" s="33" t="inlineStr">
        <is>
          <t>COHR</t>
        </is>
      </c>
      <c r="B79" s="33" t="inlineStr">
        <is>
          <t>Coherent Corp.</t>
        </is>
      </c>
      <c r="C79" s="33" t="inlineStr">
        <is>
          <t>07 Optical, Networking &amp; Interconnect / Optical components &amp; transceivers</t>
        </is>
      </c>
      <c r="D79" s="33" t="inlineStr">
        <is>
          <t>2026-10-11</t>
        </is>
      </c>
      <c r="E79" s="33" t="n">
        <v>26.60144515557924</v>
      </c>
      <c r="F79" s="33" t="n">
        <v>47.361</v>
      </c>
      <c r="G79" s="33" t="n">
        <v>-1.67</v>
      </c>
      <c r="H79" s="33" t="n">
        <v>8.648925999999999</v>
      </c>
      <c r="I79" s="33">
        <f>IF(OR(E79="",R79="",R79&lt;=0,E79&lt;0),"",E79/R79)</f>
        <v/>
      </c>
      <c r="J79" s="33" t="n">
        <v>37.7</v>
      </c>
      <c r="K79" s="33" t="n">
        <v>5.42</v>
      </c>
      <c r="L79" s="33" t="n">
        <v>37.5</v>
      </c>
      <c r="M79" s="33" t="n">
        <v>-14.48</v>
      </c>
      <c r="N79" s="33" t="n">
        <v>1.1</v>
      </c>
      <c r="O79" s="33" t="n">
        <v>42.3</v>
      </c>
      <c r="P79" s="33" t="n">
        <v>11.32</v>
      </c>
      <c r="Q79" s="33" t="n">
        <v>33.7</v>
      </c>
      <c r="R79" s="33" t="inlineStr"/>
      <c r="S79" s="33">
        <f>IFERROR(AVERAGE(IFERROR(IF(P79="","",IF(P79&gt;=40,100,IF(P79&gt;=30,90,IF(P79&gt;=20,75,IF(P79&gt;=15,60,IF(P79&gt;=10,45,IF(P79&gt;=5,30,15))))))),""),IFERROR(IF(Q79="","",IF(Q79&gt;=40,100,IF(Q79&gt;=30,90,IF(Q79&gt;=20,75,IF(Q79&gt;=10,60,IF(Q79&gt;=5,45,IF(Q79&gt;=0,30,15))))))),""),IFERROR(IF(R79="","",IF(R79&gt;=40,100,IF(R79&gt;=30,90,IF(R79&gt;=20,75,IF(R79&gt;=10,60,IF(R79&gt;=0,45,IF(R79&gt;=-10,30,15))))))),"")),"")</f>
        <v/>
      </c>
      <c r="T79" s="33" t="n">
        <v>4</v>
      </c>
      <c r="U79" s="33" t="n">
        <v>4</v>
      </c>
      <c r="V79" s="33" t="n">
        <v>4</v>
      </c>
      <c r="W79" s="33" t="n">
        <v>5</v>
      </c>
      <c r="X79" s="33" t="n">
        <v>4</v>
      </c>
      <c r="Y79" s="33">
        <f>IFERROR((AVERAGE(T79,U79,V79,W79,X79)-1)*25,"")</f>
        <v/>
      </c>
      <c r="Z79" s="33" t="n">
        <v>4</v>
      </c>
      <c r="AA79" s="33" t="n">
        <v>5</v>
      </c>
      <c r="AB79" s="33" t="n">
        <v>3</v>
      </c>
      <c r="AC79" s="71" t="n">
        <v>52.5</v>
      </c>
      <c r="AD79" s="33">
        <f>IFERROR(AVERAGE(IFERROR(IF(Z79="","",Z79*20),""),IFERROR(IF(AA79="","",AA79*20),""),IFERROR(IF(AB79="","",AB79*20),""),IFERROR(IF(AC79="","",IF(AC79&gt;=85,100,IF(AC79&gt;=70,90,IF(AC79&gt;=55,75,IF(AC79&gt;=40,60,IF(AC79&gt;=25,40,20)))))),"")),"")</f>
        <v/>
      </c>
      <c r="AE79" s="33" t="n">
        <v>4</v>
      </c>
      <c r="AF79" s="33" t="n">
        <v>4</v>
      </c>
      <c r="AG79" s="33" t="n">
        <v>3</v>
      </c>
      <c r="AH79" s="33" t="n">
        <v>4</v>
      </c>
      <c r="AI79" s="33">
        <f>IFERROR((AVERAGE(AE79,AF79,AG79,AH79,AL79)-1)*25,"")</f>
        <v/>
      </c>
      <c r="AJ79" s="33">
        <f>IFERROR(J79*Weights!$B$4 + O79*Weights!$B$5 + S79*Weights!$B$6 + Y79*Weights!$B$7 + AD79*Weights!$B$8 + AI79*Weights!$B$9,"")</f>
        <v/>
      </c>
      <c r="AK79" s="33">
        <f>IF(AJ79="","",IF(AJ79&gt;=85,"✓✓✓",IF(AJ79&gt;=70,"✓✓",IF(AJ79&gt;=55,"✓",IF(AJ79&gt;=40,"?","✗")))))</f>
        <v/>
      </c>
      <c r="AL79" s="33" t="n">
        <v>5</v>
      </c>
    </row>
    <row r="80">
      <c r="A80" s="33" t="inlineStr">
        <is>
          <t>LITE</t>
        </is>
      </c>
      <c r="B80" s="33" t="inlineStr">
        <is>
          <t>Lumentum Holdings Inc.</t>
        </is>
      </c>
      <c r="C80" s="33" t="inlineStr">
        <is>
          <t>07 Optical, Networking &amp; Interconnect / Optical components &amp; transceivers</t>
        </is>
      </c>
      <c r="D80" s="33" t="inlineStr">
        <is>
          <t>2026-10-11</t>
        </is>
      </c>
      <c r="E80" s="33" t="n">
        <v>38.21257759841063</v>
      </c>
      <c r="F80" s="33" t="n">
        <v>123.137</v>
      </c>
      <c r="G80" s="33" t="n">
        <v>0.3</v>
      </c>
      <c r="H80" s="33" t="n">
        <v>33.160267</v>
      </c>
      <c r="I80" s="33">
        <f>IF(OR(E80="",R80="",R80&lt;=0,E80&lt;0),"",E80/R80)</f>
        <v/>
      </c>
      <c r="J80" s="33" t="n">
        <v>21.5</v>
      </c>
      <c r="K80" s="33" t="n">
        <v>8.779999999999999</v>
      </c>
      <c r="L80" s="33" t="n">
        <v>44.24</v>
      </c>
      <c r="M80" s="33" t="n">
        <v>9.960000000000001</v>
      </c>
      <c r="N80" s="33" t="n">
        <v>-1.33</v>
      </c>
      <c r="O80" s="33" t="n">
        <v>54.8</v>
      </c>
      <c r="P80" s="33" t="n">
        <v>19.48</v>
      </c>
      <c r="Q80" s="33" t="n">
        <v>109.3</v>
      </c>
      <c r="R80" s="33" t="inlineStr"/>
      <c r="S80" s="33">
        <f>IFERROR(AVERAGE(IFERROR(IF(P80="","",IF(P80&gt;=40,100,IF(P80&gt;=30,90,IF(P80&gt;=20,75,IF(P80&gt;=15,60,IF(P80&gt;=10,45,IF(P80&gt;=5,30,15))))))),""),IFERROR(IF(Q80="","",IF(Q80&gt;=40,100,IF(Q80&gt;=30,90,IF(Q80&gt;=20,75,IF(Q80&gt;=10,60,IF(Q80&gt;=5,45,IF(Q80&gt;=0,30,15))))))),""),IFERROR(IF(R80="","",IF(R80&gt;=40,100,IF(R80&gt;=30,90,IF(R80&gt;=20,75,IF(R80&gt;=10,60,IF(R80&gt;=0,45,IF(R80&gt;=-10,30,15))))))),"")),"")</f>
        <v/>
      </c>
      <c r="T80" s="33" t="n">
        <v>5</v>
      </c>
      <c r="U80" s="33" t="n">
        <v>5</v>
      </c>
      <c r="V80" s="33" t="n">
        <v>4</v>
      </c>
      <c r="W80" s="33" t="n">
        <v>5</v>
      </c>
      <c r="X80" s="33" t="n">
        <v>5</v>
      </c>
      <c r="Y80" s="33">
        <f>IFERROR((AVERAGE(T80,U80,V80,W80,X80)-1)*25,"")</f>
        <v/>
      </c>
      <c r="Z80" s="33" t="n">
        <v>5</v>
      </c>
      <c r="AA80" s="33" t="n">
        <v>5</v>
      </c>
      <c r="AB80" s="33" t="n">
        <v>3</v>
      </c>
      <c r="AC80" s="71" t="n">
        <v>66.7</v>
      </c>
      <c r="AD80" s="33">
        <f>IFERROR(AVERAGE(IFERROR(IF(Z80="","",Z80*20),""),IFERROR(IF(AA80="","",AA80*20),""),IFERROR(IF(AB80="","",AB80*20),""),IFERROR(IF(AC80="","",IF(AC80&gt;=85,100,IF(AC80&gt;=70,90,IF(AC80&gt;=55,75,IF(AC80&gt;=40,60,IF(AC80&gt;=25,40,20)))))),"")),"")</f>
        <v/>
      </c>
      <c r="AE80" s="33" t="n">
        <v>4</v>
      </c>
      <c r="AF80" s="33" t="n">
        <v>4</v>
      </c>
      <c r="AG80" s="33" t="n">
        <v>4</v>
      </c>
      <c r="AH80" s="33" t="n">
        <v>4</v>
      </c>
      <c r="AI80" s="33">
        <f>IFERROR((AVERAGE(AE80,AF80,AG80,AH80,AL80)-1)*25,"")</f>
        <v/>
      </c>
      <c r="AJ80" s="33">
        <f>IFERROR(J80*Weights!$B$4 + O80*Weights!$B$5 + S80*Weights!$B$6 + Y80*Weights!$B$7 + AD80*Weights!$B$8 + AI80*Weights!$B$9,"")</f>
        <v/>
      </c>
      <c r="AK80" s="33">
        <f>IF(AJ80="","",IF(AJ80&gt;=85,"✓✓✓",IF(AJ80&gt;=70,"✓✓",IF(AJ80&gt;=55,"✓",IF(AJ80&gt;=40,"?","✗")))))</f>
        <v/>
      </c>
      <c r="AL80" s="33" t="n">
        <v>5</v>
      </c>
    </row>
    <row r="81">
      <c r="A81" s="33" t="inlineStr">
        <is>
          <t>FN</t>
        </is>
      </c>
      <c r="B81" s="33" t="inlineStr">
        <is>
          <t>Fabrinet</t>
        </is>
      </c>
      <c r="C81" s="33" t="inlineStr">
        <is>
          <t>07 Optical, Networking &amp; Interconnect / Optical components &amp; transceivers</t>
        </is>
      </c>
      <c r="D81" s="33" t="inlineStr">
        <is>
          <t>2026-10-11</t>
        </is>
      </c>
      <c r="E81" s="33" t="n">
        <v>24.25750704661452</v>
      </c>
      <c r="F81" s="33" t="n">
        <v>31.983</v>
      </c>
      <c r="G81" s="33" t="n">
        <v>0.02</v>
      </c>
      <c r="H81" s="33" t="n">
        <v>3.7546675</v>
      </c>
      <c r="I81" s="33">
        <f>IF(OR(E81="",R81="",R81&lt;=0,E81&lt;0),"",E81/R81)</f>
        <v/>
      </c>
      <c r="J81" s="33" t="n">
        <v>56.5</v>
      </c>
      <c r="K81" s="33" t="n">
        <v>15.73</v>
      </c>
      <c r="L81" s="33" t="n">
        <v>11.99</v>
      </c>
      <c r="M81" s="33" t="n">
        <v>0.07000000000000001</v>
      </c>
      <c r="N81" s="33" t="n">
        <v>-1.64</v>
      </c>
      <c r="O81" s="33" t="n">
        <v>53.1</v>
      </c>
      <c r="P81" s="33" t="n">
        <v>20.61</v>
      </c>
      <c r="Q81" s="33" t="n">
        <v>44.6</v>
      </c>
      <c r="R81" s="33" t="n">
        <v>59.7</v>
      </c>
      <c r="S81" s="33">
        <f>IFERROR(AVERAGE(IFERROR(IF(P81="","",IF(P81&gt;=40,100,IF(P81&gt;=30,90,IF(P81&gt;=20,75,IF(P81&gt;=15,60,IF(P81&gt;=10,45,IF(P81&gt;=5,30,15))))))),""),IFERROR(IF(Q81="","",IF(Q81&gt;=40,100,IF(Q81&gt;=30,90,IF(Q81&gt;=20,75,IF(Q81&gt;=10,60,IF(Q81&gt;=5,45,IF(Q81&gt;=0,30,15))))))),""),IFERROR(IF(R81="","",IF(R81&gt;=40,100,IF(R81&gt;=30,90,IF(R81&gt;=20,75,IF(R81&gt;=10,60,IF(R81&gt;=0,45,IF(R81&gt;=-10,30,15))))))),"")),"")</f>
        <v/>
      </c>
      <c r="T81" s="33" t="n">
        <v>4</v>
      </c>
      <c r="U81" s="33" t="n">
        <v>4</v>
      </c>
      <c r="V81" s="33" t="n">
        <v>4</v>
      </c>
      <c r="W81" s="33" t="n">
        <v>5</v>
      </c>
      <c r="X81" s="33" t="n">
        <v>5</v>
      </c>
      <c r="Y81" s="33">
        <f>IFERROR((AVERAGE(T81,U81,V81,W81,X81)-1)*25,"")</f>
        <v/>
      </c>
      <c r="Z81" s="33" t="n">
        <v>4</v>
      </c>
      <c r="AA81" s="33" t="n">
        <v>1</v>
      </c>
      <c r="AB81" s="33" t="n">
        <v>3</v>
      </c>
      <c r="AC81" s="71" t="n">
        <v>35.8</v>
      </c>
      <c r="AD81" s="33">
        <f>IFERROR(AVERAGE(IFERROR(IF(Z81="","",Z81*20),""),IFERROR(IF(AA81="","",AA81*20),""),IFERROR(IF(AB81="","",AB81*20),""),IFERROR(IF(AC81="","",IF(AC81&gt;=85,100,IF(AC81&gt;=70,90,IF(AC81&gt;=55,75,IF(AC81&gt;=40,60,IF(AC81&gt;=25,40,20)))))),"")),"")</f>
        <v/>
      </c>
      <c r="AE81" s="33" t="n">
        <v>3</v>
      </c>
      <c r="AF81" s="33" t="n">
        <v>4</v>
      </c>
      <c r="AG81" s="33" t="n">
        <v>4</v>
      </c>
      <c r="AH81" s="33" t="n">
        <v>4</v>
      </c>
      <c r="AI81" s="33">
        <f>IFERROR((AVERAGE(AE81,AF81,AG81,AH81,AL81)-1)*25,"")</f>
        <v/>
      </c>
      <c r="AJ81" s="33">
        <f>IFERROR(J81*Weights!$B$4 + O81*Weights!$B$5 + S81*Weights!$B$6 + Y81*Weights!$B$7 + AD81*Weights!$B$8 + AI81*Weights!$B$9,"")</f>
        <v/>
      </c>
      <c r="AK81" s="33">
        <f>IF(AJ81="","",IF(AJ81&gt;=85,"✓✓✓",IF(AJ81&gt;=70,"✓✓",IF(AJ81&gt;=55,"✓",IF(AJ81&gt;=40,"?","✗")))))</f>
        <v/>
      </c>
      <c r="AL81" s="33" t="n">
        <v>5</v>
      </c>
    </row>
    <row r="82">
      <c r="A82" s="33" t="inlineStr">
        <is>
          <t>AAOI</t>
        </is>
      </c>
      <c r="B82" s="33" t="inlineStr">
        <is>
          <t>Applied Optoelectronics, Inc.</t>
        </is>
      </c>
      <c r="C82" s="33" t="inlineStr">
        <is>
          <t>07 Optical, Networking &amp; Interconnect / Optical components &amp; transceivers</t>
        </is>
      </c>
      <c r="D82" s="33" t="inlineStr">
        <is>
          <t>2026-10-11</t>
        </is>
      </c>
      <c r="E82" s="33" t="n">
        <v>23.824423</v>
      </c>
      <c r="F82" s="33" t="n">
        <v>-316.561</v>
      </c>
      <c r="G82" s="33" t="n">
        <v>-6.46</v>
      </c>
      <c r="H82" s="33" t="n">
        <v>15.620125</v>
      </c>
      <c r="I82" s="33">
        <f>IF(OR(E82="",R82="",R82&lt;=0,E82&lt;0),"",E82/R82)</f>
        <v/>
      </c>
      <c r="J82" s="33" t="n">
        <v>49.4</v>
      </c>
      <c r="K82" s="33" t="n">
        <v>-2.66</v>
      </c>
      <c r="L82" s="33" t="n">
        <v>28.92</v>
      </c>
      <c r="M82" s="33" t="n">
        <v>-100.9</v>
      </c>
      <c r="N82" s="33" t="n"/>
      <c r="O82" s="33" t="n">
        <v>12.5</v>
      </c>
      <c r="P82" s="33" t="n">
        <v>26.93</v>
      </c>
      <c r="Q82" s="33" t="n">
        <v>86.40000000000001</v>
      </c>
      <c r="R82" s="33" t="inlineStr"/>
      <c r="S82" s="33">
        <f>IFERROR(AVERAGE(IFERROR(IF(P82="","",IF(P82&gt;=40,100,IF(P82&gt;=30,90,IF(P82&gt;=20,75,IF(P82&gt;=15,60,IF(P82&gt;=10,45,IF(P82&gt;=5,30,15))))))),""),IFERROR(IF(Q82="","",IF(Q82&gt;=40,100,IF(Q82&gt;=30,90,IF(Q82&gt;=20,75,IF(Q82&gt;=10,60,IF(Q82&gt;=5,45,IF(Q82&gt;=0,30,15))))))),""),IFERROR(IF(R82="","",IF(R82&gt;=40,100,IF(R82&gt;=30,90,IF(R82&gt;=20,75,IF(R82&gt;=10,60,IF(R82&gt;=0,45,IF(R82&gt;=-10,30,15))))))),"")),"")</f>
        <v/>
      </c>
      <c r="T82" s="33" t="n">
        <v>3</v>
      </c>
      <c r="U82" s="33" t="n">
        <v>3</v>
      </c>
      <c r="V82" s="33" t="n">
        <v>2</v>
      </c>
      <c r="W82" s="33" t="n">
        <v>4</v>
      </c>
      <c r="X82" s="33" t="n">
        <v>3</v>
      </c>
      <c r="Y82" s="33">
        <f>IFERROR((AVERAGE(T82,U82,V82,W82,X82)-1)*25,"")</f>
        <v/>
      </c>
      <c r="Z82" s="33" t="n">
        <v>4</v>
      </c>
      <c r="AA82" s="33" t="n">
        <v>5</v>
      </c>
      <c r="AB82" s="33" t="n">
        <v>3</v>
      </c>
      <c r="AC82" s="71" t="n">
        <v>40</v>
      </c>
      <c r="AD82" s="33">
        <f>IFERROR(AVERAGE(IFERROR(IF(Z82="","",Z82*20),""),IFERROR(IF(AA82="","",AA82*20),""),IFERROR(IF(AB82="","",AB82*20),""),IFERROR(IF(AC82="","",IF(AC82&gt;=85,100,IF(AC82&gt;=70,90,IF(AC82&gt;=55,75,IF(AC82&gt;=40,60,IF(AC82&gt;=25,40,20)))))),"")),"")</f>
        <v/>
      </c>
      <c r="AE82" s="33" t="n">
        <v>3</v>
      </c>
      <c r="AF82" s="33" t="n">
        <v>4</v>
      </c>
      <c r="AG82" s="33" t="n">
        <v>3</v>
      </c>
      <c r="AH82" s="33" t="n">
        <v>4</v>
      </c>
      <c r="AI82" s="33">
        <f>IFERROR((AVERAGE(AE82,AF82,AG82,AH82,AL82)-1)*25,"")</f>
        <v/>
      </c>
      <c r="AJ82" s="33">
        <f>IFERROR(J82*Weights!$B$4 + O82*Weights!$B$5 + S82*Weights!$B$6 + Y82*Weights!$B$7 + AD82*Weights!$B$8 + AI82*Weights!$B$9,"")</f>
        <v/>
      </c>
      <c r="AK82" s="33">
        <f>IF(AJ82="","",IF(AJ82&gt;=85,"✓✓✓",IF(AJ82&gt;=70,"✓✓",IF(AJ82&gt;=55,"✓",IF(AJ82&gt;=40,"?","✗")))))</f>
        <v/>
      </c>
      <c r="AL82" s="33" t="n">
        <v>5</v>
      </c>
    </row>
    <row r="83">
      <c r="A83" s="33" t="inlineStr">
        <is>
          <t>POET</t>
        </is>
      </c>
      <c r="B83" s="33" t="inlineStr">
        <is>
          <t>POET Technologies Inc.</t>
        </is>
      </c>
      <c r="C83" s="33" t="inlineStr">
        <is>
          <t>07 Optical, Networking &amp; Interconnect / Optical components &amp; transceivers</t>
        </is>
      </c>
      <c r="D83" s="33" t="inlineStr">
        <is>
          <t>2026-10-11</t>
        </is>
      </c>
      <c r="E83" s="33" t="n">
        <v>-41</v>
      </c>
      <c r="F83" s="33" t="n">
        <v>-8.470000000000001</v>
      </c>
      <c r="G83" s="33" t="n">
        <v>-3.6</v>
      </c>
      <c r="H83" s="33" t="n">
        <v>704.17395</v>
      </c>
      <c r="I83" s="33">
        <f>IF(OR(E83="",R83="",R83&lt;=0,E83&lt;0),"",E83/R83)</f>
        <v/>
      </c>
      <c r="J83" s="33" t="n">
        <v>27.3</v>
      </c>
      <c r="K83" s="33" t="n">
        <v>-4.28</v>
      </c>
      <c r="L83" s="33" t="n">
        <v>100</v>
      </c>
      <c r="M83" s="33" t="n">
        <v>-2538.03</v>
      </c>
      <c r="N83" s="33" t="n"/>
      <c r="O83" s="33" t="n">
        <v>34.7</v>
      </c>
      <c r="P83" s="33" t="n">
        <v>24.82</v>
      </c>
      <c r="Q83" s="33" t="n">
        <v>112.3</v>
      </c>
      <c r="R83" s="33" t="inlineStr"/>
      <c r="S83" s="33">
        <f>IFERROR(AVERAGE(IFERROR(IF(P83="","",IF(P83&gt;=40,100,IF(P83&gt;=30,90,IF(P83&gt;=20,75,IF(P83&gt;=15,60,IF(P83&gt;=10,45,IF(P83&gt;=5,30,15))))))),""),IFERROR(IF(Q83="","",IF(Q83&gt;=40,100,IF(Q83&gt;=30,90,IF(Q83&gt;=20,75,IF(Q83&gt;=10,60,IF(Q83&gt;=5,45,IF(Q83&gt;=0,30,15))))))),""),IFERROR(IF(R83="","",IF(R83&gt;=40,100,IF(R83&gt;=30,90,IF(R83&gt;=20,75,IF(R83&gt;=10,60,IF(R83&gt;=0,45,IF(R83&gt;=-10,30,15))))))),"")),"")</f>
        <v/>
      </c>
      <c r="T83" s="33" t="n">
        <v>2</v>
      </c>
      <c r="U83" s="33" t="n">
        <v>2</v>
      </c>
      <c r="V83" s="33" t="n">
        <v>2</v>
      </c>
      <c r="W83" s="33" t="n">
        <v>2</v>
      </c>
      <c r="X83" s="33" t="n">
        <v>2</v>
      </c>
      <c r="Y83" s="33">
        <f>IFERROR((AVERAGE(T83,U83,V83,W83,X83)-1)*25,"")</f>
        <v/>
      </c>
      <c r="Z83" s="33" t="n">
        <v>1</v>
      </c>
      <c r="AA83" s="33" t="n">
        <v>3</v>
      </c>
      <c r="AB83" s="33" t="n">
        <v>2</v>
      </c>
      <c r="AC83" s="71" t="n">
        <v>39.2</v>
      </c>
      <c r="AD83" s="33">
        <f>IFERROR(AVERAGE(IFERROR(IF(Z83="","",Z83*20),""),IFERROR(IF(AA83="","",AA83*20),""),IFERROR(IF(AB83="","",AB83*20),""),IFERROR(IF(AC83="","",IF(AC83&gt;=85,100,IF(AC83&gt;=70,90,IF(AC83&gt;=55,75,IF(AC83&gt;=40,60,IF(AC83&gt;=25,40,20)))))),"")),"")</f>
        <v/>
      </c>
      <c r="AE83" s="33" t="n">
        <v>3</v>
      </c>
      <c r="AF83" s="33" t="n">
        <v>4</v>
      </c>
      <c r="AG83" s="33" t="n">
        <v>4</v>
      </c>
      <c r="AH83" s="33" t="n">
        <v>2</v>
      </c>
      <c r="AI83" s="33">
        <f>IFERROR((AVERAGE(AE83,AF83,AG83,AH83,AL83)-1)*25,"")</f>
        <v/>
      </c>
      <c r="AJ83" s="33">
        <f>IFERROR(J83*Weights!$B$4 + O83*Weights!$B$5 + S83*Weights!$B$6 + Y83*Weights!$B$7 + AD83*Weights!$B$8 + AI83*Weights!$B$9,"")</f>
        <v/>
      </c>
      <c r="AK83" s="33">
        <f>IF(AJ83="","",IF(AJ83&gt;=85,"✓✓✓",IF(AJ83&gt;=70,"✓✓",IF(AJ83&gt;=55,"✓",IF(AJ83&gt;=40,"?","✗")))))</f>
        <v/>
      </c>
      <c r="AL83" s="33" t="n">
        <v>5</v>
      </c>
    </row>
    <row r="84">
      <c r="A84" s="33" t="inlineStr">
        <is>
          <t>ANET</t>
        </is>
      </c>
      <c r="B84" s="33" t="inlineStr">
        <is>
          <t>Arista Networks, Inc.</t>
        </is>
      </c>
      <c r="C84" s="33" t="inlineStr">
        <is>
          <t>07 Optical, Networking &amp; Interconnect / Networking systems</t>
        </is>
      </c>
      <c r="D84" s="33" t="inlineStr">
        <is>
          <t>2026-10-11</t>
        </is>
      </c>
      <c r="E84" s="33" t="n">
        <v>41.546066</v>
      </c>
      <c r="F84" s="33" t="n">
        <v>55.795</v>
      </c>
      <c r="G84" s="33" t="n">
        <v>1.89</v>
      </c>
      <c r="H84" s="33" t="n">
        <v>25.933311</v>
      </c>
      <c r="I84" s="33">
        <f>IF(OR(E84="",R84="",R84&lt;=0,E84&lt;0),"",E84/R84)</f>
        <v/>
      </c>
      <c r="J84" s="33" t="n">
        <v>48.8</v>
      </c>
      <c r="K84" s="33" t="n">
        <v>21.8</v>
      </c>
      <c r="L84" s="33" t="n">
        <v>63</v>
      </c>
      <c r="M84" s="33" t="n">
        <v>48.91</v>
      </c>
      <c r="N84" s="33" t="n">
        <v>-2.88</v>
      </c>
      <c r="O84" s="33" t="n">
        <v>90.59999999999999</v>
      </c>
      <c r="P84" s="33" t="n">
        <v>27.15</v>
      </c>
      <c r="Q84" s="33" t="n">
        <v>37.7</v>
      </c>
      <c r="R84" s="33" t="n">
        <v>36.5</v>
      </c>
      <c r="S84" s="33">
        <f>IFERROR(AVERAGE(IFERROR(IF(P84="","",IF(P84&gt;=40,100,IF(P84&gt;=30,90,IF(P84&gt;=20,75,IF(P84&gt;=15,60,IF(P84&gt;=10,45,IF(P84&gt;=5,30,15))))))),""),IFERROR(IF(Q84="","",IF(Q84&gt;=40,100,IF(Q84&gt;=30,90,IF(Q84&gt;=20,75,IF(Q84&gt;=10,60,IF(Q84&gt;=5,45,IF(Q84&gt;=0,30,15))))))),""),IFERROR(IF(R84="","",IF(R84&gt;=40,100,IF(R84&gt;=30,90,IF(R84&gt;=20,75,IF(R84&gt;=10,60,IF(R84&gt;=0,45,IF(R84&gt;=-10,30,15))))))),"")),"")</f>
        <v/>
      </c>
      <c r="T84" s="33" t="n">
        <v>4</v>
      </c>
      <c r="U84" s="33" t="n">
        <v>5</v>
      </c>
      <c r="V84" s="33" t="n">
        <v>5</v>
      </c>
      <c r="W84" s="33" t="n">
        <v>5</v>
      </c>
      <c r="X84" s="33" t="n">
        <v>5</v>
      </c>
      <c r="Y84" s="33">
        <f>IFERROR((AVERAGE(T84,U84,V84,W84,X84)-1)*25,"")</f>
        <v/>
      </c>
      <c r="Z84" s="33" t="n">
        <v>5</v>
      </c>
      <c r="AA84" s="33" t="n">
        <v>3</v>
      </c>
      <c r="AB84" s="33" t="n">
        <v>3</v>
      </c>
      <c r="AC84" s="71" t="n">
        <v>89.2</v>
      </c>
      <c r="AD84" s="33">
        <f>IFERROR(AVERAGE(IFERROR(IF(Z84="","",Z84*20),""),IFERROR(IF(AA84="","",AA84*20),""),IFERROR(IF(AB84="","",AB84*20),""),IFERROR(IF(AC84="","",IF(AC84&gt;=85,100,IF(AC84&gt;=70,90,IF(AC84&gt;=55,75,IF(AC84&gt;=40,60,IF(AC84&gt;=25,40,20)))))),"")),"")</f>
        <v/>
      </c>
      <c r="AE84" s="33" t="n">
        <v>3</v>
      </c>
      <c r="AF84" s="33" t="n">
        <v>4</v>
      </c>
      <c r="AG84" s="33" t="n">
        <v>5</v>
      </c>
      <c r="AH84" s="33" t="n">
        <v>4</v>
      </c>
      <c r="AI84" s="33">
        <f>IFERROR((AVERAGE(AE84,AF84,AG84,AH84,AL84)-1)*25,"")</f>
        <v/>
      </c>
      <c r="AJ84" s="33">
        <f>IFERROR(J84*Weights!$B$4 + O84*Weights!$B$5 + S84*Weights!$B$6 + Y84*Weights!$B$7 + AD84*Weights!$B$8 + AI84*Weights!$B$9,"")</f>
        <v/>
      </c>
      <c r="AK84" s="33">
        <f>IF(AJ84="","",IF(AJ84&gt;=85,"✓✓✓",IF(AJ84&gt;=70,"✓✓",IF(AJ84&gt;=55,"✓",IF(AJ84&gt;=40,"?","✗")))))</f>
        <v/>
      </c>
      <c r="AL84" s="33" t="n">
        <v>5</v>
      </c>
    </row>
    <row r="85">
      <c r="A85" s="33" t="inlineStr">
        <is>
          <t>CSCO</t>
        </is>
      </c>
      <c r="B85" s="33" t="inlineStr">
        <is>
          <t>Cisco Systems, Inc.</t>
        </is>
      </c>
      <c r="C85" s="33" t="inlineStr">
        <is>
          <t>07 Optical, Networking &amp; Interconnect / Networking systems</t>
        </is>
      </c>
      <c r="D85" s="33" t="inlineStr">
        <is>
          <t>2026-10-11</t>
        </is>
      </c>
      <c r="E85" s="33" t="n">
        <v>22.11712225377797</v>
      </c>
      <c r="F85" s="33" t="n">
        <v>25.646</v>
      </c>
      <c r="G85" s="33" t="n">
        <v>2.74</v>
      </c>
      <c r="H85" s="33" t="n">
        <v>7.3709097</v>
      </c>
      <c r="I85" s="33">
        <f>IF(OR(E85="",R85="",R85&lt;=0,E85&lt;0),"",E85/R85)</f>
        <v/>
      </c>
      <c r="J85" s="33" t="n">
        <v>65.7</v>
      </c>
      <c r="K85" s="33" t="n">
        <v>15.11</v>
      </c>
      <c r="L85" s="33" t="n">
        <v>64.52</v>
      </c>
      <c r="M85" s="33" t="n">
        <v>20.16</v>
      </c>
      <c r="N85" s="33" t="n">
        <v>0.82</v>
      </c>
      <c r="O85" s="33" t="n">
        <v>79.8</v>
      </c>
      <c r="P85" s="33" t="n">
        <v>3.57</v>
      </c>
      <c r="Q85" s="33" t="n">
        <v>17.6</v>
      </c>
      <c r="R85" s="33" t="n">
        <v>51.3</v>
      </c>
      <c r="S85" s="33">
        <f>IFERROR(AVERAGE(IFERROR(IF(P85="","",IF(P85&gt;=40,100,IF(P85&gt;=30,90,IF(P85&gt;=20,75,IF(P85&gt;=15,60,IF(P85&gt;=10,45,IF(P85&gt;=5,30,15))))))),""),IFERROR(IF(Q85="","",IF(Q85&gt;=40,100,IF(Q85&gt;=30,90,IF(Q85&gt;=20,75,IF(Q85&gt;=10,60,IF(Q85&gt;=5,45,IF(Q85&gt;=0,30,15))))))),""),IFERROR(IF(R85="","",IF(R85&gt;=40,100,IF(R85&gt;=30,90,IF(R85&gt;=20,75,IF(R85&gt;=10,60,IF(R85&gt;=0,45,IF(R85&gt;=-10,30,15))))))),"")),"")</f>
        <v/>
      </c>
      <c r="T85" s="33" t="n">
        <v>2</v>
      </c>
      <c r="U85" s="33" t="n">
        <v>3</v>
      </c>
      <c r="V85" s="33" t="n">
        <v>4</v>
      </c>
      <c r="W85" s="33" t="n">
        <v>3</v>
      </c>
      <c r="X85" s="33" t="n">
        <v>3</v>
      </c>
      <c r="Y85" s="33">
        <f>IFERROR((AVERAGE(T85,U85,V85,W85,X85)-1)*25,"")</f>
        <v/>
      </c>
      <c r="Z85" s="33" t="n">
        <v>3</v>
      </c>
      <c r="AA85" s="33" t="n">
        <v>3</v>
      </c>
      <c r="AB85" s="33" t="n">
        <v>3</v>
      </c>
      <c r="AC85" s="71" t="n">
        <v>59.2</v>
      </c>
      <c r="AD85" s="33">
        <f>IFERROR(AVERAGE(IFERROR(IF(Z85="","",Z85*20),""),IFERROR(IF(AA85="","",AA85*20),""),IFERROR(IF(AB85="","",AB85*20),""),IFERROR(IF(AC85="","",IF(AC85&gt;=85,100,IF(AC85&gt;=70,90,IF(AC85&gt;=55,75,IF(AC85&gt;=40,60,IF(AC85&gt;=25,40,20)))))),"")),"")</f>
        <v/>
      </c>
      <c r="AE85" s="33" t="n">
        <v>5</v>
      </c>
      <c r="AF85" s="33" t="n">
        <v>4</v>
      </c>
      <c r="AG85" s="33" t="n">
        <v>4</v>
      </c>
      <c r="AH85" s="33" t="n">
        <v>4</v>
      </c>
      <c r="AI85" s="33">
        <f>IFERROR((AVERAGE(AE85,AF85,AG85,AH85,AL85)-1)*25,"")</f>
        <v/>
      </c>
      <c r="AJ85" s="33">
        <f>IFERROR(J85*Weights!$B$4 + O85*Weights!$B$5 + S85*Weights!$B$6 + Y85*Weights!$B$7 + AD85*Weights!$B$8 + AI85*Weights!$B$9,"")</f>
        <v/>
      </c>
      <c r="AK85" s="33">
        <f>IF(AJ85="","",IF(AJ85&gt;=85,"✓✓✓",IF(AJ85&gt;=70,"✓✓",IF(AJ85&gt;=55,"✓",IF(AJ85&gt;=40,"?","✗")))))</f>
        <v/>
      </c>
      <c r="AL85" s="33" t="n">
        <v>5</v>
      </c>
    </row>
    <row r="86">
      <c r="A86" s="33" t="inlineStr">
        <is>
          <t>CIEN</t>
        </is>
      </c>
      <c r="B86" s="33" t="inlineStr">
        <is>
          <t>Ciena Corporation</t>
        </is>
      </c>
      <c r="C86" s="33" t="inlineStr">
        <is>
          <t>07 Optical, Networking &amp; Interconnect / Networking systems</t>
        </is>
      </c>
      <c r="D86" s="33" t="inlineStr">
        <is>
          <t>2026-10-11</t>
        </is>
      </c>
      <c r="E86" s="33" t="n">
        <v>38.024807</v>
      </c>
      <c r="F86" s="33" t="n">
        <v>62.373</v>
      </c>
      <c r="G86" s="33" t="n">
        <v>1.28</v>
      </c>
      <c r="H86" s="33" t="n">
        <v>10.593313</v>
      </c>
      <c r="I86" s="33">
        <f>IF(OR(E86="",R86="",R86&lt;=0,E86&lt;0),"",E86/R86)</f>
        <v/>
      </c>
      <c r="J86" s="33" t="n">
        <v>48.5</v>
      </c>
      <c r="K86" s="33" t="n">
        <v>11.6</v>
      </c>
      <c r="L86" s="33" t="n">
        <v>44.07</v>
      </c>
      <c r="M86" s="33" t="n">
        <v>13.53</v>
      </c>
      <c r="N86" s="33" t="n">
        <v>0.64</v>
      </c>
      <c r="O86" s="33" t="n">
        <v>63.1</v>
      </c>
      <c r="P86" s="33" t="n">
        <v>9.5</v>
      </c>
      <c r="Q86" s="33" t="n">
        <v>37</v>
      </c>
      <c r="R86" s="33" t="n">
        <v>429.6</v>
      </c>
      <c r="S86" s="33">
        <f>IFERROR(AVERAGE(IFERROR(IF(P86="","",IF(P86&gt;=40,100,IF(P86&gt;=30,90,IF(P86&gt;=20,75,IF(P86&gt;=15,60,IF(P86&gt;=10,45,IF(P86&gt;=5,30,15))))))),""),IFERROR(IF(Q86="","",IF(Q86&gt;=40,100,IF(Q86&gt;=30,90,IF(Q86&gt;=20,75,IF(Q86&gt;=10,60,IF(Q86&gt;=5,45,IF(Q86&gt;=0,30,15))))))),""),IFERROR(IF(R86="","",IF(R86&gt;=40,100,IF(R86&gt;=30,90,IF(R86&gt;=20,75,IF(R86&gt;=10,60,IF(R86&gt;=0,45,IF(R86&gt;=-10,30,15))))))),"")),"")</f>
        <v/>
      </c>
      <c r="T86" s="33" t="n">
        <v>4</v>
      </c>
      <c r="U86" s="33" t="n">
        <v>4</v>
      </c>
      <c r="V86" s="33" t="n">
        <v>4</v>
      </c>
      <c r="W86" s="33" t="n">
        <v>5</v>
      </c>
      <c r="X86" s="33" t="n">
        <v>4</v>
      </c>
      <c r="Y86" s="33">
        <f>IFERROR((AVERAGE(T86,U86,V86,W86,X86)-1)*25,"")</f>
        <v/>
      </c>
      <c r="Z86" s="33" t="n">
        <v>5</v>
      </c>
      <c r="AA86" s="33" t="n">
        <v>5</v>
      </c>
      <c r="AB86" s="33" t="n">
        <v>3</v>
      </c>
      <c r="AC86" s="71" t="n">
        <v>35</v>
      </c>
      <c r="AD86" s="33">
        <f>IFERROR(AVERAGE(IFERROR(IF(Z86="","",Z86*20),""),IFERROR(IF(AA86="","",AA86*20),""),IFERROR(IF(AB86="","",AB86*20),""),IFERROR(IF(AC86="","",IF(AC86&gt;=85,100,IF(AC86&gt;=70,90,IF(AC86&gt;=55,75,IF(AC86&gt;=40,60,IF(AC86&gt;=25,40,20)))))),"")),"")</f>
        <v/>
      </c>
      <c r="AE86" s="33" t="n">
        <v>4</v>
      </c>
      <c r="AF86" s="33" t="n">
        <v>4</v>
      </c>
      <c r="AG86" s="33" t="n">
        <v>4</v>
      </c>
      <c r="AH86" s="33" t="n">
        <v>4</v>
      </c>
      <c r="AI86" s="33">
        <f>IFERROR((AVERAGE(AE86,AF86,AG86,AH86,AL86)-1)*25,"")</f>
        <v/>
      </c>
      <c r="AJ86" s="33">
        <f>IFERROR(J86*Weights!$B$4 + O86*Weights!$B$5 + S86*Weights!$B$6 + Y86*Weights!$B$7 + AD86*Weights!$B$8 + AI86*Weights!$B$9,"")</f>
        <v/>
      </c>
      <c r="AK86" s="33">
        <f>IF(AJ86="","",IF(AJ86&gt;=85,"✓✓✓",IF(AJ86&gt;=70,"✓✓",IF(AJ86&gt;=55,"✓",IF(AJ86&gt;=40,"?","✗")))))</f>
        <v/>
      </c>
      <c r="AL86" s="33" t="n">
        <v>5</v>
      </c>
    </row>
    <row r="87">
      <c r="A87" s="33" t="inlineStr">
        <is>
          <t>APH</t>
        </is>
      </c>
      <c r="B87" s="33" t="inlineStr">
        <is>
          <t>Amphenol Corporation</t>
        </is>
      </c>
      <c r="C87" s="33" t="inlineStr">
        <is>
          <t>07 Optical, Networking &amp; Interconnect / Cabling &amp; physical layer</t>
        </is>
      </c>
      <c r="D87" s="33" t="inlineStr">
        <is>
          <t>2026-10-11</t>
        </is>
      </c>
      <c r="E87" s="33" t="n">
        <v>26.194736</v>
      </c>
      <c r="F87" s="33" t="n">
        <v>24.242</v>
      </c>
      <c r="G87" s="33" t="n">
        <v>2.15</v>
      </c>
      <c r="H87" s="33" t="n">
        <v>7.4153423</v>
      </c>
      <c r="I87" s="33">
        <f>IF(OR(E87="",R87="",R87&lt;=0,E87&lt;0),"",E87/R87)</f>
        <v/>
      </c>
      <c r="J87" s="33" t="n">
        <v>69.3</v>
      </c>
      <c r="K87" s="33" t="n">
        <v>14.81</v>
      </c>
      <c r="L87" s="33" t="n">
        <v>38.95</v>
      </c>
      <c r="M87" s="33" t="n">
        <v>15.96</v>
      </c>
      <c r="N87" s="33" t="n">
        <v>1.42</v>
      </c>
      <c r="O87" s="33" t="n">
        <v>61.5</v>
      </c>
      <c r="P87" s="33" t="n">
        <v>22.31</v>
      </c>
      <c r="Q87" s="33" t="n">
        <v>55</v>
      </c>
      <c r="R87" s="33" t="n">
        <v>62.1</v>
      </c>
      <c r="S87" s="33">
        <f>IFERROR(AVERAGE(IFERROR(IF(P87="","",IF(P87&gt;=40,100,IF(P87&gt;=30,90,IF(P87&gt;=20,75,IF(P87&gt;=15,60,IF(P87&gt;=10,45,IF(P87&gt;=5,30,15))))))),""),IFERROR(IF(Q87="","",IF(Q87&gt;=40,100,IF(Q87&gt;=30,90,IF(Q87&gt;=20,75,IF(Q87&gt;=10,60,IF(Q87&gt;=5,45,IF(Q87&gt;=0,30,15))))))),""),IFERROR(IF(R87="","",IF(R87&gt;=40,100,IF(R87&gt;=30,90,IF(R87&gt;=20,75,IF(R87&gt;=10,60,IF(R87&gt;=0,45,IF(R87&gt;=-10,30,15))))))),"")),"")</f>
        <v/>
      </c>
      <c r="T87" s="33" t="n">
        <v>3</v>
      </c>
      <c r="U87" s="33" t="n">
        <v>3</v>
      </c>
      <c r="V87" s="33" t="n">
        <v>4</v>
      </c>
      <c r="W87" s="33" t="n">
        <v>4</v>
      </c>
      <c r="X87" s="33" t="n">
        <v>4</v>
      </c>
      <c r="Y87" s="33">
        <f>IFERROR((AVERAGE(T87,U87,V87,W87,X87)-1)*25,"")</f>
        <v/>
      </c>
      <c r="Z87" s="33" t="n">
        <v>4</v>
      </c>
      <c r="AA87" s="33" t="n">
        <v>1</v>
      </c>
      <c r="AB87" s="33" t="n">
        <v>3</v>
      </c>
      <c r="AC87" s="71" t="n">
        <v>74.2</v>
      </c>
      <c r="AD87" s="33">
        <f>IFERROR(AVERAGE(IFERROR(IF(Z87="","",Z87*20),""),IFERROR(IF(AA87="","",AA87*20),""),IFERROR(IF(AB87="","",AB87*20),""),IFERROR(IF(AC87="","",IF(AC87&gt;=85,100,IF(AC87&gt;=70,90,IF(AC87&gt;=55,75,IF(AC87&gt;=40,60,IF(AC87&gt;=25,40,20)))))),"")),"")</f>
        <v/>
      </c>
      <c r="AE87" s="33" t="n">
        <v>5</v>
      </c>
      <c r="AF87" s="33" t="n">
        <v>4</v>
      </c>
      <c r="AG87" s="33" t="n">
        <v>4</v>
      </c>
      <c r="AH87" s="33" t="n">
        <v>4</v>
      </c>
      <c r="AI87" s="33">
        <f>IFERROR((AVERAGE(AE87,AF87,AG87,AH87,AL87)-1)*25,"")</f>
        <v/>
      </c>
      <c r="AJ87" s="33">
        <f>IFERROR(J87*Weights!$B$4 + O87*Weights!$B$5 + S87*Weights!$B$6 + Y87*Weights!$B$7 + AD87*Weights!$B$8 + AI87*Weights!$B$9,"")</f>
        <v/>
      </c>
      <c r="AK87" s="33">
        <f>IF(AJ87="","",IF(AJ87&gt;=85,"✓✓✓",IF(AJ87&gt;=70,"✓✓",IF(AJ87&gt;=55,"✓",IF(AJ87&gt;=40,"?","✗")))))</f>
        <v/>
      </c>
      <c r="AL87" s="33" t="n">
        <v>5</v>
      </c>
    </row>
    <row r="88">
      <c r="A88" s="33" t="inlineStr">
        <is>
          <t>TEL</t>
        </is>
      </c>
      <c r="B88" s="33" t="inlineStr">
        <is>
          <t>TE Connectivity plc</t>
        </is>
      </c>
      <c r="C88" s="33" t="inlineStr">
        <is>
          <t>07 Optical, Networking &amp; Interconnect / Cabling &amp; physical layer</t>
        </is>
      </c>
      <c r="D88" s="33" t="inlineStr">
        <is>
          <t>2026-10-11</t>
        </is>
      </c>
      <c r="E88" s="33" t="n">
        <v>16.834116</v>
      </c>
      <c r="F88" s="33" t="n">
        <v>13.575</v>
      </c>
      <c r="G88" s="33" t="n">
        <v>5.24</v>
      </c>
      <c r="H88" s="33" t="n">
        <v>3.2756002</v>
      </c>
      <c r="I88" s="33">
        <f>IF(OR(E88="",R88="",R88&lt;=0,E88&lt;0),"",E88/R88)</f>
        <v/>
      </c>
      <c r="J88" s="33" t="n">
        <v>78.2</v>
      </c>
      <c r="K88" s="33" t="n">
        <v>14.8</v>
      </c>
      <c r="L88" s="33" t="n">
        <v>36.12</v>
      </c>
      <c r="M88" s="33" t="n">
        <v>17.16</v>
      </c>
      <c r="N88" s="33" t="n">
        <v>0.92</v>
      </c>
      <c r="O88" s="33" t="n">
        <v>59</v>
      </c>
      <c r="P88" s="33" t="n">
        <v>1.97</v>
      </c>
      <c r="Q88" s="33" t="n">
        <v>13.8</v>
      </c>
      <c r="R88" s="33" t="n"/>
      <c r="S88" s="33">
        <f>IFERROR(AVERAGE(IFERROR(IF(P88="","",IF(P88&gt;=40,100,IF(P88&gt;=30,90,IF(P88&gt;=20,75,IF(P88&gt;=15,60,IF(P88&gt;=10,45,IF(P88&gt;=5,30,15))))))),""),IFERROR(IF(Q88="","",IF(Q88&gt;=40,100,IF(Q88&gt;=30,90,IF(Q88&gt;=20,75,IF(Q88&gt;=10,60,IF(Q88&gt;=5,45,IF(Q88&gt;=0,30,15))))))),""),IFERROR(IF(R88="","",IF(R88&gt;=40,100,IF(R88&gt;=30,90,IF(R88&gt;=20,75,IF(R88&gt;=10,60,IF(R88&gt;=0,45,IF(R88&gt;=-10,30,15))))))),"")),"")</f>
        <v/>
      </c>
      <c r="T88" s="33" t="n">
        <v>2</v>
      </c>
      <c r="U88" s="33" t="n">
        <v>3</v>
      </c>
      <c r="V88" s="33" t="n">
        <v>3</v>
      </c>
      <c r="W88" s="33" t="n">
        <v>3</v>
      </c>
      <c r="X88" s="33" t="n">
        <v>3</v>
      </c>
      <c r="Y88" s="33">
        <f>IFERROR((AVERAGE(T88,U88,V88,W88,X88)-1)*25,"")</f>
        <v/>
      </c>
      <c r="Z88" s="33" t="n">
        <v>4</v>
      </c>
      <c r="AA88" s="33" t="n">
        <v>2</v>
      </c>
      <c r="AB88" s="33" t="n">
        <v>3</v>
      </c>
      <c r="AC88" s="71" t="n">
        <v>39.2</v>
      </c>
      <c r="AD88" s="33">
        <f>IFERROR(AVERAGE(IFERROR(IF(Z88="","",Z88*20),""),IFERROR(IF(AA88="","",AA88*20),""),IFERROR(IF(AB88="","",AB88*20),""),IFERROR(IF(AC88="","",IF(AC88&gt;=85,100,IF(AC88&gt;=70,90,IF(AC88&gt;=55,75,IF(AC88&gt;=40,60,IF(AC88&gt;=25,40,20)))))),"")),"")</f>
        <v/>
      </c>
      <c r="AE88" s="33" t="n">
        <v>5</v>
      </c>
      <c r="AF88" s="33" t="n">
        <v>4</v>
      </c>
      <c r="AG88" s="33" t="n">
        <v>4</v>
      </c>
      <c r="AH88" s="33" t="n">
        <v>4</v>
      </c>
      <c r="AI88" s="33">
        <f>IFERROR((AVERAGE(AE88,AF88,AG88,AH88,AL88)-1)*25,"")</f>
        <v/>
      </c>
      <c r="AJ88" s="33">
        <f>IFERROR(J88*Weights!$B$4 + O88*Weights!$B$5 + S88*Weights!$B$6 + Y88*Weights!$B$7 + AD88*Weights!$B$8 + AI88*Weights!$B$9,"")</f>
        <v/>
      </c>
      <c r="AK88" s="33">
        <f>IF(AJ88="","",IF(AJ88&gt;=85,"✓✓✓",IF(AJ88&gt;=70,"✓✓",IF(AJ88&gt;=55,"✓",IF(AJ88&gt;=40,"?","✗")))))</f>
        <v/>
      </c>
      <c r="AL88" s="33" t="n">
        <v>5</v>
      </c>
    </row>
    <row r="89">
      <c r="A89" s="33" t="inlineStr">
        <is>
          <t>GLW</t>
        </is>
      </c>
      <c r="B89" s="33" t="inlineStr">
        <is>
          <t>Corning Incorporated</t>
        </is>
      </c>
      <c r="C89" s="33" t="inlineStr">
        <is>
          <t>07 Optical, Networking &amp; Interconnect / Cabling &amp; physical layer</t>
        </is>
      </c>
      <c r="D89" s="33" t="inlineStr">
        <is>
          <t>2026-10-11</t>
        </is>
      </c>
      <c r="E89" s="33" t="n">
        <v>35.840588</v>
      </c>
      <c r="F89" s="33" t="n">
        <v>36.246</v>
      </c>
      <c r="G89" s="33" t="n">
        <v>1.78</v>
      </c>
      <c r="H89" s="33" t="n">
        <v>7.9396396</v>
      </c>
      <c r="I89" s="33">
        <f>IF(OR(E89="",R89="",R89&lt;=0,E89&lt;0),"",E89/R89)</f>
        <v/>
      </c>
      <c r="J89" s="33" t="n">
        <v>47.1</v>
      </c>
      <c r="K89" s="33" t="n">
        <v>8.31</v>
      </c>
      <c r="L89" s="33" t="n">
        <v>36.39</v>
      </c>
      <c r="M89" s="33" t="n">
        <v>14.12</v>
      </c>
      <c r="N89" s="33" t="n">
        <v>1.68</v>
      </c>
      <c r="O89" s="33" t="n">
        <v>41</v>
      </c>
      <c r="P89" s="33" t="n">
        <v>3.27</v>
      </c>
      <c r="Q89" s="33" t="n">
        <v>16.6</v>
      </c>
      <c r="R89" s="33" t="n">
        <v>19.2</v>
      </c>
      <c r="S89" s="33">
        <f>IFERROR(AVERAGE(IFERROR(IF(P89="","",IF(P89&gt;=40,100,IF(P89&gt;=30,90,IF(P89&gt;=20,75,IF(P89&gt;=15,60,IF(P89&gt;=10,45,IF(P89&gt;=5,30,15))))))),""),IFERROR(IF(Q89="","",IF(Q89&gt;=40,100,IF(Q89&gt;=30,90,IF(Q89&gt;=20,75,IF(Q89&gt;=10,60,IF(Q89&gt;=5,45,IF(Q89&gt;=0,30,15))))))),""),IFERROR(IF(R89="","",IF(R89&gt;=40,100,IF(R89&gt;=30,90,IF(R89&gt;=20,75,IF(R89&gt;=10,60,IF(R89&gt;=0,45,IF(R89&gt;=-10,30,15))))))),"")),"")</f>
        <v/>
      </c>
      <c r="T89" s="33" t="n">
        <v>4</v>
      </c>
      <c r="U89" s="33" t="n">
        <v>5</v>
      </c>
      <c r="V89" s="33" t="n">
        <v>5</v>
      </c>
      <c r="W89" s="33" t="n">
        <v>5</v>
      </c>
      <c r="X89" s="33" t="n">
        <v>5</v>
      </c>
      <c r="Y89" s="33">
        <f>IFERROR((AVERAGE(T89,U89,V89,W89,X89)-1)*25,"")</f>
        <v/>
      </c>
      <c r="Z89" s="33" t="n">
        <v>4</v>
      </c>
      <c r="AA89" s="33" t="n">
        <v>5</v>
      </c>
      <c r="AB89" s="33" t="n">
        <v>3</v>
      </c>
      <c r="AC89" s="71" t="n">
        <v>55.8</v>
      </c>
      <c r="AD89" s="33">
        <f>IFERROR(AVERAGE(IFERROR(IF(Z89="","",Z89*20),""),IFERROR(IF(AA89="","",AA89*20),""),IFERROR(IF(AB89="","",AB89*20),""),IFERROR(IF(AC89="","",IF(AC89&gt;=85,100,IF(AC89&gt;=70,90,IF(AC89&gt;=55,75,IF(AC89&gt;=40,60,IF(AC89&gt;=25,40,20)))))),"")),"")</f>
        <v/>
      </c>
      <c r="AE89" s="33" t="n">
        <v>5</v>
      </c>
      <c r="AF89" s="33" t="n">
        <v>4</v>
      </c>
      <c r="AG89" s="33" t="n">
        <v>4</v>
      </c>
      <c r="AH89" s="33" t="n">
        <v>4</v>
      </c>
      <c r="AI89" s="33">
        <f>IFERROR((AVERAGE(AE89,AF89,AG89,AH89,AL89)-1)*25,"")</f>
        <v/>
      </c>
      <c r="AJ89" s="33">
        <f>IFERROR(J89*Weights!$B$4 + O89*Weights!$B$5 + S89*Weights!$B$6 + Y89*Weights!$B$7 + AD89*Weights!$B$8 + AI89*Weights!$B$9,"")</f>
        <v/>
      </c>
      <c r="AK89" s="33">
        <f>IF(AJ89="","",IF(AJ89&gt;=85,"✓✓✓",IF(AJ89&gt;=70,"✓✓",IF(AJ89&gt;=55,"✓",IF(AJ89&gt;=40,"?","✗")))))</f>
        <v/>
      </c>
      <c r="AL89" s="33" t="n">
        <v>5</v>
      </c>
    </row>
    <row r="90">
      <c r="A90" s="33" t="inlineStr">
        <is>
          <t>SMCI</t>
        </is>
      </c>
      <c r="B90" s="33" t="inlineStr">
        <is>
          <t>Super Micro Computer, Inc.</t>
        </is>
      </c>
      <c r="C90" s="33" t="inlineStr">
        <is>
          <t>08 Servers, Systems &amp; Liquid Cooling</t>
        </is>
      </c>
      <c r="D90" s="33" t="inlineStr">
        <is>
          <t>2026-10-11</t>
        </is>
      </c>
      <c r="E90" s="33" t="n">
        <v>8.655154841021528</v>
      </c>
      <c r="F90" s="33" t="n">
        <v>12.558</v>
      </c>
      <c r="G90" s="33" t="n">
        <v>-25.75</v>
      </c>
      <c r="H90" s="33" t="n">
        <v>0.6931065</v>
      </c>
      <c r="I90" s="33">
        <f>IF(OR(E90="",R90="",R90&lt;=0,E90&lt;0),"",E90/R90)</f>
        <v/>
      </c>
      <c r="J90" s="33" t="n">
        <v>74.2</v>
      </c>
      <c r="K90" s="33" t="n">
        <v>9.73</v>
      </c>
      <c r="L90" s="33" t="n">
        <v>10.82</v>
      </c>
      <c r="M90" s="33" t="n">
        <v>-17.85</v>
      </c>
      <c r="N90" s="33" t="n">
        <v>0.61</v>
      </c>
      <c r="O90" s="33" t="n">
        <v>18.4</v>
      </c>
      <c r="P90" s="33" t="n">
        <v>76.34</v>
      </c>
      <c r="Q90" s="33" t="n">
        <v>93.2</v>
      </c>
      <c r="R90" s="33" t="n">
        <v>503.7</v>
      </c>
      <c r="S90" s="33">
        <f>IFERROR(AVERAGE(IFERROR(IF(P90="","",IF(P90&gt;=40,100,IF(P90&gt;=30,90,IF(P90&gt;=20,75,IF(P90&gt;=15,60,IF(P90&gt;=10,45,IF(P90&gt;=5,30,15))))))),""),IFERROR(IF(Q90="","",IF(Q90&gt;=40,100,IF(Q90&gt;=30,90,IF(Q90&gt;=20,75,IF(Q90&gt;=10,60,IF(Q90&gt;=5,45,IF(Q90&gt;=0,30,15))))))),""),IFERROR(IF(R90="","",IF(R90&gt;=40,100,IF(R90&gt;=30,90,IF(R90&gt;=20,75,IF(R90&gt;=10,60,IF(R90&gt;=0,45,IF(R90&gt;=-10,30,15))))))),"")),"")</f>
        <v/>
      </c>
      <c r="T90" s="33" t="n">
        <v>5</v>
      </c>
      <c r="U90" s="33" t="n">
        <v>3</v>
      </c>
      <c r="V90" s="33" t="n">
        <v>3</v>
      </c>
      <c r="W90" s="33" t="n">
        <v>5</v>
      </c>
      <c r="X90" s="33" t="n">
        <v>4</v>
      </c>
      <c r="Y90" s="33">
        <f>IFERROR((AVERAGE(T90,U90,V90,W90,X90)-1)*25,"")</f>
        <v/>
      </c>
      <c r="Z90" s="33" t="n">
        <v>5</v>
      </c>
      <c r="AA90" s="33" t="n">
        <v>1</v>
      </c>
      <c r="AB90" s="33" t="n">
        <v>3</v>
      </c>
      <c r="AC90" s="71" t="n">
        <v>61.7</v>
      </c>
      <c r="AD90" s="33">
        <f>IFERROR(AVERAGE(IFERROR(IF(Z90="","",Z90*20),""),IFERROR(IF(AA90="","",AA90*20),""),IFERROR(IF(AB90="","",AB90*20),""),IFERROR(IF(AC90="","",IF(AC90&gt;=85,100,IF(AC90&gt;=70,90,IF(AC90&gt;=55,75,IF(AC90&gt;=40,60,IF(AC90&gt;=25,40,20)))))),"")),"")</f>
        <v/>
      </c>
      <c r="AE90" s="33" t="n">
        <v>3</v>
      </c>
      <c r="AF90" s="33" t="n">
        <v>2</v>
      </c>
      <c r="AG90" s="33" t="n">
        <v>2</v>
      </c>
      <c r="AH90" s="33" t="n">
        <v>1</v>
      </c>
      <c r="AI90" s="33">
        <f>IFERROR((AVERAGE(AE90,AF90,AG90,AH90,AL90)-1)*25,"")</f>
        <v/>
      </c>
      <c r="AJ90" s="33">
        <f>IFERROR(J90*Weights!$B$4 + O90*Weights!$B$5 + S90*Weights!$B$6 + Y90*Weights!$B$7 + AD90*Weights!$B$8 + AI90*Weights!$B$9,"")</f>
        <v/>
      </c>
      <c r="AK90" s="33">
        <f>IF(AJ90="","",IF(AJ90&gt;=85,"✓✓✓",IF(AJ90&gt;=70,"✓✓",IF(AJ90&gt;=55,"✓",IF(AJ90&gt;=40,"?","✗")))))</f>
        <v/>
      </c>
      <c r="AL90" s="33" t="n">
        <v>5</v>
      </c>
    </row>
    <row r="91">
      <c r="A91" s="33" t="inlineStr">
        <is>
          <t>DELL</t>
        </is>
      </c>
      <c r="B91" s="33" t="inlineStr">
        <is>
          <t>Dell Technologies Inc.</t>
        </is>
      </c>
      <c r="C91" s="33" t="inlineStr">
        <is>
          <t>08 Servers, Systems &amp; Liquid Cooling</t>
        </is>
      </c>
      <c r="D91" s="33" t="inlineStr">
        <is>
          <t>2026-10-11</t>
        </is>
      </c>
      <c r="E91" s="33" t="n">
        <v>20.12767</v>
      </c>
      <c r="F91" s="33" t="n">
        <v>22.104</v>
      </c>
      <c r="G91" s="33" t="n">
        <v>2.3</v>
      </c>
      <c r="H91" s="33" t="n">
        <v>2.4644961</v>
      </c>
      <c r="I91" s="33">
        <f>IF(OR(E91="",R91="",R91&lt;=0,E91&lt;0),"",E91/R91)</f>
        <v/>
      </c>
      <c r="J91" s="33" t="n">
        <v>61.9</v>
      </c>
      <c r="K91" s="33" t="n">
        <v>27.41</v>
      </c>
      <c r="L91" s="33" t="n">
        <v>19.91</v>
      </c>
      <c r="M91" s="33" t="n">
        <v>5.66</v>
      </c>
      <c r="N91" s="33" t="n">
        <v>1.34</v>
      </c>
      <c r="O91" s="33" t="n">
        <v>51.6</v>
      </c>
      <c r="P91" s="33" t="n">
        <v>3.53</v>
      </c>
      <c r="Q91" s="33" t="n">
        <v>57.7</v>
      </c>
      <c r="R91" s="33" t="n">
        <v>255.1</v>
      </c>
      <c r="S91" s="33">
        <f>IFERROR(AVERAGE(IFERROR(IF(P91="","",IF(P91&gt;=40,100,IF(P91&gt;=30,90,IF(P91&gt;=20,75,IF(P91&gt;=15,60,IF(P91&gt;=10,45,IF(P91&gt;=5,30,15))))))),""),IFERROR(IF(Q91="","",IF(Q91&gt;=40,100,IF(Q91&gt;=30,90,IF(Q91&gt;=20,75,IF(Q91&gt;=10,60,IF(Q91&gt;=5,45,IF(Q91&gt;=0,30,15))))))),""),IFERROR(IF(R91="","",IF(R91&gt;=40,100,IF(R91&gt;=30,90,IF(R91&gt;=20,75,IF(R91&gt;=10,60,IF(R91&gt;=0,45,IF(R91&gt;=-10,30,15))))))),"")),"")</f>
        <v/>
      </c>
      <c r="T91" s="33" t="n">
        <v>3</v>
      </c>
      <c r="U91" s="33" t="n">
        <v>3</v>
      </c>
      <c r="V91" s="33" t="n">
        <v>4</v>
      </c>
      <c r="W91" s="33" t="n">
        <v>4</v>
      </c>
      <c r="X91" s="33" t="n">
        <v>4</v>
      </c>
      <c r="Y91" s="33">
        <f>IFERROR((AVERAGE(T91,U91,V91,W91,X91)-1)*25,"")</f>
        <v/>
      </c>
      <c r="Z91" s="33" t="n">
        <v>4</v>
      </c>
      <c r="AA91" s="33" t="n">
        <v>4</v>
      </c>
      <c r="AB91" s="33" t="n">
        <v>3</v>
      </c>
      <c r="AC91" s="71" t="n">
        <v>98.3</v>
      </c>
      <c r="AD91" s="33">
        <f>IFERROR(AVERAGE(IFERROR(IF(Z91="","",Z91*20),""),IFERROR(IF(AA91="","",AA91*20),""),IFERROR(IF(AB91="","",AB91*20),""),IFERROR(IF(AC91="","",IF(AC91&gt;=85,100,IF(AC91&gt;=70,90,IF(AC91&gt;=55,75,IF(AC91&gt;=40,60,IF(AC91&gt;=25,40,20)))))),"")),"")</f>
        <v/>
      </c>
      <c r="AE91" s="33" t="n">
        <v>4</v>
      </c>
      <c r="AF91" s="33" t="n">
        <v>4</v>
      </c>
      <c r="AG91" s="33" t="n">
        <v>4</v>
      </c>
      <c r="AH91" s="33" t="n">
        <v>4</v>
      </c>
      <c r="AI91" s="33">
        <f>IFERROR((AVERAGE(AE91,AF91,AG91,AH91,AL91)-1)*25,"")</f>
        <v/>
      </c>
      <c r="AJ91" s="33">
        <f>IFERROR(J91*Weights!$B$4 + O91*Weights!$B$5 + S91*Weights!$B$6 + Y91*Weights!$B$7 + AD91*Weights!$B$8 + AI91*Weights!$B$9,"")</f>
        <v/>
      </c>
      <c r="AK91" s="33">
        <f>IF(AJ91="","",IF(AJ91&gt;=85,"✓✓✓",IF(AJ91&gt;=70,"✓✓",IF(AJ91&gt;=55,"✓",IF(AJ91&gt;=40,"?","✗")))))</f>
        <v/>
      </c>
      <c r="AL91" s="33" t="n">
        <v>5</v>
      </c>
    </row>
    <row r="92">
      <c r="A92" s="33" t="inlineStr">
        <is>
          <t>HPE</t>
        </is>
      </c>
      <c r="B92" s="33" t="inlineStr">
        <is>
          <t>Hewlett Packard Enterprise Company</t>
        </is>
      </c>
      <c r="C92" s="33" t="inlineStr">
        <is>
          <t>08 Servers, Systems &amp; Liquid Cooling</t>
        </is>
      </c>
      <c r="D92" s="33" t="inlineStr">
        <is>
          <t>2026-10-11</t>
        </is>
      </c>
      <c r="E92" s="33" t="n">
        <v>15.600644</v>
      </c>
      <c r="F92" s="33" t="n">
        <v>15.945</v>
      </c>
      <c r="G92" s="33" t="n">
        <v>4.26</v>
      </c>
      <c r="H92" s="33" t="n">
        <v>2.3289526</v>
      </c>
      <c r="I92" s="33">
        <f>IF(OR(E92="",R92="",R92&lt;=0,E92&lt;0),"",E92/R92)</f>
        <v/>
      </c>
      <c r="J92" s="33" t="n">
        <v>81.90000000000001</v>
      </c>
      <c r="K92" s="33" t="n">
        <v>6.18</v>
      </c>
      <c r="L92" s="33" t="n">
        <v>36.62</v>
      </c>
      <c r="M92" s="33" t="n">
        <v>9.93</v>
      </c>
      <c r="N92" s="33" t="n">
        <v>2.05</v>
      </c>
      <c r="O92" s="33" t="n">
        <v>38.4</v>
      </c>
      <c r="P92" s="33" t="n">
        <v>6.37</v>
      </c>
      <c r="Q92" s="33" t="n">
        <v>33.7</v>
      </c>
      <c r="R92" s="33" t="n">
        <v>404.9</v>
      </c>
      <c r="S92" s="33">
        <f>IFERROR(AVERAGE(IFERROR(IF(P92="","",IF(P92&gt;=40,100,IF(P92&gt;=30,90,IF(P92&gt;=20,75,IF(P92&gt;=15,60,IF(P92&gt;=10,45,IF(P92&gt;=5,30,15))))))),""),IFERROR(IF(Q92="","",IF(Q92&gt;=40,100,IF(Q92&gt;=30,90,IF(Q92&gt;=20,75,IF(Q92&gt;=10,60,IF(Q92&gt;=5,45,IF(Q92&gt;=0,30,15))))))),""),IFERROR(IF(R92="","",IF(R92&gt;=40,100,IF(R92&gt;=30,90,IF(R92&gt;=20,75,IF(R92&gt;=10,60,IF(R92&gt;=0,45,IF(R92&gt;=-10,30,15))))))),"")),"")</f>
        <v/>
      </c>
      <c r="T92" s="33" t="n">
        <v>3</v>
      </c>
      <c r="U92" s="33" t="n">
        <v>3</v>
      </c>
      <c r="V92" s="33" t="n">
        <v>4</v>
      </c>
      <c r="W92" s="33" t="n">
        <v>3</v>
      </c>
      <c r="X92" s="33" t="n">
        <v>4</v>
      </c>
      <c r="Y92" s="33">
        <f>IFERROR((AVERAGE(T92,U92,V92,W92,X92)-1)*25,"")</f>
        <v/>
      </c>
      <c r="Z92" s="33" t="n">
        <v>2</v>
      </c>
      <c r="AA92" s="33" t="n">
        <v>3</v>
      </c>
      <c r="AB92" s="33" t="n">
        <v>3</v>
      </c>
      <c r="AC92" s="71" t="n">
        <v>99.2</v>
      </c>
      <c r="AD92" s="33">
        <f>IFERROR(AVERAGE(IFERROR(IF(Z92="","",Z92*20),""),IFERROR(IF(AA92="","",AA92*20),""),IFERROR(IF(AB92="","",AB92*20),""),IFERROR(IF(AC92="","",IF(AC92&gt;=85,100,IF(AC92&gt;=70,90,IF(AC92&gt;=55,75,IF(AC92&gt;=40,60,IF(AC92&gt;=25,40,20)))))),"")),"")</f>
        <v/>
      </c>
      <c r="AE92" s="33" t="n">
        <v>4</v>
      </c>
      <c r="AF92" s="33" t="n">
        <v>4</v>
      </c>
      <c r="AG92" s="33" t="n">
        <v>3</v>
      </c>
      <c r="AH92" s="33" t="n">
        <v>4</v>
      </c>
      <c r="AI92" s="33">
        <f>IFERROR((AVERAGE(AE92,AF92,AG92,AH92,AL92)-1)*25,"")</f>
        <v/>
      </c>
      <c r="AJ92" s="33">
        <f>IFERROR(J92*Weights!$B$4 + O92*Weights!$B$5 + S92*Weights!$B$6 + Y92*Weights!$B$7 + AD92*Weights!$B$8 + AI92*Weights!$B$9,"")</f>
        <v/>
      </c>
      <c r="AK92" s="33">
        <f>IF(AJ92="","",IF(AJ92&gt;=85,"✓✓✓",IF(AJ92&gt;=70,"✓✓",IF(AJ92&gt;=55,"✓",IF(AJ92&gt;=40,"?","✗")))))</f>
        <v/>
      </c>
      <c r="AL92" s="33" t="n">
        <v>5</v>
      </c>
    </row>
    <row r="93">
      <c r="A93" s="33" t="inlineStr">
        <is>
          <t>MSFT</t>
        </is>
      </c>
      <c r="B93" s="33" t="inlineStr">
        <is>
          <t>Microsoft Corporation</t>
        </is>
      </c>
      <c r="C93" s="33" t="inlineStr">
        <is>
          <t>09 Compute-as-a-Service / Hyperscalers (public-cloud AI revenue)</t>
        </is>
      </c>
      <c r="D93" s="33" t="inlineStr">
        <is>
          <t>2026-10-11</t>
        </is>
      </c>
      <c r="E93" s="33" t="n">
        <v>24.61330307794727</v>
      </c>
      <c r="F93" s="33" t="n">
        <v>20.52</v>
      </c>
      <c r="G93" s="33" t="n">
        <v>1.69</v>
      </c>
      <c r="H93" s="33" t="n">
        <v>11.973236</v>
      </c>
      <c r="I93" s="33">
        <f>IF(OR(E93="",R93="",R93&lt;=0,E93&lt;0),"",E93/R93)</f>
        <v/>
      </c>
      <c r="J93" s="33" t="n">
        <v>70</v>
      </c>
      <c r="K93" s="33" t="n">
        <v>21.22</v>
      </c>
      <c r="L93" s="33" t="n">
        <v>67.94</v>
      </c>
      <c r="M93" s="33" t="n">
        <v>20.19</v>
      </c>
      <c r="N93" s="33" t="n">
        <v>0.27</v>
      </c>
      <c r="O93" s="33" t="n">
        <v>90.59999999999999</v>
      </c>
      <c r="P93" s="33" t="n">
        <v>16.12</v>
      </c>
      <c r="Q93" s="33" t="n">
        <v>17.7</v>
      </c>
      <c r="R93" s="33" t="n">
        <v>31.3</v>
      </c>
      <c r="S93" s="33">
        <f>IFERROR(AVERAGE(IFERROR(IF(P93="","",IF(P93&gt;=40,100,IF(P93&gt;=30,90,IF(P93&gt;=20,75,IF(P93&gt;=15,60,IF(P93&gt;=10,45,IF(P93&gt;=5,30,15))))))),""),IFERROR(IF(Q93="","",IF(Q93&gt;=40,100,IF(Q93&gt;=30,90,IF(Q93&gt;=20,75,IF(Q93&gt;=10,60,IF(Q93&gt;=5,45,IF(Q93&gt;=0,30,15))))))),""),IFERROR(IF(R93="","",IF(R93&gt;=40,100,IF(R93&gt;=30,90,IF(R93&gt;=20,75,IF(R93&gt;=10,60,IF(R93&gt;=0,45,IF(R93&gt;=-10,30,15))))))),"")),"")</f>
        <v/>
      </c>
      <c r="T93" s="33" t="n">
        <v>3</v>
      </c>
      <c r="U93" s="33" t="n">
        <v>5</v>
      </c>
      <c r="V93" s="33" t="n">
        <v>5</v>
      </c>
      <c r="W93" s="33" t="n">
        <v>5</v>
      </c>
      <c r="X93" s="33" t="n">
        <v>5</v>
      </c>
      <c r="Y93" s="33">
        <f>IFERROR((AVERAGE(T93,U93,V93,W93,X93)-1)*25,"")</f>
        <v/>
      </c>
      <c r="Z93" s="33" t="n">
        <v>3</v>
      </c>
      <c r="AA93" s="33" t="n">
        <v>5</v>
      </c>
      <c r="AB93" s="33" t="n">
        <v>4</v>
      </c>
      <c r="AC93" s="71" t="n">
        <v>71.7</v>
      </c>
      <c r="AD93" s="33">
        <f>IFERROR(AVERAGE(IFERROR(IF(Z93="","",Z93*20),""),IFERROR(IF(AA93="","",AA93*20),""),IFERROR(IF(AB93="","",AB93*20),""),IFERROR(IF(AC93="","",IF(AC93&gt;=85,100,IF(AC93&gt;=70,90,IF(AC93&gt;=55,75,IF(AC93&gt;=40,60,IF(AC93&gt;=25,40,20)))))),"")),"")</f>
        <v/>
      </c>
      <c r="AE93" s="33" t="n">
        <v>5</v>
      </c>
      <c r="AF93" s="33" t="n">
        <v>5</v>
      </c>
      <c r="AG93" s="33" t="n">
        <v>5</v>
      </c>
      <c r="AH93" s="33" t="n">
        <v>3</v>
      </c>
      <c r="AI93" s="33">
        <f>IFERROR((AVERAGE(AE93,AF93,AG93,AH93,AL93)-1)*25,"")</f>
        <v/>
      </c>
      <c r="AJ93" s="33">
        <f>IFERROR(J93*Weights!$B$4 + O93*Weights!$B$5 + S93*Weights!$B$6 + Y93*Weights!$B$7 + AD93*Weights!$B$8 + AI93*Weights!$B$9,"")</f>
        <v/>
      </c>
      <c r="AK93" s="33">
        <f>IF(AJ93="","",IF(AJ93&gt;=85,"✓✓✓",IF(AJ93&gt;=70,"✓✓",IF(AJ93&gt;=55,"✓",IF(AJ93&gt;=40,"?","✗")))))</f>
        <v/>
      </c>
      <c r="AL93" s="33" t="n">
        <v>5</v>
      </c>
    </row>
    <row r="94">
      <c r="A94" s="33" t="inlineStr">
        <is>
          <t>GOOGL</t>
        </is>
      </c>
      <c r="B94" s="33" t="inlineStr">
        <is>
          <t>Alphabet Inc.</t>
        </is>
      </c>
      <c r="C94" s="33" t="inlineStr">
        <is>
          <t>09 Compute-as-a-Service / Hyperscalers (public-cloud AI revenue)</t>
        </is>
      </c>
      <c r="D94" s="33" t="inlineStr">
        <is>
          <t>2026-10-11</t>
        </is>
      </c>
      <c r="E94" s="33" t="n">
        <v>23.115559</v>
      </c>
      <c r="F94" s="33" t="n">
        <v>24.156</v>
      </c>
      <c r="G94" s="33" t="n">
        <v>1.24</v>
      </c>
      <c r="H94" s="33" t="n">
        <v>9.645901</v>
      </c>
      <c r="I94" s="33">
        <f>IF(OR(E94="",R94="",R94&lt;=0,E94&lt;0),"",E94/R94)</f>
        <v/>
      </c>
      <c r="J94" s="33" t="n">
        <v>54</v>
      </c>
      <c r="K94" s="33" t="n">
        <v>15.14</v>
      </c>
      <c r="L94" s="33" t="n">
        <v>60.9</v>
      </c>
      <c r="M94" s="33" t="n">
        <v>11.95</v>
      </c>
      <c r="N94" s="33" t="n">
        <v>-0.7</v>
      </c>
      <c r="O94" s="33" t="n">
        <v>83.09999999999999</v>
      </c>
      <c r="P94" s="33" t="n">
        <v>12.51</v>
      </c>
      <c r="Q94" s="33" t="n">
        <v>24.2</v>
      </c>
      <c r="R94" s="33" t="n"/>
      <c r="S94" s="33">
        <f>IFERROR(AVERAGE(IFERROR(IF(P94="","",IF(P94&gt;=40,100,IF(P94&gt;=30,90,IF(P94&gt;=20,75,IF(P94&gt;=15,60,IF(P94&gt;=10,45,IF(P94&gt;=5,30,15))))))),""),IFERROR(IF(Q94="","",IF(Q94&gt;=40,100,IF(Q94&gt;=30,90,IF(Q94&gt;=20,75,IF(Q94&gt;=10,60,IF(Q94&gt;=5,45,IF(Q94&gt;=0,30,15))))))),""),IFERROR(IF(R94="","",IF(R94&gt;=40,100,IF(R94&gt;=30,90,IF(R94&gt;=20,75,IF(R94&gt;=10,60,IF(R94&gt;=0,45,IF(R94&gt;=-10,30,15))))))),"")),"")</f>
        <v/>
      </c>
      <c r="T94" s="33" t="n">
        <v>3</v>
      </c>
      <c r="U94" s="33" t="n">
        <v>4</v>
      </c>
      <c r="V94" s="33" t="n">
        <v>5</v>
      </c>
      <c r="W94" s="33" t="n">
        <v>5</v>
      </c>
      <c r="X94" s="33" t="n">
        <v>5</v>
      </c>
      <c r="Y94" s="33">
        <f>IFERROR((AVERAGE(T94,U94,V94,W94,X94)-1)*25,"")</f>
        <v/>
      </c>
      <c r="Z94" s="33" t="n">
        <v>4</v>
      </c>
      <c r="AA94" s="33" t="n">
        <v>4</v>
      </c>
      <c r="AB94" s="33" t="n">
        <v>3</v>
      </c>
      <c r="AC94" s="71" t="n">
        <v>45</v>
      </c>
      <c r="AD94" s="33">
        <f>IFERROR(AVERAGE(IFERROR(IF(Z94="","",Z94*20),""),IFERROR(IF(AA94="","",AA94*20),""),IFERROR(IF(AB94="","",AB94*20),""),IFERROR(IF(AC94="","",IF(AC94&gt;=85,100,IF(AC94&gt;=70,90,IF(AC94&gt;=55,75,IF(AC94&gt;=40,60,IF(AC94&gt;=25,40,20)))))),"")),"")</f>
        <v/>
      </c>
      <c r="AE94" s="33" t="n">
        <v>5</v>
      </c>
      <c r="AF94" s="33" t="n">
        <v>5</v>
      </c>
      <c r="AG94" s="33" t="n">
        <v>4</v>
      </c>
      <c r="AH94" s="33" t="n">
        <v>2</v>
      </c>
      <c r="AI94" s="33">
        <f>IFERROR((AVERAGE(AE94,AF94,AG94,AH94,AL94)-1)*25,"")</f>
        <v/>
      </c>
      <c r="AJ94" s="33">
        <f>IFERROR(J94*Weights!$B$4 + O94*Weights!$B$5 + S94*Weights!$B$6 + Y94*Weights!$B$7 + AD94*Weights!$B$8 + AI94*Weights!$B$9,"")</f>
        <v/>
      </c>
      <c r="AK94" s="33">
        <f>IF(AJ94="","",IF(AJ94&gt;=85,"✓✓✓",IF(AJ94&gt;=70,"✓✓",IF(AJ94&gt;=55,"✓",IF(AJ94&gt;=40,"?","✗")))))</f>
        <v/>
      </c>
      <c r="AL94" s="33" t="n">
        <v>5</v>
      </c>
    </row>
    <row r="95">
      <c r="A95" s="33" t="inlineStr">
        <is>
          <t>AMZN</t>
        </is>
      </c>
      <c r="B95" s="33" t="inlineStr">
        <is>
          <t>Amazon.com, Inc.</t>
        </is>
      </c>
      <c r="C95" s="33" t="inlineStr">
        <is>
          <t>09 Compute-as-a-Service / Hyperscalers (public-cloud AI revenue)</t>
        </is>
      </c>
      <c r="D95" s="33" t="inlineStr">
        <is>
          <t>2026-10-11</t>
        </is>
      </c>
      <c r="E95" s="33" t="n">
        <v>25.073498</v>
      </c>
      <c r="F95" s="33" t="n">
        <v>17.359</v>
      </c>
      <c r="G95" s="33" t="n">
        <v>-0.09</v>
      </c>
      <c r="H95" s="33" t="n">
        <v>3.6492524</v>
      </c>
      <c r="I95" s="33">
        <f>IF(OR(E95="",R95="",R95&lt;=0,E95&lt;0),"",E95/R95)</f>
        <v/>
      </c>
      <c r="J95" s="33" t="n">
        <v>73.8</v>
      </c>
      <c r="K95" s="33" t="n">
        <v>9.66</v>
      </c>
      <c r="L95" s="33" t="n">
        <v>50.77</v>
      </c>
      <c r="M95" s="33" t="n">
        <v>-0.32</v>
      </c>
      <c r="N95" s="33" t="n">
        <v>0.76</v>
      </c>
      <c r="O95" s="33" t="n">
        <v>75.59999999999999</v>
      </c>
      <c r="P95" s="33" t="n">
        <v>11.73</v>
      </c>
      <c r="Q95" s="33" t="n">
        <v>19.6</v>
      </c>
      <c r="R95" s="33" t="n"/>
      <c r="S95" s="33">
        <f>IFERROR(AVERAGE(IFERROR(IF(P95="","",IF(P95&gt;=40,100,IF(P95&gt;=30,90,IF(P95&gt;=20,75,IF(P95&gt;=15,60,IF(P95&gt;=10,45,IF(P95&gt;=5,30,15))))))),""),IFERROR(IF(Q95="","",IF(Q95&gt;=40,100,IF(Q95&gt;=30,90,IF(Q95&gt;=20,75,IF(Q95&gt;=10,60,IF(Q95&gt;=5,45,IF(Q95&gt;=0,30,15))))))),""),IFERROR(IF(R95="","",IF(R95&gt;=40,100,IF(R95&gt;=30,90,IF(R95&gt;=20,75,IF(R95&gt;=10,60,IF(R95&gt;=0,45,IF(R95&gt;=-10,30,15))))))),"")),"")</f>
        <v/>
      </c>
      <c r="T95" s="33" t="n">
        <v>3</v>
      </c>
      <c r="U95" s="33" t="n">
        <v>5</v>
      </c>
      <c r="V95" s="33" t="n">
        <v>5</v>
      </c>
      <c r="W95" s="33" t="n">
        <v>5</v>
      </c>
      <c r="X95" s="33" t="n">
        <v>5</v>
      </c>
      <c r="Y95" s="33">
        <f>IFERROR((AVERAGE(T95,U95,V95,W95,X95)-1)*25,"")</f>
        <v/>
      </c>
      <c r="Z95" s="33" t="n">
        <v>5</v>
      </c>
      <c r="AA95" s="33" t="n">
        <v>3</v>
      </c>
      <c r="AB95" s="33" t="n">
        <v>3</v>
      </c>
      <c r="AC95" s="71" t="n">
        <v>53.3</v>
      </c>
      <c r="AD95" s="33">
        <f>IFERROR(AVERAGE(IFERROR(IF(Z95="","",Z95*20),""),IFERROR(IF(AA95="","",AA95*20),""),IFERROR(IF(AB95="","",AB95*20),""),IFERROR(IF(AC95="","",IF(AC95&gt;=85,100,IF(AC95&gt;=70,90,IF(AC95&gt;=55,75,IF(AC95&gt;=40,60,IF(AC95&gt;=25,40,20)))))),"")),"")</f>
        <v/>
      </c>
      <c r="AE95" s="33" t="n">
        <v>5</v>
      </c>
      <c r="AF95" s="33" t="n">
        <v>4</v>
      </c>
      <c r="AG95" s="33" t="n">
        <v>3</v>
      </c>
      <c r="AH95" s="33" t="n">
        <v>2</v>
      </c>
      <c r="AI95" s="33">
        <f>IFERROR((AVERAGE(AE95,AF95,AG95,AH95,AL95)-1)*25,"")</f>
        <v/>
      </c>
      <c r="AJ95" s="33">
        <f>IFERROR(J95*Weights!$B$4 + O95*Weights!$B$5 + S95*Weights!$B$6 + Y95*Weights!$B$7 + AD95*Weights!$B$8 + AI95*Weights!$B$9,"")</f>
        <v/>
      </c>
      <c r="AK95" s="33">
        <f>IF(AJ95="","",IF(AJ95&gt;=85,"✓✓✓",IF(AJ95&gt;=70,"✓✓",IF(AJ95&gt;=55,"✓",IF(AJ95&gt;=40,"?","✗")))))</f>
        <v/>
      </c>
      <c r="AL95" s="33" t="n">
        <v>5</v>
      </c>
    </row>
    <row r="96">
      <c r="A96" s="33" t="inlineStr">
        <is>
          <t>META</t>
        </is>
      </c>
      <c r="B96" s="33" t="inlineStr">
        <is>
          <t>Meta Platforms, Inc.</t>
        </is>
      </c>
      <c r="C96" s="33" t="inlineStr">
        <is>
          <t>09 Compute-as-a-Service / Hyperscalers (public-cloud AI revenue)</t>
        </is>
      </c>
      <c r="D96" s="33" t="inlineStr">
        <is>
          <t>2026-10-11</t>
        </is>
      </c>
      <c r="E96" s="33" t="n">
        <v>20.80368</v>
      </c>
      <c r="F96" s="33" t="n">
        <v>16.959</v>
      </c>
      <c r="G96" s="33" t="n">
        <v>2.24</v>
      </c>
      <c r="H96" s="33" t="n">
        <v>8.021205999999999</v>
      </c>
      <c r="I96" s="33">
        <f>IF(OR(E96="",R96="",R96&lt;=0,E96&lt;0),"",E96/R96)</f>
        <v/>
      </c>
      <c r="J96" s="33" t="n">
        <v>69</v>
      </c>
      <c r="K96" s="33" t="n">
        <v>17.18</v>
      </c>
      <c r="L96" s="33" t="n">
        <v>81.75</v>
      </c>
      <c r="M96" s="33" t="n">
        <v>17.95</v>
      </c>
      <c r="N96" s="33" t="n">
        <v>0.2</v>
      </c>
      <c r="O96" s="33" t="n">
        <v>91.90000000000001</v>
      </c>
      <c r="P96" s="33" t="n">
        <v>19.89</v>
      </c>
      <c r="Q96" s="33" t="n">
        <v>28</v>
      </c>
      <c r="R96" s="33" t="n">
        <v>-13.6</v>
      </c>
      <c r="S96" s="33">
        <f>IFERROR(AVERAGE(IFERROR(IF(P96="","",IF(P96&gt;=40,100,IF(P96&gt;=30,90,IF(P96&gt;=20,75,IF(P96&gt;=15,60,IF(P96&gt;=10,45,IF(P96&gt;=5,30,15))))))),""),IFERROR(IF(Q96="","",IF(Q96&gt;=40,100,IF(Q96&gt;=30,90,IF(Q96&gt;=20,75,IF(Q96&gt;=10,60,IF(Q96&gt;=5,45,IF(Q96&gt;=0,30,15))))))),""),IFERROR(IF(R96="","",IF(R96&gt;=40,100,IF(R96&gt;=30,90,IF(R96&gt;=20,75,IF(R96&gt;=10,60,IF(R96&gt;=0,45,IF(R96&gt;=-10,30,15))))))),"")),"")</f>
        <v/>
      </c>
      <c r="T96" s="33" t="n">
        <v>3</v>
      </c>
      <c r="U96" s="33" t="n">
        <v>4</v>
      </c>
      <c r="V96" s="33" t="n">
        <v>5</v>
      </c>
      <c r="W96" s="33" t="n">
        <v>5</v>
      </c>
      <c r="X96" s="33" t="n">
        <v>5</v>
      </c>
      <c r="Y96" s="33">
        <f>IFERROR((AVERAGE(T96,U96,V96,W96,X96)-1)*25,"")</f>
        <v/>
      </c>
      <c r="Z96" s="33" t="n">
        <v>5</v>
      </c>
      <c r="AA96" s="33" t="n">
        <v>5</v>
      </c>
      <c r="AB96" s="33" t="n">
        <v>3</v>
      </c>
      <c r="AC96" s="71" t="n">
        <v>44.2</v>
      </c>
      <c r="AD96" s="33">
        <f>IFERROR(AVERAGE(IFERROR(IF(Z96="","",Z96*20),""),IFERROR(IF(AA96="","",AA96*20),""),IFERROR(IF(AB96="","",AB96*20),""),IFERROR(IF(AC96="","",IF(AC96&gt;=85,100,IF(AC96&gt;=70,90,IF(AC96&gt;=55,75,IF(AC96&gt;=40,60,IF(AC96&gt;=25,40,20)))))),"")),"")</f>
        <v/>
      </c>
      <c r="AE96" s="33" t="n">
        <v>4</v>
      </c>
      <c r="AF96" s="33" t="n">
        <v>3</v>
      </c>
      <c r="AG96" s="33" t="n">
        <v>3</v>
      </c>
      <c r="AH96" s="33" t="n">
        <v>2</v>
      </c>
      <c r="AI96" s="33">
        <f>IFERROR((AVERAGE(AE96,AF96,AG96,AH96,AL96)-1)*25,"")</f>
        <v/>
      </c>
      <c r="AJ96" s="33">
        <f>IFERROR(J96*Weights!$B$4 + O96*Weights!$B$5 + S96*Weights!$B$6 + Y96*Weights!$B$7 + AD96*Weights!$B$8 + AI96*Weights!$B$9,"")</f>
        <v/>
      </c>
      <c r="AK96" s="33">
        <f>IF(AJ96="","",IF(AJ96&gt;=85,"✓✓✓",IF(AJ96&gt;=70,"✓✓",IF(AJ96&gt;=55,"✓",IF(AJ96&gt;=40,"?","✗")))))</f>
        <v/>
      </c>
      <c r="AL96" s="33" t="n">
        <v>5</v>
      </c>
    </row>
    <row r="97">
      <c r="A97" s="33" t="inlineStr">
        <is>
          <t>ORCL</t>
        </is>
      </c>
      <c r="B97" s="33" t="inlineStr">
        <is>
          <t>Oracle Corporation</t>
        </is>
      </c>
      <c r="C97" s="33" t="inlineStr">
        <is>
          <t>09 Compute-as-a-Service / Hyperscalers (public-cloud AI revenue)</t>
        </is>
      </c>
      <c r="D97" s="33" t="inlineStr">
        <is>
          <t>2026-10-11</t>
        </is>
      </c>
      <c r="E97" s="33" t="n">
        <v>14.4030561821144</v>
      </c>
      <c r="F97" s="33" t="n">
        <v>16.598</v>
      </c>
      <c r="G97" s="33" t="n">
        <v>-6.7</v>
      </c>
      <c r="H97" s="33" t="n">
        <v>5.9721107</v>
      </c>
      <c r="I97" s="33">
        <f>IF(OR(E97="",R97="",R97&lt;=0,E97&lt;0),"",E97/R97)</f>
        <v/>
      </c>
      <c r="J97" s="33" t="n">
        <v>80</v>
      </c>
      <c r="K97" s="33" t="n">
        <v>8.359999999999999</v>
      </c>
      <c r="L97" s="33" t="n">
        <v>63.96</v>
      </c>
      <c r="M97" s="33" t="n">
        <v>-40.01</v>
      </c>
      <c r="N97" s="33" t="n">
        <v>3.84</v>
      </c>
      <c r="O97" s="33" t="n">
        <v>64.40000000000001</v>
      </c>
      <c r="P97" s="33" t="n">
        <v>10.48</v>
      </c>
      <c r="Q97" s="33" t="n">
        <v>29.6</v>
      </c>
      <c r="R97" s="33" t="n">
        <v>62.6</v>
      </c>
      <c r="S97" s="33">
        <f>IFERROR(AVERAGE(IFERROR(IF(P97="","",IF(P97&gt;=40,100,IF(P97&gt;=30,90,IF(P97&gt;=20,75,IF(P97&gt;=15,60,IF(P97&gt;=10,45,IF(P97&gt;=5,30,15))))))),""),IFERROR(IF(Q97="","",IF(Q97&gt;=40,100,IF(Q97&gt;=30,90,IF(Q97&gt;=20,75,IF(Q97&gt;=10,60,IF(Q97&gt;=5,45,IF(Q97&gt;=0,30,15))))))),""),IFERROR(IF(R97="","",IF(R97&gt;=40,100,IF(R97&gt;=30,90,IF(R97&gt;=20,75,IF(R97&gt;=10,60,IF(R97&gt;=0,45,IF(R97&gt;=-10,30,15))))))),"")),"")</f>
        <v/>
      </c>
      <c r="T97" s="33" t="n">
        <v>3</v>
      </c>
      <c r="U97" s="33" t="n">
        <v>4</v>
      </c>
      <c r="V97" s="33" t="n">
        <v>4</v>
      </c>
      <c r="W97" s="33" t="n">
        <v>5</v>
      </c>
      <c r="X97" s="33" t="n">
        <v>5</v>
      </c>
      <c r="Y97" s="33">
        <f>IFERROR((AVERAGE(T97,U97,V97,W97,X97)-1)*25,"")</f>
        <v/>
      </c>
      <c r="Z97" s="33" t="n">
        <v>3</v>
      </c>
      <c r="AA97" s="33" t="n">
        <v>2</v>
      </c>
      <c r="AB97" s="33" t="n">
        <v>3</v>
      </c>
      <c r="AC97" s="71" t="n">
        <v>50.8</v>
      </c>
      <c r="AD97" s="33">
        <f>IFERROR(AVERAGE(IFERROR(IF(Z97="","",Z97*20),""),IFERROR(IF(AA97="","",AA97*20),""),IFERROR(IF(AB97="","",AB97*20),""),IFERROR(IF(AC97="","",IF(AC97&gt;=85,100,IF(AC97&gt;=70,90,IF(AC97&gt;=55,75,IF(AC97&gt;=40,60,IF(AC97&gt;=25,40,20)))))),"")),"")</f>
        <v/>
      </c>
      <c r="AE97" s="33" t="n">
        <v>4</v>
      </c>
      <c r="AF97" s="33" t="n">
        <v>4</v>
      </c>
      <c r="AG97" s="33" t="n">
        <v>2</v>
      </c>
      <c r="AH97" s="33" t="n">
        <v>4</v>
      </c>
      <c r="AI97" s="33">
        <f>IFERROR((AVERAGE(AE97,AF97,AG97,AH97,AL97)-1)*25,"")</f>
        <v/>
      </c>
      <c r="AJ97" s="33">
        <f>IFERROR(J97*Weights!$B$4 + O97*Weights!$B$5 + S97*Weights!$B$6 + Y97*Weights!$B$7 + AD97*Weights!$B$8 + AI97*Weights!$B$9,"")</f>
        <v/>
      </c>
      <c r="AK97" s="33">
        <f>IF(AJ97="","",IF(AJ97&gt;=85,"✓✓✓",IF(AJ97&gt;=70,"✓✓",IF(AJ97&gt;=55,"✓",IF(AJ97&gt;=40,"?","✗")))))</f>
        <v/>
      </c>
      <c r="AL97" s="33" t="n">
        <v>5</v>
      </c>
    </row>
    <row r="98">
      <c r="A98" s="33" t="inlineStr">
        <is>
          <t>NBIS</t>
        </is>
      </c>
      <c r="B98" s="33" t="inlineStr">
        <is>
          <t>Nebius Group N.V.</t>
        </is>
      </c>
      <c r="C98" s="33" t="inlineStr">
        <is>
          <t>09 Compute-as-a-Service / Neoclouds (AI-native cloud providers)</t>
        </is>
      </c>
      <c r="D98" s="33" t="inlineStr">
        <is>
          <t>2026-10-11</t>
        </is>
      </c>
      <c r="E98" s="33" t="n">
        <v>-62.133045</v>
      </c>
      <c r="F98" s="33" t="n">
        <v>19.2</v>
      </c>
      <c r="G98" s="33" t="n">
        <v>-10.48</v>
      </c>
      <c r="H98" s="33" t="n">
        <v>41.42076</v>
      </c>
      <c r="I98" s="33">
        <f>IF(OR(E98="",R98="",R98&lt;=0,E98&lt;0),"",E98/R98)</f>
        <v/>
      </c>
      <c r="J98" s="33" t="n">
        <v>27.5</v>
      </c>
      <c r="K98" s="33" t="n">
        <v>-2.16</v>
      </c>
      <c r="L98" s="33" t="n">
        <v>74.26000000000001</v>
      </c>
      <c r="M98" s="33" t="n">
        <v>-434.2</v>
      </c>
      <c r="N98" s="33" t="n">
        <v>8.35</v>
      </c>
      <c r="O98" s="33" t="n">
        <v>55.8</v>
      </c>
      <c r="P98" s="33" t="n">
        <v>239.83</v>
      </c>
      <c r="Q98" s="33" t="n">
        <v>454</v>
      </c>
      <c r="S98" s="33">
        <f>IFERROR(AVERAGE(IFERROR(IF(P98="","",IF(P98&gt;=40,100,IF(P98&gt;=30,90,IF(P98&gt;=20,75,IF(P98&gt;=15,60,IF(P98&gt;=10,45,IF(P98&gt;=5,30,15))))))),""),IFERROR(IF(Q98="","",IF(Q98&gt;=40,100,IF(Q98&gt;=30,90,IF(Q98&gt;=20,75,IF(Q98&gt;=10,60,IF(Q98&gt;=5,45,IF(Q98&gt;=0,30,15))))))),""),IFERROR(IF(R98="","",IF(R98&gt;=40,100,IF(R98&gt;=30,90,IF(R98&gt;=20,75,IF(R98&gt;=10,60,IF(R98&gt;=0,45,IF(R98&gt;=-10,30,15))))))),"")),"")</f>
        <v/>
      </c>
      <c r="T98" s="33" t="n">
        <v>5</v>
      </c>
      <c r="U98" s="33" t="n">
        <v>4</v>
      </c>
      <c r="V98" s="33" t="n">
        <v>3</v>
      </c>
      <c r="W98" s="33" t="n">
        <v>5</v>
      </c>
      <c r="X98" s="33" t="n">
        <v>5</v>
      </c>
      <c r="Y98" s="33">
        <f>IFERROR((AVERAGE(T98,U98,V98,W98,X98)-1)*25,"")</f>
        <v/>
      </c>
      <c r="Z98" s="33" t="n">
        <v>3</v>
      </c>
      <c r="AA98" s="33" t="n">
        <v>5</v>
      </c>
      <c r="AB98" s="33" t="n">
        <v>3</v>
      </c>
      <c r="AC98" s="71" t="n">
        <v>65.8</v>
      </c>
      <c r="AD98" s="33">
        <f>IFERROR(AVERAGE(IFERROR(IF(Z98="","",Z98*20),""),IFERROR(IF(AA98="","",AA98*20),""),IFERROR(IF(AB98="","",AB98*20),""),IFERROR(IF(AC98="","",IF(AC98&gt;=85,100,IF(AC98&gt;=70,90,IF(AC98&gt;=55,75,IF(AC98&gt;=40,60,IF(AC98&gt;=25,40,20)))))),"")),"")</f>
        <v/>
      </c>
      <c r="AE98" s="33" t="n">
        <v>3</v>
      </c>
      <c r="AF98" s="33" t="n">
        <v>4</v>
      </c>
      <c r="AG98" s="33" t="n">
        <v>3</v>
      </c>
      <c r="AH98" s="33" t="n">
        <v>3</v>
      </c>
      <c r="AI98" s="33">
        <f>IFERROR((AVERAGE(AE98,AF98,AG98,AH98,AL98)-1)*25,"")</f>
        <v/>
      </c>
      <c r="AJ98" s="33">
        <f>IFERROR(J98*Weights!$B$4 + O98*Weights!$B$5 + S98*Weights!$B$6 + Y98*Weights!$B$7 + AD98*Weights!$B$8 + AI98*Weights!$B$9,"")</f>
        <v/>
      </c>
      <c r="AK98" s="33">
        <f>IF(AJ98="","",IF(AJ98&gt;=85,"✓✓✓",IF(AJ98&gt;=70,"✓✓",IF(AJ98&gt;=55,"✓",IF(AJ98&gt;=40,"?","✗")))))</f>
        <v/>
      </c>
      <c r="AL98" s="33" t="n">
        <v>5</v>
      </c>
    </row>
    <row r="99">
      <c r="A99" s="33" t="inlineStr">
        <is>
          <t>APLD</t>
        </is>
      </c>
      <c r="B99" s="33" t="inlineStr">
        <is>
          <t>Applied Digital Corporation</t>
        </is>
      </c>
      <c r="C99" s="33" t="inlineStr">
        <is>
          <t>09 Compute-as-a-Service / Neoclouds (AI-native cloud providers)</t>
        </is>
      </c>
      <c r="D99" s="33" t="inlineStr">
        <is>
          <t>2026-10-11</t>
        </is>
      </c>
      <c r="E99" s="33" t="n">
        <v>-30.187141</v>
      </c>
      <c r="F99" s="33" t="n">
        <v>6.3</v>
      </c>
      <c r="G99" s="33" t="n">
        <v>-38.77</v>
      </c>
      <c r="H99" s="33" t="n">
        <v>8.209241</v>
      </c>
      <c r="I99" s="33">
        <f>IF(OR(E99="",R99="",R99&lt;=0,E99&lt;0),"",E99/R99)</f>
        <v/>
      </c>
      <c r="J99" s="33" t="n">
        <v>32.5</v>
      </c>
      <c r="K99" s="33" t="n">
        <v>-1.82</v>
      </c>
      <c r="L99" s="33" t="n">
        <v>21.62</v>
      </c>
      <c r="M99" s="33" t="n">
        <v>-318.27</v>
      </c>
      <c r="N99" s="33" t="n"/>
      <c r="O99" s="33" t="n">
        <v>30.6</v>
      </c>
      <c r="P99" s="33" t="n">
        <v>122.64</v>
      </c>
      <c r="Q99" s="33" t="n">
        <v>432.4</v>
      </c>
      <c r="S99" s="33">
        <f>IFERROR(AVERAGE(IFERROR(IF(P99="","",IF(P99&gt;=40,100,IF(P99&gt;=30,90,IF(P99&gt;=20,75,IF(P99&gt;=15,60,IF(P99&gt;=10,45,IF(P99&gt;=5,30,15))))))),""),IFERROR(IF(Q99="","",IF(Q99&gt;=40,100,IF(Q99&gt;=30,90,IF(Q99&gt;=20,75,IF(Q99&gt;=10,60,IF(Q99&gt;=5,45,IF(Q99&gt;=0,30,15))))))),""),IFERROR(IF(R99="","",IF(R99&gt;=40,100,IF(R99&gt;=30,90,IF(R99&gt;=20,75,IF(R99&gt;=10,60,IF(R99&gt;=0,45,IF(R99&gt;=-10,30,15))))))),"")),"")</f>
        <v/>
      </c>
      <c r="T99" s="33" t="n">
        <v>4</v>
      </c>
      <c r="U99" s="33" t="n">
        <v>3</v>
      </c>
      <c r="V99" s="33" t="n">
        <v>3</v>
      </c>
      <c r="W99" s="33" t="n">
        <v>4</v>
      </c>
      <c r="X99" s="33" t="n">
        <v>3</v>
      </c>
      <c r="Y99" s="33">
        <f>IFERROR((AVERAGE(T99,U99,V99,W99,X99)-1)*25,"")</f>
        <v/>
      </c>
      <c r="Z99" s="33" t="n">
        <v>2</v>
      </c>
      <c r="AA99" s="33" t="n">
        <v>5</v>
      </c>
      <c r="AB99" s="33" t="n">
        <v>3</v>
      </c>
      <c r="AC99" s="71" t="n">
        <v>40.8</v>
      </c>
      <c r="AD99" s="33">
        <f>IFERROR(AVERAGE(IFERROR(IF(Z99="","",Z99*20),""),IFERROR(IF(AA99="","",AA99*20),""),IFERROR(IF(AB99="","",AB99*20),""),IFERROR(IF(AC99="","",IF(AC99&gt;=85,100,IF(AC99&gt;=70,90,IF(AC99&gt;=55,75,IF(AC99&gt;=40,60,IF(AC99&gt;=25,40,20)))))),"")),"")</f>
        <v/>
      </c>
      <c r="AE99" s="33" t="n">
        <v>1</v>
      </c>
      <c r="AF99" s="33" t="n">
        <v>4</v>
      </c>
      <c r="AG99" s="33" t="n">
        <v>2</v>
      </c>
      <c r="AH99" s="33" t="n">
        <v>3</v>
      </c>
      <c r="AI99" s="33">
        <f>IFERROR((AVERAGE(AE99,AF99,AG99,AH99,AL99)-1)*25,"")</f>
        <v/>
      </c>
      <c r="AJ99" s="33">
        <f>IFERROR(J99*Weights!$B$4 + O99*Weights!$B$5 + S99*Weights!$B$6 + Y99*Weights!$B$7 + AD99*Weights!$B$8 + AI99*Weights!$B$9,"")</f>
        <v/>
      </c>
      <c r="AK99" s="33">
        <f>IF(AJ99="","",IF(AJ99&gt;=85,"✓✓✓",IF(AJ99&gt;=70,"✓✓",IF(AJ99&gt;=55,"✓",IF(AJ99&gt;=40,"?","✗")))))</f>
        <v/>
      </c>
      <c r="AL99" s="33" t="n">
        <v>5</v>
      </c>
    </row>
    <row r="100">
      <c r="A100" s="33" t="inlineStr">
        <is>
          <t>CORZ</t>
        </is>
      </c>
      <c r="B100" s="33" t="inlineStr">
        <is>
          <t>Core Scientific, Inc.</t>
        </is>
      </c>
      <c r="C100" s="33" t="inlineStr">
        <is>
          <t>09 Compute-as-a-Service / Bitcoin miners pivoting to AI hosting</t>
        </is>
      </c>
      <c r="D100" s="33" t="inlineStr">
        <is>
          <t>2026-10-11</t>
        </is>
      </c>
      <c r="E100" s="33" t="n">
        <v>94.679276</v>
      </c>
      <c r="F100" s="33" t="n">
        <v>4.1</v>
      </c>
      <c r="G100" s="33" t="n">
        <v>-19.34</v>
      </c>
      <c r="H100" s="33" t="n">
        <v>11.246269</v>
      </c>
      <c r="I100" s="33">
        <f>IF(OR(E100="",R100="",R100&lt;=0,E100&lt;0),"",E100/R100)</f>
        <v/>
      </c>
      <c r="J100" s="33" t="n">
        <v>45</v>
      </c>
      <c r="K100" s="33" t="n">
        <v>-6.46</v>
      </c>
      <c r="L100" s="33" t="n">
        <v>32.14</v>
      </c>
      <c r="M100" s="33" t="n">
        <v>-217.53</v>
      </c>
      <c r="N100" s="33" t="n"/>
      <c r="O100" s="33" t="n">
        <v>40.8</v>
      </c>
      <c r="P100" s="33" t="n">
        <v>-20.72</v>
      </c>
      <c r="Q100" s="33" t="n">
        <v>108.8</v>
      </c>
      <c r="S100" s="33">
        <f>IFERROR(AVERAGE(IFERROR(IF(P100="","",IF(P100&gt;=40,100,IF(P100&gt;=30,90,IF(P100&gt;=20,75,IF(P100&gt;=15,60,IF(P100&gt;=10,45,IF(P100&gt;=5,30,15))))))),""),IFERROR(IF(Q100="","",IF(Q100&gt;=40,100,IF(Q100&gt;=30,90,IF(Q100&gt;=20,75,IF(Q100&gt;=10,60,IF(Q100&gt;=5,45,IF(Q100&gt;=0,30,15))))))),""),IFERROR(IF(R100="","",IF(R100&gt;=40,100,IF(R100&gt;=30,90,IF(R100&gt;=20,75,IF(R100&gt;=10,60,IF(R100&gt;=0,45,IF(R100&gt;=-10,30,15))))))),"")),"")</f>
        <v/>
      </c>
      <c r="T100" s="33" t="n">
        <v>4</v>
      </c>
      <c r="U100" s="33" t="n">
        <v>3</v>
      </c>
      <c r="V100" s="33" t="n">
        <v>3</v>
      </c>
      <c r="W100" s="33" t="n">
        <v>5</v>
      </c>
      <c r="X100" s="33" t="n">
        <v>3</v>
      </c>
      <c r="Y100" s="33">
        <f>IFERROR((AVERAGE(T100,U100,V100,W100,X100)-1)*25,"")</f>
        <v/>
      </c>
      <c r="Z100" s="33" t="n">
        <v>3</v>
      </c>
      <c r="AA100" s="33" t="n">
        <v>3</v>
      </c>
      <c r="AB100" s="33" t="n">
        <v>3</v>
      </c>
      <c r="AC100" s="71" t="n">
        <v>40.8</v>
      </c>
      <c r="AD100" s="33">
        <f>IFERROR(AVERAGE(IFERROR(IF(Z100="","",Z100*20),""),IFERROR(IF(AA100="","",AA100*20),""),IFERROR(IF(AB100="","",AB100*20),""),IFERROR(IF(AC100="","",IF(AC100&gt;=85,100,IF(AC100&gt;=70,90,IF(AC100&gt;=55,75,IF(AC100&gt;=40,60,IF(AC100&gt;=25,40,20)))))),"")),"")</f>
        <v/>
      </c>
      <c r="AE100" s="33" t="n">
        <v>1</v>
      </c>
      <c r="AF100" s="33" t="n">
        <v>4</v>
      </c>
      <c r="AG100" s="33" t="n">
        <v>3</v>
      </c>
      <c r="AH100" s="33" t="n">
        <v>3</v>
      </c>
      <c r="AI100" s="33">
        <f>IFERROR((AVERAGE(AE100,AF100,AG100,AH100,AL100)-1)*25,"")</f>
        <v/>
      </c>
      <c r="AJ100" s="33">
        <f>IFERROR(J100*Weights!$B$4 + O100*Weights!$B$5 + S100*Weights!$B$6 + Y100*Weights!$B$7 + AD100*Weights!$B$8 + AI100*Weights!$B$9,"")</f>
        <v/>
      </c>
      <c r="AK100" s="33">
        <f>IF(AJ100="","",IF(AJ100&gt;=85,"✓✓✓",IF(AJ100&gt;=70,"✓✓",IF(AJ100&gt;=55,"✓",IF(AJ100&gt;=40,"?","✗")))))</f>
        <v/>
      </c>
      <c r="AL100" s="33" t="n">
        <v>5</v>
      </c>
    </row>
    <row r="101">
      <c r="A101" s="33" t="inlineStr">
        <is>
          <t>IREN</t>
        </is>
      </c>
      <c r="B101" s="33" t="inlineStr">
        <is>
          <t>IREN Limited</t>
        </is>
      </c>
      <c r="C101" s="33" t="inlineStr">
        <is>
          <t>09 Compute-as-a-Service / Bitcoin miners pivoting to AI hosting</t>
        </is>
      </c>
      <c r="D101" s="33" t="inlineStr">
        <is>
          <t>2026-10-11</t>
        </is>
      </c>
      <c r="E101" s="33" t="n">
        <v>-8.835846999999999</v>
      </c>
      <c r="F101" s="33" t="n">
        <v>5.9</v>
      </c>
      <c r="G101" s="33" t="n">
        <v>-16.95</v>
      </c>
      <c r="H101" s="33" t="n">
        <v>19.61356</v>
      </c>
      <c r="I101" s="33">
        <f>IF(OR(E101="",R101="",R101&lt;=0,E101&lt;0),"",E101/R101)</f>
        <v/>
      </c>
      <c r="J101" s="33" t="n">
        <v>36.2</v>
      </c>
      <c r="K101" s="33" t="n">
        <v>-2.21</v>
      </c>
      <c r="L101" s="33" t="n">
        <v>68.92</v>
      </c>
      <c r="M101" s="33" t="n">
        <v>-332.45</v>
      </c>
      <c r="N101" s="33" t="n">
        <v>50.69</v>
      </c>
      <c r="O101" s="33" t="n">
        <v>44.4</v>
      </c>
      <c r="P101" s="33" t="n">
        <v>110.77</v>
      </c>
      <c r="Q101" s="33" t="n">
        <v>-26.7</v>
      </c>
      <c r="S101" s="33">
        <f>IFERROR(AVERAGE(IFERROR(IF(P101="","",IF(P101&gt;=40,100,IF(P101&gt;=30,90,IF(P101&gt;=20,75,IF(P101&gt;=15,60,IF(P101&gt;=10,45,IF(P101&gt;=5,30,15))))))),""),IFERROR(IF(Q101="","",IF(Q101&gt;=40,100,IF(Q101&gt;=30,90,IF(Q101&gt;=20,75,IF(Q101&gt;=10,60,IF(Q101&gt;=5,45,IF(Q101&gt;=0,30,15))))))),""),IFERROR(IF(R101="","",IF(R101&gt;=40,100,IF(R101&gt;=30,90,IF(R101&gt;=20,75,IF(R101&gt;=10,60,IF(R101&gt;=0,45,IF(R101&gt;=-10,30,15))))))),"")),"")</f>
        <v/>
      </c>
      <c r="T101" s="33" t="n">
        <v>5</v>
      </c>
      <c r="U101" s="33" t="n">
        <v>4</v>
      </c>
      <c r="V101" s="33" t="n">
        <v>4</v>
      </c>
      <c r="W101" s="33" t="n">
        <v>5</v>
      </c>
      <c r="X101" s="33" t="n">
        <v>5</v>
      </c>
      <c r="Y101" s="33">
        <f>IFERROR((AVERAGE(T101,U101,V101,W101,X101)-1)*25,"")</f>
        <v/>
      </c>
      <c r="Z101" s="33" t="n">
        <v>3</v>
      </c>
      <c r="AA101" s="33" t="n">
        <v>5</v>
      </c>
      <c r="AB101" s="33" t="n">
        <v>3</v>
      </c>
      <c r="AC101" s="71" t="n">
        <v>52.5</v>
      </c>
      <c r="AD101" s="33">
        <f>IFERROR(AVERAGE(IFERROR(IF(Z101="","",Z101*20),""),IFERROR(IF(AA101="","",AA101*20),""),IFERROR(IF(AB101="","",AB101*20),""),IFERROR(IF(AC101="","",IF(AC101&gt;=85,100,IF(AC101&gt;=70,90,IF(AC101&gt;=55,75,IF(AC101&gt;=40,60,IF(AC101&gt;=25,40,20)))))),"")),"")</f>
        <v/>
      </c>
      <c r="AE101" s="33" t="n">
        <v>2</v>
      </c>
      <c r="AF101" s="33" t="n">
        <v>4</v>
      </c>
      <c r="AG101" s="33" t="n">
        <v>2</v>
      </c>
      <c r="AH101" s="33" t="n">
        <v>3</v>
      </c>
      <c r="AI101" s="33">
        <f>IFERROR((AVERAGE(AE101,AF101,AG101,AH101,AL101)-1)*25,"")</f>
        <v/>
      </c>
      <c r="AJ101" s="33">
        <f>IFERROR(J101*Weights!$B$4 + O101*Weights!$B$5 + S101*Weights!$B$6 + Y101*Weights!$B$7 + AD101*Weights!$B$8 + AI101*Weights!$B$9,"")</f>
        <v/>
      </c>
      <c r="AK101" s="33">
        <f>IF(AJ101="","",IF(AJ101&gt;=85,"✓✓✓",IF(AJ101&gt;=70,"✓✓",IF(AJ101&gt;=55,"✓",IF(AJ101&gt;=40,"?","✗")))))</f>
        <v/>
      </c>
      <c r="AL101" s="33" t="n">
        <v>5</v>
      </c>
    </row>
    <row r="102">
      <c r="A102" s="33" t="inlineStr">
        <is>
          <t>CIFR</t>
        </is>
      </c>
      <c r="B102" s="33" t="inlineStr">
        <is>
          <t>Cipher Digital Inc.</t>
        </is>
      </c>
      <c r="C102" s="33" t="inlineStr">
        <is>
          <t>09 Compute-as-a-Service / Bitcoin miners pivoting to AI hosting</t>
        </is>
      </c>
      <c r="D102" s="33" t="inlineStr">
        <is>
          <t>2026-10-11</t>
        </is>
      </c>
      <c r="E102" s="33" t="n">
        <v>80.24692</v>
      </c>
      <c r="F102" s="33" t="n">
        <v>11.9</v>
      </c>
      <c r="G102" s="33" t="n">
        <v>-26.66</v>
      </c>
      <c r="H102" s="33" t="n">
        <v>29.363794</v>
      </c>
      <c r="I102" s="33">
        <f>IF(OR(E102="",R102="",R102&lt;=0,E102&lt;0),"",E102/R102)</f>
        <v/>
      </c>
      <c r="J102" s="33" t="n">
        <v>33.8</v>
      </c>
      <c r="K102" s="33" t="n">
        <v>-5.17</v>
      </c>
      <c r="L102" s="33" t="n">
        <v>-10.04</v>
      </c>
      <c r="M102" s="33" t="n">
        <v>-782.87</v>
      </c>
      <c r="N102" s="33" t="n">
        <v>49.49</v>
      </c>
      <c r="O102" s="33" t="n">
        <v>21.9</v>
      </c>
      <c r="P102" s="33" t="n">
        <v>319.34</v>
      </c>
      <c r="Q102" s="33" t="n">
        <v>-43</v>
      </c>
      <c r="S102" s="33">
        <f>IFERROR(AVERAGE(IFERROR(IF(P102="","",IF(P102&gt;=40,100,IF(P102&gt;=30,90,IF(P102&gt;=20,75,IF(P102&gt;=15,60,IF(P102&gt;=10,45,IF(P102&gt;=5,30,15))))))),""),IFERROR(IF(Q102="","",IF(Q102&gt;=40,100,IF(Q102&gt;=30,90,IF(Q102&gt;=20,75,IF(Q102&gt;=10,60,IF(Q102&gt;=5,45,IF(Q102&gt;=0,30,15))))))),""),IFERROR(IF(R102="","",IF(R102&gt;=40,100,IF(R102&gt;=30,90,IF(R102&gt;=20,75,IF(R102&gt;=10,60,IF(R102&gt;=0,45,IF(R102&gt;=-10,30,15))))))),"")),"")</f>
        <v/>
      </c>
      <c r="T102" s="33" t="n">
        <v>4</v>
      </c>
      <c r="U102" s="33" t="n">
        <v>3</v>
      </c>
      <c r="V102" s="33" t="n">
        <v>3</v>
      </c>
      <c r="W102" s="33" t="n">
        <v>4</v>
      </c>
      <c r="X102" s="33" t="n">
        <v>5</v>
      </c>
      <c r="Y102" s="33">
        <f>IFERROR((AVERAGE(T102,U102,V102,W102,X102)-1)*25,"")</f>
        <v/>
      </c>
      <c r="Z102" s="33" t="n">
        <v>2</v>
      </c>
      <c r="AA102" s="33" t="n">
        <v>5</v>
      </c>
      <c r="AB102" s="33" t="n">
        <v>3</v>
      </c>
      <c r="AC102" s="71" t="n">
        <v>49.2</v>
      </c>
      <c r="AD102" s="33">
        <f>IFERROR(AVERAGE(IFERROR(IF(Z102="","",Z102*20),""),IFERROR(IF(AA102="","",AA102*20),""),IFERROR(IF(AB102="","",AB102*20),""),IFERROR(IF(AC102="","",IF(AC102&gt;=85,100,IF(AC102&gt;=70,90,IF(AC102&gt;=55,75,IF(AC102&gt;=40,60,IF(AC102&gt;=25,40,20)))))),"")),"")</f>
        <v/>
      </c>
      <c r="AE102" s="33" t="n">
        <v>3</v>
      </c>
      <c r="AF102" s="33" t="n">
        <v>4</v>
      </c>
      <c r="AG102" s="33" t="n">
        <v>2</v>
      </c>
      <c r="AH102" s="33" t="n">
        <v>3</v>
      </c>
      <c r="AI102" s="33">
        <f>IFERROR((AVERAGE(AE102,AF102,AG102,AH102,AL102)-1)*25,"")</f>
        <v/>
      </c>
      <c r="AJ102" s="33">
        <f>IFERROR(J102*Weights!$B$4 + O102*Weights!$B$5 + S102*Weights!$B$6 + Y102*Weights!$B$7 + AD102*Weights!$B$8 + AI102*Weights!$B$9,"")</f>
        <v/>
      </c>
      <c r="AK102" s="33">
        <f>IF(AJ102="","",IF(AJ102&gt;=85,"✓✓✓",IF(AJ102&gt;=70,"✓✓",IF(AJ102&gt;=55,"✓",IF(AJ102&gt;=40,"?","✗")))))</f>
        <v/>
      </c>
      <c r="AL102" s="33" t="n">
        <v>5</v>
      </c>
    </row>
    <row r="103">
      <c r="A103" s="33" t="inlineStr">
        <is>
          <t>CLSK</t>
        </is>
      </c>
      <c r="B103" s="33" t="inlineStr">
        <is>
          <t>CleanSpark, Inc.</t>
        </is>
      </c>
      <c r="C103" s="33" t="inlineStr">
        <is>
          <t>09 Compute-as-a-Service / Bitcoin miners pivoting to AI hosting</t>
        </is>
      </c>
      <c r="D103" s="33" t="inlineStr">
        <is>
          <t>2026-10-11</t>
        </is>
      </c>
      <c r="E103" s="33" t="n">
        <v>-5.7903447</v>
      </c>
      <c r="F103" s="33" t="n">
        <v>2.5</v>
      </c>
      <c r="G103" s="33" t="n">
        <v>-38.52</v>
      </c>
      <c r="H103" s="33" t="n">
        <v>3.9680693</v>
      </c>
      <c r="I103" s="33">
        <f>IF(OR(E103="",R103="",R103&lt;=0,E103&lt;0),"",E103/R103)</f>
        <v/>
      </c>
      <c r="J103" s="33" t="n">
        <v>47.5</v>
      </c>
      <c r="K103" s="33" t="n">
        <v>-11.12</v>
      </c>
      <c r="L103" s="33" t="n">
        <v>46.99</v>
      </c>
      <c r="M103" s="33" t="n">
        <v>-152.85</v>
      </c>
      <c r="N103" s="33" t="n"/>
      <c r="O103" s="33" t="n">
        <v>40.8</v>
      </c>
      <c r="P103" s="33" t="n">
        <v>79.94</v>
      </c>
      <c r="Q103" s="33" t="n">
        <v>-30.5</v>
      </c>
      <c r="S103" s="33">
        <f>IFERROR(AVERAGE(IFERROR(IF(P103="","",IF(P103&gt;=40,100,IF(P103&gt;=30,90,IF(P103&gt;=20,75,IF(P103&gt;=15,60,IF(P103&gt;=10,45,IF(P103&gt;=5,30,15))))))),""),IFERROR(IF(Q103="","",IF(Q103&gt;=40,100,IF(Q103&gt;=30,90,IF(Q103&gt;=20,75,IF(Q103&gt;=10,60,IF(Q103&gt;=5,45,IF(Q103&gt;=0,30,15))))))),""),IFERROR(IF(R103="","",IF(R103&gt;=40,100,IF(R103&gt;=30,90,IF(R103&gt;=20,75,IF(R103&gt;=10,60,IF(R103&gt;=0,45,IF(R103&gt;=-10,30,15))))))),"")),"")</f>
        <v/>
      </c>
      <c r="T103" s="33" t="n">
        <v>1</v>
      </c>
      <c r="U103" s="33" t="n">
        <v>3</v>
      </c>
      <c r="V103" s="33" t="n">
        <v>2</v>
      </c>
      <c r="W103" s="33" t="n">
        <v>4</v>
      </c>
      <c r="X103" s="33" t="n">
        <v>3</v>
      </c>
      <c r="Y103" s="33">
        <f>IFERROR((AVERAGE(T103,U103,V103,W103,X103)-1)*25,"")</f>
        <v/>
      </c>
      <c r="Z103" s="33" t="n">
        <v>4</v>
      </c>
      <c r="AA103" s="33" t="n">
        <v>2</v>
      </c>
      <c r="AB103" s="33" t="n">
        <v>3</v>
      </c>
      <c r="AC103" s="71" t="n">
        <v>53.3</v>
      </c>
      <c r="AD103" s="33">
        <f>IFERROR(AVERAGE(IFERROR(IF(Z103="","",Z103*20),""),IFERROR(IF(AA103="","",AA103*20),""),IFERROR(IF(AB103="","",AB103*20),""),IFERROR(IF(AC103="","",IF(AC103&gt;=85,100,IF(AC103&gt;=70,90,IF(AC103&gt;=55,75,IF(AC103&gt;=40,60,IF(AC103&gt;=25,40,20)))))),"")),"")</f>
        <v/>
      </c>
      <c r="AE103" s="33" t="n">
        <v>3</v>
      </c>
      <c r="AF103" s="33" t="n">
        <v>4</v>
      </c>
      <c r="AG103" s="33" t="n">
        <v>2</v>
      </c>
      <c r="AH103" s="33" t="n">
        <v>4</v>
      </c>
      <c r="AI103" s="33">
        <f>IFERROR((AVERAGE(AE103,AF103,AG103,AH103,AL103)-1)*25,"")</f>
        <v/>
      </c>
      <c r="AJ103" s="33">
        <f>IFERROR(J103*Weights!$B$4 + O103*Weights!$B$5 + S103*Weights!$B$6 + Y103*Weights!$B$7 + AD103*Weights!$B$8 + AI103*Weights!$B$9,"")</f>
        <v/>
      </c>
      <c r="AK103" s="33">
        <f>IF(AJ103="","",IF(AJ103&gt;=85,"✓✓✓",IF(AJ103&gt;=70,"✓✓",IF(AJ103&gt;=55,"✓",IF(AJ103&gt;=40,"?","✗")))))</f>
        <v/>
      </c>
      <c r="AL103" s="33" t="n">
        <v>5</v>
      </c>
    </row>
    <row r="104">
      <c r="A104" s="33" t="inlineStr">
        <is>
          <t>BTDR</t>
        </is>
      </c>
      <c r="B104" s="33" t="inlineStr">
        <is>
          <t>Bitdeer Technologies Group</t>
        </is>
      </c>
      <c r="C104" s="33" t="inlineStr">
        <is>
          <t>09 Compute-as-a-Service / Bitcoin miners pivoting to AI hosting</t>
        </is>
      </c>
      <c r="D104" s="33" t="inlineStr">
        <is>
          <t>2026-10-11</t>
        </is>
      </c>
      <c r="E104" s="33" t="n">
        <v>-25.852348</v>
      </c>
      <c r="F104" s="33" t="n">
        <v>1.7</v>
      </c>
      <c r="G104" s="33" t="n">
        <v>-80.06</v>
      </c>
      <c r="H104" s="33" t="n">
        <v>3.2222104</v>
      </c>
      <c r="I104" s="33">
        <f>IF(OR(E104="",R104="",R104&lt;=0,E104&lt;0),"",E104/R104)</f>
        <v/>
      </c>
      <c r="J104" s="33" t="n">
        <v>48.8</v>
      </c>
      <c r="K104" s="33" t="n">
        <v>-8.48</v>
      </c>
      <c r="L104" s="33" t="n">
        <v>0.67</v>
      </c>
      <c r="M104" s="33" t="n">
        <v>-257.98</v>
      </c>
      <c r="N104" s="33" t="n">
        <v>3.08</v>
      </c>
      <c r="O104" s="33" t="n">
        <v>29.4</v>
      </c>
      <c r="P104" s="33" t="n">
        <v>23</v>
      </c>
      <c r="Q104" s="33" t="n">
        <v>47.1</v>
      </c>
      <c r="S104" s="33">
        <f>IFERROR(AVERAGE(IFERROR(IF(P104="","",IF(P104&gt;=40,100,IF(P104&gt;=30,90,IF(P104&gt;=20,75,IF(P104&gt;=15,60,IF(P104&gt;=10,45,IF(P104&gt;=5,30,15))))))),""),IFERROR(IF(Q104="","",IF(Q104&gt;=40,100,IF(Q104&gt;=30,90,IF(Q104&gt;=20,75,IF(Q104&gt;=10,60,IF(Q104&gt;=5,45,IF(Q104&gt;=0,30,15))))))),""),IFERROR(IF(R104="","",IF(R104&gt;=40,100,IF(R104&gt;=30,90,IF(R104&gt;=20,75,IF(R104&gt;=10,60,IF(R104&gt;=0,45,IF(R104&gt;=-10,30,15))))))),"")),"")</f>
        <v/>
      </c>
      <c r="T104" s="33" t="n">
        <v>3</v>
      </c>
      <c r="U104" s="33" t="n">
        <v>3</v>
      </c>
      <c r="V104" s="33" t="n">
        <v>3</v>
      </c>
      <c r="W104" s="33" t="n">
        <v>4</v>
      </c>
      <c r="X104" s="33" t="n">
        <v>3</v>
      </c>
      <c r="Y104" s="33">
        <f>IFERROR((AVERAGE(T104,U104,V104,W104,X104)-1)*25,"")</f>
        <v/>
      </c>
      <c r="Z104" s="33" t="n">
        <v>2</v>
      </c>
      <c r="AA104" s="33" t="n">
        <v>1</v>
      </c>
      <c r="AB104" s="33" t="n">
        <v>3</v>
      </c>
      <c r="AC104" s="71" t="n">
        <v>55.8</v>
      </c>
      <c r="AD104" s="33">
        <f>IFERROR(AVERAGE(IFERROR(IF(Z104="","",Z104*20),""),IFERROR(IF(AA104="","",AA104*20),""),IFERROR(IF(AB104="","",AB104*20),""),IFERROR(IF(AC104="","",IF(AC104&gt;=85,100,IF(AC104&gt;=70,90,IF(AC104&gt;=55,75,IF(AC104&gt;=40,60,IF(AC104&gt;=25,40,20)))))),"")),"")</f>
        <v/>
      </c>
      <c r="AE104" s="33" t="n">
        <v>3</v>
      </c>
      <c r="AF104" s="33" t="n">
        <v>3</v>
      </c>
      <c r="AG104" s="33" t="n">
        <v>2</v>
      </c>
      <c r="AH104" s="33" t="n">
        <v>3</v>
      </c>
      <c r="AI104" s="33">
        <f>IFERROR((AVERAGE(AE104,AF104,AG104,AH104,AL104)-1)*25,"")</f>
        <v/>
      </c>
      <c r="AJ104" s="33">
        <f>IFERROR(J104*Weights!$B$4 + O104*Weights!$B$5 + S104*Weights!$B$6 + Y104*Weights!$B$7 + AD104*Weights!$B$8 + AI104*Weights!$B$9,"")</f>
        <v/>
      </c>
      <c r="AK104" s="33">
        <f>IF(AJ104="","",IF(AJ104&gt;=85,"✓✓✓",IF(AJ104&gt;=70,"✓✓",IF(AJ104&gt;=55,"✓",IF(AJ104&gt;=40,"?","✗")))))</f>
        <v/>
      </c>
      <c r="AL104" s="33" t="n">
        <v>5</v>
      </c>
    </row>
    <row r="105">
      <c r="A105" s="33" t="inlineStr">
        <is>
          <t>HUT</t>
        </is>
      </c>
      <c r="B105" s="33" t="inlineStr">
        <is>
          <t>Hut 8 Corp.</t>
        </is>
      </c>
      <c r="C105" s="33" t="inlineStr">
        <is>
          <t>09 Compute-as-a-Service / Bitcoin miners pivoting to AI hosting</t>
        </is>
      </c>
      <c r="D105" s="33" t="inlineStr">
        <is>
          <t>2026-10-11</t>
        </is>
      </c>
      <c r="E105" s="33" t="n">
        <v>-15.844811</v>
      </c>
      <c r="F105" s="33" t="n">
        <v>10.5</v>
      </c>
      <c r="G105" s="33" t="n">
        <v>-12.61</v>
      </c>
      <c r="H105" s="33" t="n">
        <v>32.668587</v>
      </c>
      <c r="I105" s="33">
        <f>IF(OR(E105="",R105="",R105&lt;=0,E105&lt;0),"",E105/R105)</f>
        <v/>
      </c>
      <c r="J105" s="33" t="n">
        <v>35</v>
      </c>
      <c r="K105" s="33" t="n">
        <v>-1.45</v>
      </c>
      <c r="L105" s="33" t="n">
        <v>62.33</v>
      </c>
      <c r="M105" s="33" t="n">
        <v>-411.83</v>
      </c>
      <c r="N105" s="33" t="n"/>
      <c r="O105" s="33" t="n">
        <v>52.5</v>
      </c>
      <c r="P105" s="33" t="n">
        <v>43.73</v>
      </c>
      <c r="Q105" s="33" t="n">
        <v>81.40000000000001</v>
      </c>
      <c r="S105" s="33">
        <f>IFERROR(AVERAGE(IFERROR(IF(P105="","",IF(P105&gt;=40,100,IF(P105&gt;=30,90,IF(P105&gt;=20,75,IF(P105&gt;=15,60,IF(P105&gt;=10,45,IF(P105&gt;=5,30,15))))))),""),IFERROR(IF(Q105="","",IF(Q105&gt;=40,100,IF(Q105&gt;=30,90,IF(Q105&gt;=20,75,IF(Q105&gt;=10,60,IF(Q105&gt;=5,45,IF(Q105&gt;=0,30,15))))))),""),IFERROR(IF(R105="","",IF(R105&gt;=40,100,IF(R105&gt;=30,90,IF(R105&gt;=20,75,IF(R105&gt;=10,60,IF(R105&gt;=0,45,IF(R105&gt;=-10,30,15))))))),"")),"")</f>
        <v/>
      </c>
      <c r="T105" s="33" t="n">
        <v>4</v>
      </c>
      <c r="U105" s="33" t="n">
        <v>3</v>
      </c>
      <c r="V105" s="33" t="n">
        <v>3</v>
      </c>
      <c r="W105" s="33" t="n">
        <v>5</v>
      </c>
      <c r="X105" s="33" t="n">
        <v>5</v>
      </c>
      <c r="Y105" s="33">
        <f>IFERROR((AVERAGE(T105,U105,V105,W105,X105)-1)*25,"")</f>
        <v/>
      </c>
      <c r="Z105" s="33" t="n">
        <v>3</v>
      </c>
      <c r="AA105" s="33" t="n">
        <v>5</v>
      </c>
      <c r="AB105" s="33" t="n">
        <v>3</v>
      </c>
      <c r="AC105" s="71" t="n">
        <v>50.8</v>
      </c>
      <c r="AD105" s="33">
        <f>IFERROR(AVERAGE(IFERROR(IF(Z105="","",Z105*20),""),IFERROR(IF(AA105="","",AA105*20),""),IFERROR(IF(AB105="","",AB105*20),""),IFERROR(IF(AC105="","",IF(AC105&gt;=85,100,IF(AC105&gt;=70,90,IF(AC105&gt;=55,75,IF(AC105&gt;=40,60,IF(AC105&gt;=25,40,20)))))),"")),"")</f>
        <v/>
      </c>
      <c r="AE105" s="33" t="n">
        <v>3</v>
      </c>
      <c r="AF105" s="33" t="n">
        <v>4</v>
      </c>
      <c r="AG105" s="33" t="n">
        <v>2</v>
      </c>
      <c r="AH105" s="33" t="n">
        <v>3</v>
      </c>
      <c r="AI105" s="33">
        <f>IFERROR((AVERAGE(AE105,AF105,AG105,AH105,AL105)-1)*25,"")</f>
        <v/>
      </c>
      <c r="AJ105" s="33">
        <f>IFERROR(J105*Weights!$B$4 + O105*Weights!$B$5 + S105*Weights!$B$6 + Y105*Weights!$B$7 + AD105*Weights!$B$8 + AI105*Weights!$B$9,"")</f>
        <v/>
      </c>
      <c r="AK105" s="33">
        <f>IF(AJ105="","",IF(AJ105&gt;=85,"✓✓✓",IF(AJ105&gt;=70,"✓✓",IF(AJ105&gt;=55,"✓",IF(AJ105&gt;=40,"?","✗")))))</f>
        <v/>
      </c>
      <c r="AL105" s="33" t="n">
        <v>5</v>
      </c>
    </row>
    <row r="106">
      <c r="A106" s="33" t="inlineStr">
        <is>
          <t>KEEL</t>
        </is>
      </c>
      <c r="B106" s="33" t="inlineStr">
        <is>
          <t>Keel Infrastructure Corp. (fka Bitfarms)</t>
        </is>
      </c>
      <c r="C106" s="33" t="inlineStr">
        <is>
          <t>09 Compute-as-a-Service / Bitcoin miners pivoting to AI hosting</t>
        </is>
      </c>
      <c r="D106" s="33" t="inlineStr">
        <is>
          <t>2026-10-11</t>
        </is>
      </c>
      <c r="E106" s="33" t="n">
        <v>-10.5172415</v>
      </c>
      <c r="F106" s="33" t="n">
        <v>3.1</v>
      </c>
      <c r="G106" s="33" t="n">
        <v>-21.73</v>
      </c>
      <c r="H106" s="33" t="n">
        <v>10.011737</v>
      </c>
      <c r="I106" s="33">
        <f>IF(OR(E106="",R106="",R106&lt;=0,E106&lt;0),"",E106/R106)</f>
        <v/>
      </c>
      <c r="J106" s="33" t="n">
        <v>47.5</v>
      </c>
      <c r="K106" s="33" t="n">
        <v>-15.85</v>
      </c>
      <c r="L106" s="33" t="n">
        <v>-32.26</v>
      </c>
      <c r="M106" s="33" t="n">
        <v>-217.52</v>
      </c>
      <c r="N106" s="33" t="n"/>
      <c r="O106" s="33" t="n">
        <v>20.8</v>
      </c>
      <c r="P106" s="33" t="n">
        <v>17.2</v>
      </c>
      <c r="Q106" s="33" t="n">
        <v>-50</v>
      </c>
      <c r="S106" s="33">
        <f>IFERROR(AVERAGE(IFERROR(IF(P106="","",IF(P106&gt;=40,100,IF(P106&gt;=30,90,IF(P106&gt;=20,75,IF(P106&gt;=15,60,IF(P106&gt;=10,45,IF(P106&gt;=5,30,15))))))),""),IFERROR(IF(Q106="","",IF(Q106&gt;=40,100,IF(Q106&gt;=30,90,IF(Q106&gt;=20,75,IF(Q106&gt;=10,60,IF(Q106&gt;=5,45,IF(Q106&gt;=0,30,15))))))),""),IFERROR(IF(R106="","",IF(R106&gt;=40,100,IF(R106&gt;=30,90,IF(R106&gt;=20,75,IF(R106&gt;=10,60,IF(R106&gt;=0,45,IF(R106&gt;=-10,30,15))))))),"")),"")</f>
        <v/>
      </c>
      <c r="T106" s="33" t="n">
        <v>2</v>
      </c>
      <c r="U106" s="33" t="n">
        <v>2</v>
      </c>
      <c r="V106" s="33" t="n">
        <v>2</v>
      </c>
      <c r="W106" s="33" t="n">
        <v>3</v>
      </c>
      <c r="X106" s="33" t="n">
        <v>1</v>
      </c>
      <c r="Y106" s="33">
        <f>IFERROR((AVERAGE(T106,U106,V106,W106,X106)-1)*25,"")</f>
        <v/>
      </c>
      <c r="Z106" s="33" t="n">
        <v>3</v>
      </c>
      <c r="AA106" s="33" t="n">
        <v>3</v>
      </c>
      <c r="AB106" s="33" t="n">
        <v>3</v>
      </c>
      <c r="AC106" s="71" t="n">
        <v>47.5</v>
      </c>
      <c r="AD106" s="33">
        <f>IFERROR(AVERAGE(IFERROR(IF(Z106="","",Z106*20),""),IFERROR(IF(AA106="","",AA106*20),""),IFERROR(IF(AB106="","",AB106*20),""),IFERROR(IF(AC106="","",IF(AC106&gt;=85,100,IF(AC106&gt;=70,90,IF(AC106&gt;=55,75,IF(AC106&gt;=40,60,IF(AC106&gt;=25,40,20)))))),"")),"")</f>
        <v/>
      </c>
      <c r="AE106" s="33" t="n">
        <v>3</v>
      </c>
      <c r="AF106" s="33" t="n">
        <v>4</v>
      </c>
      <c r="AG106" s="33" t="n">
        <v>2</v>
      </c>
      <c r="AH106" s="33" t="n">
        <v>3</v>
      </c>
      <c r="AI106" s="33">
        <f>IFERROR((AVERAGE(AE106,AF106,AG106,AH106,AL106)-1)*25,"")</f>
        <v/>
      </c>
      <c r="AJ106" s="33">
        <f>IFERROR(J106*Weights!$B$4 + O106*Weights!$B$5 + S106*Weights!$B$6 + Y106*Weights!$B$7 + AD106*Weights!$B$8 + AI106*Weights!$B$9,"")</f>
        <v/>
      </c>
      <c r="AK106" s="33">
        <f>IF(AJ106="","",IF(AJ106&gt;=85,"✓✓✓",IF(AJ106&gt;=70,"✓✓",IF(AJ106&gt;=55,"✓",IF(AJ106&gt;=40,"?","✗")))))</f>
        <v/>
      </c>
      <c r="AL106" s="33" t="n">
        <v>5</v>
      </c>
    </row>
    <row r="107">
      <c r="A107" s="33" t="inlineStr">
        <is>
          <t>RIOT</t>
        </is>
      </c>
      <c r="B107" s="33" t="inlineStr">
        <is>
          <t>Riot Platforms, Inc.</t>
        </is>
      </c>
      <c r="C107" s="33" t="inlineStr">
        <is>
          <t>09 Compute-as-a-Service / Bitcoin miners pivoting to AI hosting</t>
        </is>
      </c>
      <c r="D107" s="33" t="inlineStr">
        <is>
          <t>2026-10-11</t>
        </is>
      </c>
      <c r="E107" s="33" t="n">
        <v>-18.057085</v>
      </c>
      <c r="F107" s="33" t="n">
        <v>4.3</v>
      </c>
      <c r="G107" s="33" t="n">
        <v>-17.32</v>
      </c>
      <c r="H107" s="33" t="n">
        <v>9.393796999999999</v>
      </c>
      <c r="I107" s="33">
        <f>IF(OR(E107="",R107="",R107&lt;=0,E107&lt;0),"",E107/R107)</f>
        <v/>
      </c>
      <c r="J107" s="33" t="n">
        <v>41.2</v>
      </c>
      <c r="K107" s="33" t="n">
        <v>-12.07</v>
      </c>
      <c r="L107" s="33" t="n">
        <v>28.26</v>
      </c>
      <c r="M107" s="33" t="n">
        <v>-162.67</v>
      </c>
      <c r="N107" s="33" t="n"/>
      <c r="O107" s="33" t="n">
        <v>29.2</v>
      </c>
      <c r="P107" s="33" t="n">
        <v>35.69</v>
      </c>
      <c r="Q107" s="33" t="n">
        <v>13.9</v>
      </c>
      <c r="S107" s="33">
        <f>IFERROR(AVERAGE(IFERROR(IF(P107="","",IF(P107&gt;=40,100,IF(P107&gt;=30,90,IF(P107&gt;=20,75,IF(P107&gt;=15,60,IF(P107&gt;=10,45,IF(P107&gt;=5,30,15))))))),""),IFERROR(IF(Q107="","",IF(Q107&gt;=40,100,IF(Q107&gt;=30,90,IF(Q107&gt;=20,75,IF(Q107&gt;=10,60,IF(Q107&gt;=5,45,IF(Q107&gt;=0,30,15))))))),""),IFERROR(IF(R107="","",IF(R107&gt;=40,100,IF(R107&gt;=30,90,IF(R107&gt;=20,75,IF(R107&gt;=10,60,IF(R107&gt;=0,45,IF(R107&gt;=-10,30,15))))))),"")),"")</f>
        <v/>
      </c>
      <c r="T107" s="33" t="n">
        <v>2</v>
      </c>
      <c r="U107" s="33" t="n">
        <v>2</v>
      </c>
      <c r="V107" s="33" t="n">
        <v>2</v>
      </c>
      <c r="W107" s="33" t="n">
        <v>4</v>
      </c>
      <c r="X107" s="33" t="n">
        <v>3</v>
      </c>
      <c r="Y107" s="33">
        <f>IFERROR((AVERAGE(T107,U107,V107,W107,X107)-1)*25,"")</f>
        <v/>
      </c>
      <c r="Z107" s="33" t="n">
        <v>3</v>
      </c>
      <c r="AA107" s="33" t="n">
        <v>3</v>
      </c>
      <c r="AB107" s="33" t="n">
        <v>3</v>
      </c>
      <c r="AC107" s="71" t="n">
        <v>53.3</v>
      </c>
      <c r="AD107" s="33">
        <f>IFERROR(AVERAGE(IFERROR(IF(Z107="","",Z107*20),""),IFERROR(IF(AA107="","",AA107*20),""),IFERROR(IF(AB107="","",AB107*20),""),IFERROR(IF(AC107="","",IF(AC107&gt;=85,100,IF(AC107&gt;=70,90,IF(AC107&gt;=55,75,IF(AC107&gt;=40,60,IF(AC107&gt;=25,40,20)))))),"")),"")</f>
        <v/>
      </c>
      <c r="AE107" s="33" t="n">
        <v>3</v>
      </c>
      <c r="AF107" s="33" t="n">
        <v>4</v>
      </c>
      <c r="AG107" s="33" t="n">
        <v>3</v>
      </c>
      <c r="AH107" s="33" t="n">
        <v>3</v>
      </c>
      <c r="AI107" s="33">
        <f>IFERROR((AVERAGE(AE107,AF107,AG107,AH107,AL107)-1)*25,"")</f>
        <v/>
      </c>
      <c r="AJ107" s="33">
        <f>IFERROR(J107*Weights!$B$4 + O107*Weights!$B$5 + S107*Weights!$B$6 + Y107*Weights!$B$7 + AD107*Weights!$B$8 + AI107*Weights!$B$9,"")</f>
        <v/>
      </c>
      <c r="AK107" s="33">
        <f>IF(AJ107="","",IF(AJ107&gt;=85,"✓✓✓",IF(AJ107&gt;=70,"✓✓",IF(AJ107&gt;=55,"✓",IF(AJ107&gt;=40,"?","✗")))))</f>
        <v/>
      </c>
      <c r="AL107" s="33" t="n">
        <v>5</v>
      </c>
    </row>
    <row r="108">
      <c r="A108" s="33" t="inlineStr">
        <is>
          <t>WULF</t>
        </is>
      </c>
      <c r="B108" s="33" t="inlineStr">
        <is>
          <t>TeraWulf Inc.</t>
        </is>
      </c>
      <c r="C108" s="33" t="inlineStr">
        <is>
          <t>09 Compute-as-a-Service / Bitcoin miners pivoting to AI hosting</t>
        </is>
      </c>
      <c r="D108" s="33" t="inlineStr">
        <is>
          <t>2026-10-11</t>
        </is>
      </c>
      <c r="E108" s="33" t="n">
        <v>-57.46599</v>
      </c>
      <c r="F108" s="33" t="n">
        <v>10.4</v>
      </c>
      <c r="G108" s="33" t="n">
        <v>-36.45</v>
      </c>
      <c r="H108" s="33" t="n">
        <v>41.592556</v>
      </c>
      <c r="I108" s="33">
        <f>IF(OR(E108="",R108="",R108&lt;=0,E108&lt;0),"",E108/R108)</f>
        <v/>
      </c>
      <c r="J108" s="33" t="n">
        <v>18.8</v>
      </c>
      <c r="K108" s="33" t="n">
        <v>-6.95</v>
      </c>
      <c r="L108" s="33" t="n">
        <v>69.26000000000001</v>
      </c>
      <c r="M108" s="33" t="n">
        <v>-1515.94</v>
      </c>
      <c r="N108" s="33" t="n"/>
      <c r="O108" s="33" t="n">
        <v>34.2</v>
      </c>
      <c r="P108" s="33" t="n">
        <v>123.78</v>
      </c>
      <c r="Q108" s="33" t="n">
        <v>-6</v>
      </c>
      <c r="S108" s="33">
        <f>IFERROR(AVERAGE(IFERROR(IF(P108="","",IF(P108&gt;=40,100,IF(P108&gt;=30,90,IF(P108&gt;=20,75,IF(P108&gt;=15,60,IF(P108&gt;=10,45,IF(P108&gt;=5,30,15))))))),""),IFERROR(IF(Q108="","",IF(Q108&gt;=40,100,IF(Q108&gt;=30,90,IF(Q108&gt;=20,75,IF(Q108&gt;=10,60,IF(Q108&gt;=5,45,IF(Q108&gt;=0,30,15))))))),""),IFERROR(IF(R108="","",IF(R108&gt;=40,100,IF(R108&gt;=30,90,IF(R108&gt;=20,75,IF(R108&gt;=10,60,IF(R108&gt;=0,45,IF(R108&gt;=-10,30,15))))))),"")),"")</f>
        <v/>
      </c>
      <c r="T108" s="33" t="n">
        <v>5</v>
      </c>
      <c r="U108" s="33" t="n">
        <v>4</v>
      </c>
      <c r="V108" s="33" t="n">
        <v>4</v>
      </c>
      <c r="W108" s="33" t="n">
        <v>5</v>
      </c>
      <c r="X108" s="33" t="n">
        <v>5</v>
      </c>
      <c r="Y108" s="33">
        <f>IFERROR((AVERAGE(T108,U108,V108,W108,X108)-1)*25,"")</f>
        <v/>
      </c>
      <c r="Z108" s="33" t="n">
        <v>5</v>
      </c>
      <c r="AA108" s="33" t="n">
        <v>2</v>
      </c>
      <c r="AB108" s="33" t="n">
        <v>4</v>
      </c>
      <c r="AC108" s="71" t="n">
        <v>42.5</v>
      </c>
      <c r="AD108" s="33">
        <f>IFERROR(AVERAGE(IFERROR(IF(Z108="","",Z108*20),""),IFERROR(IF(AA108="","",AA108*20),""),IFERROR(IF(AB108="","",AB108*20),""),IFERROR(IF(AC108="","",IF(AC108&gt;=85,100,IF(AC108&gt;=70,90,IF(AC108&gt;=55,75,IF(AC108&gt;=40,60,IF(AC108&gt;=25,40,20)))))),"")),"")</f>
        <v/>
      </c>
      <c r="AE108" s="33" t="n">
        <v>2</v>
      </c>
      <c r="AF108" s="33" t="n">
        <v>4</v>
      </c>
      <c r="AG108" s="33" t="n">
        <v>2</v>
      </c>
      <c r="AH108" s="33" t="n">
        <v>3</v>
      </c>
      <c r="AI108" s="33">
        <f>IFERROR((AVERAGE(AE108,AF108,AG108,AH108,AL108)-1)*25,"")</f>
        <v/>
      </c>
      <c r="AJ108" s="33">
        <f>IFERROR(J108*Weights!$B$4 + O108*Weights!$B$5 + S108*Weights!$B$6 + Y108*Weights!$B$7 + AD108*Weights!$B$8 + AI108*Weights!$B$9,"")</f>
        <v/>
      </c>
      <c r="AK108" s="33">
        <f>IF(AJ108="","",IF(AJ108&gt;=85,"✓✓✓",IF(AJ108&gt;=70,"✓✓",IF(AJ108&gt;=55,"✓",IF(AJ108&gt;=40,"?","✗")))))</f>
        <v/>
      </c>
      <c r="AL108" s="33" t="n">
        <v>5</v>
      </c>
    </row>
    <row r="109">
      <c r="A109" s="33" t="inlineStr">
        <is>
          <t>PLTR</t>
        </is>
      </c>
      <c r="B109" s="33" t="inlineStr">
        <is>
          <t>Palantir Technologies Inc.</t>
        </is>
      </c>
      <c r="C109" s="33" t="inlineStr">
        <is>
          <t>10 Models, Software &amp; Applications</t>
        </is>
      </c>
      <c r="D109" s="33" t="inlineStr">
        <is>
          <t>2026-10-11</t>
        </is>
      </c>
      <c r="E109" s="33" t="n">
        <v>89.17906000000001</v>
      </c>
      <c r="F109" s="33" t="n">
        <v>136.2</v>
      </c>
      <c r="G109" s="33" t="n">
        <v>0.67</v>
      </c>
      <c r="H109" s="33" t="n">
        <v>81.60562</v>
      </c>
      <c r="I109" s="33">
        <f>IF(OR(E109="",R109="",R109&lt;=0,E109&lt;0),"",E109/R109)</f>
        <v/>
      </c>
      <c r="J109" s="33" t="n">
        <v>36.5</v>
      </c>
      <c r="K109" s="33" t="n">
        <v>25.63</v>
      </c>
      <c r="L109" s="33" t="n">
        <v>84.8</v>
      </c>
      <c r="M109" s="33" t="n">
        <v>54.55</v>
      </c>
      <c r="N109" s="33" t="n">
        <v>-3.45</v>
      </c>
      <c r="O109" s="33" t="n">
        <v>85.8</v>
      </c>
      <c r="P109" s="33" t="n">
        <v>32.92</v>
      </c>
      <c r="Q109" s="33" t="n">
        <v>92.8</v>
      </c>
      <c r="R109" s="33" t="n">
        <v>225</v>
      </c>
      <c r="S109" s="33">
        <f>IFERROR(AVERAGE(IFERROR(IF(P109="","",IF(P109&gt;=40,100,IF(P109&gt;=30,90,IF(P109&gt;=20,75,IF(P109&gt;=15,60,IF(P109&gt;=10,45,IF(P109&gt;=5,30,15))))))),""),IFERROR(IF(Q109="","",IF(Q109&gt;=40,100,IF(Q109&gt;=30,90,IF(Q109&gt;=20,75,IF(Q109&gt;=10,60,IF(Q109&gt;=5,45,IF(Q109&gt;=0,30,15))))))),""),IFERROR(IF(R109="","",IF(R109&gt;=40,100,IF(R109&gt;=30,90,IF(R109&gt;=20,75,IF(R109&gt;=10,60,IF(R109&gt;=0,45,IF(R109&gt;=-10,30,15))))))),"")),"")</f>
        <v/>
      </c>
      <c r="T109" s="33" t="n">
        <v>4</v>
      </c>
      <c r="U109" s="33" t="n">
        <v>4</v>
      </c>
      <c r="V109" s="33" t="n">
        <v>4</v>
      </c>
      <c r="W109" s="33" t="n">
        <v>5</v>
      </c>
      <c r="X109" s="33" t="n">
        <v>3</v>
      </c>
      <c r="Y109" s="33">
        <f>IFERROR((AVERAGE(T109,U109,V109,W109,X109)-1)*25,"")</f>
        <v/>
      </c>
      <c r="Z109" s="33" t="n">
        <v>5</v>
      </c>
      <c r="AA109" s="33" t="n">
        <v>2</v>
      </c>
      <c r="AB109" s="33" t="n">
        <v>3</v>
      </c>
      <c r="AC109" s="71" t="n">
        <v>52.5</v>
      </c>
      <c r="AD109" s="33">
        <f>IFERROR(AVERAGE(IFERROR(IF(Z109="","",Z109*20),""),IFERROR(IF(AA109="","",AA109*20),""),IFERROR(IF(AB109="","",AB109*20),""),IFERROR(IF(AC109="","",IF(AC109&gt;=85,100,IF(AC109&gt;=70,90,IF(AC109&gt;=55,75,IF(AC109&gt;=40,60,IF(AC109&gt;=25,40,20)))))),"")),"")</f>
        <v/>
      </c>
      <c r="AE109" s="33" t="n">
        <v>4</v>
      </c>
      <c r="AF109" s="33" t="n">
        <v>5</v>
      </c>
      <c r="AG109" s="33" t="n">
        <v>5</v>
      </c>
      <c r="AH109" s="33" t="n">
        <v>3</v>
      </c>
      <c r="AI109" s="33">
        <f>IFERROR((AVERAGE(AE109,AF109,AG109,AH109,AL109)-1)*25,"")</f>
        <v/>
      </c>
      <c r="AJ109" s="33">
        <f>IFERROR(J109*Weights!$B$4 + O109*Weights!$B$5 + S109*Weights!$B$6 + Y109*Weights!$B$7 + AD109*Weights!$B$8 + AI109*Weights!$B$9,"")</f>
        <v/>
      </c>
      <c r="AK109" s="33">
        <f>IF(AJ109="","",IF(AJ109&gt;=85,"✓✓✓",IF(AJ109&gt;=70,"✓✓",IF(AJ109&gt;=55,"✓",IF(AJ109&gt;=40,"?","✗")))))</f>
        <v/>
      </c>
      <c r="AL109" s="33" t="n">
        <v>4</v>
      </c>
    </row>
    <row r="110">
      <c r="A110" s="33" t="inlineStr">
        <is>
          <t>SNOW</t>
        </is>
      </c>
      <c r="B110" s="33" t="inlineStr">
        <is>
          <t>Snowflake Inc.</t>
        </is>
      </c>
      <c r="C110" s="33" t="inlineStr">
        <is>
          <t>10 Models, Software &amp; Applications</t>
        </is>
      </c>
      <c r="D110" s="33" t="inlineStr">
        <is>
          <t>2026-10-11</t>
        </is>
      </c>
      <c r="E110" s="33" t="n">
        <v>125.52527410874</v>
      </c>
      <c r="F110" s="33" t="n">
        <v>98.59999999999999</v>
      </c>
      <c r="G110" s="33" t="n">
        <v>0.92</v>
      </c>
      <c r="H110" s="33" t="n">
        <v>23.947166</v>
      </c>
      <c r="I110" s="33">
        <f>IF(OR(E110="",R110="",R110&lt;=0,E110&lt;0),"",E110/R110)</f>
        <v/>
      </c>
      <c r="J110" s="33" t="n">
        <v>29.3</v>
      </c>
      <c r="K110" s="33" t="n">
        <v>-19.66</v>
      </c>
      <c r="L110" s="33" t="n">
        <v>67.03</v>
      </c>
      <c r="M110" s="33" t="n">
        <v>21.96</v>
      </c>
      <c r="N110" s="33" t="n"/>
      <c r="O110" s="33" t="n">
        <v>12.9</v>
      </c>
      <c r="P110" s="33" t="n">
        <v>31.38</v>
      </c>
      <c r="Q110" s="33" t="n">
        <v>35.1</v>
      </c>
      <c r="S110" s="33">
        <f>IFERROR(AVERAGE(IFERROR(IF(P110="","",IF(P110&gt;=40,100,IF(P110&gt;=30,90,IF(P110&gt;=20,75,IF(P110&gt;=15,60,IF(P110&gt;=10,45,IF(P110&gt;=5,30,15))))))),""),IFERROR(IF(Q110="","",IF(Q110&gt;=40,100,IF(Q110&gt;=30,90,IF(Q110&gt;=20,75,IF(Q110&gt;=10,60,IF(Q110&gt;=5,45,IF(Q110&gt;=0,30,15))))))),""),IFERROR(IF(R110="","",IF(R110&gt;=40,100,IF(R110&gt;=30,90,IF(R110&gt;=20,75,IF(R110&gt;=10,60,IF(R110&gt;=0,45,IF(R110&gt;=-10,30,15))))))),"")),"")</f>
        <v/>
      </c>
      <c r="T110" s="33" t="n">
        <v>3</v>
      </c>
      <c r="U110" s="33" t="n">
        <v>4</v>
      </c>
      <c r="V110" s="33" t="n">
        <v>4</v>
      </c>
      <c r="W110" s="33" t="n">
        <v>4</v>
      </c>
      <c r="X110" s="33" t="n">
        <v>3</v>
      </c>
      <c r="Y110" s="33">
        <f>IFERROR((AVERAGE(T110,U110,V110,W110,X110)-1)*25,"")</f>
        <v/>
      </c>
      <c r="Z110" s="33" t="n">
        <v>2</v>
      </c>
      <c r="AA110" s="33" t="n">
        <v>3</v>
      </c>
      <c r="AB110" s="33" t="n">
        <v>3</v>
      </c>
      <c r="AC110" s="71" t="n">
        <v>85</v>
      </c>
      <c r="AD110" s="33">
        <f>IFERROR(AVERAGE(IFERROR(IF(Z110="","",Z110*20),""),IFERROR(IF(AA110="","",AA110*20),""),IFERROR(IF(AB110="","",AB110*20),""),IFERROR(IF(AC110="","",IF(AC110&gt;=85,100,IF(AC110&gt;=70,90,IF(AC110&gt;=55,75,IF(AC110&gt;=40,60,IF(AC110&gt;=25,40,20)))))),"")),"")</f>
        <v/>
      </c>
      <c r="AE110" s="33" t="n">
        <v>4</v>
      </c>
      <c r="AF110" s="33" t="n">
        <v>4</v>
      </c>
      <c r="AG110" s="33" t="n">
        <v>4</v>
      </c>
      <c r="AH110" s="33" t="n">
        <v>4</v>
      </c>
      <c r="AI110" s="33">
        <f>IFERROR((AVERAGE(AE110,AF110,AG110,AH110,AL110)-1)*25,"")</f>
        <v/>
      </c>
      <c r="AJ110" s="33">
        <f>IFERROR(J110*Weights!$B$4 + O110*Weights!$B$5 + S110*Weights!$B$6 + Y110*Weights!$B$7 + AD110*Weights!$B$8 + AI110*Weights!$B$9,"")</f>
        <v/>
      </c>
      <c r="AK110" s="33">
        <f>IF(AJ110="","",IF(AJ110&gt;=85,"✓✓✓",IF(AJ110&gt;=70,"✓✓",IF(AJ110&gt;=55,"✓",IF(AJ110&gt;=40,"?","✗")))))</f>
        <v/>
      </c>
      <c r="AL110" s="33" t="n">
        <v>4</v>
      </c>
    </row>
    <row r="111">
      <c r="A111" s="33" t="inlineStr">
        <is>
          <t>NOW</t>
        </is>
      </c>
      <c r="B111" s="33" t="inlineStr">
        <is>
          <t>ServiceNow, Inc.</t>
        </is>
      </c>
      <c r="C111" s="33" t="inlineStr">
        <is>
          <t>10 Models, Software &amp; Applications</t>
        </is>
      </c>
      <c r="D111" s="33" t="inlineStr">
        <is>
          <t>2026-10-11</t>
        </is>
      </c>
      <c r="E111" s="33" t="n">
        <v>28.14099</v>
      </c>
      <c r="F111" s="33" t="n">
        <v>32</v>
      </c>
      <c r="G111" s="33" t="n">
        <v>3.14</v>
      </c>
      <c r="H111" s="33" t="n">
        <v>9.88527</v>
      </c>
      <c r="I111" s="33">
        <f>IF(OR(E111="",R111="",R111&lt;=0,E111&lt;0),"",E111/R111)</f>
        <v/>
      </c>
      <c r="J111" s="33" t="n">
        <v>57.6</v>
      </c>
      <c r="K111" s="33" t="n">
        <v>6.13</v>
      </c>
      <c r="L111" s="33" t="n">
        <v>74.77</v>
      </c>
      <c r="M111" s="33" t="n">
        <v>31.03</v>
      </c>
      <c r="N111" s="33" t="n">
        <v>1.31</v>
      </c>
      <c r="O111" s="33" t="n">
        <v>61.9</v>
      </c>
      <c r="P111" s="33" t="n">
        <v>22.38</v>
      </c>
      <c r="Q111" s="33" t="n">
        <v>24</v>
      </c>
      <c r="R111" s="33" t="n">
        <v>-22.6</v>
      </c>
      <c r="S111" s="33">
        <f>IFERROR(AVERAGE(IFERROR(IF(P111="","",IF(P111&gt;=40,100,IF(P111&gt;=30,90,IF(P111&gt;=20,75,IF(P111&gt;=15,60,IF(P111&gt;=10,45,IF(P111&gt;=5,30,15))))))),""),IFERROR(IF(Q111="","",IF(Q111&gt;=40,100,IF(Q111&gt;=30,90,IF(Q111&gt;=20,75,IF(Q111&gt;=10,60,IF(Q111&gt;=5,45,IF(Q111&gt;=0,30,15))))))),""),IFERROR(IF(R111="","",IF(R111&gt;=40,100,IF(R111&gt;=30,90,IF(R111&gt;=20,75,IF(R111&gt;=10,60,IF(R111&gt;=0,45,IF(R111&gt;=-10,30,15))))))),"")),"")</f>
        <v/>
      </c>
      <c r="T111" s="33" t="n">
        <v>2</v>
      </c>
      <c r="U111" s="33" t="n">
        <v>3</v>
      </c>
      <c r="V111" s="33" t="n">
        <v>5</v>
      </c>
      <c r="W111" s="33" t="n">
        <v>4</v>
      </c>
      <c r="X111" s="33" t="n">
        <v>3</v>
      </c>
      <c r="Y111" s="33">
        <f>IFERROR((AVERAGE(T111,U111,V111,W111,X111)-1)*25,"")</f>
        <v/>
      </c>
      <c r="Z111" s="33" t="n">
        <v>2</v>
      </c>
      <c r="AA111" s="33" t="n">
        <v>1</v>
      </c>
      <c r="AB111" s="33" t="n">
        <v>3</v>
      </c>
      <c r="AC111" s="71" t="n">
        <v>73.3</v>
      </c>
      <c r="AD111" s="33">
        <f>IFERROR(AVERAGE(IFERROR(IF(Z111="","",Z111*20),""),IFERROR(IF(AA111="","",AA111*20),""),IFERROR(IF(AB111="","",AB111*20),""),IFERROR(IF(AC111="","",IF(AC111&gt;=85,100,IF(AC111&gt;=70,90,IF(AC111&gt;=55,75,IF(AC111&gt;=40,60,IF(AC111&gt;=25,40,20)))))),"")),"")</f>
        <v/>
      </c>
      <c r="AE111" s="33" t="n">
        <v>4</v>
      </c>
      <c r="AF111" s="33" t="n">
        <v>4</v>
      </c>
      <c r="AG111" s="33" t="n">
        <v>5</v>
      </c>
      <c r="AH111" s="33" t="n">
        <v>4</v>
      </c>
      <c r="AI111" s="33">
        <f>IFERROR((AVERAGE(AE111,AF111,AG111,AH111,AL111)-1)*25,"")</f>
        <v/>
      </c>
      <c r="AJ111" s="33">
        <f>IFERROR(J111*Weights!$B$4 + O111*Weights!$B$5 + S111*Weights!$B$6 + Y111*Weights!$B$7 + AD111*Weights!$B$8 + AI111*Weights!$B$9,"")</f>
        <v/>
      </c>
      <c r="AK111" s="33">
        <f>IF(AJ111="","",IF(AJ111&gt;=85,"✓✓✓",IF(AJ111&gt;=70,"✓✓",IF(AJ111&gt;=55,"✓",IF(AJ111&gt;=40,"?","✗")))))</f>
        <v/>
      </c>
      <c r="AL111" s="33" t="n">
        <v>3</v>
      </c>
    </row>
    <row r="112">
      <c r="A112" s="33" t="inlineStr">
        <is>
          <t>CRM</t>
        </is>
      </c>
      <c r="B112" s="33" t="inlineStr">
        <is>
          <t>Salesforce, Inc.</t>
        </is>
      </c>
      <c r="C112" s="33" t="inlineStr">
        <is>
          <t>10 Models, Software &amp; Applications</t>
        </is>
      </c>
      <c r="D112" s="33" t="inlineStr">
        <is>
          <t>2026-10-11</t>
        </is>
      </c>
      <c r="E112" s="33" t="n">
        <v>14.302121</v>
      </c>
      <c r="F112" s="33" t="n">
        <v>14.2</v>
      </c>
      <c r="G112" s="33" t="n">
        <v>8.039999999999999</v>
      </c>
      <c r="H112" s="33" t="n">
        <v>4.29182</v>
      </c>
      <c r="I112" s="33">
        <f>IF(OR(E112="",R112="",R112&lt;=0,E112&lt;0),"",E112/R112)</f>
        <v/>
      </c>
      <c r="J112" s="33" t="n">
        <v>77.90000000000001</v>
      </c>
      <c r="K112" s="33" t="n">
        <v>8.84</v>
      </c>
      <c r="L112" s="33" t="n">
        <v>77.28</v>
      </c>
      <c r="M112" s="33" t="n">
        <v>34.49</v>
      </c>
      <c r="N112" s="33" t="n">
        <v>2.4</v>
      </c>
      <c r="O112" s="33" t="n">
        <v>57.6</v>
      </c>
      <c r="P112" s="33" t="n">
        <v>9.82</v>
      </c>
      <c r="Q112" s="33" t="n">
        <v>10.8</v>
      </c>
      <c r="R112" s="33" t="n"/>
      <c r="S112" s="33">
        <f>IFERROR(AVERAGE(IFERROR(IF(P112="","",IF(P112&gt;=40,100,IF(P112&gt;=30,90,IF(P112&gt;=20,75,IF(P112&gt;=15,60,IF(P112&gt;=10,45,IF(P112&gt;=5,30,15))))))),""),IFERROR(IF(Q112="","",IF(Q112&gt;=40,100,IF(Q112&gt;=30,90,IF(Q112&gt;=20,75,IF(Q112&gt;=10,60,IF(Q112&gt;=5,45,IF(Q112&gt;=0,30,15))))))),""),IFERROR(IF(R112="","",IF(R112&gt;=40,100,IF(R112&gt;=30,90,IF(R112&gt;=20,75,IF(R112&gt;=10,60,IF(R112&gt;=0,45,IF(R112&gt;=-10,30,15))))))),"")),"")</f>
        <v/>
      </c>
      <c r="T112" s="33" t="n">
        <v>2</v>
      </c>
      <c r="U112" s="33" t="n">
        <v>3</v>
      </c>
      <c r="V112" s="33" t="n">
        <v>4</v>
      </c>
      <c r="W112" s="33" t="n">
        <v>4</v>
      </c>
      <c r="X112" s="33" t="n">
        <v>3</v>
      </c>
      <c r="Y112" s="33">
        <f>IFERROR((AVERAGE(T112,U112,V112,W112,X112)-1)*25,"")</f>
        <v/>
      </c>
      <c r="Z112" s="33" t="n">
        <v>4</v>
      </c>
      <c r="AA112" s="33" t="n">
        <v>2</v>
      </c>
      <c r="AB112" s="33" t="n">
        <v>5</v>
      </c>
      <c r="AC112" s="71" t="n">
        <v>54.2</v>
      </c>
      <c r="AD112" s="33">
        <f>IFERROR(AVERAGE(IFERROR(IF(Z112="","",Z112*20),""),IFERROR(IF(AA112="","",AA112*20),""),IFERROR(IF(AB112="","",AB112*20),""),IFERROR(IF(AC112="","",IF(AC112&gt;=85,100,IF(AC112&gt;=70,90,IF(AC112&gt;=55,75,IF(AC112&gt;=40,60,IF(AC112&gt;=25,40,20)))))),"")),"")</f>
        <v/>
      </c>
      <c r="AE112" s="33" t="n">
        <v>4</v>
      </c>
      <c r="AF112" s="33" t="n">
        <v>5</v>
      </c>
      <c r="AG112" s="33" t="n">
        <v>3</v>
      </c>
      <c r="AH112" s="33" t="n">
        <v>3</v>
      </c>
      <c r="AI112" s="33">
        <f>IFERROR((AVERAGE(AE112,AF112,AG112,AH112,AL112)-1)*25,"")</f>
        <v/>
      </c>
      <c r="AJ112" s="33">
        <f>IFERROR(J112*Weights!$B$4 + O112*Weights!$B$5 + S112*Weights!$B$6 + Y112*Weights!$B$7 + AD112*Weights!$B$8 + AI112*Weights!$B$9,"")</f>
        <v/>
      </c>
      <c r="AK112" s="33">
        <f>IF(AJ112="","",IF(AJ112&gt;=85,"✓✓✓",IF(AJ112&gt;=70,"✓✓",IF(AJ112&gt;=55,"✓",IF(AJ112&gt;=40,"?","✗")))))</f>
        <v/>
      </c>
      <c r="AL112" s="33" t="n">
        <v>3</v>
      </c>
    </row>
    <row r="113">
      <c r="A113" s="33" t="inlineStr">
        <is>
          <t>KEYS</t>
        </is>
      </c>
      <c r="B113" s="33" t="inlineStr">
        <is>
          <t>Keysight Technologies, Inc.</t>
        </is>
      </c>
      <c r="C113" s="33" t="inlineStr">
        <is>
          <t>04 Semiconductor Equipment &amp; Materials / Test &amp; measurement</t>
        </is>
      </c>
      <c r="D113" s="33" t="inlineStr">
        <is>
          <t>2026-10-11</t>
        </is>
      </c>
      <c r="E113" s="33" t="n">
        <v>27.468643</v>
      </c>
      <c r="F113" s="33" t="n">
        <v>38.337</v>
      </c>
      <c r="G113" s="33" t="n">
        <v>2.25</v>
      </c>
      <c r="H113" s="33" t="n">
        <v>9.899905</v>
      </c>
      <c r="I113" s="33">
        <f>IF(OR(E113="",R113="",R113&lt;=0,E113&lt;0),"",E113/R113)</f>
        <v/>
      </c>
      <c r="J113" s="33" t="n">
        <v>57.4</v>
      </c>
      <c r="K113" s="33" t="n">
        <v>12.94</v>
      </c>
      <c r="L113" s="33" t="n">
        <v>63.28</v>
      </c>
      <c r="M113" s="33" t="n">
        <v>22.32</v>
      </c>
      <c r="N113" s="33" t="n">
        <v>0.09</v>
      </c>
      <c r="O113" s="33" t="n">
        <v>77.8</v>
      </c>
      <c r="P113" s="33" t="n">
        <v>-0.28</v>
      </c>
      <c r="Q113" s="33" t="n">
        <v>36.5</v>
      </c>
      <c r="R113" s="33" t="n">
        <v>107.9</v>
      </c>
      <c r="S113" s="33">
        <f>IFERROR(AVERAGE(IFERROR(IF(P113="","",IF(P113&gt;=40,100,IF(P113&gt;=30,90,IF(P113&gt;=20,75,IF(P113&gt;=15,60,IF(P113&gt;=10,45,IF(P113&gt;=5,30,15))))))),""),IFERROR(IF(Q113="","",IF(Q113&gt;=40,100,IF(Q113&gt;=30,90,IF(Q113&gt;=20,75,IF(Q113&gt;=10,60,IF(Q113&gt;=5,45,IF(Q113&gt;=0,30,15))))))),""),IFERROR(IF(R113="","",IF(R113&gt;=40,100,IF(R113&gt;=30,90,IF(R113&gt;=20,75,IF(R113&gt;=10,60,IF(R113&gt;=0,45,IF(R113&gt;=-10,30,15))))))),"")),"")</f>
        <v/>
      </c>
      <c r="T113" s="33" t="n">
        <v>3</v>
      </c>
      <c r="U113" s="33" t="n">
        <v>4</v>
      </c>
      <c r="V113" s="33" t="n">
        <v>4</v>
      </c>
      <c r="W113" s="33" t="n">
        <v>3</v>
      </c>
      <c r="X113" s="33" t="n">
        <v>3</v>
      </c>
      <c r="Y113" s="33">
        <f>IFERROR((AVERAGE(T113,U113,V113,W113,X113)-1)*25,"")</f>
        <v/>
      </c>
      <c r="Z113" s="33" t="n">
        <v>5</v>
      </c>
      <c r="AA113" s="33" t="n">
        <v>5</v>
      </c>
      <c r="AB113" s="33" t="n">
        <v>3</v>
      </c>
      <c r="AC113" s="71" t="n">
        <v>63.3</v>
      </c>
      <c r="AD113" s="33">
        <f>IFERROR(AVERAGE(IFERROR(IF(Z113="","",Z113*20),""),IFERROR(IF(AA113="","",AA113*20),""),IFERROR(IF(AB113="","",AB113*20),""),IFERROR(IF(AC113="","",IF(AC113&gt;=85,100,IF(AC113&gt;=70,90,IF(AC113&gt;=55,75,IF(AC113&gt;=40,60,IF(AC113&gt;=25,40,20)))))),"")),"")</f>
        <v/>
      </c>
      <c r="AE113" s="33" t="n">
        <v>4</v>
      </c>
      <c r="AF113" s="33" t="n">
        <v>3</v>
      </c>
      <c r="AG113" s="33" t="n">
        <v>4</v>
      </c>
      <c r="AH113" s="33" t="n">
        <v>4</v>
      </c>
      <c r="AI113" s="33">
        <f>IFERROR((AVERAGE(AE113,AF113,AG113,AH113,AL113)-1)*25,"")</f>
        <v/>
      </c>
      <c r="AJ113" s="33">
        <f>IFERROR(J113*Weights!$B$4 + O113*Weights!$B$5 + S113*Weights!$B$6 + Y113*Weights!$B$7 + AD113*Weights!$B$8 + AI113*Weights!$B$9,"")</f>
        <v/>
      </c>
      <c r="AK113" s="33">
        <f>IF(AJ113="","",IF(AJ113&gt;=85,"✓✓✓",IF(AJ113&gt;=70,"✓✓",IF(AJ113&gt;=55,"✓",IF(AJ113&gt;=40,"?","✗")))))</f>
        <v/>
      </c>
      <c r="AL113" s="33" t="n">
        <v>5</v>
      </c>
    </row>
    <row r="114">
      <c r="A114" s="33" t="inlineStr">
        <is>
          <t>TTMI</t>
        </is>
      </c>
      <c r="B114" s="33" t="inlineStr">
        <is>
          <t>TTM Technologies, Inc.</t>
        </is>
      </c>
      <c r="C114" s="33" t="inlineStr">
        <is>
          <t>04 Semiconductor Equipment &amp; Materials / PCB / substrates</t>
        </is>
      </c>
      <c r="D114" s="33" t="inlineStr">
        <is>
          <t>2026-10-11</t>
        </is>
      </c>
      <c r="E114" s="33" t="n">
        <v>17.24772</v>
      </c>
      <c r="F114" s="33" t="n">
        <v>28.863</v>
      </c>
      <c r="G114" s="33" t="n">
        <v>-0.12</v>
      </c>
      <c r="H114" s="33" t="n">
        <v>3.774931</v>
      </c>
      <c r="I114" s="33">
        <f>IF(OR(E114="",R114="",R114&lt;=0,E114&lt;0),"",E114/R114)</f>
        <v/>
      </c>
      <c r="J114" s="33" t="n">
        <v>65</v>
      </c>
      <c r="K114" s="33" t="n">
        <v>9.56</v>
      </c>
      <c r="L114" s="33" t="n">
        <v>21.19</v>
      </c>
      <c r="M114" s="33" t="n">
        <v>-0.45</v>
      </c>
      <c r="N114" s="33" t="n">
        <v>1.22</v>
      </c>
      <c r="O114" s="33" t="n">
        <v>39.4</v>
      </c>
      <c r="P114" s="33" t="n">
        <v>5.22</v>
      </c>
      <c r="Q114" s="33" t="n">
        <v>37.4</v>
      </c>
      <c r="R114" s="33" t="n">
        <v>100</v>
      </c>
      <c r="S114" s="33">
        <f>IFERROR(AVERAGE(IFERROR(IF(P114="","",IF(P114&gt;=40,100,IF(P114&gt;=30,90,IF(P114&gt;=20,75,IF(P114&gt;=15,60,IF(P114&gt;=10,45,IF(P114&gt;=5,30,15))))))),""),IFERROR(IF(Q114="","",IF(Q114&gt;=40,100,IF(Q114&gt;=30,90,IF(Q114&gt;=20,75,IF(Q114&gt;=10,60,IF(Q114&gt;=5,45,IF(Q114&gt;=0,30,15))))))),""),IFERROR(IF(R114="","",IF(R114&gt;=40,100,IF(R114&gt;=30,90,IF(R114&gt;=20,75,IF(R114&gt;=10,60,IF(R114&gt;=0,45,IF(R114&gt;=-10,30,15))))))),"")),"")</f>
        <v/>
      </c>
      <c r="T114" s="33" t="n">
        <v>4</v>
      </c>
      <c r="U114" s="33" t="n">
        <v>3</v>
      </c>
      <c r="V114" s="33" t="n">
        <v>2</v>
      </c>
      <c r="W114" s="33" t="n">
        <v>5</v>
      </c>
      <c r="X114" s="33" t="n">
        <v>3</v>
      </c>
      <c r="Y114" s="33">
        <f>IFERROR((AVERAGE(T114,U114,V114,W114,X114)-1)*25,"")</f>
        <v/>
      </c>
      <c r="Z114" s="33" t="n">
        <v>5</v>
      </c>
      <c r="AA114" s="33" t="n">
        <v>5</v>
      </c>
      <c r="AB114" s="33" t="n">
        <v>2</v>
      </c>
      <c r="AC114" s="71" t="n">
        <v>49.2</v>
      </c>
      <c r="AD114" s="33">
        <f>IFERROR(AVERAGE(IFERROR(IF(Z114="","",Z114*20),""),IFERROR(IF(AA114="","",AA114*20),""),IFERROR(IF(AB114="","",AB114*20),""),IFERROR(IF(AC114="","",IF(AC114&gt;=85,100,IF(AC114&gt;=70,90,IF(AC114&gt;=55,75,IF(AC114&gt;=40,60,IF(AC114&gt;=25,40,20)))))),"")),"")</f>
        <v/>
      </c>
      <c r="AE114" s="33" t="n">
        <v>3</v>
      </c>
      <c r="AF114" s="33" t="n">
        <v>2</v>
      </c>
      <c r="AG114" s="33" t="n">
        <v>3</v>
      </c>
      <c r="AH114" s="33" t="n">
        <v>4</v>
      </c>
      <c r="AI114" s="33">
        <f>IFERROR((AVERAGE(AE114,AF114,AG114,AH114,AL114)-1)*25,"")</f>
        <v/>
      </c>
      <c r="AJ114" s="33">
        <f>IFERROR(J114*Weights!$B$4 + O114*Weights!$B$5 + S114*Weights!$B$6 + Y114*Weights!$B$7 + AD114*Weights!$B$8 + AI114*Weights!$B$9,"")</f>
        <v/>
      </c>
      <c r="AK114" s="33">
        <f>IF(AJ114="","",IF(AJ114&gt;=85,"✓✓✓",IF(AJ114&gt;=70,"✓✓",IF(AJ114&gt;=55,"✓",IF(AJ114&gt;=40,"?","✗")))))</f>
        <v/>
      </c>
      <c r="AL114" s="33" t="n">
        <v>5</v>
      </c>
    </row>
    <row r="115">
      <c r="A115" s="33" t="inlineStr">
        <is>
          <t>MPWR</t>
        </is>
      </c>
      <c r="B115" s="33" t="inlineStr">
        <is>
          <t>Monolithic Power Systems, Inc.</t>
        </is>
      </c>
      <c r="C115" s="33" t="inlineStr">
        <is>
          <t>06 AI Compute Silicon / Power management silicon</t>
        </is>
      </c>
      <c r="D115" s="33" t="inlineStr">
        <is>
          <t>2026-10-11</t>
        </is>
      </c>
      <c r="E115" s="33" t="n">
        <v>39.63619</v>
      </c>
      <c r="F115" s="33" t="n">
        <v>68.663</v>
      </c>
      <c r="G115" s="33" t="n">
        <v>0.86</v>
      </c>
      <c r="H115" s="33" t="n">
        <v>20.813677</v>
      </c>
      <c r="I115" s="33">
        <f>IF(OR(E115="",R115="",R115&lt;=0,E115&lt;0),"",E115/R115)</f>
        <v/>
      </c>
      <c r="J115" s="33" t="n">
        <v>30.6</v>
      </c>
      <c r="K115" s="33" t="n">
        <v>18.35</v>
      </c>
      <c r="L115" s="33" t="n">
        <v>55.2</v>
      </c>
      <c r="M115" s="33" t="n">
        <v>17.8</v>
      </c>
      <c r="N115" s="33" t="n">
        <v>-1.39</v>
      </c>
      <c r="O115" s="33" t="n">
        <v>62.7</v>
      </c>
      <c r="P115" s="33" t="n">
        <v>15.86</v>
      </c>
      <c r="Q115" s="33" t="n">
        <v>47.6</v>
      </c>
      <c r="R115" s="33" t="n">
        <v>90.59999999999999</v>
      </c>
      <c r="S115" s="33">
        <f>IFERROR(AVERAGE(IFERROR(IF(P115="","",IF(P115&gt;=40,100,IF(P115&gt;=30,90,IF(P115&gt;=20,75,IF(P115&gt;=15,60,IF(P115&gt;=10,45,IF(P115&gt;=5,30,15))))))),""),IFERROR(IF(Q115="","",IF(Q115&gt;=40,100,IF(Q115&gt;=30,90,IF(Q115&gt;=20,75,IF(Q115&gt;=10,60,IF(Q115&gt;=5,45,IF(Q115&gt;=0,30,15))))))),""),IFERROR(IF(R115="","",IF(R115&gt;=40,100,IF(R115&gt;=30,90,IF(R115&gt;=20,75,IF(R115&gt;=10,60,IF(R115&gt;=0,45,IF(R115&gt;=-10,30,15))))))),"")),"")</f>
        <v/>
      </c>
      <c r="T115" s="33" t="n">
        <v>4</v>
      </c>
      <c r="U115" s="33" t="n">
        <v>3</v>
      </c>
      <c r="V115" s="33" t="n">
        <v>3</v>
      </c>
      <c r="W115" s="33" t="n">
        <v>4</v>
      </c>
      <c r="X115" s="33" t="n">
        <v>4</v>
      </c>
      <c r="Y115" s="33">
        <f>IFERROR((AVERAGE(T115,U115,V115,W115,X115)-1)*25,"")</f>
        <v/>
      </c>
      <c r="Z115" s="33" t="n">
        <v>4</v>
      </c>
      <c r="AA115" s="33" t="n">
        <v>5</v>
      </c>
      <c r="AB115" s="33" t="n">
        <v>2</v>
      </c>
      <c r="AC115" s="71" t="n">
        <v>46.7</v>
      </c>
      <c r="AD115" s="33">
        <f>IFERROR(AVERAGE(IFERROR(IF(Z115="","",Z115*20),""),IFERROR(IF(AA115="","",AA115*20),""),IFERROR(IF(AB115="","",AB115*20),""),IFERROR(IF(AC115="","",IF(AC115&gt;=85,100,IF(AC115&gt;=70,90,IF(AC115&gt;=55,75,IF(AC115&gt;=40,60,IF(AC115&gt;=25,40,20)))))),"")),"")</f>
        <v/>
      </c>
      <c r="AE115" s="33" t="n">
        <v>3</v>
      </c>
      <c r="AF115" s="33" t="n">
        <v>3</v>
      </c>
      <c r="AG115" s="33" t="n">
        <v>5</v>
      </c>
      <c r="AH115" s="33" t="n">
        <v>3</v>
      </c>
      <c r="AI115" s="33">
        <f>IFERROR((AVERAGE(AE115,AF115,AG115,AH115,AL115)-1)*25,"")</f>
        <v/>
      </c>
      <c r="AJ115" s="33">
        <f>IFERROR(J115*Weights!$B$4 + O115*Weights!$B$5 + S115*Weights!$B$6 + Y115*Weights!$B$7 + AD115*Weights!$B$8 + AI115*Weights!$B$9,"")</f>
        <v/>
      </c>
      <c r="AK115" s="33">
        <f>IF(AJ115="","",IF(AJ115&gt;=85,"✓✓✓",IF(AJ115&gt;=70,"✓✓",IF(AJ115&gt;=55,"✓",IF(AJ115&gt;=40,"?","✗")))))</f>
        <v/>
      </c>
      <c r="AL115" s="33" t="n">
        <v>5</v>
      </c>
    </row>
    <row r="116">
      <c r="A116" s="33" t="inlineStr">
        <is>
          <t>CRDO</t>
        </is>
      </c>
      <c r="B116" s="33" t="inlineStr">
        <is>
          <t>Credo Technology Group Holding Ltd</t>
        </is>
      </c>
      <c r="C116" s="33" t="inlineStr">
        <is>
          <t>07 Optical, Networking &amp; Interconnect / Connectivity ASICs</t>
        </is>
      </c>
      <c r="D116" s="72" t="inlineStr">
        <is>
          <t>2026-10-11</t>
        </is>
      </c>
      <c r="E116" s="33" t="n">
        <v>25.29954517618702</v>
      </c>
      <c r="F116" s="33" t="n">
        <v>74.76000000000001</v>
      </c>
      <c r="G116" s="33" t="n">
        <v>1.08</v>
      </c>
      <c r="H116" s="33" t="n">
        <v>25.581293</v>
      </c>
      <c r="I116" s="33">
        <f>IF(OR(E116="",R116="",R116&lt;=0,E116&lt;0),"",E116/R116)</f>
        <v/>
      </c>
      <c r="J116" s="33" t="n">
        <v>57.4</v>
      </c>
      <c r="K116" s="33" t="n">
        <v>17.9</v>
      </c>
      <c r="L116" s="33" t="n">
        <v>67.06999999999999</v>
      </c>
      <c r="M116" s="33" t="n">
        <v>27.57</v>
      </c>
      <c r="N116" s="33" t="n">
        <v>-1.36</v>
      </c>
      <c r="O116" s="33" t="n">
        <v>90.59999999999999</v>
      </c>
      <c r="P116" s="33" t="n">
        <v>93.53</v>
      </c>
      <c r="Q116" s="33" t="n">
        <v>114.7</v>
      </c>
      <c r="R116" s="33" t="n">
        <v>104.1</v>
      </c>
      <c r="S116" s="33">
        <f>IFERROR(AVERAGE(IFERROR(IF(P116="","",IF(P116&gt;=40,100,IF(P116&gt;=30,90,IF(P116&gt;=20,75,IF(P116&gt;=15,60,IF(P116&gt;=10,45,IF(P116&gt;=5,30,15))))))),""),IFERROR(IF(Q116="","",IF(Q116&gt;=40,100,IF(Q116&gt;=30,90,IF(Q116&gt;=20,75,IF(Q116&gt;=10,60,IF(Q116&gt;=5,45,IF(Q116&gt;=0,30,15))))))),""),IFERROR(IF(R116="","",IF(R116&gt;=40,100,IF(R116&gt;=30,90,IF(R116&gt;=20,75,IF(R116&gt;=10,60,IF(R116&gt;=0,45,IF(R116&gt;=-10,30,15))))))),"")),"")</f>
        <v/>
      </c>
      <c r="T116" s="33" t="n">
        <v>5</v>
      </c>
      <c r="U116" s="33" t="n">
        <v>4</v>
      </c>
      <c r="V116" s="33" t="n">
        <v>4</v>
      </c>
      <c r="W116" s="33" t="n">
        <v>4</v>
      </c>
      <c r="X116" s="33" t="n">
        <v>5</v>
      </c>
      <c r="Y116" s="33">
        <f>IFERROR((AVERAGE(T116,U116,V116,W116,X116)-1)*25,"")</f>
        <v/>
      </c>
      <c r="Z116" s="33" t="n">
        <v>5</v>
      </c>
      <c r="AA116" s="33" t="n">
        <v>5</v>
      </c>
      <c r="AB116" s="33" t="n">
        <v>3</v>
      </c>
      <c r="AC116" s="71" t="n">
        <v>64.2</v>
      </c>
      <c r="AD116" s="33">
        <f>IFERROR(AVERAGE(IFERROR(IF(Z116="","",Z116*20),""),IFERROR(IF(AA116="","",AA116*20),""),IFERROR(IF(AB116="","",AB116*20),""),IFERROR(IF(AC116="","",IF(AC116&gt;=85,100,IF(AC116&gt;=70,90,IF(AC116&gt;=55,75,IF(AC116&gt;=40,60,IF(AC116&gt;=25,40,20)))))),"")),"")</f>
        <v/>
      </c>
      <c r="AE116" s="33" t="n">
        <v>2</v>
      </c>
      <c r="AF116" s="33" t="n">
        <v>4</v>
      </c>
      <c r="AG116" s="33" t="n">
        <v>5</v>
      </c>
      <c r="AH116" s="33" t="n">
        <v>5</v>
      </c>
      <c r="AI116" s="33">
        <f>IFERROR((AVERAGE(AE116,AF116,AG116,AH116,AL116)-1)*25,"")</f>
        <v/>
      </c>
      <c r="AJ116" s="33">
        <f>IFERROR(J116*Weights!$B$4 + O116*Weights!$B$5 + S116*Weights!$B$6 + Y116*Weights!$B$7 + AD116*Weights!$B$8 + AI116*Weights!$B$9,"")</f>
        <v/>
      </c>
      <c r="AK116" s="33">
        <f>IF(AJ116="","",IF(AJ116&gt;=85,"✓✓✓",IF(AJ116&gt;=70,"✓✓",IF(AJ116&gt;=55,"✓",IF(AJ116&gt;=40,"?","✗")))))</f>
        <v/>
      </c>
      <c r="AL116" s="33" t="n">
        <v>5</v>
      </c>
    </row>
    <row r="117">
      <c r="A117" s="33" t="inlineStr">
        <is>
          <t>FLEX</t>
        </is>
      </c>
      <c r="B117" s="33" t="inlineStr">
        <is>
          <t>Flex Ltd.</t>
        </is>
      </c>
      <c r="C117" s="33" t="inlineStr">
        <is>
          <t>08 Servers, Systems &amp; Liquid Cooling / Contract manufacturing / ODMs</t>
        </is>
      </c>
      <c r="D117" s="33" t="inlineStr">
        <is>
          <t>2026-10-11</t>
        </is>
      </c>
      <c r="E117" s="33" t="n">
        <v>18.49500665849299</v>
      </c>
      <c r="F117" s="33" t="n">
        <v>22.221</v>
      </c>
      <c r="G117" s="33" t="n">
        <v>2.38</v>
      </c>
      <c r="H117" s="33" t="n">
        <v>1.5127088</v>
      </c>
      <c r="I117" s="33">
        <f>IF(OR(E117="",R117="",R117&lt;=0,E117&lt;0),"",E117/R117)</f>
        <v/>
      </c>
      <c r="J117" s="33" t="n">
        <v>57.7</v>
      </c>
      <c r="K117" s="33" t="n">
        <v>11.09</v>
      </c>
      <c r="L117" s="33" t="n">
        <v>9.529999999999999</v>
      </c>
      <c r="M117" s="33" t="n">
        <v>3.59</v>
      </c>
      <c r="N117" s="33" t="n">
        <v>1.46</v>
      </c>
      <c r="O117" s="33" t="n">
        <v>39.1</v>
      </c>
      <c r="P117" s="33" t="n">
        <v>-0.6899999999999999</v>
      </c>
      <c r="Q117" s="33" t="n">
        <v>20.6</v>
      </c>
      <c r="R117" s="33" t="n">
        <v>48.4</v>
      </c>
      <c r="S117" s="33">
        <f>IFERROR(AVERAGE(IFERROR(IF(P117="","",IF(P117&gt;=40,100,IF(P117&gt;=30,90,IF(P117&gt;=20,75,IF(P117&gt;=15,60,IF(P117&gt;=10,45,IF(P117&gt;=5,30,15))))))),""),IFERROR(IF(Q117="","",IF(Q117&gt;=40,100,IF(Q117&gt;=30,90,IF(Q117&gt;=20,75,IF(Q117&gt;=10,60,IF(Q117&gt;=5,45,IF(Q117&gt;=0,30,15))))))),""),IFERROR(IF(R117="","",IF(R117&gt;=40,100,IF(R117&gt;=30,90,IF(R117&gt;=20,75,IF(R117&gt;=10,60,IF(R117&gt;=0,45,IF(R117&gt;=-10,30,15))))))),"")),"")</f>
        <v/>
      </c>
      <c r="T117" s="33" t="n">
        <v>4</v>
      </c>
      <c r="U117" s="33" t="n">
        <v>2</v>
      </c>
      <c r="V117" s="33" t="n">
        <v>2</v>
      </c>
      <c r="W117" s="33" t="n">
        <v>5</v>
      </c>
      <c r="X117" s="33" t="n">
        <v>5</v>
      </c>
      <c r="Y117" s="33">
        <f>IFERROR((AVERAGE(T117,U117,V117,W117,X117)-1)*25,"")</f>
        <v/>
      </c>
      <c r="Z117" s="33" t="n">
        <v>5</v>
      </c>
      <c r="AA117" s="33" t="n">
        <v>5</v>
      </c>
      <c r="AB117" s="33" t="n">
        <v>3</v>
      </c>
      <c r="AC117" s="71" t="n">
        <v>49.2</v>
      </c>
      <c r="AD117" s="33">
        <f>IFERROR(AVERAGE(IFERROR(IF(Z117="","",Z117*20),""),IFERROR(IF(AA117="","",AA117*20),""),IFERROR(IF(AB117="","",AB117*20),""),IFERROR(IF(AC117="","",IF(AC117&gt;=85,100,IF(AC117&gt;=70,90,IF(AC117&gt;=55,75,IF(AC117&gt;=40,60,IF(AC117&gt;=25,40,20)))))),"")),"")</f>
        <v/>
      </c>
      <c r="AE117" s="33" t="n">
        <v>3</v>
      </c>
      <c r="AF117" s="33" t="n">
        <v>4</v>
      </c>
      <c r="AG117" s="33" t="n">
        <v>4</v>
      </c>
      <c r="AH117" s="33" t="n">
        <v>4</v>
      </c>
      <c r="AI117" s="33">
        <f>IFERROR((AVERAGE(AE117,AF117,AG117,AH117,AL117)-1)*25,"")</f>
        <v/>
      </c>
      <c r="AJ117" s="33">
        <f>IFERROR(J117*Weights!$B$4 + O117*Weights!$B$5 + S117*Weights!$B$6 + Y117*Weights!$B$7 + AD117*Weights!$B$8 + AI117*Weights!$B$9,"")</f>
        <v/>
      </c>
      <c r="AK117" s="33">
        <f>IF(AJ117="","",IF(AJ117&gt;=85,"✓✓✓",IF(AJ117&gt;=70,"✓✓",IF(AJ117&gt;=55,"✓",IF(AJ117&gt;=40,"?","✗")))))</f>
        <v/>
      </c>
      <c r="AL117" s="33" t="n">
        <v>5</v>
      </c>
    </row>
    <row r="118">
      <c r="A118" s="33" t="inlineStr">
        <is>
          <t>P</t>
        </is>
      </c>
      <c r="B118" s="33" t="inlineStr">
        <is>
          <t>Everpure (fka Pure Storage)</t>
        </is>
      </c>
      <c r="C118" s="33" t="inlineStr">
        <is>
          <t>08 Servers, Systems &amp; Liquid Cooling / Storage infrastructure</t>
        </is>
      </c>
      <c r="D118" s="33" t="inlineStr">
        <is>
          <t>2026-10-11</t>
        </is>
      </c>
      <c r="E118" s="33" t="n">
        <v>37.72832124751616</v>
      </c>
      <c r="F118" s="33" t="n">
        <v>130.402</v>
      </c>
      <c r="G118" s="33" t="n">
        <v>0.25</v>
      </c>
      <c r="H118" s="33" t="n">
        <v>12.078478</v>
      </c>
      <c r="I118" s="33">
        <f>IF(OR(E118="",R118="",R118&lt;=0,E118&lt;0),"",E118/R118)</f>
        <v/>
      </c>
      <c r="J118" s="33" t="n">
        <v>31.2</v>
      </c>
      <c r="K118" s="33" t="n">
        <v>6.72</v>
      </c>
      <c r="L118" s="33" t="n">
        <v>69.73</v>
      </c>
      <c r="M118" s="33" t="n">
        <v>3.01</v>
      </c>
      <c r="N118" s="33" t="n">
        <v>-2.04</v>
      </c>
      <c r="O118" s="33" t="n">
        <v>64.09999999999999</v>
      </c>
      <c r="P118" s="33" t="n">
        <v>9.98</v>
      </c>
      <c r="Q118" s="33" t="n">
        <v>37.7</v>
      </c>
      <c r="S118" s="33">
        <f>IFERROR(AVERAGE(IFERROR(IF(P118="","",IF(P118&gt;=40,100,IF(P118&gt;=30,90,IF(P118&gt;=20,75,IF(P118&gt;=15,60,IF(P118&gt;=10,45,IF(P118&gt;=5,30,15))))))),""),IFERROR(IF(Q118="","",IF(Q118&gt;=40,100,IF(Q118&gt;=30,90,IF(Q118&gt;=20,75,IF(Q118&gt;=10,60,IF(Q118&gt;=5,45,IF(Q118&gt;=0,30,15))))))),""),IFERROR(IF(R118="","",IF(R118&gt;=40,100,IF(R118&gt;=30,90,IF(R118&gt;=20,75,IF(R118&gt;=10,60,IF(R118&gt;=0,45,IF(R118&gt;=-10,30,15))))))),"")),"")</f>
        <v/>
      </c>
      <c r="T118" s="33" t="n">
        <v>3</v>
      </c>
      <c r="U118" s="33" t="n">
        <v>3</v>
      </c>
      <c r="V118" s="33" t="n">
        <v>3</v>
      </c>
      <c r="W118" s="33" t="n">
        <v>3</v>
      </c>
      <c r="X118" s="33" t="n">
        <v>4</v>
      </c>
      <c r="Y118" s="33">
        <f>IFERROR((AVERAGE(T118,U118,V118,W118,X118)-1)*25,"")</f>
        <v/>
      </c>
      <c r="Z118" s="33" t="n">
        <v>4</v>
      </c>
      <c r="AA118" s="33" t="n">
        <v>3</v>
      </c>
      <c r="AB118" s="33" t="n">
        <v>3</v>
      </c>
      <c r="AC118" s="71" t="n">
        <v>78.3</v>
      </c>
      <c r="AD118" s="33">
        <f>IFERROR(AVERAGE(IFERROR(IF(Z118="","",Z118*20),""),IFERROR(IF(AA118="","",AA118*20),""),IFERROR(IF(AB118="","",AB118*20),""),IFERROR(IF(AC118="","",IF(AC118&gt;=85,100,IF(AC118&gt;=70,90,IF(AC118&gt;=55,75,IF(AC118&gt;=40,60,IF(AC118&gt;=25,40,20)))))),"")),"")</f>
        <v/>
      </c>
      <c r="AE118" s="33" t="n">
        <v>3</v>
      </c>
      <c r="AF118" s="33" t="n">
        <v>4</v>
      </c>
      <c r="AG118" s="33" t="n">
        <v>5</v>
      </c>
      <c r="AH118" s="33" t="n">
        <v>4</v>
      </c>
      <c r="AI118" s="33">
        <f>IFERROR((AVERAGE(AE118,AF118,AG118,AH118,AL118)-1)*25,"")</f>
        <v/>
      </c>
      <c r="AJ118" s="33">
        <f>IFERROR(J118*Weights!$B$4 + O118*Weights!$B$5 + S118*Weights!$B$6 + Y118*Weights!$B$7 + AD118*Weights!$B$8 + AI118*Weights!$B$9,"")</f>
        <v/>
      </c>
      <c r="AK118" s="33">
        <f>IF(AJ118="","",IF(AJ118&gt;=85,"✓✓✓",IF(AJ118&gt;=70,"✓✓",IF(AJ118&gt;=55,"✓",IF(AJ118&gt;=40,"?","✗")))))</f>
        <v/>
      </c>
      <c r="AL118" s="33" t="n">
        <v>5</v>
      </c>
    </row>
    <row r="119">
      <c r="A119" s="33" t="inlineStr">
        <is>
          <t>DDOG</t>
        </is>
      </c>
      <c r="B119" s="33" t="inlineStr">
        <is>
          <t>Datadog, Inc.</t>
        </is>
      </c>
      <c r="C119" s="33" t="inlineStr">
        <is>
          <t>10 Models, Software &amp; Applications / AI observability &amp; infrastructure software</t>
        </is>
      </c>
      <c r="D119" s="33" t="inlineStr">
        <is>
          <t>2026-10-11</t>
        </is>
      </c>
      <c r="E119" s="33" t="n">
        <v>98.592026</v>
      </c>
      <c r="F119" s="33" t="n">
        <v>87.40000000000001</v>
      </c>
      <c r="G119" s="33" t="n">
        <v>1.02</v>
      </c>
      <c r="H119" s="33" t="n">
        <v>26.546417</v>
      </c>
      <c r="I119" s="33">
        <f>IF(OR(E119="",R119="",R119&lt;=0,E119&lt;0),"",E119/R119)</f>
        <v/>
      </c>
      <c r="J119" s="33" t="n">
        <v>42.8</v>
      </c>
      <c r="K119" s="33" t="n">
        <v>0.27</v>
      </c>
      <c r="L119" s="33" t="n">
        <v>79.54000000000001</v>
      </c>
      <c r="M119" s="33" t="n">
        <v>27.04</v>
      </c>
      <c r="N119" s="33" t="n">
        <v>-44.73</v>
      </c>
      <c r="O119" s="33" t="n">
        <v>55.1</v>
      </c>
      <c r="P119" s="33" t="n">
        <v>26.95</v>
      </c>
      <c r="Q119" s="33" t="n">
        <v>35.6</v>
      </c>
      <c r="R119" s="33" t="n">
        <v>1583.3</v>
      </c>
      <c r="S119" s="33">
        <f>IFERROR(AVERAGE(IFERROR(IF(P119="","",IF(P119&gt;=40,100,IF(P119&gt;=30,90,IF(P119&gt;=20,75,IF(P119&gt;=15,60,IF(P119&gt;=10,45,IF(P119&gt;=5,30,15))))))),""),IFERROR(IF(Q119="","",IF(Q119&gt;=40,100,IF(Q119&gt;=30,90,IF(Q119&gt;=20,75,IF(Q119&gt;=10,60,IF(Q119&gt;=5,45,IF(Q119&gt;=0,30,15))))))),""),IFERROR(IF(R119="","",IF(R119&gt;=40,100,IF(R119&gt;=30,90,IF(R119&gt;=20,75,IF(R119&gt;=10,60,IF(R119&gt;=0,45,IF(R119&gt;=-10,30,15))))))),"")),"")</f>
        <v/>
      </c>
      <c r="T119" s="33" t="n">
        <v>3</v>
      </c>
      <c r="U119" s="33" t="n">
        <v>3</v>
      </c>
      <c r="V119" s="33" t="n">
        <v>4</v>
      </c>
      <c r="W119" s="33" t="n">
        <v>3</v>
      </c>
      <c r="X119" s="33" t="n">
        <v>3</v>
      </c>
      <c r="Y119" s="33">
        <f>IFERROR((AVERAGE(T119,U119,V119,W119,X119)-1)*25,"")</f>
        <v/>
      </c>
      <c r="Z119" s="33" t="n">
        <v>4</v>
      </c>
      <c r="AA119" s="33" t="n">
        <v>5</v>
      </c>
      <c r="AB119" s="33" t="n">
        <v>3</v>
      </c>
      <c r="AC119" s="71" t="n">
        <v>76.7</v>
      </c>
      <c r="AD119" s="33">
        <f>IFERROR(AVERAGE(IFERROR(IF(Z119="","",Z119*20),""),IFERROR(IF(AA119="","",AA119*20),""),IFERROR(IF(AB119="","",AB119*20),""),IFERROR(IF(AC119="","",IF(AC119&gt;=85,100,IF(AC119&gt;=70,90,IF(AC119&gt;=55,75,IF(AC119&gt;=40,60,IF(AC119&gt;=25,40,20)))))),"")),"")</f>
        <v/>
      </c>
      <c r="AE119" s="33" t="n">
        <v>5</v>
      </c>
      <c r="AF119" s="33" t="n">
        <v>4</v>
      </c>
      <c r="AG119" s="33" t="n">
        <v>5</v>
      </c>
      <c r="AH119" s="33" t="n">
        <v>5</v>
      </c>
      <c r="AI119" s="33">
        <f>IFERROR((AVERAGE(AE119,AF119,AG119,AH119,AL119)-1)*25,"")</f>
        <v/>
      </c>
      <c r="AJ119" s="33">
        <f>IFERROR(J119*Weights!$B$4 + O119*Weights!$B$5 + S119*Weights!$B$6 + Y119*Weights!$B$7 + AD119*Weights!$B$8 + AI119*Weights!$B$9,"")</f>
        <v/>
      </c>
      <c r="AK119" s="33">
        <f>IF(AJ119="","",IF(AJ119&gt;=85,"✓✓✓",IF(AJ119&gt;=70,"✓✓",IF(AJ119&gt;=55,"✓",IF(AJ119&gt;=40,"?","✗")))))</f>
        <v/>
      </c>
      <c r="AL119" s="33" t="n">
        <v>4</v>
      </c>
    </row>
    <row r="120">
      <c r="A120" s="33" t="inlineStr">
        <is>
          <t>CRWD</t>
        </is>
      </c>
      <c r="B120" s="33" t="inlineStr">
        <is>
          <t>CrowdStrike Holdings, Inc.</t>
        </is>
      </c>
      <c r="C120" s="33" t="inlineStr">
        <is>
          <t>10 Models, Software &amp; Applications / AI cybersecurity</t>
        </is>
      </c>
      <c r="D120" s="33" t="inlineStr">
        <is>
          <t>2026-10-11</t>
        </is>
      </c>
      <c r="E120" s="33" t="n">
        <v>174.4957235205103</v>
      </c>
      <c r="F120" s="33" t="n">
        <v>175.8</v>
      </c>
      <c r="G120" s="33" t="n">
        <v>0.54</v>
      </c>
      <c r="H120" s="33" t="n">
        <v>52.18967</v>
      </c>
      <c r="I120" s="33">
        <f>IF(OR(E120="",R120="",R120&lt;=0,E120&lt;0),"",E120/R120)</f>
        <v/>
      </c>
      <c r="J120" s="33" t="n">
        <v>13.9</v>
      </c>
      <c r="K120" s="33" t="n">
        <v>-1.57</v>
      </c>
      <c r="L120" s="33" t="n">
        <v>75.19</v>
      </c>
      <c r="M120" s="33" t="n">
        <v>28.22</v>
      </c>
      <c r="N120" s="33" t="n">
        <v>-39.24</v>
      </c>
      <c r="O120" s="33" t="n">
        <v>48.3</v>
      </c>
      <c r="P120" s="33" t="n">
        <v>29.01</v>
      </c>
      <c r="Q120" s="33" t="n">
        <v>25.8</v>
      </c>
      <c r="S120" s="33">
        <f>IFERROR(AVERAGE(IFERROR(IF(P120="","",IF(P120&gt;=40,100,IF(P120&gt;=30,90,IF(P120&gt;=20,75,IF(P120&gt;=15,60,IF(P120&gt;=10,45,IF(P120&gt;=5,30,15))))))),""),IFERROR(IF(Q120="","",IF(Q120&gt;=40,100,IF(Q120&gt;=30,90,IF(Q120&gt;=20,75,IF(Q120&gt;=10,60,IF(Q120&gt;=5,45,IF(Q120&gt;=0,30,15))))))),""),IFERROR(IF(R120="","",IF(R120&gt;=40,100,IF(R120&gt;=30,90,IF(R120&gt;=20,75,IF(R120&gt;=10,60,IF(R120&gt;=0,45,IF(R120&gt;=-10,30,15))))))),"")),"")</f>
        <v/>
      </c>
      <c r="T120" s="33" t="n">
        <v>2</v>
      </c>
      <c r="U120" s="33" t="n">
        <v>4</v>
      </c>
      <c r="V120" s="33" t="n">
        <v>4</v>
      </c>
      <c r="W120" s="33" t="n">
        <v>3</v>
      </c>
      <c r="X120" s="33" t="n">
        <v>3</v>
      </c>
      <c r="Y120" s="33">
        <f>IFERROR((AVERAGE(T120,U120,V120,W120,X120)-1)*25,"")</f>
        <v/>
      </c>
      <c r="Z120" s="33" t="n">
        <v>5</v>
      </c>
      <c r="AA120" s="33" t="n">
        <v>5</v>
      </c>
      <c r="AB120" s="33" t="n">
        <v>3</v>
      </c>
      <c r="AC120" s="71" t="n">
        <v>95</v>
      </c>
      <c r="AD120" s="33">
        <f>IFERROR(AVERAGE(IFERROR(IF(Z120="","",Z120*20),""),IFERROR(IF(AA120="","",AA120*20),""),IFERROR(IF(AB120="","",AB120*20),""),IFERROR(IF(AC120="","",IF(AC120&gt;=85,100,IF(AC120&gt;=70,90,IF(AC120&gt;=55,75,IF(AC120&gt;=40,60,IF(AC120&gt;=25,40,20)))))),"")),"")</f>
        <v/>
      </c>
      <c r="AE120" s="33" t="n">
        <v>5</v>
      </c>
      <c r="AF120" s="33" t="n">
        <v>4</v>
      </c>
      <c r="AG120" s="33" t="n">
        <v>5</v>
      </c>
      <c r="AH120" s="33" t="n">
        <v>4</v>
      </c>
      <c r="AI120" s="33">
        <f>IFERROR((AVERAGE(AE120,AF120,AG120,AH120,AL120)-1)*25,"")</f>
        <v/>
      </c>
      <c r="AJ120" s="33">
        <f>IFERROR(J120*Weights!$B$4 + O120*Weights!$B$5 + S120*Weights!$B$6 + Y120*Weights!$B$7 + AD120*Weights!$B$8 + AI120*Weights!$B$9,"")</f>
        <v/>
      </c>
      <c r="AK120" s="33">
        <f>IF(AJ120="","",IF(AJ120&gt;=85,"✓✓✓",IF(AJ120&gt;=70,"✓✓",IF(AJ120&gt;=55,"✓",IF(AJ120&gt;=40,"?","✗")))))</f>
        <v/>
      </c>
      <c r="AL120" s="33" t="n">
        <v>4</v>
      </c>
    </row>
    <row r="121">
      <c r="A121" s="33" t="inlineStr">
        <is>
          <t>MDB</t>
        </is>
      </c>
      <c r="B121" s="33" t="inlineStr">
        <is>
          <t>MongoDB, Inc.</t>
        </is>
      </c>
      <c r="C121" s="33" t="inlineStr">
        <is>
          <t>10 Models, Software &amp; Applications / AI data layer</t>
        </is>
      </c>
      <c r="D121" s="33" t="inlineStr">
        <is>
          <t>2026-10-11</t>
        </is>
      </c>
      <c r="E121" s="33" t="n">
        <v>50.23095424358364</v>
      </c>
      <c r="F121" s="33" t="n">
        <v>40.8</v>
      </c>
      <c r="G121" s="33" t="n">
        <v>2.12</v>
      </c>
      <c r="H121" s="33" t="n">
        <v>11.172001</v>
      </c>
      <c r="I121" s="33">
        <f>IF(OR(E121="",R121="",R121&lt;=0,E121&lt;0),"",E121/R121)</f>
        <v/>
      </c>
      <c r="J121" s="33" t="n">
        <v>45.1</v>
      </c>
      <c r="K121" s="33" t="n">
        <v>-0.36</v>
      </c>
      <c r="L121" s="33" t="n">
        <v>72.69</v>
      </c>
      <c r="M121" s="33" t="n">
        <v>23.68</v>
      </c>
      <c r="N121" s="33" t="n">
        <v>-170.08</v>
      </c>
      <c r="O121" s="33" t="n">
        <v>44.9</v>
      </c>
      <c r="P121" s="33" t="n">
        <v>24.26</v>
      </c>
      <c r="Q121" s="33" t="n">
        <v>30.5</v>
      </c>
      <c r="R121" s="33" t="n"/>
      <c r="S121" s="33">
        <f>IFERROR(AVERAGE(IFERROR(IF(P121="","",IF(P121&gt;=40,100,IF(P121&gt;=30,90,IF(P121&gt;=20,75,IF(P121&gt;=15,60,IF(P121&gt;=10,45,IF(P121&gt;=5,30,15))))))),""),IFERROR(IF(Q121="","",IF(Q121&gt;=40,100,IF(Q121&gt;=30,90,IF(Q121&gt;=20,75,IF(Q121&gt;=10,60,IF(Q121&gt;=5,45,IF(Q121&gt;=0,30,15))))))),""),IFERROR(IF(R121="","",IF(R121&gt;=40,100,IF(R121&gt;=30,90,IF(R121&gt;=20,75,IF(R121&gt;=10,60,IF(R121&gt;=0,45,IF(R121&gt;=-10,30,15))))))),"")),"")</f>
        <v/>
      </c>
      <c r="T121" s="33" t="n">
        <v>2</v>
      </c>
      <c r="U121" s="33" t="n">
        <v>3</v>
      </c>
      <c r="V121" s="33" t="n">
        <v>3</v>
      </c>
      <c r="W121" s="33" t="n">
        <v>3</v>
      </c>
      <c r="X121" s="33" t="n">
        <v>2</v>
      </c>
      <c r="Y121" s="33">
        <f>IFERROR((AVERAGE(T121,U121,V121,W121,X121)-1)*25,"")</f>
        <v/>
      </c>
      <c r="Z121" s="33" t="n">
        <v>4</v>
      </c>
      <c r="AA121" s="33" t="n">
        <v>4</v>
      </c>
      <c r="AB121" s="33" t="n">
        <v>3</v>
      </c>
      <c r="AC121" s="71" t="n">
        <v>68.3</v>
      </c>
      <c r="AD121" s="33">
        <f>IFERROR(AVERAGE(IFERROR(IF(Z121="","",Z121*20),""),IFERROR(IF(AA121="","",AA121*20),""),IFERROR(IF(AB121="","",AB121*20),""),IFERROR(IF(AC121="","",IF(AC121&gt;=85,100,IF(AC121&gt;=70,90,IF(AC121&gt;=55,75,IF(AC121&gt;=40,60,IF(AC121&gt;=25,40,20)))))),"")),"")</f>
        <v/>
      </c>
      <c r="AE121" s="33" t="n">
        <v>5</v>
      </c>
      <c r="AF121" s="33" t="n">
        <v>4</v>
      </c>
      <c r="AG121" s="33" t="n">
        <v>5</v>
      </c>
      <c r="AH121" s="33" t="n">
        <v>3</v>
      </c>
      <c r="AI121" s="33">
        <f>IFERROR((AVERAGE(AE121,AF121,AG121,AH121,AL121)-1)*25,"")</f>
        <v/>
      </c>
      <c r="AJ121" s="33">
        <f>IFERROR(J121*Weights!$B$4 + O121*Weights!$B$5 + S121*Weights!$B$6 + Y121*Weights!$B$7 + AD121*Weights!$B$8 + AI121*Weights!$B$9,"")</f>
        <v/>
      </c>
      <c r="AK121" s="33">
        <f>IF(AJ121="","",IF(AJ121&gt;=85,"✓✓✓",IF(AJ121&gt;=70,"✓✓",IF(AJ121&gt;=55,"✓",IF(AJ121&gt;=40,"?","✗")))))</f>
        <v/>
      </c>
      <c r="AL121" s="33" t="n">
        <v>4</v>
      </c>
    </row>
    <row r="122">
      <c r="A122" s="33" t="inlineStr">
        <is>
          <t>PATH</t>
        </is>
      </c>
      <c r="B122" s="33" t="inlineStr">
        <is>
          <t>UiPath, Inc.</t>
        </is>
      </c>
      <c r="C122" s="33" t="inlineStr">
        <is>
          <t>10 Models, Software &amp; Applications / AI-powered automation</t>
        </is>
      </c>
      <c r="D122" s="33" t="inlineStr">
        <is>
          <t>2026-10-11</t>
        </is>
      </c>
      <c r="E122" s="33" t="n">
        <v>14.82035175126761</v>
      </c>
      <c r="F122" s="33" t="n">
        <v>15.4</v>
      </c>
      <c r="G122" s="33" t="n">
        <v>5.17</v>
      </c>
      <c r="H122" s="33" t="n">
        <v>4.082368</v>
      </c>
      <c r="I122" s="33">
        <f>IF(OR(E122="",R122="",R122&lt;=0,E122&lt;0),"",E122/R122)</f>
        <v/>
      </c>
      <c r="J122" s="33" t="n">
        <v>86</v>
      </c>
      <c r="K122" s="33" t="n">
        <v>7.28</v>
      </c>
      <c r="L122" s="33" t="n">
        <v>82.58</v>
      </c>
      <c r="M122" s="33" t="n">
        <v>21.09</v>
      </c>
      <c r="N122" s="33" t="n">
        <v>-6.52</v>
      </c>
      <c r="O122" s="33" t="n">
        <v>58.5</v>
      </c>
      <c r="P122" s="33" t="n">
        <v>15.01</v>
      </c>
      <c r="Q122" s="33" t="n">
        <v>13.4</v>
      </c>
      <c r="R122" s="33" t="n">
        <v>105.7</v>
      </c>
      <c r="S122" s="33">
        <f>IFERROR(AVERAGE(IFERROR(IF(P122="","",IF(P122&gt;=40,100,IF(P122&gt;=30,90,IF(P122&gt;=20,75,IF(P122&gt;=15,60,IF(P122&gt;=10,45,IF(P122&gt;=5,30,15))))))),""),IFERROR(IF(Q122="","",IF(Q122&gt;=40,100,IF(Q122&gt;=30,90,IF(Q122&gt;=20,75,IF(Q122&gt;=10,60,IF(Q122&gt;=5,45,IF(Q122&gt;=0,30,15))))))),""),IFERROR(IF(R122="","",IF(R122&gt;=40,100,IF(R122&gt;=30,90,IF(R122&gt;=20,75,IF(R122&gt;=10,60,IF(R122&gt;=0,45,IF(R122&gt;=-10,30,15))))))),"")),"")</f>
        <v/>
      </c>
      <c r="T122" s="33" t="n">
        <v>2</v>
      </c>
      <c r="U122" s="33" t="n">
        <v>3</v>
      </c>
      <c r="V122" s="33" t="n">
        <v>3</v>
      </c>
      <c r="W122" s="33" t="n">
        <v>2</v>
      </c>
      <c r="X122" s="33" t="n">
        <v>2</v>
      </c>
      <c r="Y122" s="33">
        <f>IFERROR((AVERAGE(T122,U122,V122,W122,X122)-1)*25,"")</f>
        <v/>
      </c>
      <c r="Z122" s="33" t="n">
        <v>4</v>
      </c>
      <c r="AA122" s="33" t="n">
        <v>4</v>
      </c>
      <c r="AB122" s="33" t="n">
        <v>3</v>
      </c>
      <c r="AC122" s="71" t="n">
        <v>50.8</v>
      </c>
      <c r="AD122" s="33">
        <f>IFERROR(AVERAGE(IFERROR(IF(Z122="","",Z122*20),""),IFERROR(IF(AA122="","",AA122*20),""),IFERROR(IF(AB122="","",AB122*20),""),IFERROR(IF(AC122="","",IF(AC122&gt;=85,100,IF(AC122&gt;=70,90,IF(AC122&gt;=55,75,IF(AC122&gt;=40,60,IF(AC122&gt;=25,40,20)))))),"")),"")</f>
        <v/>
      </c>
      <c r="AE122" s="33" t="n">
        <v>5</v>
      </c>
      <c r="AF122" s="33" t="n">
        <v>4</v>
      </c>
      <c r="AG122" s="33" t="n">
        <v>5</v>
      </c>
      <c r="AH122" s="33" t="n">
        <v>3</v>
      </c>
      <c r="AI122" s="33">
        <f>IFERROR((AVERAGE(AE122,AF122,AG122,AH122,AL122)-1)*25,"")</f>
        <v/>
      </c>
      <c r="AJ122" s="33">
        <f>IFERROR(J122*Weights!$B$4 + O122*Weights!$B$5 + S122*Weights!$B$6 + Y122*Weights!$B$7 + AD122*Weights!$B$8 + AI122*Weights!$B$9,"")</f>
        <v/>
      </c>
      <c r="AK122" s="33">
        <f>IF(AJ122="","",IF(AJ122&gt;=85,"✓✓✓",IF(AJ122&gt;=70,"✓✓",IF(AJ122&gt;=55,"✓",IF(AJ122&gt;=40,"?","✗")))))</f>
        <v/>
      </c>
      <c r="AL122" s="33" t="n">
        <v>3</v>
      </c>
    </row>
    <row r="123">
      <c r="A123" s="60" t="inlineStr">
        <is>
          <t>AMBA</t>
        </is>
      </c>
      <c r="B123" s="60" t="inlineStr">
        <is>
          <t>Ambarella Inc</t>
        </is>
      </c>
      <c r="C123" s="60" t="inlineStr">
        <is>
          <t>06 Silicon - Edge AI</t>
        </is>
      </c>
      <c r="D123" s="60" t="inlineStr">
        <is>
          <t>2026-10-11</t>
        </is>
      </c>
      <c r="E123" s="61" t="n">
        <v>61.65157518088893</v>
      </c>
      <c r="F123" s="61" t="n">
        <v>-53.671</v>
      </c>
      <c r="G123" s="62" t="n">
        <v>0.33</v>
      </c>
      <c r="H123" s="61" t="n">
        <v>7.1240273</v>
      </c>
      <c r="I123" s="33">
        <f>IF(OR(E123="",R123="",R123&lt;=0,E123&lt;0),"",E123/R123)</f>
        <v/>
      </c>
      <c r="J123" s="63" t="n">
        <v>48.2</v>
      </c>
      <c r="K123" s="62" t="n">
        <v>-7.66</v>
      </c>
      <c r="L123" s="62" t="n">
        <v>58.52</v>
      </c>
      <c r="M123" s="62" t="n">
        <v>2.33</v>
      </c>
      <c r="N123" s="61" t="n"/>
      <c r="O123" s="63" t="n">
        <v>25.1</v>
      </c>
      <c r="P123" s="62" t="n">
        <v>4.99</v>
      </c>
      <c r="Q123" s="62" t="n">
        <v>13.2</v>
      </c>
      <c r="R123" s="62" t="n">
        <v>37.3</v>
      </c>
      <c r="S123" s="63">
        <f>IFERROR(AVERAGE(IFERROR(IF(P123="","",IF(P123&gt;=40,100,IF(P123&gt;=30,90,IF(P123&gt;=20,75,IF(P123&gt;=15,60,IF(P123&gt;=10,45,IF(P123&gt;=5,30,15))))))),""),IFERROR(IF(Q123="","",IF(Q123&gt;=40,100,IF(Q123&gt;=30,90,IF(Q123&gt;=20,75,IF(Q123&gt;=10,60,IF(Q123&gt;=5,45,IF(Q123&gt;=0,30,15))))))),""),IFERROR(IF(R123="","",IF(R123&gt;=40,100,IF(R123&gt;=30,90,IF(R123&gt;=20,75,IF(R123&gt;=10,60,IF(R123&gt;=0,45,IF(R123&gt;=-10,30,15))))))),"")),"")</f>
        <v/>
      </c>
      <c r="T123" s="60" t="n">
        <v>5</v>
      </c>
      <c r="U123" s="60" t="n">
        <v>3</v>
      </c>
      <c r="V123" s="60" t="n">
        <v>3</v>
      </c>
      <c r="W123" s="60" t="n">
        <v>3</v>
      </c>
      <c r="X123" s="60" t="n">
        <v>1</v>
      </c>
      <c r="Y123" s="63">
        <f>IFERROR((AVERAGE(T123,U123,V123,W123,X123)-1)*25,"")</f>
        <v/>
      </c>
      <c r="Z123" s="60" t="n">
        <v>3</v>
      </c>
      <c r="AA123" s="60" t="n">
        <v>4</v>
      </c>
      <c r="AB123" s="60" t="n">
        <v>3</v>
      </c>
      <c r="AC123" s="70" t="n">
        <v>47.5</v>
      </c>
      <c r="AD123" s="63">
        <f>IFERROR(AVERAGE(IFERROR(IF(Z123="","",Z123*20),""),IFERROR(IF(AA123="","",AA123*20),""),IFERROR(IF(AB123="","",AB123*20),""),IFERROR(IF(AC123="","",IF(AC123&gt;=85,100,IF(AC123&gt;=70,90,IF(AC123&gt;=55,75,IF(AC123&gt;=40,60,IF(AC123&gt;=25,40,20)))))),"")),"")</f>
        <v/>
      </c>
      <c r="AE123" s="60" t="n">
        <v>1</v>
      </c>
      <c r="AF123" s="60" t="n">
        <v>2</v>
      </c>
      <c r="AG123" s="60" t="n">
        <v>4</v>
      </c>
      <c r="AH123" s="60" t="n">
        <v>3</v>
      </c>
      <c r="AI123" s="63">
        <f>IFERROR((AVERAGE(AE123,AF123,AG123,AH123,AL123)-1)*25,"")</f>
        <v/>
      </c>
      <c r="AJ123" s="64">
        <f>IFERROR(J123*Weights!$B$4 + O123*Weights!$B$5 + S123*Weights!$B$6 + Y123*Weights!$B$7 + AD123*Weights!$B$8 + AI123*Weights!$B$9,"")</f>
        <v/>
      </c>
      <c r="AK123" s="65">
        <f>IF(AJ123="","",IF(AJ123&gt;=85,"✓✓✓",IF(AJ123&gt;=70,"✓✓",IF(AJ123&gt;=55,"✓",IF(AJ123&gt;=40,"?","✗")))))</f>
        <v/>
      </c>
      <c r="AL123" s="33" t="n">
        <v>5</v>
      </c>
    </row>
    <row r="124">
      <c r="A124" s="60" t="inlineStr">
        <is>
          <t>CEVA</t>
        </is>
      </c>
      <c r="B124" s="60" t="inlineStr">
        <is>
          <t>CEVA Inc</t>
        </is>
      </c>
      <c r="C124" s="60" t="inlineStr">
        <is>
          <t>04 Semi Equip - IP</t>
        </is>
      </c>
      <c r="D124" s="60" t="inlineStr">
        <is>
          <t>2026-10-11</t>
        </is>
      </c>
      <c r="E124" s="61" t="n">
        <v>41.73261</v>
      </c>
      <c r="F124" s="61" t="n">
        <v>-140.146</v>
      </c>
      <c r="G124" s="62" t="n">
        <v>-0.11</v>
      </c>
      <c r="H124" s="61" t="n">
        <v>8.147098</v>
      </c>
      <c r="I124" s="33">
        <f>IF(OR(E124="",R124="",R124&lt;=0,E124&lt;0),"",E124/R124)</f>
        <v/>
      </c>
      <c r="J124" s="63" t="n">
        <v>41.2</v>
      </c>
      <c r="K124" s="62" t="n">
        <v>-2.09</v>
      </c>
      <c r="L124" s="62" t="n">
        <v>87.47</v>
      </c>
      <c r="M124" s="62" t="n">
        <v>-0.92</v>
      </c>
      <c r="N124" s="61" t="n"/>
      <c r="O124" s="63" t="n">
        <v>35.3</v>
      </c>
      <c r="P124" s="62" t="n">
        <v>-3.13</v>
      </c>
      <c r="Q124" s="62" t="n">
        <v>13.1</v>
      </c>
      <c r="R124" s="62" t="n">
        <v>-18.9</v>
      </c>
      <c r="S124" s="63">
        <f>IFERROR(AVERAGE(IFERROR(IF(P124="","",IF(P124&gt;=40,100,IF(P124&gt;=30,90,IF(P124&gt;=20,75,IF(P124&gt;=15,60,IF(P124&gt;=10,45,IF(P124&gt;=5,30,15))))))),""),IFERROR(IF(Q124="","",IF(Q124&gt;=40,100,IF(Q124&gt;=30,90,IF(Q124&gt;=20,75,IF(Q124&gt;=10,60,IF(Q124&gt;=5,45,IF(Q124&gt;=0,30,15))))))),""),IFERROR(IF(R124="","",IF(R124&gt;=40,100,IF(R124&gt;=30,90,IF(R124&gt;=20,75,IF(R124&gt;=10,60,IF(R124&gt;=0,45,IF(R124&gt;=-10,30,15))))))),"")),"")</f>
        <v/>
      </c>
      <c r="T124" s="60" t="n">
        <v>3</v>
      </c>
      <c r="U124" s="60" t="n">
        <v>3</v>
      </c>
      <c r="V124" s="60" t="n">
        <v>3</v>
      </c>
      <c r="W124" s="60" t="n">
        <v>3</v>
      </c>
      <c r="X124" s="60" t="n">
        <v>1</v>
      </c>
      <c r="Y124" s="63">
        <f>IFERROR((AVERAGE(T124,U124,V124,W124,X124)-1)*25,"")</f>
        <v/>
      </c>
      <c r="Z124" s="60" t="n">
        <v>2</v>
      </c>
      <c r="AA124" s="60" t="n">
        <v>3</v>
      </c>
      <c r="AB124" s="60" t="n">
        <v>5</v>
      </c>
      <c r="AC124" s="70" t="n">
        <v>60.8</v>
      </c>
      <c r="AD124" s="63">
        <f>IFERROR(AVERAGE(IFERROR(IF(Z124="","",Z124*20),""),IFERROR(IF(AA124="","",AA124*20),""),IFERROR(IF(AB124="","",AB124*20),""),IFERROR(IF(AC124="","",IF(AC124&gt;=85,100,IF(AC124&gt;=70,90,IF(AC124&gt;=55,75,IF(AC124&gt;=40,60,IF(AC124&gt;=25,40,20)))))),"")),"")</f>
        <v/>
      </c>
      <c r="AE124" s="60" t="n">
        <v>2</v>
      </c>
      <c r="AF124" s="60" t="n">
        <v>2</v>
      </c>
      <c r="AG124" s="60" t="n">
        <v>4</v>
      </c>
      <c r="AH124" s="60" t="n">
        <v>4</v>
      </c>
      <c r="AI124" s="63">
        <f>IFERROR((AVERAGE(AE124,AF124,AG124,AH124,AL124)-1)*25,"")</f>
        <v/>
      </c>
      <c r="AJ124" s="64">
        <f>IFERROR(J124*Weights!$B$4 + O124*Weights!$B$5 + S124*Weights!$B$6 + Y124*Weights!$B$7 + AD124*Weights!$B$8 + AI124*Weights!$B$9,"")</f>
        <v/>
      </c>
      <c r="AK124" s="65">
        <f>IF(AJ124="","",IF(AJ124&gt;=85,"✓✓✓",IF(AJ124&gt;=70,"✓✓",IF(AJ124&gt;=55,"✓",IF(AJ124&gt;=40,"?","✗")))))</f>
        <v/>
      </c>
      <c r="AL124" s="33" t="n">
        <v>5</v>
      </c>
    </row>
    <row r="125">
      <c r="A125" s="60" t="inlineStr">
        <is>
          <t>AIP</t>
        </is>
      </c>
      <c r="B125" s="60" t="inlineStr">
        <is>
          <t>Arteris Inc</t>
        </is>
      </c>
      <c r="C125" s="60" t="inlineStr">
        <is>
          <t>04 Semiconductor Equipment &amp; Materials / EDA &amp; IP</t>
        </is>
      </c>
      <c r="D125" s="60" t="inlineStr">
        <is>
          <t>2026-10-11</t>
        </is>
      </c>
      <c r="E125" s="61" t="n">
        <v>180.5455</v>
      </c>
      <c r="F125" s="61" t="n">
        <v>-31.378</v>
      </c>
      <c r="G125" s="62" t="n">
        <v>0.61</v>
      </c>
      <c r="H125" s="61" t="n">
        <v>13.035197</v>
      </c>
      <c r="I125" s="33">
        <f>IF(OR(E125="",R125="",R125&lt;=0,E125&lt;0),"",E125/R125)</f>
        <v/>
      </c>
      <c r="J125" s="63" t="n">
        <v>25.3</v>
      </c>
      <c r="K125" s="62" t="n">
        <v>-22.61</v>
      </c>
      <c r="L125" s="62" t="n">
        <v>87.61</v>
      </c>
      <c r="M125" s="62" t="n">
        <v>8</v>
      </c>
      <c r="N125" s="61" t="n"/>
      <c r="O125" s="63" t="n">
        <v>32.8</v>
      </c>
      <c r="P125" s="62" t="n">
        <v>11.9</v>
      </c>
      <c r="Q125" s="62" t="n">
        <v>46.2</v>
      </c>
      <c r="R125" s="62" t="n">
        <v>4.7</v>
      </c>
      <c r="S125" s="63">
        <f>IFERROR(AVERAGE(IFERROR(IF(P125="","",IF(P125&gt;=40,100,IF(P125&gt;=30,90,IF(P125&gt;=20,75,IF(P125&gt;=15,60,IF(P125&gt;=10,45,IF(P125&gt;=5,30,15))))))),""),IFERROR(IF(Q125="","",IF(Q125&gt;=40,100,IF(Q125&gt;=30,90,IF(Q125&gt;=20,75,IF(Q125&gt;=10,60,IF(Q125&gt;=5,45,IF(Q125&gt;=0,30,15))))))),""),IFERROR(IF(R125="","",IF(R125&gt;=40,100,IF(R125&gt;=30,90,IF(R125&gt;=20,75,IF(R125&gt;=10,60,IF(R125&gt;=0,45,IF(R125&gt;=-10,30,15))))))),"")),"")</f>
        <v/>
      </c>
      <c r="T125" s="60" t="n">
        <v>3</v>
      </c>
      <c r="U125" s="60" t="n">
        <v>4</v>
      </c>
      <c r="V125" s="60" t="n">
        <v>4</v>
      </c>
      <c r="W125" s="60" t="n">
        <v>3</v>
      </c>
      <c r="X125" s="60" t="n">
        <v>2</v>
      </c>
      <c r="Y125" s="63">
        <f>IFERROR((AVERAGE(T125,U125,V125,W125,X125)-1)*25,"")</f>
        <v/>
      </c>
      <c r="Z125" s="60" t="n">
        <v>4</v>
      </c>
      <c r="AA125" s="60" t="n">
        <v>5</v>
      </c>
      <c r="AB125" s="60" t="n">
        <v>3</v>
      </c>
      <c r="AC125" s="70" t="n">
        <v>41.7</v>
      </c>
      <c r="AD125" s="63">
        <f>IFERROR(AVERAGE(IFERROR(IF(Z125="","",Z125*20),""),IFERROR(IF(AA125="","",AA125*20),""),IFERROR(IF(AB125="","",AB125*20),""),IFERROR(IF(AC125="","",IF(AC125&gt;=85,100,IF(AC125&gt;=70,90,IF(AC125&gt;=55,75,IF(AC125&gt;=40,60,IF(AC125&gt;=25,40,20)))))),"")),"")</f>
        <v/>
      </c>
      <c r="AE125" s="60" t="n">
        <v>4</v>
      </c>
      <c r="AF125" s="60" t="n">
        <v>3</v>
      </c>
      <c r="AG125" s="60" t="n">
        <v>4</v>
      </c>
      <c r="AH125" s="60" t="n">
        <v>3</v>
      </c>
      <c r="AI125" s="63">
        <f>IFERROR((AVERAGE(AE125,AF125,AG125,AH125,AL125)-1)*25,"")</f>
        <v/>
      </c>
      <c r="AJ125" s="64">
        <f>IFERROR(J125*Weights!$B$4 + O125*Weights!$B$5 + S125*Weights!$B$6 + Y125*Weights!$B$7 + AD125*Weights!$B$8 + AI125*Weights!$B$9,"")</f>
        <v/>
      </c>
      <c r="AK125" s="65">
        <f>IF(AJ125="","",IF(AJ125&gt;=85,"✓✓✓",IF(AJ125&gt;=70,"✓✓",IF(AJ125&gt;=55,"✓",IF(AJ125&gt;=40,"?","✗")))))</f>
        <v/>
      </c>
      <c r="AL125" s="33" t="n">
        <v>5</v>
      </c>
    </row>
    <row r="126">
      <c r="A126" s="60" t="inlineStr">
        <is>
          <t>KN</t>
        </is>
      </c>
      <c r="B126" s="60" t="inlineStr">
        <is>
          <t>Knowles Corp</t>
        </is>
      </c>
      <c r="C126" s="60" t="inlineStr">
        <is>
          <t>04 Semi Equip - Materials</t>
        </is>
      </c>
      <c r="D126" s="60" t="inlineStr">
        <is>
          <t>2026-10-11</t>
        </is>
      </c>
      <c r="E126" s="61" t="n">
        <v>23.221022</v>
      </c>
      <c r="F126" s="61" t="n">
        <v>25.28</v>
      </c>
      <c r="G126" s="62" t="n">
        <v>1.98</v>
      </c>
      <c r="H126" s="61" t="n">
        <v>5.0519876</v>
      </c>
      <c r="I126" s="33">
        <f>IF(OR(E126="",R126="",R126&lt;=0,E126&lt;0),"",E126/R126)</f>
        <v/>
      </c>
      <c r="J126" s="63" t="n">
        <v>69</v>
      </c>
      <c r="K126" s="62" t="n">
        <v>8.17</v>
      </c>
      <c r="L126" s="62" t="n">
        <v>45.26</v>
      </c>
      <c r="M126" s="62" t="n">
        <v>10</v>
      </c>
      <c r="N126" s="61" t="n">
        <v>0.76</v>
      </c>
      <c r="O126" s="63" t="n">
        <v>57.8</v>
      </c>
      <c r="P126" s="62" t="n">
        <v>7.4</v>
      </c>
      <c r="Q126" s="62" t="n">
        <v>14.3</v>
      </c>
      <c r="R126" s="62" t="n">
        <v>148.7</v>
      </c>
      <c r="S126" s="63">
        <f>IFERROR(AVERAGE(IFERROR(IF(P126="","",IF(P126&gt;=40,100,IF(P126&gt;=30,90,IF(P126&gt;=20,75,IF(P126&gt;=15,60,IF(P126&gt;=10,45,IF(P126&gt;=5,30,15))))))),""),IFERROR(IF(Q126="","",IF(Q126&gt;=40,100,IF(Q126&gt;=30,90,IF(Q126&gt;=20,75,IF(Q126&gt;=10,60,IF(Q126&gt;=5,45,IF(Q126&gt;=0,30,15))))))),""),IFERROR(IF(R126="","",IF(R126&gt;=40,100,IF(R126&gt;=30,90,IF(R126&gt;=20,75,IF(R126&gt;=10,60,IF(R126&gt;=0,45,IF(R126&gt;=-10,30,15))))))),"")),"")</f>
        <v/>
      </c>
      <c r="T126" s="60" t="n">
        <v>1</v>
      </c>
      <c r="U126" s="60" t="n">
        <v>2</v>
      </c>
      <c r="V126" s="60" t="n">
        <v>3</v>
      </c>
      <c r="W126" s="60" t="n">
        <v>3</v>
      </c>
      <c r="X126" s="60" t="n">
        <v>1</v>
      </c>
      <c r="Y126" s="63">
        <f>IFERROR((AVERAGE(T126,U126,V126,W126,X126)-1)*25,"")</f>
        <v/>
      </c>
      <c r="Z126" s="60" t="n">
        <v>4</v>
      </c>
      <c r="AA126" s="60" t="n">
        <v>5</v>
      </c>
      <c r="AB126" s="60" t="n">
        <v>3</v>
      </c>
      <c r="AC126" s="70" t="n">
        <v>64.2</v>
      </c>
      <c r="AD126" s="63">
        <f>IFERROR(AVERAGE(IFERROR(IF(Z126="","",Z126*20),""),IFERROR(IF(AA126="","",AA126*20),""),IFERROR(IF(AB126="","",AB126*20),""),IFERROR(IF(AC126="","",IF(AC126&gt;=85,100,IF(AC126&gt;=70,90,IF(AC126&gt;=55,75,IF(AC126&gt;=40,60,IF(AC126&gt;=25,40,20)))))),"")),"")</f>
        <v/>
      </c>
      <c r="AE126" s="60" t="n">
        <v>2</v>
      </c>
      <c r="AF126" s="60" t="n">
        <v>4</v>
      </c>
      <c r="AG126" s="60" t="n">
        <v>4</v>
      </c>
      <c r="AH126" s="60" t="n">
        <v>4</v>
      </c>
      <c r="AI126" s="63">
        <f>IFERROR((AVERAGE(AE126,AF126,AG126,AH126,AL126)-1)*25,"")</f>
        <v/>
      </c>
      <c r="AJ126" s="64">
        <f>IFERROR(J126*Weights!$B$4 + O126*Weights!$B$5 + S126*Weights!$B$6 + Y126*Weights!$B$7 + AD126*Weights!$B$8 + AI126*Weights!$B$9,"")</f>
        <v/>
      </c>
      <c r="AK126" s="65">
        <f>IF(AJ126="","",IF(AJ126&gt;=85,"✓✓✓",IF(AJ126&gt;=70,"✓✓",IF(AJ126&gt;=55,"✓",IF(AJ126&gt;=40,"?","✗")))))</f>
        <v/>
      </c>
      <c r="AL126" s="33" t="n">
        <v>5</v>
      </c>
    </row>
    <row r="127">
      <c r="A127" s="33" t="inlineStr">
        <is>
          <t>NXT</t>
        </is>
      </c>
      <c r="B127" s="33" t="inlineStr">
        <is>
          <t>Nextpower Inc.</t>
        </is>
      </c>
      <c r="C127" s="33" t="inlineStr">
        <is>
          <t>01 Power Generation / Solar &amp; renewables equipment (behind-the-meter DC power)</t>
        </is>
      </c>
      <c r="D127" s="33" t="inlineStr">
        <is>
          <t>2026-10-11</t>
        </is>
      </c>
      <c r="E127" s="33" t="n">
        <v>15.67241252500824</v>
      </c>
      <c r="F127" s="33" t="n">
        <v>15.862</v>
      </c>
      <c r="G127" s="33" t="n">
        <v>4.15</v>
      </c>
      <c r="H127" s="33" t="n">
        <v>3.6442642</v>
      </c>
      <c r="I127" s="33">
        <f>IF(OR(E127="",R127="",R127&lt;=0,E127&lt;0),"",E127/R127)</f>
        <v/>
      </c>
      <c r="J127" s="33" t="n">
        <v>63.1</v>
      </c>
      <c r="K127" s="33" t="n">
        <v>18.42</v>
      </c>
      <c r="L127" s="33" t="n">
        <v>22.98</v>
      </c>
      <c r="M127" s="33" t="n">
        <v>15.12</v>
      </c>
      <c r="N127" s="33" t="n">
        <v>-1.57</v>
      </c>
      <c r="O127" s="33" t="n">
        <v>73.5</v>
      </c>
      <c r="P127" s="33" t="n">
        <v>23.23</v>
      </c>
      <c r="Q127" s="33" t="n">
        <v>8.199999999999999</v>
      </c>
      <c r="R127" s="33" t="n">
        <v>5.2</v>
      </c>
      <c r="S127" s="33">
        <f>IFERROR(AVERAGE(IFERROR(IF(P127="","",IF(P127&gt;=40,100,IF(P127&gt;=30,90,IF(P127&gt;=20,75,IF(P127&gt;=15,60,IF(P127&gt;=10,45,IF(P127&gt;=5,30,15))))))),""),IFERROR(IF(Q127="","",IF(Q127&gt;=40,100,IF(Q127&gt;=30,90,IF(Q127&gt;=20,75,IF(Q127&gt;=10,60,IF(Q127&gt;=5,45,IF(Q127&gt;=0,30,15))))))),""),IFERROR(IF(R127="","",IF(R127&gt;=40,100,IF(R127&gt;=30,90,IF(R127&gt;=20,75,IF(R127&gt;=10,60,IF(R127&gt;=0,45,IF(R127&gt;=-10,30,15))))))),"")),"")</f>
        <v/>
      </c>
      <c r="T127" s="33" t="n">
        <v>2</v>
      </c>
      <c r="U127" s="33" t="n">
        <v>4</v>
      </c>
      <c r="V127" s="33" t="n">
        <v>3</v>
      </c>
      <c r="W127" s="33" t="n">
        <v>4</v>
      </c>
      <c r="X127" s="33" t="n">
        <v>2</v>
      </c>
      <c r="Y127" s="33">
        <f>IFERROR((AVERAGE(T127,U127,V127,W127,X127)-1)*25,"")</f>
        <v/>
      </c>
      <c r="Z127" s="33" t="n">
        <v>5</v>
      </c>
      <c r="AA127" s="33" t="n">
        <v>4</v>
      </c>
      <c r="AB127" s="33" t="n">
        <v>3</v>
      </c>
      <c r="AC127" s="71" t="n">
        <v>30.8</v>
      </c>
      <c r="AD127" s="33">
        <f>IFERROR(AVERAGE(IFERROR(IF(Z127="","",Z127*20),""),IFERROR(IF(AA127="","",AA127*20),""),IFERROR(IF(AB127="","",AB127*20),""),IFERROR(IF(AC127="","",IF(AC127&gt;=85,100,IF(AC127&gt;=70,90,IF(AC127&gt;=55,75,IF(AC127&gt;=40,60,IF(AC127&gt;=25,40,20)))))),"")),"")</f>
        <v/>
      </c>
      <c r="AE127" s="33" t="n">
        <v>4</v>
      </c>
      <c r="AF127" s="33" t="n">
        <v>4</v>
      </c>
      <c r="AG127" s="33" t="n">
        <v>5</v>
      </c>
      <c r="AH127" s="33" t="n">
        <v>4</v>
      </c>
      <c r="AI127" s="33">
        <f>IFERROR((AVERAGE(AE127,AF127,AG127,AH127,AL127)-1)*25,"")</f>
        <v/>
      </c>
      <c r="AJ127" s="33">
        <f>IFERROR(J127*Weights!$B$4 + O127*Weights!$B$5 + S127*Weights!$B$6 + Y127*Weights!$B$7 + AD127*Weights!$B$8 + AI127*Weights!$B$9,"")</f>
        <v/>
      </c>
      <c r="AK127" s="33">
        <f>IF(AJ127="","",IF(AJ127&gt;=85,"✓✓✓",IF(AJ127&gt;=70,"✓✓",IF(AJ127&gt;=55,"✓",IF(AJ127&gt;=40,"?","✗")))))</f>
        <v/>
      </c>
      <c r="AL127" s="33" t="n">
        <v>5</v>
      </c>
    </row>
    <row r="128">
      <c r="A128" s="33" t="inlineStr">
        <is>
          <t>AAON</t>
        </is>
      </c>
      <c r="B128" s="33" t="inlineStr">
        <is>
          <t>AAON, Inc.</t>
        </is>
      </c>
      <c r="C128" s="33" t="inlineStr">
        <is>
          <t>03 Data Center Construction, REITs &amp; Cooling</t>
        </is>
      </c>
      <c r="D128" s="33" t="inlineStr">
        <is>
          <t>2026-10-11</t>
        </is>
      </c>
      <c r="E128" s="33" t="n">
        <v>24.628895</v>
      </c>
      <c r="F128" s="33" t="n">
        <v>25.449</v>
      </c>
      <c r="G128" s="33" t="n">
        <v>-1.85</v>
      </c>
      <c r="H128" s="33" t="n">
        <v>3.676427</v>
      </c>
      <c r="I128" s="33">
        <f>IF(OR(E128="",R128="",R128&lt;=0,E128&lt;0),"",E128/R128)</f>
        <v/>
      </c>
      <c r="J128" s="33" t="n">
        <v>32.2</v>
      </c>
      <c r="K128" s="33" t="n">
        <v>11.65</v>
      </c>
      <c r="L128" s="33" t="n">
        <v>25.57</v>
      </c>
      <c r="M128" s="33" t="n">
        <v>-6.8</v>
      </c>
      <c r="N128" s="33" t="n">
        <v>1.51</v>
      </c>
      <c r="O128" s="33" t="n">
        <v>42.6</v>
      </c>
      <c r="P128" s="33" t="n">
        <v>17.51</v>
      </c>
      <c r="Q128" s="33" t="n">
        <v>101.2</v>
      </c>
      <c r="R128" s="33" t="n">
        <v>265.8</v>
      </c>
      <c r="S128" s="33">
        <f>IFERROR(AVERAGE(IFERROR(IF(P128="","",IF(P128&gt;=40,100,IF(P128&gt;=30,90,IF(P128&gt;=20,75,IF(P128&gt;=15,60,IF(P128&gt;=10,45,IF(P128&gt;=5,30,15))))))),""),IFERROR(IF(Q128="","",IF(Q128&gt;=40,100,IF(Q128&gt;=30,90,IF(Q128&gt;=20,75,IF(Q128&gt;=10,60,IF(Q128&gt;=5,45,IF(Q128&gt;=0,30,15))))))),""),IFERROR(IF(R128="","",IF(R128&gt;=40,100,IF(R128&gt;=30,90,IF(R128&gt;=20,75,IF(R128&gt;=10,60,IF(R128&gt;=0,45,IF(R128&gt;=-10,30,15))))))),"")),"")</f>
        <v/>
      </c>
      <c r="T128" s="33" t="n">
        <v>4</v>
      </c>
      <c r="U128" s="33" t="n">
        <v>4</v>
      </c>
      <c r="V128" s="33" t="n">
        <v>3</v>
      </c>
      <c r="W128" s="33" t="n">
        <v>5</v>
      </c>
      <c r="X128" s="33" t="n">
        <v>4</v>
      </c>
      <c r="Y128" s="33">
        <f>IFERROR((AVERAGE(T128,U128,V128,W128,X128)-1)*25,"")</f>
        <v/>
      </c>
      <c r="Z128" s="33" t="n">
        <v>5</v>
      </c>
      <c r="AA128" s="33" t="n">
        <v>5</v>
      </c>
      <c r="AB128" s="33" t="n">
        <v>3</v>
      </c>
      <c r="AC128" s="71" t="n">
        <v>46.7</v>
      </c>
      <c r="AD128" s="33">
        <f>IFERROR(AVERAGE(IFERROR(IF(Z128="","",Z128*20),""),IFERROR(IF(AA128="","",AA128*20),""),IFERROR(IF(AB128="","",AB128*20),""),IFERROR(IF(AC128="","",IF(AC128&gt;=85,100,IF(AC128&gt;=70,90,IF(AC128&gt;=55,75,IF(AC128&gt;=40,60,IF(AC128&gt;=25,40,20)))))),"")),"")</f>
        <v/>
      </c>
      <c r="AE128" s="33" t="n">
        <v>3</v>
      </c>
      <c r="AF128" s="33" t="n">
        <v>5</v>
      </c>
      <c r="AG128" s="33" t="n">
        <v>4</v>
      </c>
      <c r="AH128" s="33" t="n">
        <v>5</v>
      </c>
      <c r="AI128" s="33">
        <f>IFERROR((AVERAGE(AE128,AF128,AG128,AH128,AL128)-1)*25,"")</f>
        <v/>
      </c>
      <c r="AJ128" s="33">
        <f>IFERROR(J128*Weights!$B$4 + O128*Weights!$B$5 + S128*Weights!$B$6 + Y128*Weights!$B$7 + AD128*Weights!$B$8 + AI128*Weights!$B$9,"")</f>
        <v/>
      </c>
      <c r="AK128" s="33">
        <f>IF(AJ128="","",IF(AJ128&gt;=85,"✓✓✓",IF(AJ128&gt;=70,"✓✓",IF(AJ128&gt;=55,"✓",IF(AJ128&gt;=40,"?","✗")))))</f>
        <v/>
      </c>
      <c r="AL128" s="33" t="n">
        <v>5</v>
      </c>
    </row>
    <row r="129">
      <c r="A129" s="33" t="inlineStr">
        <is>
          <t>BESIY</t>
        </is>
      </c>
      <c r="B129" s="33" t="inlineStr">
        <is>
          <t>BE Semiconductor Industries N.V.</t>
        </is>
      </c>
      <c r="C129" s="33" t="inlineStr">
        <is>
          <t>04 Semiconductor Equipment &amp; Materials / Equipment</t>
        </is>
      </c>
      <c r="D129" s="33" t="inlineStr">
        <is>
          <t>2026-10-11</t>
        </is>
      </c>
      <c r="F129" s="33" t="n">
        <v>50.38</v>
      </c>
      <c r="G129" s="33" t="n">
        <v>1.22</v>
      </c>
      <c r="H129" s="33" t="n">
        <v>19.34</v>
      </c>
      <c r="I129" s="33">
        <f>IF(OR(E129="",R129="",R129&lt;=0,E129&lt;0),"",E129/R129)</f>
        <v/>
      </c>
      <c r="J129" s="33" t="n">
        <v>16.2</v>
      </c>
      <c r="K129" s="33" t="n">
        <v>24.73</v>
      </c>
      <c r="L129" s="33" t="n">
        <v>64.09</v>
      </c>
      <c r="M129" s="33" t="n">
        <v>23.57</v>
      </c>
      <c r="N129" s="33" t="n">
        <v>-0.54</v>
      </c>
      <c r="O129" s="33" t="n">
        <v>86.8</v>
      </c>
      <c r="P129" s="33" t="n">
        <v>-6.48</v>
      </c>
      <c r="Q129" s="33" t="n">
        <v>68.7</v>
      </c>
      <c r="R129" s="33" t="n">
        <v>177.7</v>
      </c>
      <c r="S129" s="33">
        <f>IFERROR(AVERAGE(IFERROR(IF(P129="","",IF(P129&gt;=40,100,IF(P129&gt;=30,90,IF(P129&gt;=20,75,IF(P129&gt;=15,60,IF(P129&gt;=10,45,IF(P129&gt;=5,30,15))))))),""),IFERROR(IF(Q129="","",IF(Q129&gt;=40,100,IF(Q129&gt;=30,90,IF(Q129&gt;=20,75,IF(Q129&gt;=10,60,IF(Q129&gt;=5,45,IF(Q129&gt;=0,30,15))))))),""),IFERROR(IF(R129="","",IF(R129&gt;=40,100,IF(R129&gt;=30,90,IF(R129&gt;=20,75,IF(R129&gt;=10,60,IF(R129&gt;=0,45,IF(R129&gt;=-10,30,15))))))),"")),"")</f>
        <v/>
      </c>
      <c r="T129" s="33" t="n">
        <v>4</v>
      </c>
      <c r="U129" s="33" t="n">
        <v>4</v>
      </c>
      <c r="V129" s="33" t="n">
        <v>4</v>
      </c>
      <c r="W129" s="33" t="n">
        <v>4</v>
      </c>
      <c r="X129" s="33" t="n">
        <v>3</v>
      </c>
      <c r="Y129" s="33">
        <f>IFERROR((AVERAGE(T129,U129,V129,W129,X129)-1)*25,"")</f>
        <v/>
      </c>
      <c r="Z129" s="33" t="n">
        <v>5</v>
      </c>
      <c r="AA129" s="33" t="n">
        <v>5</v>
      </c>
      <c r="AB129" s="33" t="n">
        <v>5</v>
      </c>
      <c r="AC129" s="71" t="n">
        <v>41.7</v>
      </c>
      <c r="AD129" s="33">
        <f>IFERROR(AVERAGE(IFERROR(IF(Z129="","",Z129*20),""),IFERROR(IF(AA129="","",AA129*20),""),IFERROR(IF(AB129="","",AB129*20),""),IFERROR(IF(AC129="","",IF(AC129&gt;=85,100,IF(AC129&gt;=70,90,IF(AC129&gt;=55,75,IF(AC129&gt;=40,60,IF(AC129&gt;=25,40,20)))))),"")),"")</f>
        <v/>
      </c>
      <c r="AE129" s="33" t="n">
        <v>3</v>
      </c>
      <c r="AF129" s="33" t="n">
        <v>2</v>
      </c>
      <c r="AG129" s="33" t="n">
        <v>5</v>
      </c>
      <c r="AH129" s="33" t="n">
        <v>4</v>
      </c>
      <c r="AI129" s="33">
        <f>IFERROR((AVERAGE(AE129,AF129,AG129,AH129,AL129)-1)*25,"")</f>
        <v/>
      </c>
      <c r="AJ129" s="33">
        <f>IFERROR(J129*Weights!$B$4 + O129*Weights!$B$5 + S129*Weights!$B$6 + Y129*Weights!$B$7 + AD129*Weights!$B$8 + AI129*Weights!$B$9,"")</f>
        <v/>
      </c>
      <c r="AK129" s="33">
        <f>IF(AJ129="","",IF(AJ129&gt;=85,"✓✓✓",IF(AJ129&gt;=70,"✓✓",IF(AJ129&gt;=55,"✓",IF(AJ129&gt;=40,"?","✗")))))</f>
        <v/>
      </c>
      <c r="AL129" s="33" t="n">
        <v>5</v>
      </c>
    </row>
    <row r="130">
      <c r="A130" s="33" t="inlineStr">
        <is>
          <t>FORM</t>
        </is>
      </c>
      <c r="B130" s="33" t="inlineStr">
        <is>
          <t>FormFactor, Inc.</t>
        </is>
      </c>
      <c r="C130" s="33" t="inlineStr">
        <is>
          <t>04 Semiconductor Equipment &amp; Materials / Test &amp; measurement</t>
        </is>
      </c>
      <c r="D130" s="33" t="inlineStr">
        <is>
          <t>2026-10-11</t>
        </is>
      </c>
      <c r="E130" s="33" t="n">
        <v>36.88241</v>
      </c>
      <c r="F130" s="33" t="n">
        <v>56.785</v>
      </c>
      <c r="G130" s="33" t="n">
        <v>0.34</v>
      </c>
      <c r="H130" s="33" t="n">
        <v>12.067879</v>
      </c>
      <c r="I130" s="33">
        <f>IF(OR(E130="",R130="",R130&lt;=0,E130&lt;0),"",E130/R130)</f>
        <v/>
      </c>
      <c r="J130" s="33" t="n">
        <v>37.4</v>
      </c>
      <c r="K130" s="33" t="n">
        <v>6.08</v>
      </c>
      <c r="L130" s="33" t="n">
        <v>46.18</v>
      </c>
      <c r="M130" s="33" t="n">
        <v>4.05</v>
      </c>
      <c r="N130" s="33" t="n">
        <v>-1.69</v>
      </c>
      <c r="O130" s="33" t="n">
        <v>45.6</v>
      </c>
      <c r="P130" s="33" t="n">
        <v>1.62</v>
      </c>
      <c r="Q130" s="33" t="n">
        <v>31.9</v>
      </c>
      <c r="R130" s="33" t="n">
        <v>218.5</v>
      </c>
      <c r="S130" s="33">
        <f>IFERROR(AVERAGE(IFERROR(IF(P130="","",IF(P130&gt;=40,100,IF(P130&gt;=30,90,IF(P130&gt;=20,75,IF(P130&gt;=15,60,IF(P130&gt;=10,45,IF(P130&gt;=5,30,15))))))),""),IFERROR(IF(Q130="","",IF(Q130&gt;=40,100,IF(Q130&gt;=30,90,IF(Q130&gt;=20,75,IF(Q130&gt;=10,60,IF(Q130&gt;=5,45,IF(Q130&gt;=0,30,15))))))),""),IFERROR(IF(R130="","",IF(R130&gt;=40,100,IF(R130&gt;=30,90,IF(R130&gt;=20,75,IF(R130&gt;=10,60,IF(R130&gt;=0,45,IF(R130&gt;=-10,30,15))))))),"")),"")</f>
        <v/>
      </c>
      <c r="T130" s="33" t="n">
        <v>4</v>
      </c>
      <c r="U130" s="33" t="n">
        <v>4</v>
      </c>
      <c r="V130" s="33" t="n">
        <v>4</v>
      </c>
      <c r="W130" s="33" t="n">
        <v>4</v>
      </c>
      <c r="X130" s="33" t="n">
        <v>3</v>
      </c>
      <c r="Y130" s="33">
        <f>IFERROR((AVERAGE(T130,U130,V130,W130,X130)-1)*25,"")</f>
        <v/>
      </c>
      <c r="Z130" s="33" t="n">
        <v>5</v>
      </c>
      <c r="AA130" s="33" t="n">
        <v>5</v>
      </c>
      <c r="AB130" s="33" t="n">
        <v>3</v>
      </c>
      <c r="AC130" s="71" t="n">
        <v>52.5</v>
      </c>
      <c r="AD130" s="33">
        <f>IFERROR(AVERAGE(IFERROR(IF(Z130="","",Z130*20),""),IFERROR(IF(AA130="","",AA130*20),""),IFERROR(IF(AB130="","",AB130*20),""),IFERROR(IF(AC130="","",IF(AC130&gt;=85,100,IF(AC130&gt;=70,90,IF(AC130&gt;=55,75,IF(AC130&gt;=40,60,IF(AC130&gt;=25,40,20)))))),"")),"")</f>
        <v/>
      </c>
      <c r="AE130" s="33" t="n">
        <v>3</v>
      </c>
      <c r="AF130" s="33" t="n">
        <v>4</v>
      </c>
      <c r="AG130" s="33" t="n">
        <v>5</v>
      </c>
      <c r="AH130" s="33" t="n">
        <v>4</v>
      </c>
      <c r="AI130" s="33">
        <f>IFERROR((AVERAGE(AE130,AF130,AG130,AH130,AL130)-1)*25,"")</f>
        <v/>
      </c>
      <c r="AJ130" s="33">
        <f>IFERROR(J130*Weights!$B$4 + O130*Weights!$B$5 + S130*Weights!$B$6 + Y130*Weights!$B$7 + AD130*Weights!$B$8 + AI130*Weights!$B$9,"")</f>
        <v/>
      </c>
      <c r="AK130" s="33">
        <f>IF(AJ130="","",IF(AJ130&gt;=85,"✓✓✓",IF(AJ130&gt;=70,"✓✓",IF(AJ130&gt;=55,"✓",IF(AJ130&gt;=40,"?","✗")))))</f>
        <v/>
      </c>
      <c r="AL130" s="33" t="n">
        <v>5</v>
      </c>
    </row>
    <row r="131">
      <c r="A131" s="33" t="inlineStr">
        <is>
          <t>AEIS</t>
        </is>
      </c>
      <c r="B131" s="33" t="inlineStr">
        <is>
          <t>Advanced Energy Industries, Inc.</t>
        </is>
      </c>
      <c r="C131" s="33" t="inlineStr">
        <is>
          <t>04 Semiconductor Equipment &amp; Materials / Materials &amp; consumables</t>
        </is>
      </c>
      <c r="D131" s="33" t="inlineStr">
        <is>
          <t>2026-10-11</t>
        </is>
      </c>
      <c r="E131" s="33" t="n">
        <v>18.817802</v>
      </c>
      <c r="F131" s="33" t="n">
        <v>33.102</v>
      </c>
      <c r="G131" s="33" t="n">
        <v>0.59</v>
      </c>
      <c r="H131" s="33" t="n">
        <v>5.6732554</v>
      </c>
      <c r="I131" s="33">
        <f>IF(OR(E131="",R131="",R131&lt;=0,E131&lt;0),"",E131/R131)</f>
        <v/>
      </c>
      <c r="J131" s="33" t="n">
        <v>54.8</v>
      </c>
      <c r="K131" s="33" t="n">
        <v>12.66</v>
      </c>
      <c r="L131" s="33" t="n">
        <v>39.96</v>
      </c>
      <c r="M131" s="33" t="n">
        <v>3.35</v>
      </c>
      <c r="N131" s="33" t="n">
        <v>-0.06</v>
      </c>
      <c r="O131" s="33" t="n">
        <v>54.9</v>
      </c>
      <c r="P131" s="33" t="n">
        <v>-0.85</v>
      </c>
      <c r="Q131" s="33" t="n">
        <v>30</v>
      </c>
      <c r="R131" s="33" t="n">
        <v>114.7</v>
      </c>
      <c r="S131" s="33">
        <f>IFERROR(AVERAGE(IFERROR(IF(P131="","",IF(P131&gt;=40,100,IF(P131&gt;=30,90,IF(P131&gt;=20,75,IF(P131&gt;=15,60,IF(P131&gt;=10,45,IF(P131&gt;=5,30,15))))))),""),IFERROR(IF(Q131="","",IF(Q131&gt;=40,100,IF(Q131&gt;=30,90,IF(Q131&gt;=20,75,IF(Q131&gt;=10,60,IF(Q131&gt;=5,45,IF(Q131&gt;=0,30,15))))))),""),IFERROR(IF(R131="","",IF(R131&gt;=40,100,IF(R131&gt;=30,90,IF(R131&gt;=20,75,IF(R131&gt;=10,60,IF(R131&gt;=0,45,IF(R131&gt;=-10,30,15))))))),"")),"")</f>
        <v/>
      </c>
      <c r="T131" s="33" t="n">
        <v>4</v>
      </c>
      <c r="U131" s="33" t="n">
        <v>4</v>
      </c>
      <c r="V131" s="33" t="n">
        <v>3</v>
      </c>
      <c r="W131" s="33" t="n">
        <v>5</v>
      </c>
      <c r="X131" s="33" t="n">
        <v>4</v>
      </c>
      <c r="Y131" s="33">
        <f>IFERROR((AVERAGE(T131,U131,V131,W131,X131)-1)*25,"")</f>
        <v/>
      </c>
      <c r="Z131" s="33" t="n">
        <v>5</v>
      </c>
      <c r="AA131" s="33" t="n">
        <v>5</v>
      </c>
      <c r="AB131" s="33" t="n">
        <v>3</v>
      </c>
      <c r="AC131" s="71" t="n">
        <v>35</v>
      </c>
      <c r="AD131" s="33">
        <f>IFERROR(AVERAGE(IFERROR(IF(Z131="","",Z131*20),""),IFERROR(IF(AA131="","",AA131*20),""),IFERROR(IF(AB131="","",AB131*20),""),IFERROR(IF(AC131="","",IF(AC131&gt;=85,100,IF(AC131&gt;=70,90,IF(AC131&gt;=55,75,IF(AC131&gt;=40,60,IF(AC131&gt;=25,40,20)))))),"")),"")</f>
        <v/>
      </c>
      <c r="AE131" s="33" t="n">
        <v>3</v>
      </c>
      <c r="AF131" s="33" t="n">
        <v>3</v>
      </c>
      <c r="AG131" s="33" t="n">
        <v>5</v>
      </c>
      <c r="AH131" s="33" t="n">
        <v>4</v>
      </c>
      <c r="AI131" s="33">
        <f>IFERROR((AVERAGE(AE131,AF131,AG131,AH131,AL131)-1)*25,"")</f>
        <v/>
      </c>
      <c r="AJ131" s="33">
        <f>IFERROR(J131*Weights!$B$4 + O131*Weights!$B$5 + S131*Weights!$B$6 + Y131*Weights!$B$7 + AD131*Weights!$B$8 + AI131*Weights!$B$9,"")</f>
        <v/>
      </c>
      <c r="AK131" s="33">
        <f>IF(AJ131="","",IF(AJ131&gt;=85,"✓✓✓",IF(AJ131&gt;=70,"✓✓",IF(AJ131&gt;=55,"✓",IF(AJ131&gt;=40,"?","✗")))))</f>
        <v/>
      </c>
      <c r="AL131" s="33" t="n">
        <v>5</v>
      </c>
    </row>
    <row r="132">
      <c r="A132" s="33" t="inlineStr">
        <is>
          <t>NVTS</t>
        </is>
      </c>
      <c r="B132" s="33" t="inlineStr">
        <is>
          <t>Navitas Semiconductor Corporation</t>
        </is>
      </c>
      <c r="C132" s="33" t="inlineStr">
        <is>
          <t>06 AI Compute Silicon / Power management silicon</t>
        </is>
      </c>
      <c r="D132" s="33" t="inlineStr">
        <is>
          <t>2026-10-11</t>
        </is>
      </c>
      <c r="E132" s="33" t="n">
        <v>-85.54198</v>
      </c>
      <c r="F132" s="33" t="n">
        <v>-34.451</v>
      </c>
      <c r="G132" s="33" t="n">
        <v>-2.4</v>
      </c>
      <c r="H132" s="33" t="n">
        <v>77.4695</v>
      </c>
      <c r="I132" s="33">
        <f>IF(OR(E132="",R132="",R132&lt;=0,E132&lt;0),"",E132/R132)</f>
        <v/>
      </c>
      <c r="J132" s="33" t="n">
        <v>25.7</v>
      </c>
      <c r="K132" s="33" t="n">
        <v>-9.66</v>
      </c>
      <c r="L132" s="33" t="n">
        <v>38.12</v>
      </c>
      <c r="M132" s="33" t="n">
        <v>-185.7</v>
      </c>
      <c r="O132" s="33" t="n">
        <v>2.3</v>
      </c>
      <c r="P132" s="33" t="n">
        <v>6.56</v>
      </c>
      <c r="Q132" s="33" t="n">
        <v>-27.3</v>
      </c>
      <c r="S132" s="33">
        <f>IFERROR(AVERAGE(IFERROR(IF(P132="","",IF(P132&gt;=40,100,IF(P132&gt;=30,90,IF(P132&gt;=20,75,IF(P132&gt;=15,60,IF(P132&gt;=10,45,IF(P132&gt;=5,30,15))))))),""),IFERROR(IF(Q132="","",IF(Q132&gt;=40,100,IF(Q132&gt;=30,90,IF(Q132&gt;=20,75,IF(Q132&gt;=10,60,IF(Q132&gt;=5,45,IF(Q132&gt;=0,30,15))))))),""),IFERROR(IF(R132="","",IF(R132&gt;=40,100,IF(R132&gt;=30,90,IF(R132&gt;=20,75,IF(R132&gt;=10,60,IF(R132&gt;=0,45,IF(R132&gt;=-10,30,15))))))),"")),"")</f>
        <v/>
      </c>
      <c r="T132" s="33" t="n">
        <v>2</v>
      </c>
      <c r="U132" s="33" t="n">
        <v>2</v>
      </c>
      <c r="V132" s="33" t="n">
        <v>2</v>
      </c>
      <c r="W132" s="33" t="n">
        <v>3</v>
      </c>
      <c r="X132" s="33" t="n">
        <v>2</v>
      </c>
      <c r="Y132" s="33">
        <f>IFERROR((AVERAGE(T132,U132,V132,W132,X132)-1)*25,"")</f>
        <v/>
      </c>
      <c r="Z132" s="33" t="n">
        <v>4</v>
      </c>
      <c r="AA132" s="33" t="n">
        <v>5</v>
      </c>
      <c r="AB132" s="33" t="n">
        <v>3</v>
      </c>
      <c r="AC132" s="71" t="n">
        <v>41.7</v>
      </c>
      <c r="AD132" s="33">
        <f>IFERROR(AVERAGE(IFERROR(IF(Z132="","",Z132*20),""),IFERROR(IF(AA132="","",AA132*20),""),IFERROR(IF(AB132="","",AB132*20),""),IFERROR(IF(AC132="","",IF(AC132&gt;=85,100,IF(AC132&gt;=70,90,IF(AC132&gt;=55,75,IF(AC132&gt;=40,60,IF(AC132&gt;=25,40,20)))))),"")),"")</f>
        <v/>
      </c>
      <c r="AE132" s="33" t="n">
        <v>3</v>
      </c>
      <c r="AF132" s="33" t="n">
        <v>3</v>
      </c>
      <c r="AG132" s="33" t="n">
        <v>3</v>
      </c>
      <c r="AH132" s="33" t="n">
        <v>4</v>
      </c>
      <c r="AI132" s="33">
        <f>IFERROR((AVERAGE(AE132,AF132,AG132,AH132,AL132)-1)*25,"")</f>
        <v/>
      </c>
      <c r="AJ132" s="33">
        <f>IFERROR(J132*Weights!$B$4 + O132*Weights!$B$5 + S132*Weights!$B$6 + Y132*Weights!$B$7 + AD132*Weights!$B$8 + AI132*Weights!$B$9,"")</f>
        <v/>
      </c>
      <c r="AK132" s="33">
        <f>IF(AJ132="","",IF(AJ132&gt;=85,"✓✓✓",IF(AJ132&gt;=70,"✓✓",IF(AJ132&gt;=55,"✓",IF(AJ132&gt;=40,"?","✗")))))</f>
        <v/>
      </c>
      <c r="AL132" s="33" t="n">
        <v>5</v>
      </c>
    </row>
    <row r="133">
      <c r="A133" s="33" t="inlineStr">
        <is>
          <t>LSCC</t>
        </is>
      </c>
      <c r="B133" s="33" t="inlineStr">
        <is>
          <t>Lattice Semiconductor Corporation</t>
        </is>
      </c>
      <c r="C133" s="33" t="inlineStr">
        <is>
          <t>06 AI Compute Silicon / Programmable logic</t>
        </is>
      </c>
      <c r="D133" s="33" t="inlineStr">
        <is>
          <t>2026-10-11</t>
        </is>
      </c>
      <c r="E133" s="33" t="n">
        <v>39.31801153132645</v>
      </c>
      <c r="F133" s="33" t="n">
        <v>200.455</v>
      </c>
      <c r="G133" s="33" t="n">
        <v>0.91</v>
      </c>
      <c r="H133" s="33" t="n">
        <v>27.441288</v>
      </c>
      <c r="I133" s="33">
        <f>IF(OR(E133="",R133="",R133&lt;=0,E133&lt;0),"",E133/R133)</f>
        <v/>
      </c>
      <c r="J133" s="33" t="n">
        <v>27.3</v>
      </c>
      <c r="K133" s="33" t="n">
        <v>5.38</v>
      </c>
      <c r="L133" s="33" t="n">
        <v>69.02</v>
      </c>
      <c r="M133" s="33" t="n">
        <v>25.04</v>
      </c>
      <c r="N133" s="33" t="n">
        <v>-1.47</v>
      </c>
      <c r="O133" s="33" t="n">
        <v>63.4</v>
      </c>
      <c r="P133" s="33" t="n">
        <v>-7.46</v>
      </c>
      <c r="Q133" s="33" t="n">
        <v>62.2</v>
      </c>
      <c r="R133" s="33" t="n">
        <v>334.4</v>
      </c>
      <c r="S133" s="33">
        <f>IFERROR(AVERAGE(IFERROR(IF(P133="","",IF(P133&gt;=40,100,IF(P133&gt;=30,90,IF(P133&gt;=20,75,IF(P133&gt;=15,60,IF(P133&gt;=10,45,IF(P133&gt;=5,30,15))))))),""),IFERROR(IF(Q133="","",IF(Q133&gt;=40,100,IF(Q133&gt;=30,90,IF(Q133&gt;=20,75,IF(Q133&gt;=10,60,IF(Q133&gt;=5,45,IF(Q133&gt;=0,30,15))))))),""),IFERROR(IF(R133="","",IF(R133&gt;=40,100,IF(R133&gt;=30,90,IF(R133&gt;=20,75,IF(R133&gt;=10,60,IF(R133&gt;=0,45,IF(R133&gt;=-10,30,15))))))),"")),"")</f>
        <v/>
      </c>
      <c r="T133" s="33" t="n">
        <v>4</v>
      </c>
      <c r="U133" s="33" t="n">
        <v>4</v>
      </c>
      <c r="V133" s="33" t="n">
        <v>4</v>
      </c>
      <c r="W133" s="33" t="n">
        <v>3</v>
      </c>
      <c r="X133" s="33" t="n">
        <v>4</v>
      </c>
      <c r="Y133" s="33">
        <f>IFERROR((AVERAGE(T133,U133,V133,W133,X133)-1)*25,"")</f>
        <v/>
      </c>
      <c r="Z133" s="33" t="n">
        <v>5</v>
      </c>
      <c r="AA133" s="33" t="n">
        <v>5</v>
      </c>
      <c r="AB133" s="33" t="n">
        <v>4</v>
      </c>
      <c r="AC133" s="71" t="n">
        <v>55.8</v>
      </c>
      <c r="AD133" s="33">
        <f>IFERROR(AVERAGE(IFERROR(IF(Z133="","",Z133*20),""),IFERROR(IF(AA133="","",AA133*20),""),IFERROR(IF(AB133="","",AB133*20),""),IFERROR(IF(AC133="","",IF(AC133&gt;=85,100,IF(AC133&gt;=70,90,IF(AC133&gt;=55,75,IF(AC133&gt;=40,60,IF(AC133&gt;=25,40,20)))))),"")),"")</f>
        <v/>
      </c>
      <c r="AE133" s="33" t="n">
        <v>4</v>
      </c>
      <c r="AF133" s="33" t="n">
        <v>3</v>
      </c>
      <c r="AG133" s="33" t="n">
        <v>3</v>
      </c>
      <c r="AH133" s="33" t="n">
        <v>4</v>
      </c>
      <c r="AI133" s="33">
        <f>IFERROR((AVERAGE(AE133,AF133,AG133,AH133,AL133)-1)*25,"")</f>
        <v/>
      </c>
      <c r="AJ133" s="33">
        <f>IFERROR(J133*Weights!$B$4 + O133*Weights!$B$5 + S133*Weights!$B$6 + Y133*Weights!$B$7 + AD133*Weights!$B$8 + AI133*Weights!$B$9,"")</f>
        <v/>
      </c>
      <c r="AK133" s="33">
        <f>IF(AJ133="","",IF(AJ133&gt;=85,"✓✓✓",IF(AJ133&gt;=70,"✓✓",IF(AJ133&gt;=55,"✓",IF(AJ133&gt;=40,"?","✗")))))</f>
        <v/>
      </c>
      <c r="AL133" s="33" t="n">
        <v>5</v>
      </c>
    </row>
    <row r="134">
      <c r="A134" s="33" t="inlineStr">
        <is>
          <t>RMBS</t>
        </is>
      </c>
      <c r="B134" s="33" t="inlineStr">
        <is>
          <t>Rambus Inc.</t>
        </is>
      </c>
      <c r="C134" s="33" t="inlineStr">
        <is>
          <t>06 AI Compute Silicon / Memory (HBM is the bottleneck)</t>
        </is>
      </c>
      <c r="D134" s="33" t="inlineStr">
        <is>
          <t>2026-10-11</t>
        </is>
      </c>
      <c r="E134" s="33" t="n">
        <v>28.48774</v>
      </c>
      <c r="F134" s="33" t="n">
        <v>35.665</v>
      </c>
      <c r="G134" s="33" t="n">
        <v>2.58</v>
      </c>
      <c r="H134" s="33" t="n">
        <v>15.365601</v>
      </c>
      <c r="I134" s="33">
        <f>IF(OR(E134="",R134="",R134&lt;=0,E134&lt;0),"",E134/R134)</f>
        <v/>
      </c>
      <c r="J134" s="33" t="n">
        <v>49.6</v>
      </c>
      <c r="K134" s="33" t="n">
        <v>14.73</v>
      </c>
      <c r="L134" s="33" t="n">
        <v>80.36</v>
      </c>
      <c r="M134" s="33" t="n">
        <v>39.6</v>
      </c>
      <c r="N134" s="33" t="n">
        <v>-2.54</v>
      </c>
      <c r="O134" s="33" t="n">
        <v>88.7</v>
      </c>
      <c r="P134" s="33" t="n">
        <v>15.88</v>
      </c>
      <c r="Q134" s="33" t="n">
        <v>20.4</v>
      </c>
      <c r="R134" s="33" t="n">
        <v>16.7</v>
      </c>
      <c r="S134" s="33">
        <f>IFERROR(AVERAGE(IFERROR(IF(P134="","",IF(P134&gt;=40,100,IF(P134&gt;=30,90,IF(P134&gt;=20,75,IF(P134&gt;=15,60,IF(P134&gt;=10,45,IF(P134&gt;=5,30,15))))))),""),IFERROR(IF(Q134="","",IF(Q134&gt;=40,100,IF(Q134&gt;=30,90,IF(Q134&gt;=20,75,IF(Q134&gt;=10,60,IF(Q134&gt;=5,45,IF(Q134&gt;=0,30,15))))))),""),IFERROR(IF(R134="","",IF(R134&gt;=40,100,IF(R134&gt;=30,90,IF(R134&gt;=20,75,IF(R134&gt;=10,60,IF(R134&gt;=0,45,IF(R134&gt;=-10,30,15))))))),"")),"")</f>
        <v/>
      </c>
      <c r="T134" s="33" t="n">
        <v>3</v>
      </c>
      <c r="U134" s="33" t="n">
        <v>4</v>
      </c>
      <c r="V134" s="33" t="n">
        <v>4</v>
      </c>
      <c r="W134" s="33" t="n">
        <v>3</v>
      </c>
      <c r="X134" s="33" t="n">
        <v>3</v>
      </c>
      <c r="Y134" s="33">
        <f>IFERROR((AVERAGE(T134,U134,V134,W134,X134)-1)*25,"")</f>
        <v/>
      </c>
      <c r="Z134" s="33" t="n">
        <v>4</v>
      </c>
      <c r="AA134" s="33" t="n">
        <v>4</v>
      </c>
      <c r="AB134" s="33" t="n">
        <v>3</v>
      </c>
      <c r="AC134" s="71" t="n">
        <v>46.7</v>
      </c>
      <c r="AD134" s="33">
        <f>IFERROR(AVERAGE(IFERROR(IF(Z134="","",Z134*20),""),IFERROR(IF(AA134="","",AA134*20),""),IFERROR(IF(AB134="","",AB134*20),""),IFERROR(IF(AC134="","",IF(AC134&gt;=85,100,IF(AC134&gt;=70,90,IF(AC134&gt;=55,75,IF(AC134&gt;=40,60,IF(AC134&gt;=25,40,20)))))),"")),"")</f>
        <v/>
      </c>
      <c r="AE134" s="33" t="n">
        <v>4</v>
      </c>
      <c r="AF134" s="33" t="n">
        <v>4</v>
      </c>
      <c r="AG134" s="33" t="n">
        <v>5</v>
      </c>
      <c r="AH134" s="33" t="n">
        <v>4</v>
      </c>
      <c r="AI134" s="33">
        <f>IFERROR((AVERAGE(AE134,AF134,AG134,AH134,AL134)-1)*25,"")</f>
        <v/>
      </c>
      <c r="AJ134" s="33">
        <f>IFERROR(J134*Weights!$B$4 + O134*Weights!$B$5 + S134*Weights!$B$6 + Y134*Weights!$B$7 + AD134*Weights!$B$8 + AI134*Weights!$B$9,"")</f>
        <v/>
      </c>
      <c r="AK134" s="33">
        <f>IF(AJ134="","",IF(AJ134&gt;=85,"✓✓✓",IF(AJ134&gt;=70,"✓✓",IF(AJ134&gt;=55,"✓",IF(AJ134&gt;=40,"?","✗")))))</f>
        <v/>
      </c>
      <c r="AL134" s="33" t="n">
        <v>5</v>
      </c>
    </row>
    <row r="135">
      <c r="A135" s="33" t="inlineStr">
        <is>
          <t>STX</t>
        </is>
      </c>
      <c r="B135" s="33" t="inlineStr">
        <is>
          <t>Seagate Technology Holdings plc</t>
        </is>
      </c>
      <c r="C135" s="33" t="inlineStr">
        <is>
          <t>08 Servers, Systems &amp; Liquid Cooling / Storage infrastructure</t>
        </is>
      </c>
      <c r="D135" s="33" t="inlineStr">
        <is>
          <t>2026-10-11</t>
        </is>
      </c>
      <c r="E135" s="33" t="n">
        <v>16.89061733883759</v>
      </c>
      <c r="F135" s="33" t="n">
        <v>41.143</v>
      </c>
      <c r="G135" s="33" t="n">
        <v>1.74</v>
      </c>
      <c r="H135" s="33" t="n">
        <v>14.600142</v>
      </c>
      <c r="I135" s="33">
        <f>IF(OR(E135="",R135="",R135&lt;=0,E135&lt;0),"",E135/R135)</f>
        <v/>
      </c>
      <c r="J135" s="33" t="n">
        <v>34</v>
      </c>
      <c r="K135" s="33" t="n">
        <v>53.27</v>
      </c>
      <c r="L135" s="33" t="n">
        <v>45.58</v>
      </c>
      <c r="M135" s="33" t="n">
        <v>25.46</v>
      </c>
      <c r="N135" s="33" t="n">
        <v>0.49</v>
      </c>
      <c r="O135" s="33" t="n">
        <v>77.2</v>
      </c>
      <c r="P135" s="33" t="n">
        <v>18.2</v>
      </c>
      <c r="Q135" s="33" t="n">
        <v>48.5</v>
      </c>
      <c r="R135" s="33" t="n">
        <v>165.2</v>
      </c>
      <c r="S135" s="33">
        <f>IFERROR(AVERAGE(IFERROR(IF(P135="","",IF(P135&gt;=40,100,IF(P135&gt;=30,90,IF(P135&gt;=20,75,IF(P135&gt;=15,60,IF(P135&gt;=10,45,IF(P135&gt;=5,30,15))))))),""),IFERROR(IF(Q135="","",IF(Q135&gt;=40,100,IF(Q135&gt;=30,90,IF(Q135&gt;=20,75,IF(Q135&gt;=10,60,IF(Q135&gt;=5,45,IF(Q135&gt;=0,30,15))))))),""),IFERROR(IF(R135="","",IF(R135&gt;=40,100,IF(R135&gt;=30,90,IF(R135&gt;=20,75,IF(R135&gt;=10,60,IF(R135&gt;=0,45,IF(R135&gt;=-10,30,15))))))),"")),"")</f>
        <v/>
      </c>
      <c r="T135" s="33" t="n">
        <v>4</v>
      </c>
      <c r="U135" s="33" t="n">
        <v>4</v>
      </c>
      <c r="V135" s="33" t="n">
        <v>4</v>
      </c>
      <c r="W135" s="33" t="n">
        <v>4</v>
      </c>
      <c r="X135" s="33" t="n">
        <v>5</v>
      </c>
      <c r="Y135" s="33">
        <f>IFERROR((AVERAGE(T135,U135,V135,W135,X135)-1)*25,"")</f>
        <v/>
      </c>
      <c r="Z135" s="33" t="n">
        <v>5</v>
      </c>
      <c r="AA135" s="33" t="n">
        <v>4</v>
      </c>
      <c r="AB135" s="33" t="n">
        <v>3</v>
      </c>
      <c r="AC135" s="71" t="n">
        <v>63.3</v>
      </c>
      <c r="AD135" s="33">
        <f>IFERROR(AVERAGE(IFERROR(IF(Z135="","",Z135*20),""),IFERROR(IF(AA135="","",AA135*20),""),IFERROR(IF(AB135="","",AB135*20),""),IFERROR(IF(AC135="","",IF(AC135&gt;=85,100,IF(AC135&gt;=70,90,IF(AC135&gt;=55,75,IF(AC135&gt;=40,60,IF(AC135&gt;=25,40,20)))))),"")),"")</f>
        <v/>
      </c>
      <c r="AE135" s="33" t="n">
        <v>2</v>
      </c>
      <c r="AF135" s="33" t="n">
        <v>4</v>
      </c>
      <c r="AG135" s="33" t="n">
        <v>4</v>
      </c>
      <c r="AH135" s="33" t="n">
        <v>4</v>
      </c>
      <c r="AI135" s="33">
        <f>IFERROR((AVERAGE(AE135,AF135,AG135,AH135,AL135)-1)*25,"")</f>
        <v/>
      </c>
      <c r="AJ135" s="33">
        <f>IFERROR(J135*Weights!$B$4 + O135*Weights!$B$5 + S135*Weights!$B$6 + Y135*Weights!$B$7 + AD135*Weights!$B$8 + AI135*Weights!$B$9,"")</f>
        <v/>
      </c>
      <c r="AK135" s="33">
        <f>IF(AJ135="","",IF(AJ135&gt;=85,"✓✓✓",IF(AJ135&gt;=70,"✓✓",IF(AJ135&gt;=55,"✓",IF(AJ135&gt;=40,"?","✗")))))</f>
        <v/>
      </c>
      <c r="AL135" s="33" t="n">
        <v>5</v>
      </c>
    </row>
    <row r="136">
      <c r="A136" s="33" t="inlineStr">
        <is>
          <t>TEM</t>
        </is>
      </c>
      <c r="B136" s="33" t="inlineStr">
        <is>
          <t>Tempus AI, Inc.</t>
        </is>
      </c>
      <c r="C136" s="33" t="inlineStr">
        <is>
          <t>10 Models, Software &amp; Applications / AI-native vertical applications</t>
        </is>
      </c>
      <c r="D136" s="33" t="inlineStr">
        <is>
          <t>2026-10-11</t>
        </is>
      </c>
      <c r="E136" s="33" t="n">
        <v>-8767.614</v>
      </c>
      <c r="F136" s="33" t="n">
        <v>-48.8</v>
      </c>
      <c r="G136" s="33" t="n">
        <v>-2.13</v>
      </c>
      <c r="H136" s="33" t="n">
        <v>8.937198</v>
      </c>
      <c r="I136" s="33">
        <f>IF(OR(E136="",R136="",R136&lt;=0,E136&lt;0),"",E136/R136)</f>
        <v/>
      </c>
      <c r="J136" s="33" t="n">
        <v>42.6</v>
      </c>
      <c r="K136" s="33" t="n">
        <v>-11.32</v>
      </c>
      <c r="L136" s="33" t="n">
        <v>63.98</v>
      </c>
      <c r="M136" s="33" t="n">
        <v>-19.06</v>
      </c>
      <c r="O136" s="33" t="n">
        <v>9.800000000000001</v>
      </c>
      <c r="P136" s="33" t="n">
        <v>58.29</v>
      </c>
      <c r="Q136" s="33" t="n">
        <v>21.6</v>
      </c>
      <c r="S136" s="33">
        <f>IFERROR(AVERAGE(IFERROR(IF(P136="","",IF(P136&gt;=40,100,IF(P136&gt;=30,90,IF(P136&gt;=20,75,IF(P136&gt;=15,60,IF(P136&gt;=10,45,IF(P136&gt;=5,30,15))))))),""),IFERROR(IF(Q136="","",IF(Q136&gt;=40,100,IF(Q136&gt;=30,90,IF(Q136&gt;=20,75,IF(Q136&gt;=10,60,IF(Q136&gt;=5,45,IF(Q136&gt;=0,30,15))))))),""),IFERROR(IF(R136="","",IF(R136&gt;=40,100,IF(R136&gt;=30,90,IF(R136&gt;=20,75,IF(R136&gt;=10,60,IF(R136&gt;=0,45,IF(R136&gt;=-10,30,15))))))),"")),"")</f>
        <v/>
      </c>
      <c r="T136" s="33" t="n">
        <v>5</v>
      </c>
      <c r="U136" s="33" t="n">
        <v>3</v>
      </c>
      <c r="V136" s="33" t="n">
        <v>4</v>
      </c>
      <c r="W136" s="33" t="n">
        <v>4</v>
      </c>
      <c r="X136" s="33" t="n">
        <v>3</v>
      </c>
      <c r="Y136" s="33">
        <f>IFERROR((AVERAGE(T136,U136,V136,W136,X136)-1)*25,"")</f>
        <v/>
      </c>
      <c r="Z136" s="33" t="n">
        <v>4</v>
      </c>
      <c r="AA136" s="33" t="n">
        <v>3</v>
      </c>
      <c r="AB136" s="33" t="n">
        <v>3</v>
      </c>
      <c r="AC136" s="71" t="n">
        <v>66.7</v>
      </c>
      <c r="AD136" s="33">
        <f>IFERROR(AVERAGE(IFERROR(IF(Z136="","",Z136*20),""),IFERROR(IF(AA136="","",AA136*20),""),IFERROR(IF(AB136="","",AB136*20),""),IFERROR(IF(AC136="","",IF(AC136&gt;=85,100,IF(AC136&gt;=70,90,IF(AC136&gt;=55,75,IF(AC136&gt;=40,60,IF(AC136&gt;=25,40,20)))))),"")),"")</f>
        <v/>
      </c>
      <c r="AE136" s="33" t="n">
        <v>3</v>
      </c>
      <c r="AF136" s="33" t="n">
        <v>5</v>
      </c>
      <c r="AG136" s="33" t="n">
        <v>4</v>
      </c>
      <c r="AH136" s="33" t="n">
        <v>3</v>
      </c>
      <c r="AI136" s="33">
        <f>IFERROR((AVERAGE(AE136,AF136,AG136,AH136,AL136)-1)*25,"")</f>
        <v/>
      </c>
      <c r="AJ136" s="33">
        <f>IFERROR(J136*Weights!$B$4 + O136*Weights!$B$5 + S136*Weights!$B$6 + Y136*Weights!$B$7 + AD136*Weights!$B$8 + AI136*Weights!$B$9,"")</f>
        <v/>
      </c>
      <c r="AK136" s="33">
        <f>IF(AJ136="","",IF(AJ136&gt;=85,"✓✓✓",IF(AJ136&gt;=70,"✓✓",IF(AJ136&gt;=55,"✓",IF(AJ136&gt;=40,"?","✗")))))</f>
        <v/>
      </c>
      <c r="AL136" s="33" t="n">
        <v>4</v>
      </c>
    </row>
    <row r="137">
      <c r="A137" s="33" t="inlineStr">
        <is>
          <t>SEI</t>
        </is>
      </c>
      <c r="B137" s="33" t="inlineStr">
        <is>
          <t>Solaris Energy Infrastructure, Inc.</t>
        </is>
      </c>
      <c r="C137" s="33" t="inlineStr">
        <is>
          <t>01 Power Generation / Distributed / on-site power</t>
        </is>
      </c>
      <c r="D137" s="33" t="inlineStr">
        <is>
          <t>2026-10-11</t>
        </is>
      </c>
      <c r="E137" s="33" t="n">
        <v>21.406376</v>
      </c>
      <c r="F137" s="33" t="n">
        <v>25.863</v>
      </c>
      <c r="G137" s="33" t="n">
        <v>-9.470000000000001</v>
      </c>
      <c r="H137" s="33" t="n">
        <v>10.086612</v>
      </c>
      <c r="I137" s="33">
        <f>IF(OR(E137="",R137="",R137&lt;=0,E137&lt;0),"",E137/R137)</f>
        <v/>
      </c>
      <c r="J137" s="33" t="n">
        <v>43</v>
      </c>
      <c r="K137" s="33" t="n">
        <v>3.55</v>
      </c>
      <c r="L137" s="33" t="n">
        <v>49.94</v>
      </c>
      <c r="M137" s="33" t="n">
        <v>-95.48999999999999</v>
      </c>
      <c r="N137" s="33" t="n">
        <v>6.26</v>
      </c>
      <c r="O137" s="33" t="n">
        <v>30.8</v>
      </c>
      <c r="P137" s="33" t="n">
        <v>24.81</v>
      </c>
      <c r="Q137" s="33" t="n">
        <v>46.9</v>
      </c>
      <c r="R137" s="33" t="n">
        <v>71.40000000000001</v>
      </c>
      <c r="S137" s="33">
        <f>IFERROR(AVERAGE(IFERROR(IF(P137="","",IF(P137&gt;=40,100,IF(P137&gt;=30,90,IF(P137&gt;=20,75,IF(P137&gt;=15,60,IF(P137&gt;=10,45,IF(P137&gt;=5,30,15))))))),""),IFERROR(IF(Q137="","",IF(Q137&gt;=40,100,IF(Q137&gt;=30,90,IF(Q137&gt;=20,75,IF(Q137&gt;=10,60,IF(Q137&gt;=5,45,IF(Q137&gt;=0,30,15))))))),""),IFERROR(IF(R137="","",IF(R137&gt;=40,100,IF(R137&gt;=30,90,IF(R137&gt;=20,75,IF(R137&gt;=10,60,IF(R137&gt;=0,45,IF(R137&gt;=-10,30,15))))))),"")),"")</f>
        <v/>
      </c>
      <c r="T137" s="33" t="n">
        <v>3</v>
      </c>
      <c r="U137" s="33" t="n">
        <v>3</v>
      </c>
      <c r="V137" s="33" t="n">
        <v>3</v>
      </c>
      <c r="W137" s="33" t="n">
        <v>5</v>
      </c>
      <c r="X137" s="33" t="n">
        <v>4</v>
      </c>
      <c r="Y137" s="33">
        <f>IFERROR((AVERAGE(T137,U137,V137,W137,X137)-1)*25,"")</f>
        <v/>
      </c>
      <c r="Z137" s="33" t="n">
        <v>5</v>
      </c>
      <c r="AA137" s="33" t="n">
        <v>4</v>
      </c>
      <c r="AB137" s="33" t="n">
        <v>4</v>
      </c>
      <c r="AC137" s="33" t="n">
        <v>59.2</v>
      </c>
      <c r="AD137" s="33">
        <f>IFERROR(AVERAGE(IFERROR(IF(Z137="","",Z137*20),""),IFERROR(IF(AA137="","",AA137*20),""),IFERROR(IF(AB137="","",AB137*20),""),IFERROR(IF(AC137="","",IF(AC137&gt;=85,100,IF(AC137&gt;=70,90,IF(AC137&gt;=55,75,IF(AC137&gt;=40,60,IF(AC137&gt;=25,40,20)))))),"")),"")</f>
        <v/>
      </c>
      <c r="AE137" s="33" t="n">
        <v>1</v>
      </c>
      <c r="AF137" s="33" t="n">
        <v>5</v>
      </c>
      <c r="AG137" s="33" t="n">
        <v>2</v>
      </c>
      <c r="AH137" s="33" t="n">
        <v>2</v>
      </c>
      <c r="AI137" s="33">
        <f>IFERROR((AVERAGE(AE137,AF137,AG137,AH137,AL137)-1)*25,"")</f>
        <v/>
      </c>
      <c r="AJ137" s="33">
        <f>IFERROR(J137*Weights!$B$4 + O137*Weights!$B$5 + S137*Weights!$B$6 + Y137*Weights!$B$7 + AD137*Weights!$B$8 + AI137*Weights!$B$9,"")</f>
        <v/>
      </c>
      <c r="AK137" s="33">
        <f>IF(AJ137="","",IF(AJ137&gt;=85,"✓✓✓",IF(AJ137&gt;=70,"✓✓",IF(AJ137&gt;=55,"✓",IF(AJ137&gt;=40,"?","✗")))))</f>
        <v/>
      </c>
      <c r="AL137" s="33" t="n">
        <v>5</v>
      </c>
    </row>
    <row r="138">
      <c r="A138" s="33" t="inlineStr">
        <is>
          <t>TE</t>
        </is>
      </c>
      <c r="B138" s="33" t="inlineStr">
        <is>
          <t>T1 Energy Inc.</t>
        </is>
      </c>
      <c r="C138" s="33" t="inlineStr">
        <is>
          <t>01 Power Generation / Solar &amp; renewables equipment (behind-the-meter DC power)</t>
        </is>
      </c>
      <c r="D138" s="33" t="inlineStr">
        <is>
          <t>2026-10-11</t>
        </is>
      </c>
      <c r="E138" s="33" t="n">
        <v>28.356339</v>
      </c>
      <c r="F138" s="33" t="n">
        <v>-19.898</v>
      </c>
      <c r="G138" s="33" t="n">
        <v>-18.2</v>
      </c>
      <c r="H138" s="33" t="n">
        <v>1.0185086</v>
      </c>
      <c r="I138" s="33">
        <f>IF(OR(E138="",R138="",R138&lt;=0,E138&lt;0),"",E138/R138)</f>
        <v/>
      </c>
      <c r="J138" s="33" t="n">
        <v>65.90000000000001</v>
      </c>
      <c r="K138" s="33" t="n">
        <v>-12.78</v>
      </c>
      <c r="L138" s="33" t="n">
        <v>5.9</v>
      </c>
      <c r="M138" s="33" t="n">
        <v>-18.54</v>
      </c>
      <c r="O138" s="33" t="n">
        <v>21.6</v>
      </c>
      <c r="Q138" s="33" t="n">
        <v>88.40000000000001</v>
      </c>
      <c r="S138" s="33">
        <f>IFERROR(AVERAGE(IFERROR(IF(P138="","",IF(P138&gt;=40,100,IF(P138&gt;=30,90,IF(P138&gt;=20,75,IF(P138&gt;=15,60,IF(P138&gt;=10,45,IF(P138&gt;=5,30,15))))))),""),IFERROR(IF(Q138="","",IF(Q138&gt;=40,100,IF(Q138&gt;=30,90,IF(Q138&gt;=20,75,IF(Q138&gt;=10,60,IF(Q138&gt;=5,45,IF(Q138&gt;=0,30,15))))))),""),IFERROR(IF(R138="","",IF(R138&gt;=40,100,IF(R138&gt;=30,90,IF(R138&gt;=20,75,IF(R138&gt;=10,60,IF(R138&gt;=0,45,IF(R138&gt;=-10,30,15))))))),"")),"")</f>
        <v/>
      </c>
      <c r="T138" s="33" t="n">
        <v>1</v>
      </c>
      <c r="U138" s="33" t="n">
        <v>2</v>
      </c>
      <c r="V138" s="33" t="n">
        <v>2</v>
      </c>
      <c r="W138" s="33" t="n">
        <v>5</v>
      </c>
      <c r="X138" s="33" t="n">
        <v>1</v>
      </c>
      <c r="Y138" s="33">
        <f>IFERROR((AVERAGE(T138,U138,V138,W138,X138)-1)*25,"")</f>
        <v/>
      </c>
      <c r="Z138" s="33" t="n">
        <v>3</v>
      </c>
      <c r="AA138" s="33" t="n">
        <v>3</v>
      </c>
      <c r="AB138" s="33" t="n">
        <v>3</v>
      </c>
      <c r="AC138" s="33" t="n">
        <v>30</v>
      </c>
      <c r="AD138" s="33">
        <f>IFERROR(AVERAGE(IFERROR(IF(Z138="","",Z138*20),""),IFERROR(IF(AA138="","",AA138*20),""),IFERROR(IF(AB138="","",AB138*20),""),IFERROR(IF(AC138="","",IF(AC138&gt;=85,100,IF(AC138&gt;=70,90,IF(AC138&gt;=55,75,IF(AC138&gt;=40,60,IF(AC138&gt;=25,40,20)))))),"")),"")</f>
        <v/>
      </c>
      <c r="AE138" s="33" t="n">
        <v>1</v>
      </c>
      <c r="AF138" s="33" t="n">
        <v>3</v>
      </c>
      <c r="AG138" s="33" t="n">
        <v>2</v>
      </c>
      <c r="AH138" s="33" t="n">
        <v>2</v>
      </c>
      <c r="AI138" s="33">
        <f>IFERROR((AVERAGE(AE138,AF138,AG138,AH138,AL138)-1)*25,"")</f>
        <v/>
      </c>
      <c r="AJ138" s="33">
        <f>IFERROR(J138*Weights!$B$4 + O138*Weights!$B$5 + S138*Weights!$B$6 + Y138*Weights!$B$7 + AD138*Weights!$B$8 + AI138*Weights!$B$9,"")</f>
        <v/>
      </c>
      <c r="AK138" s="33">
        <f>IF(AJ138="","",IF(AJ138&gt;=85,"✓✓✓",IF(AJ138&gt;=70,"✓✓",IF(AJ138&gt;=55,"✓",IF(AJ138&gt;=40,"?","✗")))))</f>
        <v/>
      </c>
      <c r="AL138" s="33" t="n">
        <v>5</v>
      </c>
    </row>
    <row r="139">
      <c r="A139" s="33" t="inlineStr">
        <is>
          <t>PSIX</t>
        </is>
      </c>
      <c r="B139" s="33" t="inlineStr">
        <is>
          <t>Power Solutions International, Inc.</t>
        </is>
      </c>
      <c r="C139" s="33" t="inlineStr">
        <is>
          <t>01 Power Generation / Distributed / on-site power</t>
        </is>
      </c>
      <c r="D139" s="33" t="inlineStr">
        <is>
          <t>2026-10-11</t>
        </is>
      </c>
      <c r="E139" s="33" t="n">
        <v>15.358895</v>
      </c>
      <c r="F139" s="33" t="n">
        <v>13.364</v>
      </c>
      <c r="G139" s="33" t="n">
        <v>5.81</v>
      </c>
      <c r="H139" s="33" t="n">
        <v>1.7079377</v>
      </c>
      <c r="I139" s="33">
        <f>IF(OR(E139="",R139="",R139&lt;=0,E139&lt;0),"",E139/R139)</f>
        <v/>
      </c>
      <c r="J139" s="33" t="n">
        <v>85.2</v>
      </c>
      <c r="K139" s="33" t="n">
        <v>21.77</v>
      </c>
      <c r="L139" s="33" t="n">
        <v>23.86</v>
      </c>
      <c r="M139" s="33" t="n">
        <v>9.92</v>
      </c>
      <c r="N139" s="33" t="n">
        <v>0.7</v>
      </c>
      <c r="O139" s="33" t="n">
        <v>65.40000000000001</v>
      </c>
      <c r="P139" s="33" t="n">
        <v>14.49</v>
      </c>
      <c r="Q139" s="33" t="n">
        <v>-20.5</v>
      </c>
      <c r="R139" s="33" t="n">
        <v>-67.09999999999999</v>
      </c>
      <c r="S139" s="33">
        <f>IFERROR(AVERAGE(IFERROR(IF(P139="","",IF(P139&gt;=40,100,IF(P139&gt;=30,90,IF(P139&gt;=20,75,IF(P139&gt;=15,60,IF(P139&gt;=10,45,IF(P139&gt;=5,30,15))))))),""),IFERROR(IF(Q139="","",IF(Q139&gt;=40,100,IF(Q139&gt;=30,90,IF(Q139&gt;=20,75,IF(Q139&gt;=10,60,IF(Q139&gt;=5,45,IF(Q139&gt;=0,30,15))))))),""),IFERROR(IF(R139="","",IF(R139&gt;=40,100,IF(R139&gt;=30,90,IF(R139&gt;=20,75,IF(R139&gt;=10,60,IF(R139&gt;=0,45,IF(R139&gt;=-10,30,15))))))),"")),"")</f>
        <v/>
      </c>
      <c r="T139" s="33" t="n">
        <v>2</v>
      </c>
      <c r="U139" s="33" t="n">
        <v>2</v>
      </c>
      <c r="V139" s="33" t="n">
        <v>2</v>
      </c>
      <c r="W139" s="33" t="n">
        <v>4</v>
      </c>
      <c r="X139" s="33" t="n">
        <v>2</v>
      </c>
      <c r="Y139" s="33">
        <f>IFERROR((AVERAGE(T139,U139,V139,W139,X139)-1)*25,"")</f>
        <v/>
      </c>
      <c r="Z139" s="33" t="n">
        <v>2</v>
      </c>
      <c r="AA139" s="33" t="n">
        <v>1</v>
      </c>
      <c r="AB139" s="33" t="n">
        <v>3</v>
      </c>
      <c r="AC139" s="33" t="n">
        <v>45.8</v>
      </c>
      <c r="AD139" s="33">
        <f>IFERROR(AVERAGE(IFERROR(IF(Z139="","",Z139*20),""),IFERROR(IF(AA139="","",AA139*20),""),IFERROR(IF(AB139="","",AB139*20),""),IFERROR(IF(AC139="","",IF(AC139&gt;=85,100,IF(AC139&gt;=70,90,IF(AC139&gt;=55,75,IF(AC139&gt;=40,60,IF(AC139&gt;=25,40,20)))))),"")),"")</f>
        <v/>
      </c>
      <c r="AE139" s="33" t="n">
        <v>4</v>
      </c>
      <c r="AF139" s="33" t="n">
        <v>5</v>
      </c>
      <c r="AG139" s="33" t="n">
        <v>4</v>
      </c>
      <c r="AH139" s="33" t="n">
        <v>2</v>
      </c>
      <c r="AI139" s="33">
        <f>IFERROR((AVERAGE(AE139,AF139,AG139,AH139,AL139)-1)*25,"")</f>
        <v/>
      </c>
      <c r="AJ139" s="33">
        <f>IFERROR(J139*Weights!$B$4 + O139*Weights!$B$5 + S139*Weights!$B$6 + Y139*Weights!$B$7 + AD139*Weights!$B$8 + AI139*Weights!$B$9,"")</f>
        <v/>
      </c>
      <c r="AK139" s="33">
        <f>IF(AJ139="","",IF(AJ139&gt;=85,"✓✓✓",IF(AJ139&gt;=70,"✓✓",IF(AJ139&gt;=55,"✓",IF(AJ139&gt;=40,"?","✗")))))</f>
        <v/>
      </c>
      <c r="AL139" s="33" t="n">
        <v>5</v>
      </c>
    </row>
    <row r="140">
      <c r="A140" s="33" t="inlineStr">
        <is>
          <t>PUMP</t>
        </is>
      </c>
      <c r="B140" s="33" t="inlineStr">
        <is>
          <t>ProPetro Holding Corp.</t>
        </is>
      </c>
      <c r="C140" s="33" t="inlineStr">
        <is>
          <t>01 Power Generation / Distributed / on-site power</t>
        </is>
      </c>
      <c r="D140" s="33" t="inlineStr">
        <is>
          <t>2026-10-11</t>
        </is>
      </c>
      <c r="E140" s="33" t="n">
        <v>25.441519</v>
      </c>
      <c r="F140" s="33" t="n">
        <v>7.964</v>
      </c>
      <c r="G140" s="33" t="n">
        <v>-1.93</v>
      </c>
      <c r="H140" s="33" t="n">
        <v>0.9624015</v>
      </c>
      <c r="I140" s="33">
        <f>IF(OR(E140="",R140="",R140&lt;=0,E140&lt;0),"",E140/R140)</f>
        <v/>
      </c>
      <c r="J140" s="33" t="n">
        <v>60.5</v>
      </c>
      <c r="K140" s="33" t="n">
        <v>-0.68</v>
      </c>
      <c r="L140" s="33" t="n">
        <v>22.69</v>
      </c>
      <c r="M140" s="33" t="n">
        <v>-1.85</v>
      </c>
      <c r="N140" s="33" t="n">
        <v>0.49</v>
      </c>
      <c r="O140" s="33" t="n">
        <v>45.6</v>
      </c>
      <c r="P140" s="33" t="n">
        <v>-0.28</v>
      </c>
      <c r="Q140" s="33" t="n">
        <v>-6.2</v>
      </c>
      <c r="S140" s="33">
        <f>IFERROR(AVERAGE(IFERROR(IF(P140="","",IF(P140&gt;=40,100,IF(P140&gt;=30,90,IF(P140&gt;=20,75,IF(P140&gt;=15,60,IF(P140&gt;=10,45,IF(P140&gt;=5,30,15))))))),""),IFERROR(IF(Q140="","",IF(Q140&gt;=40,100,IF(Q140&gt;=30,90,IF(Q140&gt;=20,75,IF(Q140&gt;=10,60,IF(Q140&gt;=5,45,IF(Q140&gt;=0,30,15))))))),""),IFERROR(IF(R140="","",IF(R140&gt;=40,100,IF(R140&gt;=30,90,IF(R140&gt;=20,75,IF(R140&gt;=10,60,IF(R140&gt;=0,45,IF(R140&gt;=-10,30,15))))))),"")),"")</f>
        <v/>
      </c>
      <c r="T140" s="33" t="n">
        <v>1</v>
      </c>
      <c r="U140" s="33" t="n">
        <v>2</v>
      </c>
      <c r="V140" s="33" t="n">
        <v>2</v>
      </c>
      <c r="W140" s="33" t="n">
        <v>4</v>
      </c>
      <c r="X140" s="33" t="n">
        <v>3</v>
      </c>
      <c r="Y140" s="33">
        <f>IFERROR((AVERAGE(T140,U140,V140,W140,X140)-1)*25,"")</f>
        <v/>
      </c>
      <c r="Z140" s="33" t="n">
        <v>4</v>
      </c>
      <c r="AA140" s="33" t="n">
        <v>4</v>
      </c>
      <c r="AB140" s="33" t="n">
        <v>3</v>
      </c>
      <c r="AC140" s="33" t="n">
        <v>25.8</v>
      </c>
      <c r="AD140" s="33">
        <f>IFERROR(AVERAGE(IFERROR(IF(Z140="","",Z140*20),""),IFERROR(IF(AA140="","",AA140*20),""),IFERROR(IF(AB140="","",AB140*20),""),IFERROR(IF(AC140="","",IF(AC140&gt;=85,100,IF(AC140&gt;=70,90,IF(AC140&gt;=55,75,IF(AC140&gt;=40,60,IF(AC140&gt;=25,40,20)))))),"")),"")</f>
        <v/>
      </c>
      <c r="AE140" s="33" t="n">
        <v>3</v>
      </c>
      <c r="AF140" s="33" t="n">
        <v>5</v>
      </c>
      <c r="AG140" s="33" t="n">
        <v>4</v>
      </c>
      <c r="AH140" s="33" t="n">
        <v>4</v>
      </c>
      <c r="AI140" s="33">
        <f>IFERROR((AVERAGE(AE140,AF140,AG140,AH140,AL140)-1)*25,"")</f>
        <v/>
      </c>
      <c r="AJ140" s="33">
        <f>IFERROR(J140*Weights!$B$4 + O140*Weights!$B$5 + S140*Weights!$B$6 + Y140*Weights!$B$7 + AD140*Weights!$B$8 + AI140*Weights!$B$9,"")</f>
        <v/>
      </c>
      <c r="AK140" s="33">
        <f>IF(AJ140="","",IF(AJ140&gt;=85,"✓✓✓",IF(AJ140&gt;=70,"✓✓",IF(AJ140&gt;=55,"✓",IF(AJ140&gt;=40,"?","✗")))))</f>
        <v/>
      </c>
      <c r="AL140" s="33" t="n">
        <v>5</v>
      </c>
    </row>
    <row r="141">
      <c r="A141" s="33" t="inlineStr">
        <is>
          <t>BW</t>
        </is>
      </c>
      <c r="B141" s="33" t="inlineStr">
        <is>
          <t>Babcock &amp; Wilcox Enterprises, Inc.</t>
        </is>
      </c>
      <c r="C141" s="33" t="inlineStr">
        <is>
          <t>01 Power Generation / Distributed / on-site power</t>
        </is>
      </c>
      <c r="D141" s="33" t="inlineStr">
        <is>
          <t>2026-10-11</t>
        </is>
      </c>
      <c r="E141" s="33" t="n">
        <v>12.2011175</v>
      </c>
      <c r="F141" s="33" t="n">
        <v>28.114</v>
      </c>
      <c r="G141" s="33" t="n">
        <v>-7.15</v>
      </c>
      <c r="H141" s="33" t="n">
        <v>0.9748275</v>
      </c>
      <c r="I141" s="33">
        <f>IF(OR(E141="",R141="",R141&lt;=0,E141&lt;0),"",E141/R141)</f>
        <v/>
      </c>
      <c r="J141" s="33" t="n">
        <v>43.1</v>
      </c>
      <c r="K141" s="33" t="n">
        <v>3.8</v>
      </c>
      <c r="L141" s="33" t="n">
        <v>19.74</v>
      </c>
      <c r="M141" s="33" t="n">
        <v>-6.97</v>
      </c>
      <c r="N141" s="33" t="n">
        <v>0.27</v>
      </c>
      <c r="O141" s="33" t="n">
        <v>32.8</v>
      </c>
      <c r="P141" s="33" t="n">
        <v>-1.2</v>
      </c>
      <c r="Q141" s="33" t="n">
        <v>130.3</v>
      </c>
      <c r="S141" s="33">
        <f>IFERROR(AVERAGE(IFERROR(IF(P141="","",IF(P141&gt;=40,100,IF(P141&gt;=30,90,IF(P141&gt;=20,75,IF(P141&gt;=15,60,IF(P141&gt;=10,45,IF(P141&gt;=5,30,15))))))),""),IFERROR(IF(Q141="","",IF(Q141&gt;=40,100,IF(Q141&gt;=30,90,IF(Q141&gt;=20,75,IF(Q141&gt;=10,60,IF(Q141&gt;=5,45,IF(Q141&gt;=0,30,15))))))),""),IFERROR(IF(R141="","",IF(R141&gt;=40,100,IF(R141&gt;=30,90,IF(R141&gt;=20,75,IF(R141&gt;=10,60,IF(R141&gt;=0,45,IF(R141&gt;=-10,30,15))))))),"")),"")</f>
        <v/>
      </c>
      <c r="T141" s="33" t="n">
        <v>3</v>
      </c>
      <c r="U141" s="33" t="n">
        <v>3</v>
      </c>
      <c r="V141" s="33" t="n">
        <v>2</v>
      </c>
      <c r="W141" s="33" t="n">
        <v>5</v>
      </c>
      <c r="X141" s="33" t="n">
        <v>3</v>
      </c>
      <c r="Y141" s="33">
        <f>IFERROR((AVERAGE(T141,U141,V141,W141,X141)-1)*25,"")</f>
        <v/>
      </c>
      <c r="Z141" s="33" t="n">
        <v>3</v>
      </c>
      <c r="AA141" s="33" t="n">
        <v>5</v>
      </c>
      <c r="AB141" s="33" t="n">
        <v>3</v>
      </c>
      <c r="AC141" s="33" t="n">
        <v>26.7</v>
      </c>
      <c r="AD141" s="33">
        <f>IFERROR(AVERAGE(IFERROR(IF(Z141="","",Z141*20),""),IFERROR(IF(AA141="","",AA141*20),""),IFERROR(IF(AB141="","",AB141*20),""),IFERROR(IF(AC141="","",IF(AC141&gt;=85,100,IF(AC141&gt;=70,90,IF(AC141&gt;=55,75,IF(AC141&gt;=40,60,IF(AC141&gt;=25,40,20)))))),"")),"")</f>
        <v/>
      </c>
      <c r="AE141" s="33" t="n">
        <v>1</v>
      </c>
      <c r="AF141" s="33" t="n">
        <v>5</v>
      </c>
      <c r="AG141" s="33" t="n">
        <v>2</v>
      </c>
      <c r="AH141" s="33" t="n">
        <v>4</v>
      </c>
      <c r="AI141" s="33">
        <f>IFERROR((AVERAGE(AE141,AF141,AG141,AH141,AL141)-1)*25,"")</f>
        <v/>
      </c>
      <c r="AJ141" s="33">
        <f>IFERROR(J141*Weights!$B$4 + O141*Weights!$B$5 + S141*Weights!$B$6 + Y141*Weights!$B$7 + AD141*Weights!$B$8 + AI141*Weights!$B$9,"")</f>
        <v/>
      </c>
      <c r="AK141" s="33">
        <f>IF(AJ141="","",IF(AJ141&gt;=85,"✓✓✓",IF(AJ141&gt;=70,"✓✓",IF(AJ141&gt;=55,"✓",IF(AJ141&gt;=40,"?","✗")))))</f>
        <v/>
      </c>
      <c r="AL141" s="33" t="n">
        <v>5</v>
      </c>
    </row>
    <row r="142">
      <c r="A142" s="33" t="inlineStr">
        <is>
          <t>WYFI</t>
        </is>
      </c>
      <c r="B142" s="33" t="inlineStr">
        <is>
          <t>WhiteFiber, Inc.</t>
        </is>
      </c>
      <c r="C142" s="33" t="inlineStr">
        <is>
          <t>09 Compute-as-a-Service / Neoclouds (AI-native cloud providers)</t>
        </is>
      </c>
      <c r="D142" s="33" t="inlineStr">
        <is>
          <t>2026-10-11</t>
        </is>
      </c>
      <c r="E142" s="33" t="n">
        <v>107.650085</v>
      </c>
      <c r="F142" s="33" t="n">
        <v>13.1</v>
      </c>
      <c r="G142" s="33" t="n">
        <v>-55.87</v>
      </c>
      <c r="H142" s="33" t="n">
        <v>6.5586076</v>
      </c>
      <c r="I142" s="33">
        <f>IF(OR(E142="",R142="",R142&lt;=0,E142&lt;0),"",E142/R142)</f>
        <v/>
      </c>
      <c r="J142" s="33" t="n">
        <v>23.8</v>
      </c>
      <c r="K142" s="33" t="n">
        <v>-3.71</v>
      </c>
      <c r="L142" s="33" t="n">
        <v>85.91</v>
      </c>
      <c r="M142" s="33" t="n">
        <v>-366.45</v>
      </c>
      <c r="O142" s="33" t="n">
        <v>54.2</v>
      </c>
      <c r="Q142" s="33" t="n">
        <v>55.7</v>
      </c>
      <c r="S142" s="33">
        <f>IFERROR(AVERAGE(IFERROR(IF(P142="","",IF(P142&gt;=40,100,IF(P142&gt;=30,90,IF(P142&gt;=20,75,IF(P142&gt;=15,60,IF(P142&gt;=10,45,IF(P142&gt;=5,30,15))))))),""),IFERROR(IF(Q142="","",IF(Q142&gt;=40,100,IF(Q142&gt;=30,90,IF(Q142&gt;=20,75,IF(Q142&gt;=10,60,IF(Q142&gt;=5,45,IF(Q142&gt;=0,30,15))))))),""),IFERROR(IF(R142="","",IF(R142&gt;=40,100,IF(R142&gt;=30,90,IF(R142&gt;=20,75,IF(R142&gt;=10,60,IF(R142&gt;=0,45,IF(R142&gt;=-10,30,15))))))),"")),"")</f>
        <v/>
      </c>
      <c r="T142" s="33" t="n">
        <v>5</v>
      </c>
      <c r="U142" s="33" t="n">
        <v>2</v>
      </c>
      <c r="V142" s="33" t="n">
        <v>2</v>
      </c>
      <c r="W142" s="33" t="n">
        <v>5</v>
      </c>
      <c r="X142" s="33" t="n">
        <v>2</v>
      </c>
      <c r="Y142" s="33">
        <f>IFERROR((AVERAGE(T142,U142,V142,W142,X142)-1)*25,"")</f>
        <v/>
      </c>
      <c r="Z142" s="33" t="n">
        <v>3</v>
      </c>
      <c r="AA142" s="33" t="n">
        <v>3</v>
      </c>
      <c r="AB142" s="33" t="n">
        <v>3</v>
      </c>
      <c r="AC142" s="33" t="n">
        <v>48.3</v>
      </c>
      <c r="AD142" s="33">
        <f>IFERROR(AVERAGE(IFERROR(IF(Z142="","",Z142*20),""),IFERROR(IF(AA142="","",AA142*20),""),IFERROR(IF(AB142="","",AB142*20),""),IFERROR(IF(AC142="","",IF(AC142&gt;=85,100,IF(AC142&gt;=70,90,IF(AC142&gt;=55,75,IF(AC142&gt;=40,60,IF(AC142&gt;=25,40,20)))))),"")),"")</f>
        <v/>
      </c>
      <c r="AE142" s="33" t="n">
        <v>1</v>
      </c>
      <c r="AF142" s="33" t="n">
        <v>5</v>
      </c>
      <c r="AG142" s="33" t="n">
        <v>2</v>
      </c>
      <c r="AH142" s="33" t="n">
        <v>4</v>
      </c>
      <c r="AI142" s="33">
        <f>IFERROR((AVERAGE(AE142,AF142,AG142,AH142,AL142)-1)*25,"")</f>
        <v/>
      </c>
      <c r="AJ142" s="33">
        <f>IFERROR(J142*Weights!$B$4 + O142*Weights!$B$5 + S142*Weights!$B$6 + Y142*Weights!$B$7 + AD142*Weights!$B$8 + AI142*Weights!$B$9,"")</f>
        <v/>
      </c>
      <c r="AK142" s="33">
        <f>IF(AJ142="","",IF(AJ142&gt;=85,"✓✓✓",IF(AJ142&gt;=70,"✓✓",IF(AJ142&gt;=55,"✓",IF(AJ142&gt;=40,"?","✗")))))</f>
        <v/>
      </c>
      <c r="AL142" s="33" t="n">
        <v>5</v>
      </c>
    </row>
    <row r="143">
      <c r="A143" s="33" t="inlineStr">
        <is>
          <t>SHAZ</t>
        </is>
      </c>
      <c r="B143" s="33" t="inlineStr">
        <is>
          <t>SharonAI Holdings Inc.</t>
        </is>
      </c>
      <c r="C143" s="33" t="inlineStr">
        <is>
          <t>09 Compute-as-a-Service / Neoclouds (AI-native cloud providers)</t>
        </is>
      </c>
      <c r="D143" s="33" t="inlineStr">
        <is>
          <t>2026-10-11</t>
        </is>
      </c>
      <c r="E143" s="33" t="n">
        <v>-4.7800884</v>
      </c>
      <c r="F143" s="33" t="n">
        <v>5.8</v>
      </c>
      <c r="G143" s="33" t="n">
        <v>-22.96</v>
      </c>
      <c r="H143" s="33" t="n">
        <v>439.49802</v>
      </c>
      <c r="I143" s="33">
        <f>IF(OR(E143="",R143="",R143&lt;=0,E143&lt;0),"",E143/R143)</f>
        <v/>
      </c>
      <c r="J143" s="33" t="n">
        <v>36.2</v>
      </c>
      <c r="K143" s="33" t="n">
        <v>-1.04</v>
      </c>
      <c r="L143" s="33" t="n">
        <v>33.92</v>
      </c>
      <c r="M143" s="33" t="n">
        <v>-10091.25</v>
      </c>
      <c r="O143" s="33" t="n">
        <v>25.8</v>
      </c>
      <c r="Q143" s="33" t="n">
        <v>412.3</v>
      </c>
      <c r="S143" s="33">
        <f>IFERROR(AVERAGE(IFERROR(IF(P143="","",IF(P143&gt;=40,100,IF(P143&gt;=30,90,IF(P143&gt;=20,75,IF(P143&gt;=15,60,IF(P143&gt;=10,45,IF(P143&gt;=5,30,15))))))),""),IFERROR(IF(Q143="","",IF(Q143&gt;=40,100,IF(Q143&gt;=30,90,IF(Q143&gt;=20,75,IF(Q143&gt;=10,60,IF(Q143&gt;=5,45,IF(Q143&gt;=0,30,15))))))),""),IFERROR(IF(R143="","",IF(R143&gt;=40,100,IF(R143&gt;=30,90,IF(R143&gt;=20,75,IF(R143&gt;=10,60,IF(R143&gt;=0,45,IF(R143&gt;=-10,30,15))))))),"")),"")</f>
        <v/>
      </c>
      <c r="T143" s="33" t="n">
        <v>5</v>
      </c>
      <c r="U143" s="33" t="n">
        <v>2</v>
      </c>
      <c r="V143" s="33" t="n">
        <v>2</v>
      </c>
      <c r="W143" s="33" t="n">
        <v>2</v>
      </c>
      <c r="X143" s="33" t="n">
        <v>2</v>
      </c>
      <c r="Y143" s="33">
        <f>IFERROR((AVERAGE(T143,U143,V143,W143,X143)-1)*25,"")</f>
        <v/>
      </c>
      <c r="AC143" s="33" t="n">
        <v>52.6</v>
      </c>
      <c r="AD143" s="33">
        <f>IFERROR(AVERAGE(IFERROR(IF(Z143="","",Z143*20),""),IFERROR(IF(AA143="","",AA143*20),""),IFERROR(IF(AB143="","",AB143*20),""),IFERROR(IF(AC143="","",IF(AC143&gt;=85,100,IF(AC143&gt;=70,90,IF(AC143&gt;=55,75,IF(AC143&gt;=40,60,IF(AC143&gt;=25,40,20)))))),"")),"")</f>
        <v/>
      </c>
      <c r="AE143" s="33" t="n">
        <v>1</v>
      </c>
      <c r="AF143" s="33" t="n">
        <v>2</v>
      </c>
      <c r="AG143" s="33" t="n">
        <v>2</v>
      </c>
      <c r="AH143" s="33" t="n">
        <v>2</v>
      </c>
      <c r="AI143" s="33">
        <f>IFERROR((AVERAGE(AE143,AF143,AG143,AH143,AL143)-1)*25,"")</f>
        <v/>
      </c>
      <c r="AJ143" s="33">
        <f>IFERROR(J143*Weights!$B$4 + O143*Weights!$B$5 + S143*Weights!$B$6 + Y143*Weights!$B$7 + AD143*Weights!$B$8 + AI143*Weights!$B$9,"")</f>
        <v/>
      </c>
      <c r="AK143" s="33">
        <f>IF(AJ143="","",IF(AJ143&gt;=85,"✓✓✓",IF(AJ143&gt;=70,"✓✓",IF(AJ143&gt;=55,"✓",IF(AJ143&gt;=40,"?","✗")))))</f>
        <v/>
      </c>
      <c r="AL143" s="33" t="n">
        <v>5</v>
      </c>
    </row>
    <row r="144">
      <c r="A144" s="33" t="inlineStr">
        <is>
          <t>HIVE</t>
        </is>
      </c>
      <c r="B144" s="33" t="inlineStr">
        <is>
          <t>HIVE Digital Technologies Ltd.</t>
        </is>
      </c>
      <c r="C144" s="33" t="inlineStr">
        <is>
          <t>09 Compute-as-a-Service / Bitcoin miners pivoting to AI hosting</t>
        </is>
      </c>
      <c r="D144" s="33" t="inlineStr">
        <is>
          <t>2026-10-11</t>
        </is>
      </c>
      <c r="E144" s="33" t="n">
        <v>-11.904762</v>
      </c>
      <c r="F144" s="33" t="n">
        <v>1.7</v>
      </c>
      <c r="G144" s="33" t="n">
        <v>-17.59</v>
      </c>
      <c r="H144" s="33" t="n">
        <v>2.0697052</v>
      </c>
      <c r="I144" s="33">
        <f>IF(OR(E144="",R144="",R144&lt;=0,E144&lt;0),"",E144/R144)</f>
        <v/>
      </c>
      <c r="J144" s="33" t="n">
        <v>83.8</v>
      </c>
      <c r="K144" s="33" t="n">
        <v>-23.37</v>
      </c>
      <c r="L144" s="33" t="n">
        <v>35.09</v>
      </c>
      <c r="M144" s="33" t="n">
        <v>-36.41</v>
      </c>
      <c r="N144" s="33" t="n">
        <v>4.34</v>
      </c>
      <c r="O144" s="33" t="n">
        <v>50.6</v>
      </c>
      <c r="P144" s="33" t="n">
        <v>40.96</v>
      </c>
      <c r="Q144" s="33" t="n">
        <v>73.5</v>
      </c>
      <c r="S144" s="33">
        <f>IFERROR(AVERAGE(IFERROR(IF(P144="","",IF(P144&gt;=40,100,IF(P144&gt;=30,90,IF(P144&gt;=20,75,IF(P144&gt;=15,60,IF(P144&gt;=10,45,IF(P144&gt;=5,30,15))))))),""),IFERROR(IF(Q144="","",IF(Q144&gt;=40,100,IF(Q144&gt;=30,90,IF(Q144&gt;=20,75,IF(Q144&gt;=10,60,IF(Q144&gt;=5,45,IF(Q144&gt;=0,30,15))))))),""),IFERROR(IF(R144="","",IF(R144&gt;=40,100,IF(R144&gt;=30,90,IF(R144&gt;=20,75,IF(R144&gt;=10,60,IF(R144&gt;=0,45,IF(R144&gt;=-10,30,15))))))),"")),"")</f>
        <v/>
      </c>
      <c r="T144" s="33" t="n">
        <v>2</v>
      </c>
      <c r="U144" s="33" t="n">
        <v>2</v>
      </c>
      <c r="V144" s="33" t="n">
        <v>2</v>
      </c>
      <c r="W144" s="33" t="n">
        <v>4</v>
      </c>
      <c r="X144" s="33" t="n">
        <v>2</v>
      </c>
      <c r="Y144" s="33">
        <f>IFERROR((AVERAGE(T144,U144,V144,W144,X144)-1)*25,"")</f>
        <v/>
      </c>
      <c r="Z144" s="33" t="n">
        <v>3</v>
      </c>
      <c r="AA144" s="33" t="n">
        <v>3</v>
      </c>
      <c r="AB144" s="33" t="n">
        <v>2</v>
      </c>
      <c r="AC144" s="33" t="n">
        <v>55</v>
      </c>
      <c r="AD144" s="33">
        <f>IFERROR(AVERAGE(IFERROR(IF(Z144="","",Z144*20),""),IFERROR(IF(AA144="","",AA144*20),""),IFERROR(IF(AB144="","",AB144*20),""),IFERROR(IF(AC144="","",IF(AC144&gt;=85,100,IF(AC144&gt;=70,90,IF(AC144&gt;=55,75,IF(AC144&gt;=40,60,IF(AC144&gt;=25,40,20)))))),"")),"")</f>
        <v/>
      </c>
      <c r="AE144" s="33" t="n">
        <v>3</v>
      </c>
      <c r="AF144" s="33" t="n">
        <v>3</v>
      </c>
      <c r="AG144" s="33" t="n">
        <v>2</v>
      </c>
      <c r="AH144" s="33" t="n">
        <v>4</v>
      </c>
      <c r="AI144" s="33">
        <f>IFERROR((AVERAGE(AE144,AF144,AG144,AH144,AL144)-1)*25,"")</f>
        <v/>
      </c>
      <c r="AJ144" s="33">
        <f>IFERROR(J144*Weights!$B$4 + O144*Weights!$B$5 + S144*Weights!$B$6 + Y144*Weights!$B$7 + AD144*Weights!$B$8 + AI144*Weights!$B$9,"")</f>
        <v/>
      </c>
      <c r="AK144" s="33">
        <f>IF(AJ144="","",IF(AJ144&gt;=85,"✓✓✓",IF(AJ144&gt;=70,"✓✓",IF(AJ144&gt;=55,"✓",IF(AJ144&gt;=40,"?","✗")))))</f>
        <v/>
      </c>
      <c r="AL144" s="33" t="n">
        <v>5</v>
      </c>
    </row>
    <row r="145">
      <c r="A145" s="33" t="inlineStr">
        <is>
          <t>TXN</t>
        </is>
      </c>
      <c r="B145" s="33" t="inlineStr">
        <is>
          <t>TEXAS INSTRUMENTS INCORPORATED</t>
        </is>
      </c>
      <c r="C145" s="33" t="inlineStr">
        <is>
          <t>06 AI Compute Silicon / Analog &amp; embedded (power management)</t>
        </is>
      </c>
      <c r="D145" s="33" t="inlineStr">
        <is>
          <t>2026-10-11</t>
        </is>
      </c>
      <c r="E145" s="33" t="n">
        <v>26.655142</v>
      </c>
      <c r="F145" s="33" t="n">
        <v>28.462</v>
      </c>
      <c r="G145" s="33" t="n">
        <v>2.07</v>
      </c>
      <c r="H145" s="33" t="n">
        <v>13.320562</v>
      </c>
      <c r="I145" s="33">
        <f>IF(OR(E145="",R145="",R145&lt;=0,E145&lt;0),"",E145/R145)</f>
        <v/>
      </c>
      <c r="J145" s="33" t="n">
        <v>54.5</v>
      </c>
      <c r="K145" s="33" t="n">
        <v>19.88</v>
      </c>
      <c r="L145" s="33" t="n">
        <v>58.33</v>
      </c>
      <c r="M145" s="33" t="n">
        <v>27.53</v>
      </c>
      <c r="N145" s="33" t="n">
        <v>0.74</v>
      </c>
      <c r="O145" s="33" t="n">
        <v>74</v>
      </c>
      <c r="P145" s="33" t="n">
        <v>-4.07</v>
      </c>
      <c r="Q145" s="33" t="n">
        <v>22.8</v>
      </c>
      <c r="R145" s="33" t="n">
        <v>52.9</v>
      </c>
      <c r="S145" s="33">
        <f>IFERROR(AVERAGE(IFERROR(IF(P145="","",IF(P145&gt;=40,100,IF(P145&gt;=30,90,IF(P145&gt;=20,75,IF(P145&gt;=15,60,IF(P145&gt;=10,45,IF(P145&gt;=5,30,15))))))),""),IFERROR(IF(Q145="","",IF(Q145&gt;=40,100,IF(Q145&gt;=30,90,IF(Q145&gt;=20,75,IF(Q145&gt;=10,60,IF(Q145&gt;=5,45,IF(Q145&gt;=0,30,15))))))),""),IFERROR(IF(R145="","",IF(R145&gt;=40,100,IF(R145&gt;=30,90,IF(R145&gt;=20,75,IF(R145&gt;=10,60,IF(R145&gt;=0,45,IF(R145&gt;=-10,30,15))))))),"")),"")</f>
        <v/>
      </c>
      <c r="T145" s="33" t="n">
        <v>2</v>
      </c>
      <c r="U145" s="33" t="n">
        <v>4</v>
      </c>
      <c r="V145" s="33" t="n">
        <v>4</v>
      </c>
      <c r="W145" s="33" t="n">
        <v>5</v>
      </c>
      <c r="X145" s="33" t="n">
        <v>2</v>
      </c>
      <c r="Y145" s="33">
        <f>IFERROR((AVERAGE(T145,U145,V145,W145,X145)-1)*25,"")</f>
        <v/>
      </c>
      <c r="Z145" s="33" t="n">
        <v>5</v>
      </c>
      <c r="AA145" s="33" t="n">
        <v>3</v>
      </c>
      <c r="AB145" s="33" t="n">
        <v>3</v>
      </c>
      <c r="AC145" s="33" t="n">
        <v>55</v>
      </c>
      <c r="AD145" s="33">
        <f>IFERROR(AVERAGE(IFERROR(IF(Z145="","",Z145*20),""),IFERROR(IF(AA145="","",AA145*20),""),IFERROR(IF(AB145="","",AB145*20),""),IFERROR(IF(AC145="","",IF(AC145&gt;=85,100,IF(AC145&gt;=70,90,IF(AC145&gt;=55,75,IF(AC145&gt;=40,60,IF(AC145&gt;=25,40,20)))))),"")),"")</f>
        <v/>
      </c>
      <c r="AE145" s="33" t="n">
        <v>5</v>
      </c>
      <c r="AF145" s="33" t="n">
        <v>3</v>
      </c>
      <c r="AG145" s="33" t="n">
        <v>4</v>
      </c>
      <c r="AH145" s="33" t="n">
        <v>4</v>
      </c>
      <c r="AI145" s="33">
        <f>IFERROR((AVERAGE(AE145,AF145,AG145,AH145,AL145)-1)*25,"")</f>
        <v/>
      </c>
      <c r="AJ145" s="33">
        <f>IFERROR(J145*Weights!$B$4 + O145*Weights!$B$5 + S145*Weights!$B$6 + Y145*Weights!$B$7 + AD145*Weights!$B$8 + AI145*Weights!$B$9,"")</f>
        <v/>
      </c>
      <c r="AK145" s="33">
        <f>IF(AJ145="","",IF(AJ145&gt;=85,"✓✓✓",IF(AJ145&gt;=70,"✓✓",IF(AJ145&gt;=55,"✓",IF(AJ145&gt;=40,"?","✗")))))</f>
        <v/>
      </c>
      <c r="AL145" s="33" t="n">
        <v>5</v>
      </c>
    </row>
    <row r="146">
      <c r="A146" s="33" t="inlineStr">
        <is>
          <t>QCOM</t>
        </is>
      </c>
      <c r="B146" s="33" t="inlineStr">
        <is>
          <t>QUALCOMM INCORPORATED</t>
        </is>
      </c>
      <c r="C146" s="33" t="inlineStr">
        <is>
          <t>06 AI Compute Silicon / Application processors &amp; connectivity (edge AI)</t>
        </is>
      </c>
      <c r="D146" s="33" t="inlineStr">
        <is>
          <t>2026-10-11</t>
        </is>
      </c>
      <c r="E146" s="33" t="n">
        <v>17.211536</v>
      </c>
      <c r="F146" s="33" t="n">
        <v>16.083</v>
      </c>
      <c r="G146" s="33" t="n">
        <v>5.56</v>
      </c>
      <c r="H146" s="33" t="n">
        <v>4.252555</v>
      </c>
      <c r="I146" s="33">
        <f>IF(OR(E146="",R146="",R146&lt;=0,E146&lt;0),"",E146/R146)</f>
        <v/>
      </c>
      <c r="J146" s="33" t="n">
        <v>70.5</v>
      </c>
      <c r="K146" s="33" t="n">
        <v>18.43</v>
      </c>
      <c r="L146" s="33" t="n">
        <v>54.23</v>
      </c>
      <c r="M146" s="33" t="n">
        <v>23.64</v>
      </c>
      <c r="N146" s="33" t="n">
        <v>0.58</v>
      </c>
      <c r="O146" s="33" t="n">
        <v>67.09999999999999</v>
      </c>
      <c r="P146" s="33" t="n">
        <v>0.06</v>
      </c>
      <c r="Q146" s="33" t="n">
        <v>-4</v>
      </c>
      <c r="S146" s="33">
        <f>IFERROR(AVERAGE(IFERROR(IF(P146="","",IF(P146&gt;=40,100,IF(P146&gt;=30,90,IF(P146&gt;=20,75,IF(P146&gt;=15,60,IF(P146&gt;=10,45,IF(P146&gt;=5,30,15))))))),""),IFERROR(IF(Q146="","",IF(Q146&gt;=40,100,IF(Q146&gt;=30,90,IF(Q146&gt;=20,75,IF(Q146&gt;=10,60,IF(Q146&gt;=5,45,IF(Q146&gt;=0,30,15))))))),""),IFERROR(IF(R146="","",IF(R146&gt;=40,100,IF(R146&gt;=30,90,IF(R146&gt;=20,75,IF(R146&gt;=10,60,IF(R146&gt;=0,45,IF(R146&gt;=-10,30,15))))))),"")),"")</f>
        <v/>
      </c>
      <c r="T146" s="33" t="n">
        <v>1</v>
      </c>
      <c r="U146" s="33" t="n">
        <v>3</v>
      </c>
      <c r="V146" s="33" t="n">
        <v>3</v>
      </c>
      <c r="W146" s="33" t="n">
        <v>3</v>
      </c>
      <c r="X146" s="33" t="n">
        <v>1</v>
      </c>
      <c r="Y146" s="33">
        <f>IFERROR((AVERAGE(T146,U146,V146,W146,X146)-1)*25,"")</f>
        <v/>
      </c>
      <c r="Z146" s="33" t="n">
        <v>2</v>
      </c>
      <c r="AA146" s="33" t="n">
        <v>1</v>
      </c>
      <c r="AB146" s="33" t="n">
        <v>3</v>
      </c>
      <c r="AC146" s="33" t="n">
        <v>58.3</v>
      </c>
      <c r="AD146" s="33">
        <f>IFERROR(AVERAGE(IFERROR(IF(Z146="","",Z146*20),""),IFERROR(IF(AA146="","",AA146*20),""),IFERROR(IF(AB146="","",AB146*20),""),IFERROR(IF(AC146="","",IF(AC146&gt;=85,100,IF(AC146&gt;=70,90,IF(AC146&gt;=55,75,IF(AC146&gt;=40,60,IF(AC146&gt;=25,40,20)))))),"")),"")</f>
        <v/>
      </c>
      <c r="AE146" s="33" t="n">
        <v>3</v>
      </c>
      <c r="AF146" s="33" t="n">
        <v>2</v>
      </c>
      <c r="AG146" s="33" t="n">
        <v>5</v>
      </c>
      <c r="AH146" s="33" t="n">
        <v>2</v>
      </c>
      <c r="AI146" s="33">
        <f>IFERROR((AVERAGE(AE146,AF146,AG146,AH146,AL146)-1)*25,"")</f>
        <v/>
      </c>
      <c r="AJ146" s="33">
        <f>IFERROR(J146*Weights!$B$4 + O146*Weights!$B$5 + S146*Weights!$B$6 + Y146*Weights!$B$7 + AD146*Weights!$B$8 + AI146*Weights!$B$9,"")</f>
        <v/>
      </c>
      <c r="AK146" s="33">
        <f>IF(AJ146="","",IF(AJ146&gt;=85,"✓✓✓",IF(AJ146&gt;=70,"✓✓",IF(AJ146&gt;=55,"✓",IF(AJ146&gt;=40,"?","✗")))))</f>
        <v/>
      </c>
      <c r="AL146" s="33" t="n">
        <v>5</v>
      </c>
    </row>
    <row r="147">
      <c r="A147" s="33" t="inlineStr">
        <is>
          <t>ADI</t>
        </is>
      </c>
      <c r="B147" s="33" t="inlineStr">
        <is>
          <t>ANALOG DEVICES INC</t>
        </is>
      </c>
      <c r="C147" s="33" t="inlineStr">
        <is>
          <t>06 AI Compute Silicon / Analog &amp; mixed-signal (signal chain + power)</t>
        </is>
      </c>
      <c r="D147" s="33" t="inlineStr">
        <is>
          <t>2026-10-11</t>
        </is>
      </c>
      <c r="E147" s="33" t="n">
        <v>24.846283</v>
      </c>
      <c r="F147" s="33" t="n">
        <v>29.692</v>
      </c>
      <c r="G147" s="33" t="n">
        <v>2.51</v>
      </c>
      <c r="H147" s="33" t="n">
        <v>14.1787405</v>
      </c>
      <c r="I147" s="33">
        <f>IF(OR(E147="",R147="",R147&lt;=0,E147&lt;0),"",E147/R147)</f>
        <v/>
      </c>
      <c r="J147" s="33" t="n">
        <v>56.1</v>
      </c>
      <c r="K147" s="33" t="n">
        <v>10.19</v>
      </c>
      <c r="L147" s="33" t="n">
        <v>65.8</v>
      </c>
      <c r="M147" s="33" t="n">
        <v>35.57</v>
      </c>
      <c r="N147" s="33" t="n">
        <v>0.99</v>
      </c>
      <c r="O147" s="33" t="n">
        <v>72.5</v>
      </c>
      <c r="P147" s="33" t="n">
        <v>-2.84</v>
      </c>
      <c r="Q147" s="33" t="n">
        <v>39.6</v>
      </c>
      <c r="R147" s="33" t="n">
        <v>158.4</v>
      </c>
      <c r="S147" s="33">
        <f>IFERROR(AVERAGE(IFERROR(IF(P147="","",IF(P147&gt;=40,100,IF(P147&gt;=30,90,IF(P147&gt;=20,75,IF(P147&gt;=15,60,IF(P147&gt;=10,45,IF(P147&gt;=5,30,15))))))),""),IFERROR(IF(Q147="","",IF(Q147&gt;=40,100,IF(Q147&gt;=30,90,IF(Q147&gt;=20,75,IF(Q147&gt;=10,60,IF(Q147&gt;=5,45,IF(Q147&gt;=0,30,15))))))),""),IFERROR(IF(R147="","",IF(R147&gt;=40,100,IF(R147&gt;=30,90,IF(R147&gt;=20,75,IF(R147&gt;=10,60,IF(R147&gt;=0,45,IF(R147&gt;=-10,30,15))))))),"")),"")</f>
        <v/>
      </c>
      <c r="T147" s="33" t="n">
        <v>3</v>
      </c>
      <c r="U147" s="33" t="n">
        <v>4</v>
      </c>
      <c r="V147" s="33" t="n">
        <v>4</v>
      </c>
      <c r="W147" s="33" t="n">
        <v>3</v>
      </c>
      <c r="X147" s="33" t="n">
        <v>2</v>
      </c>
      <c r="Y147" s="33">
        <f>IFERROR((AVERAGE(T147,U147,V147,W147,X147)-1)*25,"")</f>
        <v/>
      </c>
      <c r="Z147" s="33" t="n">
        <v>5</v>
      </c>
      <c r="AA147" s="33" t="n">
        <v>1</v>
      </c>
      <c r="AB147" s="33" t="n">
        <v>3</v>
      </c>
      <c r="AC147" s="33" t="n">
        <v>52.5</v>
      </c>
      <c r="AD147" s="33">
        <f>IFERROR(AVERAGE(IFERROR(IF(Z147="","",Z147*20),""),IFERROR(IF(AA147="","",AA147*20),""),IFERROR(IF(AB147="","",AB147*20),""),IFERROR(IF(AC147="","",IF(AC147&gt;=85,100,IF(AC147&gt;=70,90,IF(AC147&gt;=55,75,IF(AC147&gt;=40,60,IF(AC147&gt;=25,40,20)))))),"")),"")</f>
        <v/>
      </c>
      <c r="AE147" s="33" t="n">
        <v>5</v>
      </c>
      <c r="AF147" s="33" t="n">
        <v>3</v>
      </c>
      <c r="AG147" s="33" t="n">
        <v>4</v>
      </c>
      <c r="AH147" s="33" t="n">
        <v>4</v>
      </c>
      <c r="AI147" s="33">
        <f>IFERROR((AVERAGE(AE147,AF147,AG147,AH147,AL147)-1)*25,"")</f>
        <v/>
      </c>
      <c r="AJ147" s="33">
        <f>IFERROR(J147*Weights!$B$4 + O147*Weights!$B$5 + S147*Weights!$B$6 + Y147*Weights!$B$7 + AD147*Weights!$B$8 + AI147*Weights!$B$9,"")</f>
        <v/>
      </c>
      <c r="AK147" s="33">
        <f>IF(AJ147="","",IF(AJ147&gt;=85,"✓✓✓",IF(AJ147&gt;=70,"✓✓",IF(AJ147&gt;=55,"✓",IF(AJ147&gt;=40,"?","✗")))))</f>
        <v/>
      </c>
      <c r="AL147" s="33" t="n">
        <v>5</v>
      </c>
    </row>
    <row r="148">
      <c r="A148" s="33" t="inlineStr">
        <is>
          <t>STM</t>
        </is>
      </c>
      <c r="B148" s="33" t="inlineStr">
        <is>
          <t>STMicroelectronics N.V.</t>
        </is>
      </c>
      <c r="C148" s="33" t="inlineStr">
        <is>
          <t>06 AI Compute Silicon / Analog, power &amp; MCU (SiC)</t>
        </is>
      </c>
      <c r="D148" s="33" t="inlineStr">
        <is>
          <t>2026-10-11</t>
        </is>
      </c>
      <c r="E148" s="33" t="n">
        <v>20.48703</v>
      </c>
      <c r="F148" s="33" t="n">
        <v>17.498</v>
      </c>
      <c r="G148" s="33" t="n">
        <v>0.46</v>
      </c>
      <c r="H148" s="33" t="n">
        <v>3.5598183</v>
      </c>
      <c r="I148" s="33">
        <f>IF(OR(E148="",R148="",R148&lt;=0,E148&lt;0),"",E148/R148)</f>
        <v/>
      </c>
      <c r="J148" s="33" t="n">
        <v>51.2</v>
      </c>
      <c r="K148" s="33" t="n">
        <v>1.85</v>
      </c>
      <c r="L148" s="33" t="n">
        <v>34.48</v>
      </c>
      <c r="M148" s="33" t="n">
        <v>1.65</v>
      </c>
      <c r="N148" s="33" t="n">
        <v>-0.65</v>
      </c>
      <c r="O148" s="33" t="n">
        <v>31.4</v>
      </c>
      <c r="P148" s="33" t="n">
        <v>-9.890000000000001</v>
      </c>
      <c r="Q148" s="33" t="n">
        <v>26.1</v>
      </c>
      <c r="R148" s="33" t="n">
        <v>-33.9</v>
      </c>
      <c r="S148" s="33">
        <f>IFERROR(AVERAGE(IFERROR(IF(P148="","",IF(P148&gt;=40,100,IF(P148&gt;=30,90,IF(P148&gt;=20,75,IF(P148&gt;=15,60,IF(P148&gt;=10,45,IF(P148&gt;=5,30,15))))))),""),IFERROR(IF(Q148="","",IF(Q148&gt;=40,100,IF(Q148&gt;=30,90,IF(Q148&gt;=20,75,IF(Q148&gt;=10,60,IF(Q148&gt;=5,45,IF(Q148&gt;=0,30,15))))))),""),IFERROR(IF(R148="","",IF(R148&gt;=40,100,IF(R148&gt;=30,90,IF(R148&gt;=20,75,IF(R148&gt;=10,60,IF(R148&gt;=0,45,IF(R148&gt;=-10,30,15))))))),"")),"")</f>
        <v/>
      </c>
      <c r="T148" s="33" t="n">
        <v>2</v>
      </c>
      <c r="U148" s="33" t="n">
        <v>3</v>
      </c>
      <c r="V148" s="33" t="n">
        <v>2</v>
      </c>
      <c r="W148" s="33" t="n">
        <v>3</v>
      </c>
      <c r="X148" s="33" t="n">
        <v>2</v>
      </c>
      <c r="Y148" s="33">
        <f>IFERROR((AVERAGE(T148,U148,V148,W148,X148)-1)*25,"")</f>
        <v/>
      </c>
      <c r="Z148" s="33" t="n">
        <v>4</v>
      </c>
      <c r="AA148" s="33" t="n">
        <v>5</v>
      </c>
      <c r="AB148" s="33" t="n">
        <v>3</v>
      </c>
      <c r="AC148" s="33" t="n">
        <v>55.8</v>
      </c>
      <c r="AD148" s="33">
        <f>IFERROR(AVERAGE(IFERROR(IF(Z148="","",Z148*20),""),IFERROR(IF(AA148="","",AA148*20),""),IFERROR(IF(AB148="","",AB148*20),""),IFERROR(IF(AC148="","",IF(AC148&gt;=85,100,IF(AC148&gt;=70,90,IF(AC148&gt;=55,75,IF(AC148&gt;=40,60,IF(AC148&gt;=25,40,20)))))),"")),"")</f>
        <v/>
      </c>
      <c r="AE148" s="33" t="n">
        <v>4</v>
      </c>
      <c r="AF148" s="33" t="n">
        <v>3</v>
      </c>
      <c r="AG148" s="33" t="n">
        <v>4</v>
      </c>
      <c r="AH148" s="33" t="n">
        <v>4</v>
      </c>
      <c r="AI148" s="33">
        <f>IFERROR((AVERAGE(AE148,AF148,AG148,AH148,AL148)-1)*25,"")</f>
        <v/>
      </c>
      <c r="AJ148" s="33">
        <f>IFERROR(J148*Weights!$B$4 + O148*Weights!$B$5 + S148*Weights!$B$6 + Y148*Weights!$B$7 + AD148*Weights!$B$8 + AI148*Weights!$B$9,"")</f>
        <v/>
      </c>
      <c r="AK148" s="33">
        <f>IF(AJ148="","",IF(AJ148&gt;=85,"✓✓✓",IF(AJ148&gt;=70,"✓✓",IF(AJ148&gt;=55,"✓",IF(AJ148&gt;=40,"?","✗")))))</f>
        <v/>
      </c>
      <c r="AL148" s="33" t="n">
        <v>5</v>
      </c>
    </row>
    <row r="149">
      <c r="A149" s="33" t="inlineStr">
        <is>
          <t>NXPI</t>
        </is>
      </c>
      <c r="B149" s="33" t="inlineStr">
        <is>
          <t>NXP Semiconductors N.V.</t>
        </is>
      </c>
      <c r="C149" s="33" t="inlineStr">
        <is>
          <t>06 AI Compute Silicon / Analog &amp; embedded (auto/edge AI)</t>
        </is>
      </c>
      <c r="D149" s="33" t="inlineStr">
        <is>
          <t>2026-10-11</t>
        </is>
      </c>
      <c r="E149" s="33" t="n">
        <v>12.545968</v>
      </c>
      <c r="F149" s="33" t="n">
        <v>13.305</v>
      </c>
      <c r="G149" s="33" t="n">
        <v>4.62</v>
      </c>
      <c r="H149" s="33" t="n">
        <v>4.351338</v>
      </c>
      <c r="I149" s="33">
        <f>IF(OR(E149="",R149="",R149&lt;=0,E149&lt;0),"",E149/R149)</f>
        <v/>
      </c>
      <c r="J149" s="33" t="n">
        <v>70.5</v>
      </c>
      <c r="K149" s="33" t="n">
        <v>12.69</v>
      </c>
      <c r="L149" s="33" t="n">
        <v>56.1</v>
      </c>
      <c r="M149" s="33" t="n">
        <v>20.09</v>
      </c>
      <c r="N149" s="33" t="n">
        <v>1.53</v>
      </c>
      <c r="O149" s="33" t="n">
        <v>51.8</v>
      </c>
      <c r="P149" s="33" t="n">
        <v>-2.42</v>
      </c>
      <c r="Q149" s="33" t="n">
        <v>19.5</v>
      </c>
      <c r="S149" s="33">
        <f>IFERROR(AVERAGE(IFERROR(IF(P149="","",IF(P149&gt;=40,100,IF(P149&gt;=30,90,IF(P149&gt;=20,75,IF(P149&gt;=15,60,IF(P149&gt;=10,45,IF(P149&gt;=5,30,15))))))),""),IFERROR(IF(Q149="","",IF(Q149&gt;=40,100,IF(Q149&gt;=30,90,IF(Q149&gt;=20,75,IF(Q149&gt;=10,60,IF(Q149&gt;=5,45,IF(Q149&gt;=0,30,15))))))),""),IFERROR(IF(R149="","",IF(R149&gt;=40,100,IF(R149&gt;=30,90,IF(R149&gt;=20,75,IF(R149&gt;=10,60,IF(R149&gt;=0,45,IF(R149&gt;=-10,30,15))))))),"")),"")</f>
        <v/>
      </c>
      <c r="T149" s="33" t="n">
        <v>1</v>
      </c>
      <c r="U149" s="33" t="n">
        <v>3</v>
      </c>
      <c r="V149" s="33" t="n">
        <v>3</v>
      </c>
      <c r="W149" s="33" t="n">
        <v>3</v>
      </c>
      <c r="X149" s="33" t="n">
        <v>1</v>
      </c>
      <c r="Y149" s="33">
        <f>IFERROR((AVERAGE(T149,U149,V149,W149,X149)-1)*25,"")</f>
        <v/>
      </c>
      <c r="Z149" s="33" t="n">
        <v>5</v>
      </c>
      <c r="AA149" s="33" t="n">
        <v>1</v>
      </c>
      <c r="AB149" s="33" t="n">
        <v>2</v>
      </c>
      <c r="AC149" s="33" t="n">
        <v>46.7</v>
      </c>
      <c r="AD149" s="33">
        <f>IFERROR(AVERAGE(IFERROR(IF(Z149="","",Z149*20),""),IFERROR(IF(AA149="","",AA149*20),""),IFERROR(IF(AB149="","",AB149*20),""),IFERROR(IF(AC149="","",IF(AC149&gt;=85,100,IF(AC149&gt;=70,90,IF(AC149&gt;=55,75,IF(AC149&gt;=40,60,IF(AC149&gt;=25,40,20)))))),"")),"")</f>
        <v/>
      </c>
      <c r="AE149" s="33" t="n">
        <v>5</v>
      </c>
      <c r="AF149" s="33" t="n">
        <v>3</v>
      </c>
      <c r="AG149" s="33" t="n">
        <v>4</v>
      </c>
      <c r="AH149" s="33" t="n">
        <v>4</v>
      </c>
      <c r="AI149" s="33">
        <f>IFERROR((AVERAGE(AE149,AF149,AG149,AH149,AL149)-1)*25,"")</f>
        <v/>
      </c>
      <c r="AJ149" s="33">
        <f>IFERROR(J149*Weights!$B$4 + O149*Weights!$B$5 + S149*Weights!$B$6 + Y149*Weights!$B$7 + AD149*Weights!$B$8 + AI149*Weights!$B$9,"")</f>
        <v/>
      </c>
      <c r="AK149" s="33">
        <f>IF(AJ149="","",IF(AJ149&gt;=85,"✓✓✓",IF(AJ149&gt;=70,"✓✓",IF(AJ149&gt;=55,"✓",IF(AJ149&gt;=40,"?","✗")))))</f>
        <v/>
      </c>
      <c r="AL149" s="33" t="n">
        <v>5</v>
      </c>
    </row>
    <row r="150">
      <c r="A150" s="33" t="inlineStr">
        <is>
          <t>MCHP</t>
        </is>
      </c>
      <c r="B150" s="33" t="inlineStr">
        <is>
          <t>MICROCHIP TECHNOLOGY INCORPORATED</t>
        </is>
      </c>
      <c r="C150" s="33" t="inlineStr">
        <is>
          <t>06 AI Compute Silicon / MCU &amp; embedded</t>
        </is>
      </c>
      <c r="D150" s="33" t="inlineStr">
        <is>
          <t>2026-10-11</t>
        </is>
      </c>
      <c r="E150" s="33" t="n">
        <v>17.35821974858824</v>
      </c>
      <c r="F150" s="33" t="n">
        <v>31.533</v>
      </c>
      <c r="G150" s="33" t="n">
        <v>2.71</v>
      </c>
      <c r="H150" s="33" t="n">
        <v>8.008963</v>
      </c>
      <c r="I150" s="33">
        <f>IF(OR(E150="",R150="",R150&lt;=0,E150&lt;0),"",E150/R150)</f>
        <v/>
      </c>
      <c r="J150" s="33" t="n">
        <v>53</v>
      </c>
      <c r="K150" s="33" t="n">
        <v>5.24</v>
      </c>
      <c r="L150" s="33" t="n">
        <v>60.19</v>
      </c>
      <c r="M150" s="33" t="n">
        <v>21.69</v>
      </c>
      <c r="N150" s="33" t="n">
        <v>3.4</v>
      </c>
      <c r="O150" s="33" t="n">
        <v>43.9</v>
      </c>
      <c r="P150" s="33" t="n">
        <v>-17.65</v>
      </c>
      <c r="Q150" s="33" t="n">
        <v>38</v>
      </c>
      <c r="S150" s="33">
        <f>IFERROR(AVERAGE(IFERROR(IF(P150="","",IF(P150&gt;=40,100,IF(P150&gt;=30,90,IF(P150&gt;=20,75,IF(P150&gt;=15,60,IF(P150&gt;=10,45,IF(P150&gt;=5,30,15))))))),""),IFERROR(IF(Q150="","",IF(Q150&gt;=40,100,IF(Q150&gt;=30,90,IF(Q150&gt;=20,75,IF(Q150&gt;=10,60,IF(Q150&gt;=5,45,IF(Q150&gt;=0,30,15))))))),""),IFERROR(IF(R150="","",IF(R150&gt;=40,100,IF(R150&gt;=30,90,IF(R150&gt;=20,75,IF(R150&gt;=10,60,IF(R150&gt;=0,45,IF(R150&gt;=-10,30,15))))))),"")),"")</f>
        <v/>
      </c>
      <c r="T150" s="33" t="n">
        <v>2</v>
      </c>
      <c r="U150" s="33" t="n">
        <v>3</v>
      </c>
      <c r="V150" s="33" t="n">
        <v>3</v>
      </c>
      <c r="W150" s="33" t="n">
        <v>2</v>
      </c>
      <c r="X150" s="33" t="n">
        <v>2</v>
      </c>
      <c r="Y150" s="33">
        <f>IFERROR((AVERAGE(T150,U150,V150,W150,X150)-1)*25,"")</f>
        <v/>
      </c>
      <c r="Z150" s="33" t="n">
        <v>5</v>
      </c>
      <c r="AA150" s="33" t="n">
        <v>1</v>
      </c>
      <c r="AB150" s="33" t="n">
        <v>3</v>
      </c>
      <c r="AC150" s="33" t="n">
        <v>45.8</v>
      </c>
      <c r="AD150" s="33">
        <f>IFERROR(AVERAGE(IFERROR(IF(Z150="","",Z150*20),""),IFERROR(IF(AA150="","",AA150*20),""),IFERROR(IF(AB150="","",AB150*20),""),IFERROR(IF(AC150="","",IF(AC150&gt;=85,100,IF(AC150&gt;=70,90,IF(AC150&gt;=55,75,IF(AC150&gt;=40,60,IF(AC150&gt;=25,40,20)))))),"")),"")</f>
        <v/>
      </c>
      <c r="AE150" s="33" t="n">
        <v>5</v>
      </c>
      <c r="AF150" s="33" t="n">
        <v>3</v>
      </c>
      <c r="AG150" s="33" t="n">
        <v>2</v>
      </c>
      <c r="AH150" s="33" t="n">
        <v>4</v>
      </c>
      <c r="AI150" s="33">
        <f>IFERROR((AVERAGE(AE150,AF150,AG150,AH150,AL150)-1)*25,"")</f>
        <v/>
      </c>
      <c r="AJ150" s="33">
        <f>IFERROR(J150*Weights!$B$4 + O150*Weights!$B$5 + S150*Weights!$B$6 + Y150*Weights!$B$7 + AD150*Weights!$B$8 + AI150*Weights!$B$9,"")</f>
        <v/>
      </c>
      <c r="AK150" s="33">
        <f>IF(AJ150="","",IF(AJ150&gt;=85,"✓✓✓",IF(AJ150&gt;=70,"✓✓",IF(AJ150&gt;=55,"✓",IF(AJ150&gt;=40,"?","✗")))))</f>
        <v/>
      </c>
      <c r="AL150" s="33" t="n">
        <v>5</v>
      </c>
    </row>
    <row r="151">
      <c r="A151" s="33" t="inlineStr">
        <is>
          <t>ON</t>
        </is>
      </c>
      <c r="B151" s="33" t="inlineStr">
        <is>
          <t>ON Semiconductor Corporation</t>
        </is>
      </c>
      <c r="C151" s="33" t="inlineStr">
        <is>
          <t>06 AI Compute Silicon / Power management silicon (SiC/GaN)</t>
        </is>
      </c>
      <c r="D151" s="33" t="inlineStr">
        <is>
          <t>2026-10-11</t>
        </is>
      </c>
      <c r="E151" s="33" t="n">
        <v>17.119326</v>
      </c>
      <c r="F151" s="33" t="n">
        <v>15.784</v>
      </c>
      <c r="G151" s="33" t="n">
        <v>4.97</v>
      </c>
      <c r="H151" s="33" t="n">
        <v>4.870095</v>
      </c>
      <c r="I151" s="33">
        <f>IF(OR(E151="",R151="",R151&lt;=0,E151&lt;0),"",E151/R151)</f>
        <v/>
      </c>
      <c r="J151" s="33" t="n">
        <v>69.59999999999999</v>
      </c>
      <c r="K151" s="33" t="n">
        <v>8.66</v>
      </c>
      <c r="L151" s="33" t="n">
        <v>42.78</v>
      </c>
      <c r="M151" s="33" t="n">
        <v>24.21</v>
      </c>
      <c r="N151" s="33" t="n">
        <v>0.4</v>
      </c>
      <c r="O151" s="33" t="n">
        <v>56.5</v>
      </c>
      <c r="P151" s="33" t="n">
        <v>-10.37</v>
      </c>
      <c r="Q151" s="33" t="n">
        <v>9.199999999999999</v>
      </c>
      <c r="S151" s="33">
        <f>IFERROR(AVERAGE(IFERROR(IF(P151="","",IF(P151&gt;=40,100,IF(P151&gt;=30,90,IF(P151&gt;=20,75,IF(P151&gt;=15,60,IF(P151&gt;=10,45,IF(P151&gt;=5,30,15))))))),""),IFERROR(IF(Q151="","",IF(Q151&gt;=40,100,IF(Q151&gt;=30,90,IF(Q151&gt;=20,75,IF(Q151&gt;=10,60,IF(Q151&gt;=5,45,IF(Q151&gt;=0,30,15))))))),""),IFERROR(IF(R151="","",IF(R151&gt;=40,100,IF(R151&gt;=30,90,IF(R151&gt;=20,75,IF(R151&gt;=10,60,IF(R151&gt;=0,45,IF(R151&gt;=-10,30,15))))))),"")),"")</f>
        <v/>
      </c>
      <c r="T151" s="33" t="n">
        <v>2</v>
      </c>
      <c r="U151" s="33" t="n">
        <v>3</v>
      </c>
      <c r="V151" s="33" t="n">
        <v>3</v>
      </c>
      <c r="W151" s="33" t="n">
        <v>3</v>
      </c>
      <c r="X151" s="33" t="n">
        <v>2</v>
      </c>
      <c r="Y151" s="33">
        <f>IFERROR((AVERAGE(T151,U151,V151,W151,X151)-1)*25,"")</f>
        <v/>
      </c>
      <c r="Z151" s="33" t="n">
        <v>5</v>
      </c>
      <c r="AA151" s="33" t="n">
        <v>5</v>
      </c>
      <c r="AB151" s="33" t="n">
        <v>3</v>
      </c>
      <c r="AC151" s="33" t="n">
        <v>44.2</v>
      </c>
      <c r="AD151" s="33">
        <f>IFERROR(AVERAGE(IFERROR(IF(Z151="","",Z151*20),""),IFERROR(IF(AA151="","",AA151*20),""),IFERROR(IF(AB151="","",AB151*20),""),IFERROR(IF(AC151="","",IF(AC151&gt;=85,100,IF(AC151&gt;=70,90,IF(AC151&gt;=55,75,IF(AC151&gt;=40,60,IF(AC151&gt;=25,40,20)))))),"")),"")</f>
        <v/>
      </c>
      <c r="AE151" s="33" t="n">
        <v>4</v>
      </c>
      <c r="AF151" s="33" t="n">
        <v>3</v>
      </c>
      <c r="AG151" s="33" t="n">
        <v>4</v>
      </c>
      <c r="AH151" s="33" t="n">
        <v>4</v>
      </c>
      <c r="AI151" s="33">
        <f>IFERROR((AVERAGE(AE151,AF151,AG151,AH151,AL151)-1)*25,"")</f>
        <v/>
      </c>
      <c r="AJ151" s="33">
        <f>IFERROR(J151*Weights!$B$4 + O151*Weights!$B$5 + S151*Weights!$B$6 + Y151*Weights!$B$7 + AD151*Weights!$B$8 + AI151*Weights!$B$9,"")</f>
        <v/>
      </c>
      <c r="AK151" s="33">
        <f>IF(AJ151="","",IF(AJ151&gt;=85,"✓✓✓",IF(AJ151&gt;=70,"✓✓",IF(AJ151&gt;=55,"✓",IF(AJ151&gt;=40,"?","✗")))))</f>
        <v/>
      </c>
      <c r="AL151" s="33" t="n">
        <v>5</v>
      </c>
    </row>
    <row r="152">
      <c r="A152" s="33" t="inlineStr">
        <is>
          <t>SWKS</t>
        </is>
      </c>
      <c r="B152" s="33" t="inlineStr">
        <is>
          <t>Skyworks Solutions, Inc.</t>
        </is>
      </c>
      <c r="C152" s="33" t="inlineStr">
        <is>
          <t>06 AI Compute Silicon / RF front-end</t>
        </is>
      </c>
      <c r="D152" s="33" t="inlineStr">
        <is>
          <t>2026-10-11</t>
        </is>
      </c>
      <c r="E152" s="33" t="n">
        <v>13.404142</v>
      </c>
      <c r="F152" s="33" t="n">
        <v>14.128</v>
      </c>
      <c r="G152" s="33" t="n">
        <v>2.28</v>
      </c>
      <c r="H152" s="33" t="n">
        <v>4.472955</v>
      </c>
      <c r="I152" s="33">
        <f>IF(OR(E152="",R152="",R152&lt;=0,E152&lt;0),"",E152/R152)</f>
        <v/>
      </c>
      <c r="J152" s="33" t="n">
        <v>74.2</v>
      </c>
      <c r="K152" s="33" t="n">
        <v>4.74</v>
      </c>
      <c r="L152" s="33" t="n">
        <v>40.73</v>
      </c>
      <c r="M152" s="33" t="n">
        <v>10.18</v>
      </c>
      <c r="N152" s="33" t="n">
        <v>-0.13</v>
      </c>
      <c r="O152" s="33" t="n">
        <v>38.3</v>
      </c>
      <c r="P152" s="33" t="n">
        <v>-9.34</v>
      </c>
      <c r="Q152" s="33" t="n">
        <v>-3.1</v>
      </c>
      <c r="R152" s="33" t="n">
        <v>-67.7</v>
      </c>
      <c r="S152" s="33">
        <f>IFERROR(AVERAGE(IFERROR(IF(P152="","",IF(P152&gt;=40,100,IF(P152&gt;=30,90,IF(P152&gt;=20,75,IF(P152&gt;=15,60,IF(P152&gt;=10,45,IF(P152&gt;=5,30,15))))))),""),IFERROR(IF(Q152="","",IF(Q152&gt;=40,100,IF(Q152&gt;=30,90,IF(Q152&gt;=20,75,IF(Q152&gt;=10,60,IF(Q152&gt;=5,45,IF(Q152&gt;=0,30,15))))))),""),IFERROR(IF(R152="","",IF(R152&gt;=40,100,IF(R152&gt;=30,90,IF(R152&gt;=20,75,IF(R152&gt;=10,60,IF(R152&gt;=0,45,IF(R152&gt;=-10,30,15))))))),"")),"")</f>
        <v/>
      </c>
      <c r="T152" s="33" t="n">
        <v>1</v>
      </c>
      <c r="U152" s="33" t="n">
        <v>2</v>
      </c>
      <c r="V152" s="33" t="n">
        <v>2</v>
      </c>
      <c r="W152" s="33" t="n">
        <v>2</v>
      </c>
      <c r="X152" s="33" t="n">
        <v>1</v>
      </c>
      <c r="Y152" s="33">
        <f>IFERROR((AVERAGE(T152,U152,V152,W152,X152)-1)*25,"")</f>
        <v/>
      </c>
      <c r="Z152" s="33" t="n">
        <v>4</v>
      </c>
      <c r="AA152" s="33" t="n">
        <v>1</v>
      </c>
      <c r="AB152" s="33" t="n">
        <v>3</v>
      </c>
      <c r="AC152" s="33" t="n">
        <v>75</v>
      </c>
      <c r="AD152" s="33">
        <f>IFERROR(AVERAGE(IFERROR(IF(Z152="","",Z152*20),""),IFERROR(IF(AA152="","",AA152*20),""),IFERROR(IF(AB152="","",AB152*20),""),IFERROR(IF(AC152="","",IF(AC152&gt;=85,100,IF(AC152&gt;=70,90,IF(AC152&gt;=55,75,IF(AC152&gt;=40,60,IF(AC152&gt;=25,40,20)))))),"")),"")</f>
        <v/>
      </c>
      <c r="AE152" s="33" t="n">
        <v>1</v>
      </c>
      <c r="AF152" s="33" t="n">
        <v>3</v>
      </c>
      <c r="AG152" s="33" t="n">
        <v>4</v>
      </c>
      <c r="AH152" s="33" t="n">
        <v>2</v>
      </c>
      <c r="AI152" s="33">
        <f>IFERROR((AVERAGE(AE152,AF152,AG152,AH152,AL152)-1)*25,"")</f>
        <v/>
      </c>
      <c r="AJ152" s="33">
        <f>IFERROR(J152*Weights!$B$4 + O152*Weights!$B$5 + S152*Weights!$B$6 + Y152*Weights!$B$7 + AD152*Weights!$B$8 + AI152*Weights!$B$9,"")</f>
        <v/>
      </c>
      <c r="AK152" s="33">
        <f>IF(AJ152="","",IF(AJ152&gt;=85,"✓✓✓",IF(AJ152&gt;=70,"✓✓",IF(AJ152&gt;=55,"✓",IF(AJ152&gt;=40,"?","✗")))))</f>
        <v/>
      </c>
      <c r="AL152" s="33" t="n">
        <v>5</v>
      </c>
    </row>
    <row r="153">
      <c r="A153" s="33" t="inlineStr">
        <is>
          <t>WDC</t>
        </is>
      </c>
      <c r="B153" s="33" t="inlineStr">
        <is>
          <t>Western Digital Corporation</t>
        </is>
      </c>
      <c r="C153" s="33" t="inlineStr">
        <is>
          <t>08 Servers, Systems &amp; Liquid Cooling / Storage infrastructure</t>
        </is>
      </c>
      <c r="D153" s="33" t="inlineStr">
        <is>
          <t>2026-10-11</t>
        </is>
      </c>
      <c r="E153" s="33" t="n">
        <v>15.22117121975783</v>
      </c>
      <c r="F153" s="33" t="n">
        <v>29.145</v>
      </c>
      <c r="G153" s="33" t="n">
        <v>2.36</v>
      </c>
      <c r="H153" s="33" t="n">
        <v>11.511042</v>
      </c>
      <c r="I153" s="33">
        <f>IF(OR(E153="",R153="",R153&lt;=0,E153&lt;0),"",E153/R153)</f>
        <v/>
      </c>
      <c r="J153" s="33" t="n">
        <v>28.2</v>
      </c>
      <c r="K153" s="33" t="n">
        <v>45.48</v>
      </c>
      <c r="L153" s="33" t="n">
        <v>48.85</v>
      </c>
      <c r="M153" s="33" t="n">
        <v>27.18</v>
      </c>
      <c r="N153" s="33" t="n">
        <v>-0.08</v>
      </c>
      <c r="O153" s="33" t="n">
        <v>82.8</v>
      </c>
      <c r="P153" s="33" t="n">
        <v>27.35</v>
      </c>
      <c r="Q153" s="33" t="n">
        <v>43.8</v>
      </c>
      <c r="S153" s="33">
        <f>IFERROR(AVERAGE(IFERROR(IF(P153="","",IF(P153&gt;=40,100,IF(P153&gt;=30,90,IF(P153&gt;=20,75,IF(P153&gt;=15,60,IF(P153&gt;=10,45,IF(P153&gt;=5,30,15))))))),""),IFERROR(IF(Q153="","",IF(Q153&gt;=40,100,IF(Q153&gt;=30,90,IF(Q153&gt;=20,75,IF(Q153&gt;=10,60,IF(Q153&gt;=5,45,IF(Q153&gt;=0,30,15))))))),""),IFERROR(IF(R153="","",IF(R153&gt;=40,100,IF(R153&gt;=30,90,IF(R153&gt;=20,75,IF(R153&gt;=10,60,IF(R153&gt;=0,45,IF(R153&gt;=-10,30,15))))))),"")),"")</f>
        <v/>
      </c>
      <c r="T153" s="33" t="n">
        <v>4</v>
      </c>
      <c r="U153" s="33" t="n">
        <v>5</v>
      </c>
      <c r="V153" s="33" t="n">
        <v>3</v>
      </c>
      <c r="W153" s="33" t="n">
        <v>3</v>
      </c>
      <c r="X153" s="33" t="n">
        <v>5</v>
      </c>
      <c r="Y153" s="33">
        <f>IFERROR((AVERAGE(T153,U153,V153,W153,X153)-1)*25,"")</f>
        <v/>
      </c>
      <c r="Z153" s="33" t="n">
        <v>5</v>
      </c>
      <c r="AA153" s="33" t="n">
        <v>1</v>
      </c>
      <c r="AB153" s="33" t="n">
        <v>3</v>
      </c>
      <c r="AC153" s="33" t="n">
        <v>48.3</v>
      </c>
      <c r="AD153" s="33">
        <f>IFERROR(AVERAGE(IFERROR(IF(Z153="","",Z153*20),""),IFERROR(IF(AA153="","",AA153*20),""),IFERROR(IF(AB153="","",AB153*20),""),IFERROR(IF(AC153="","",IF(AC153&gt;=85,100,IF(AC153&gt;=70,90,IF(AC153&gt;=55,75,IF(AC153&gt;=40,60,IF(AC153&gt;=25,40,20)))))),"")),"")</f>
        <v/>
      </c>
      <c r="AE153" s="33" t="n">
        <v>3</v>
      </c>
      <c r="AF153" s="33" t="n">
        <v>3</v>
      </c>
      <c r="AG153" s="33" t="n">
        <v>5</v>
      </c>
      <c r="AH153" s="33" t="n">
        <v>4</v>
      </c>
      <c r="AI153" s="33">
        <f>IFERROR((AVERAGE(AE153,AF153,AG153,AH153,AL153)-1)*25,"")</f>
        <v/>
      </c>
      <c r="AJ153" s="33">
        <f>IFERROR(J153*Weights!$B$4 + O153*Weights!$B$5 + S153*Weights!$B$6 + Y153*Weights!$B$7 + AD153*Weights!$B$8 + AI153*Weights!$B$9,"")</f>
        <v/>
      </c>
      <c r="AK153" s="33">
        <f>IF(AJ153="","",IF(AJ153&gt;=85,"✓✓✓",IF(AJ153&gt;=70,"✓✓",IF(AJ153&gt;=55,"✓",IF(AJ153&gt;=40,"?","✗")))))</f>
        <v/>
      </c>
      <c r="AL153" s="33" t="n">
        <v>5</v>
      </c>
    </row>
    <row r="154">
      <c r="A154" s="33" t="inlineStr">
        <is>
          <t>PANW</t>
        </is>
      </c>
      <c r="B154" s="33" t="inlineStr">
        <is>
          <t>Palo Alto Networks Inc</t>
        </is>
      </c>
      <c r="C154" s="33" t="inlineStr">
        <is>
          <t>10 Models, Software &amp; Applications / AI cybersecurity</t>
        </is>
      </c>
      <c r="D154" s="33" t="inlineStr">
        <is>
          <t>2026-10-11</t>
        </is>
      </c>
      <c r="E154" s="33" t="n">
        <v>85.83193</v>
      </c>
      <c r="F154" s="33" t="n">
        <v>80.5</v>
      </c>
      <c r="G154" s="33" t="n">
        <v>1.2</v>
      </c>
      <c r="H154" s="33" t="n">
        <v>29.8399</v>
      </c>
      <c r="I154" s="33">
        <f>IF(OR(E154="",R154="",R154&lt;=0,E154&lt;0),"",E154/R154)</f>
        <v/>
      </c>
      <c r="J154" s="33" t="n">
        <v>21.7</v>
      </c>
      <c r="K154" s="33" t="n">
        <v>1.17</v>
      </c>
      <c r="L154" s="33" t="n">
        <v>70.38</v>
      </c>
      <c r="M154" s="33" t="n">
        <v>35.83</v>
      </c>
      <c r="N154" s="33" t="n">
        <v>-0.32</v>
      </c>
      <c r="O154" s="33" t="n">
        <v>52.8</v>
      </c>
      <c r="P154" s="33" t="n">
        <v>18.54</v>
      </c>
      <c r="Q154" s="33" t="n">
        <v>34.5</v>
      </c>
      <c r="S154" s="33">
        <f>IFERROR(AVERAGE(IFERROR(IF(P154="","",IF(P154&gt;=40,100,IF(P154&gt;=30,90,IF(P154&gt;=20,75,IF(P154&gt;=15,60,IF(P154&gt;=10,45,IF(P154&gt;=5,30,15))))))),""),IFERROR(IF(Q154="","",IF(Q154&gt;=40,100,IF(Q154&gt;=30,90,IF(Q154&gt;=20,75,IF(Q154&gt;=10,60,IF(Q154&gt;=5,45,IF(Q154&gt;=0,30,15))))))),""),IFERROR(IF(R154="","",IF(R154&gt;=40,100,IF(R154&gt;=30,90,IF(R154&gt;=20,75,IF(R154&gt;=10,60,IF(R154&gt;=0,45,IF(R154&gt;=-10,30,15))))))),"")),"")</f>
        <v/>
      </c>
      <c r="T154" s="33" t="n">
        <v>2</v>
      </c>
      <c r="U154" s="33" t="n">
        <v>4</v>
      </c>
      <c r="V154" s="33" t="n">
        <v>4</v>
      </c>
      <c r="W154" s="33" t="n">
        <v>4</v>
      </c>
      <c r="X154" s="33" t="n">
        <v>3</v>
      </c>
      <c r="Y154" s="33">
        <f>IFERROR((AVERAGE(T154,U154,V154,W154,X154)-1)*25,"")</f>
        <v/>
      </c>
      <c r="Z154" s="33" t="n">
        <v>4</v>
      </c>
      <c r="AA154" s="33" t="n">
        <v>5</v>
      </c>
      <c r="AB154" s="33" t="n">
        <v>5</v>
      </c>
      <c r="AC154" s="33" t="n">
        <v>93.3</v>
      </c>
      <c r="AD154" s="33">
        <f>IFERROR(AVERAGE(IFERROR(IF(Z154="","",Z154*20),""),IFERROR(IF(AA154="","",AA154*20),""),IFERROR(IF(AB154="","",AB154*20),""),IFERROR(IF(AC154="","",IF(AC154&gt;=85,100,IF(AC154&gt;=70,90,IF(AC154&gt;=55,75,IF(AC154&gt;=40,60,IF(AC154&gt;=25,40,20)))))),"")),"")</f>
        <v/>
      </c>
      <c r="AE154" s="33" t="n">
        <v>5</v>
      </c>
      <c r="AF154" s="33" t="n">
        <v>5</v>
      </c>
      <c r="AG154" s="33" t="n">
        <v>4</v>
      </c>
      <c r="AH154" s="33" t="n">
        <v>4</v>
      </c>
      <c r="AI154" s="33">
        <f>IFERROR((AVERAGE(AE154,AF154,AG154,AH154,AL154)-1)*25,"")</f>
        <v/>
      </c>
      <c r="AJ154" s="33">
        <f>IFERROR(J154*Weights!$B$4 + O154*Weights!$B$5 + S154*Weights!$B$6 + Y154*Weights!$B$7 + AD154*Weights!$B$8 + AI154*Weights!$B$9,"")</f>
        <v/>
      </c>
      <c r="AK154" s="33">
        <f>IF(AJ154="","",IF(AJ154&gt;=85,"✓✓✓",IF(AJ154&gt;=70,"✓✓",IF(AJ154&gt;=55,"✓",IF(AJ154&gt;=40,"?","✗")))))</f>
        <v/>
      </c>
      <c r="AL154" s="33" t="n">
        <v>4</v>
      </c>
    </row>
    <row r="155">
      <c r="A155" s="33" t="inlineStr">
        <is>
          <t>APP</t>
        </is>
      </c>
      <c r="B155" s="33" t="inlineStr">
        <is>
          <t>AppLovin Corporation</t>
        </is>
      </c>
      <c r="C155" s="33" t="inlineStr">
        <is>
          <t>10 Models, Software &amp; Applications / AI advertising</t>
        </is>
      </c>
      <c r="D155" s="33" t="inlineStr">
        <is>
          <t>2026-10-11</t>
        </is>
      </c>
      <c r="E155" s="33" t="n">
        <v>13.333763</v>
      </c>
      <c r="F155" s="33" t="n"/>
      <c r="G155" s="33" t="n">
        <v>3.43</v>
      </c>
      <c r="H155" s="33" t="n">
        <v>13.5759115</v>
      </c>
      <c r="I155" s="33">
        <f>IF(OR(E155="",R155="",R155&lt;=0,E155&lt;0),"",E155/R155)</f>
        <v/>
      </c>
      <c r="J155" s="33" t="n">
        <v>54.8</v>
      </c>
      <c r="K155" s="33" t="n">
        <v>63.79</v>
      </c>
      <c r="L155" s="33" t="n">
        <v>88.45999999999999</v>
      </c>
      <c r="M155" s="33" t="n">
        <v>46.56</v>
      </c>
      <c r="N155" s="33" t="n">
        <v>0.09</v>
      </c>
      <c r="O155" s="33" t="n">
        <v>89</v>
      </c>
      <c r="P155" s="33" t="n">
        <v>24.84</v>
      </c>
      <c r="Q155" s="33" t="n">
        <v>52.8</v>
      </c>
      <c r="R155" s="33" t="n">
        <v>54.5</v>
      </c>
      <c r="S155" s="33">
        <f>IFERROR(AVERAGE(IFERROR(IF(P155="","",IF(P155&gt;=40,100,IF(P155&gt;=30,90,IF(P155&gt;=20,75,IF(P155&gt;=15,60,IF(P155&gt;=10,45,IF(P155&gt;=5,30,15))))))),""),IFERROR(IF(Q155="","",IF(Q155&gt;=40,100,IF(Q155&gt;=30,90,IF(Q155&gt;=20,75,IF(Q155&gt;=10,60,IF(Q155&gt;=5,45,IF(Q155&gt;=0,30,15))))))),""),IFERROR(IF(R155="","",IF(R155&gt;=40,100,IF(R155&gt;=30,90,IF(R155&gt;=20,75,IF(R155&gt;=10,60,IF(R155&gt;=0,45,IF(R155&gt;=-10,30,15))))))),"")),"")</f>
        <v/>
      </c>
      <c r="T155" s="33" t="n">
        <v>3</v>
      </c>
      <c r="U155" s="33" t="n">
        <v>4</v>
      </c>
      <c r="V155" s="33" t="n">
        <v>2</v>
      </c>
      <c r="W155" s="33" t="n">
        <v>3</v>
      </c>
      <c r="X155" s="33" t="n">
        <v>2</v>
      </c>
      <c r="Y155" s="33">
        <f>IFERROR((AVERAGE(T155,U155,V155,W155,X155)-1)*25,"")</f>
        <v/>
      </c>
      <c r="Z155" s="33" t="n">
        <v>2</v>
      </c>
      <c r="AA155" s="33" t="n">
        <v>1</v>
      </c>
      <c r="AB155" s="33" t="n">
        <v>3</v>
      </c>
      <c r="AC155" s="33" t="n">
        <v>39.2</v>
      </c>
      <c r="AD155" s="33">
        <f>IFERROR(AVERAGE(IFERROR(IF(Z155="","",Z155*20),""),IFERROR(IF(AA155="","",AA155*20),""),IFERROR(IF(AB155="","",AB155*20),""),IFERROR(IF(AC155="","",IF(AC155&gt;=85,100,IF(AC155&gt;=70,90,IF(AC155&gt;=55,75,IF(AC155&gt;=40,60,IF(AC155&gt;=25,40,20)))))),"")),"")</f>
        <v/>
      </c>
      <c r="AE155" s="33" t="n">
        <v>4</v>
      </c>
      <c r="AF155" s="33" t="n">
        <v>5</v>
      </c>
      <c r="AG155" s="33" t="n">
        <v>5</v>
      </c>
      <c r="AH155" s="33" t="n">
        <v>1</v>
      </c>
      <c r="AI155" s="33">
        <f>IFERROR((AVERAGE(AE155,AF155,AG155,AH155,AL155)-1)*25,"")</f>
        <v/>
      </c>
      <c r="AJ155" s="33">
        <f>IFERROR(J155*Weights!$B$4 + O155*Weights!$B$5 + S155*Weights!$B$6 + Y155*Weights!$B$7 + AD155*Weights!$B$8 + AI155*Weights!$B$9,"")</f>
        <v/>
      </c>
      <c r="AK155" s="33">
        <f>IF(AJ155="","",IF(AJ155&gt;=85,"✓✓✓",IF(AJ155&gt;=70,"✓✓",IF(AJ155&gt;=55,"✓",IF(AJ155&gt;=40,"?","✗")))))</f>
        <v/>
      </c>
      <c r="AL155" s="33" t="n">
        <v>4</v>
      </c>
    </row>
    <row r="156">
      <c r="A156" s="33" t="inlineStr">
        <is>
          <t>ADBE</t>
        </is>
      </c>
      <c r="B156" s="33" t="inlineStr">
        <is>
          <t>Adobe Inc.</t>
        </is>
      </c>
      <c r="C156" s="33" t="inlineStr">
        <is>
          <t>10 Models, Software &amp; Applications / Creative &amp; design software</t>
        </is>
      </c>
      <c r="D156" s="33" t="inlineStr">
        <is>
          <t>2026-10-11</t>
        </is>
      </c>
      <c r="E156" s="33" t="n">
        <v>8.754654</v>
      </c>
      <c r="F156" s="33" t="n">
        <v>8.699999999999999</v>
      </c>
      <c r="G156" s="33" t="n">
        <v>11.23</v>
      </c>
      <c r="H156" s="33" t="n">
        <v>3.630785</v>
      </c>
      <c r="I156" s="33">
        <f>IF(OR(E156="",R156="",R156&lt;=0,E156&lt;0),"",E156/R156)</f>
        <v/>
      </c>
      <c r="J156" s="33" t="n">
        <v>81.5</v>
      </c>
      <c r="K156" s="33" t="n">
        <v>40.22</v>
      </c>
      <c r="L156" s="33" t="n">
        <v>89.25</v>
      </c>
      <c r="M156" s="33" t="n">
        <v>40.79</v>
      </c>
      <c r="N156" s="33" t="n">
        <v>0.12</v>
      </c>
      <c r="O156" s="33" t="n">
        <v>86.7</v>
      </c>
      <c r="P156" s="33" t="n">
        <v>10.52</v>
      </c>
      <c r="Q156" s="33" t="n">
        <v>12.9</v>
      </c>
      <c r="R156" s="33" t="n">
        <v>3.1</v>
      </c>
      <c r="S156" s="33">
        <f>IFERROR(AVERAGE(IFERROR(IF(P156="","",IF(P156&gt;=40,100,IF(P156&gt;=30,90,IF(P156&gt;=20,75,IF(P156&gt;=15,60,IF(P156&gt;=10,45,IF(P156&gt;=5,30,15))))))),""),IFERROR(IF(Q156="","",IF(Q156&gt;=40,100,IF(Q156&gt;=30,90,IF(Q156&gt;=20,75,IF(Q156&gt;=10,60,IF(Q156&gt;=5,45,IF(Q156&gt;=0,30,15))))))),""),IFERROR(IF(R156="","",IF(R156&gt;=40,100,IF(R156&gt;=30,90,IF(R156&gt;=20,75,IF(R156&gt;=10,60,IF(R156&gt;=0,45,IF(R156&gt;=-10,30,15))))))),"")),"")</f>
        <v/>
      </c>
      <c r="T156" s="33" t="n">
        <v>2</v>
      </c>
      <c r="U156" s="33" t="n">
        <v>2</v>
      </c>
      <c r="V156" s="33" t="n">
        <v>2</v>
      </c>
      <c r="W156" s="33" t="n">
        <v>4</v>
      </c>
      <c r="X156" s="33" t="n">
        <v>1</v>
      </c>
      <c r="Y156" s="33">
        <f>IFERROR((AVERAGE(T156,U156,V156,W156,X156)-1)*25,"")</f>
        <v/>
      </c>
      <c r="Z156" s="33" t="n">
        <v>2</v>
      </c>
      <c r="AA156" s="33" t="n">
        <v>1</v>
      </c>
      <c r="AB156" s="33" t="n">
        <v>3</v>
      </c>
      <c r="AC156" s="33" t="n">
        <v>44.2</v>
      </c>
      <c r="AD156" s="33">
        <f>IFERROR(AVERAGE(IFERROR(IF(Z156="","",Z156*20),""),IFERROR(IF(AA156="","",AA156*20),""),IFERROR(IF(AB156="","",AB156*20),""),IFERROR(IF(AC156="","",IF(AC156&gt;=85,100,IF(AC156&gt;=70,90,IF(AC156&gt;=55,75,IF(AC156&gt;=40,60,IF(AC156&gt;=25,40,20)))))),"")),"")</f>
        <v/>
      </c>
      <c r="AE156" s="33" t="n">
        <v>5</v>
      </c>
      <c r="AF156" s="33" t="n">
        <v>5</v>
      </c>
      <c r="AG156" s="33" t="n">
        <v>5</v>
      </c>
      <c r="AH156" s="33" t="n">
        <v>4</v>
      </c>
      <c r="AI156" s="33">
        <f>IFERROR((AVERAGE(AE156,AF156,AG156,AH156,AL156)-1)*25,"")</f>
        <v/>
      </c>
      <c r="AJ156" s="33">
        <f>IFERROR(J156*Weights!$B$4 + O156*Weights!$B$5 + S156*Weights!$B$6 + Y156*Weights!$B$7 + AD156*Weights!$B$8 + AI156*Weights!$B$9,"")</f>
        <v/>
      </c>
      <c r="AK156" s="33">
        <f>IF(AJ156="","",IF(AJ156&gt;=85,"✓✓✓",IF(AJ156&gt;=70,"✓✓",IF(AJ156&gt;=55,"✓",IF(AJ156&gt;=40,"?","✗")))))</f>
        <v/>
      </c>
      <c r="AL156" s="33" t="n">
        <v>1</v>
      </c>
    </row>
    <row r="157">
      <c r="A157" s="33" t="inlineStr">
        <is>
          <t>FTNT</t>
        </is>
      </c>
      <c r="B157" s="33" t="inlineStr">
        <is>
          <t>Fortinet, Inc.</t>
        </is>
      </c>
      <c r="C157" s="33" t="inlineStr">
        <is>
          <t>10 Models, Software &amp; Applications / AI cybersecurity</t>
        </is>
      </c>
      <c r="D157" s="33" t="inlineStr">
        <is>
          <t>2026-10-11</t>
        </is>
      </c>
      <c r="E157" s="33" t="n">
        <v>51.551575</v>
      </c>
      <c r="F157" s="33" t="n">
        <v>43.4</v>
      </c>
      <c r="G157" s="33" t="n">
        <v>2.18</v>
      </c>
      <c r="H157" s="33" t="n">
        <v>18.982748</v>
      </c>
      <c r="I157" s="33">
        <f>IF(OR(E157="",R157="",R157&lt;=0,E157&lt;0),"",E157/R157)</f>
        <v/>
      </c>
      <c r="J157" s="33" t="n">
        <v>38</v>
      </c>
      <c r="K157" s="33" t="n">
        <v>32.8</v>
      </c>
      <c r="L157" s="33" t="n">
        <v>80.2</v>
      </c>
      <c r="M157" s="33" t="n">
        <v>41.41</v>
      </c>
      <c r="N157" s="33" t="n">
        <v>-1.35</v>
      </c>
      <c r="O157" s="33" t="n">
        <v>76.7</v>
      </c>
      <c r="P157" s="33" t="n">
        <v>15.46</v>
      </c>
      <c r="Q157" s="33" t="n">
        <v>25.6</v>
      </c>
      <c r="R157" s="33" t="n">
        <v>37.8</v>
      </c>
      <c r="S157" s="33">
        <f>IFERROR(AVERAGE(IFERROR(IF(P157="","",IF(P157&gt;=40,100,IF(P157&gt;=30,90,IF(P157&gt;=20,75,IF(P157&gt;=15,60,IF(P157&gt;=10,45,IF(P157&gt;=5,30,15))))))),""),IFERROR(IF(Q157="","",IF(Q157&gt;=40,100,IF(Q157&gt;=30,90,IF(Q157&gt;=20,75,IF(Q157&gt;=10,60,IF(Q157&gt;=5,45,IF(Q157&gt;=0,30,15))))))),""),IFERROR(IF(R157="","",IF(R157&gt;=40,100,IF(R157&gt;=30,90,IF(R157&gt;=20,75,IF(R157&gt;=10,60,IF(R157&gt;=0,45,IF(R157&gt;=-10,30,15))))))),"")),"")</f>
        <v/>
      </c>
      <c r="T157" s="33" t="n">
        <v>1</v>
      </c>
      <c r="U157" s="33" t="n">
        <v>3</v>
      </c>
      <c r="V157" s="33" t="n">
        <v>4</v>
      </c>
      <c r="W157" s="33" t="n">
        <v>3</v>
      </c>
      <c r="X157" s="33" t="n">
        <v>1</v>
      </c>
      <c r="Y157" s="33">
        <f>IFERROR((AVERAGE(T157,U157,V157,W157,X157)-1)*25,"")</f>
        <v/>
      </c>
      <c r="Z157" s="33" t="n">
        <v>4</v>
      </c>
      <c r="AA157" s="33" t="n">
        <v>4</v>
      </c>
      <c r="AB157" s="33" t="n">
        <v>3</v>
      </c>
      <c r="AC157" s="33" t="n">
        <v>90</v>
      </c>
      <c r="AD157" s="33">
        <f>IFERROR(AVERAGE(IFERROR(IF(Z157="","",Z157*20),""),IFERROR(IF(AA157="","",AA157*20),""),IFERROR(IF(AB157="","",AB157*20),""),IFERROR(IF(AC157="","",IF(AC157&gt;=85,100,IF(AC157&gt;=70,90,IF(AC157&gt;=55,75,IF(AC157&gt;=40,60,IF(AC157&gt;=25,40,20)))))),"")),"")</f>
        <v/>
      </c>
      <c r="AE157" s="33" t="n">
        <v>3</v>
      </c>
      <c r="AF157" s="33" t="n">
        <v>4</v>
      </c>
      <c r="AG157" s="33" t="n">
        <v>5</v>
      </c>
      <c r="AH157" s="33" t="n">
        <v>3</v>
      </c>
      <c r="AI157" s="33">
        <f>IFERROR((AVERAGE(AE157,AF157,AG157,AH157,AL157)-1)*25,"")</f>
        <v/>
      </c>
      <c r="AJ157" s="33">
        <f>IFERROR(J157*Weights!$B$4 + O157*Weights!$B$5 + S157*Weights!$B$6 + Y157*Weights!$B$7 + AD157*Weights!$B$8 + AI157*Weights!$B$9,"")</f>
        <v/>
      </c>
      <c r="AK157" s="33">
        <f>IF(AJ157="","",IF(AJ157&gt;=85,"✓✓✓",IF(AJ157&gt;=70,"✓✓",IF(AJ157&gt;=55,"✓",IF(AJ157&gt;=40,"?","✗")))))</f>
        <v/>
      </c>
      <c r="AL157" s="33" t="n">
        <v>4</v>
      </c>
    </row>
    <row r="158">
      <c r="A158" s="33" t="inlineStr">
        <is>
          <t>ZS</t>
        </is>
      </c>
      <c r="B158" s="33" t="inlineStr">
        <is>
          <t>Zscaler, Inc.</t>
        </is>
      </c>
      <c r="C158" s="33" t="inlineStr">
        <is>
          <t>10 Models, Software &amp; Applications / AI cybersecurity</t>
        </is>
      </c>
      <c r="D158" s="33" t="inlineStr">
        <is>
          <t>2026-10-11</t>
        </is>
      </c>
      <c r="E158" s="33" t="n">
        <v>45.05789913355196</v>
      </c>
      <c r="F158" s="33" t="n">
        <v>42.6</v>
      </c>
      <c r="G158" s="33" t="n">
        <v>2.04</v>
      </c>
      <c r="H158" s="33" t="n">
        <v>11.367788</v>
      </c>
      <c r="I158" s="33">
        <f>IF(OR(E158="",R158="",R158&lt;=0,E158&lt;0),"",E158/R158)</f>
        <v/>
      </c>
      <c r="J158" s="33" t="n">
        <v>58.5</v>
      </c>
      <c r="K158" s="33" t="n">
        <v>-1.95</v>
      </c>
      <c r="L158" s="33" t="n">
        <v>76.87</v>
      </c>
      <c r="M158" s="33" t="n">
        <v>23.24</v>
      </c>
      <c r="N158" s="33" t="n">
        <v>-36.63</v>
      </c>
      <c r="O158" s="33" t="n">
        <v>47.2</v>
      </c>
      <c r="P158" s="33" t="n">
        <v>27.51</v>
      </c>
      <c r="Q158" s="33" t="n">
        <v>24.9</v>
      </c>
      <c r="S158" s="33">
        <f>IFERROR(AVERAGE(IFERROR(IF(P158="","",IF(P158&gt;=40,100,IF(P158&gt;=30,90,IF(P158&gt;=20,75,IF(P158&gt;=15,60,IF(P158&gt;=10,45,IF(P158&gt;=5,30,15))))))),""),IFERROR(IF(Q158="","",IF(Q158&gt;=40,100,IF(Q158&gt;=30,90,IF(Q158&gt;=20,75,IF(Q158&gt;=10,60,IF(Q158&gt;=5,45,IF(Q158&gt;=0,30,15))))))),""),IFERROR(IF(R158="","",IF(R158&gt;=40,100,IF(R158&gt;=30,90,IF(R158&gt;=20,75,IF(R158&gt;=10,60,IF(R158&gt;=0,45,IF(R158&gt;=-10,30,15))))))),"")),"")</f>
        <v/>
      </c>
      <c r="T158" s="33" t="n">
        <v>2</v>
      </c>
      <c r="U158" s="33" t="n">
        <v>4</v>
      </c>
      <c r="V158" s="33" t="n">
        <v>4</v>
      </c>
      <c r="W158" s="33" t="n">
        <v>4</v>
      </c>
      <c r="X158" s="33" t="n">
        <v>2</v>
      </c>
      <c r="Y158" s="33">
        <f>IFERROR((AVERAGE(T158,U158,V158,W158,X158)-1)*25,"")</f>
        <v/>
      </c>
      <c r="Z158" s="33" t="n">
        <v>1</v>
      </c>
      <c r="AA158" s="33" t="n">
        <v>1</v>
      </c>
      <c r="AB158" s="33" t="n">
        <v>3</v>
      </c>
      <c r="AC158" s="33" t="n">
        <v>67.5</v>
      </c>
      <c r="AD158" s="33">
        <f>IFERROR(AVERAGE(IFERROR(IF(Z158="","",Z158*20),""),IFERROR(IF(AA158="","",AA158*20),""),IFERROR(IF(AB158="","",AB158*20),""),IFERROR(IF(AC158="","",IF(AC158&gt;=85,100,IF(AC158&gt;=70,90,IF(AC158&gt;=55,75,IF(AC158&gt;=40,60,IF(AC158&gt;=25,40,20)))))),"")),"")</f>
        <v/>
      </c>
      <c r="AE158" s="33" t="n">
        <v>5</v>
      </c>
      <c r="AF158" s="33" t="n">
        <v>5</v>
      </c>
      <c r="AG158" s="33" t="n">
        <v>5</v>
      </c>
      <c r="AH158" s="33" t="n">
        <v>4</v>
      </c>
      <c r="AI158" s="33">
        <f>IFERROR((AVERAGE(AE158,AF158,AG158,AH158,AL158)-1)*25,"")</f>
        <v/>
      </c>
      <c r="AJ158" s="33">
        <f>IFERROR(J158*Weights!$B$4 + O158*Weights!$B$5 + S158*Weights!$B$6 + Y158*Weights!$B$7 + AD158*Weights!$B$8 + AI158*Weights!$B$9,"")</f>
        <v/>
      </c>
      <c r="AK158" s="33">
        <f>IF(AJ158="","",IF(AJ158&gt;=85,"✓✓✓",IF(AJ158&gt;=70,"✓✓",IF(AJ158&gt;=55,"✓",IF(AJ158&gt;=40,"?","✗")))))</f>
        <v/>
      </c>
      <c r="AL158" s="33" t="n">
        <v>4</v>
      </c>
    </row>
    <row r="159">
      <c r="A159" s="33" t="inlineStr">
        <is>
          <t>INTU</t>
        </is>
      </c>
      <c r="B159" s="33" t="inlineStr">
        <is>
          <t>Intuit Inc.</t>
        </is>
      </c>
      <c r="C159" s="33" t="inlineStr">
        <is>
          <t>10 Models, Software &amp; Applications / Financial software</t>
        </is>
      </c>
      <c r="D159" s="33" t="inlineStr">
        <is>
          <t>2026-10-11</t>
        </is>
      </c>
      <c r="E159" s="33" t="n">
        <v>11.98698465003329</v>
      </c>
      <c r="F159" s="33" t="n">
        <v>9.4</v>
      </c>
      <c r="G159" s="33" t="n">
        <v>10.65</v>
      </c>
      <c r="H159" s="33" t="n">
        <v>3.7721794</v>
      </c>
      <c r="I159" s="33">
        <f>IF(OR(E159="",R159="",R159&lt;=0,E159&lt;0),"",E159/R159)</f>
        <v/>
      </c>
      <c r="J159" s="33" t="n">
        <v>89</v>
      </c>
      <c r="K159" s="33" t="n">
        <v>17.61</v>
      </c>
      <c r="L159" s="33" t="n">
        <v>80.98</v>
      </c>
      <c r="M159" s="33" t="n">
        <v>40.18</v>
      </c>
      <c r="N159" s="33" t="n">
        <v>0.18</v>
      </c>
      <c r="O159" s="33" t="n">
        <v>73.09999999999999</v>
      </c>
      <c r="P159" s="33" t="n">
        <v>14.29</v>
      </c>
      <c r="Q159" s="33" t="n">
        <v>13.7</v>
      </c>
      <c r="R159" s="33" t="n"/>
      <c r="S159" s="33">
        <f>IFERROR(AVERAGE(IFERROR(IF(P159="","",IF(P159&gt;=40,100,IF(P159&gt;=30,90,IF(P159&gt;=20,75,IF(P159&gt;=15,60,IF(P159&gt;=10,45,IF(P159&gt;=5,30,15))))))),""),IFERROR(IF(Q159="","",IF(Q159&gt;=40,100,IF(Q159&gt;=30,90,IF(Q159&gt;=20,75,IF(Q159&gt;=10,60,IF(Q159&gt;=5,45,IF(Q159&gt;=0,30,15))))))),""),IFERROR(IF(R159="","",IF(R159&gt;=40,100,IF(R159&gt;=30,90,IF(R159&gt;=20,75,IF(R159&gt;=10,60,IF(R159&gt;=0,45,IF(R159&gt;=-10,30,15))))))),"")),"")</f>
        <v/>
      </c>
      <c r="T159" s="33" t="n">
        <v>2</v>
      </c>
      <c r="U159" s="33" t="n">
        <v>3</v>
      </c>
      <c r="V159" s="33" t="n">
        <v>2</v>
      </c>
      <c r="W159" s="33" t="n">
        <v>3</v>
      </c>
      <c r="X159" s="33" t="n">
        <v>1</v>
      </c>
      <c r="Y159" s="33">
        <f>IFERROR((AVERAGE(T159,U159,V159,W159,X159)-1)*25,"")</f>
        <v/>
      </c>
      <c r="Z159" s="33" t="n">
        <v>2</v>
      </c>
      <c r="AA159" s="33" t="n">
        <v>1</v>
      </c>
      <c r="AB159" s="33" t="n">
        <v>4</v>
      </c>
      <c r="AC159" s="33" t="n">
        <v>28.3</v>
      </c>
      <c r="AD159" s="33">
        <f>IFERROR(AVERAGE(IFERROR(IF(Z159="","",Z159*20),""),IFERROR(IF(AA159="","",AA159*20),""),IFERROR(IF(AB159="","",AB159*20),""),IFERROR(IF(AC159="","",IF(AC159&gt;=85,100,IF(AC159&gt;=70,90,IF(AC159&gt;=55,75,IF(AC159&gt;=40,60,IF(AC159&gt;=25,40,20)))))),"")),"")</f>
        <v/>
      </c>
      <c r="AE159" s="33" t="n">
        <v>5</v>
      </c>
      <c r="AF159" s="33" t="n">
        <v>5</v>
      </c>
      <c r="AG159" s="33" t="n">
        <v>5</v>
      </c>
      <c r="AH159" s="33" t="n">
        <v>3</v>
      </c>
      <c r="AI159" s="33">
        <f>IFERROR((AVERAGE(AE159,AF159,AG159,AH159,AL159)-1)*25,"")</f>
        <v/>
      </c>
      <c r="AJ159" s="33">
        <f>IFERROR(J159*Weights!$B$4 + O159*Weights!$B$5 + S159*Weights!$B$6 + Y159*Weights!$B$7 + AD159*Weights!$B$8 + AI159*Weights!$B$9,"")</f>
        <v/>
      </c>
      <c r="AK159" s="33">
        <f>IF(AJ159="","",IF(AJ159&gt;=85,"✓✓✓",IF(AJ159&gt;=70,"✓✓",IF(AJ159&gt;=55,"✓",IF(AJ159&gt;=40,"?","✗")))))</f>
        <v/>
      </c>
      <c r="AL159" s="33" t="n">
        <v>1</v>
      </c>
    </row>
    <row r="160">
      <c r="A160" s="33" t="inlineStr">
        <is>
          <t>WDAY</t>
        </is>
      </c>
      <c r="B160" s="33" t="inlineStr">
        <is>
          <t>Workday, Inc.</t>
        </is>
      </c>
      <c r="C160" s="33" t="inlineStr">
        <is>
          <t>10 Models, Software &amp; Applications / Enterprise SaaS</t>
        </is>
      </c>
      <c r="D160" s="33" t="inlineStr">
        <is>
          <t>2026-10-11</t>
        </is>
      </c>
      <c r="E160" s="33" t="n">
        <v>14.29828555124067</v>
      </c>
      <c r="F160" s="33" t="n">
        <v>15.7</v>
      </c>
      <c r="G160" s="33" t="n">
        <v>6.32</v>
      </c>
      <c r="H160" s="33" t="n">
        <v>4.428182</v>
      </c>
      <c r="I160" s="33">
        <f>IF(OR(E160="",R160="",R160&lt;=0,E160&lt;0),"",E160/R160)</f>
        <v/>
      </c>
      <c r="J160" s="33" t="n">
        <v>81.59999999999999</v>
      </c>
      <c r="K160" s="33" t="n">
        <v>12.8</v>
      </c>
      <c r="L160" s="33" t="n">
        <v>75.8</v>
      </c>
      <c r="M160" s="33" t="n">
        <v>28.01</v>
      </c>
      <c r="N160" s="33" t="n">
        <v>0.23</v>
      </c>
      <c r="O160" s="33" t="n">
        <v>56</v>
      </c>
      <c r="P160" s="33" t="n">
        <v>15.4</v>
      </c>
      <c r="Q160" s="33" t="n">
        <v>12.8</v>
      </c>
      <c r="R160" s="33" t="n"/>
      <c r="S160" s="33">
        <f>IFERROR(AVERAGE(IFERROR(IF(P160="","",IF(P160&gt;=40,100,IF(P160&gt;=30,90,IF(P160&gt;=20,75,IF(P160&gt;=15,60,IF(P160&gt;=10,45,IF(P160&gt;=5,30,15))))))),""),IFERROR(IF(Q160="","",IF(Q160&gt;=40,100,IF(Q160&gt;=30,90,IF(Q160&gt;=20,75,IF(Q160&gt;=10,60,IF(Q160&gt;=5,45,IF(Q160&gt;=0,30,15))))))),""),IFERROR(IF(R160="","",IF(R160&gt;=40,100,IF(R160&gt;=30,90,IF(R160&gt;=20,75,IF(R160&gt;=10,60,IF(R160&gt;=0,45,IF(R160&gt;=-10,30,15))))))),"")),"")</f>
        <v/>
      </c>
      <c r="T160" s="33" t="n">
        <v>2</v>
      </c>
      <c r="U160" s="33" t="n">
        <v>3</v>
      </c>
      <c r="V160" s="33" t="n">
        <v>2</v>
      </c>
      <c r="W160" s="33" t="n">
        <v>4</v>
      </c>
      <c r="X160" s="33" t="n">
        <v>1</v>
      </c>
      <c r="Y160" s="33">
        <f>IFERROR((AVERAGE(T160,U160,V160,W160,X160)-1)*25,"")</f>
        <v/>
      </c>
      <c r="Z160" s="33" t="n">
        <v>2</v>
      </c>
      <c r="AA160" s="33" t="n">
        <v>1</v>
      </c>
      <c r="AB160" s="33" t="n">
        <v>3</v>
      </c>
      <c r="AC160" s="33" t="n">
        <v>70</v>
      </c>
      <c r="AD160" s="33">
        <f>IFERROR(AVERAGE(IFERROR(IF(Z160="","",Z160*20),""),IFERROR(IF(AA160="","",AA160*20),""),IFERROR(IF(AB160="","",AB160*20),""),IFERROR(IF(AC160="","",IF(AC160&gt;=85,100,IF(AC160&gt;=70,90,IF(AC160&gt;=55,75,IF(AC160&gt;=40,60,IF(AC160&gt;=25,40,20)))))),"")),"")</f>
        <v/>
      </c>
      <c r="AE160" s="33" t="n">
        <v>5</v>
      </c>
      <c r="AF160" s="33" t="n">
        <v>5</v>
      </c>
      <c r="AG160" s="33" t="n">
        <v>5</v>
      </c>
      <c r="AH160" s="33" t="n">
        <v>3</v>
      </c>
      <c r="AI160" s="33">
        <f>IFERROR((AVERAGE(AE160,AF160,AG160,AH160,AL160)-1)*25,"")</f>
        <v/>
      </c>
      <c r="AJ160" s="33">
        <f>IFERROR(J160*Weights!$B$4 + O160*Weights!$B$5 + S160*Weights!$B$6 + Y160*Weights!$B$7 + AD160*Weights!$B$8 + AI160*Weights!$B$9,"")</f>
        <v/>
      </c>
      <c r="AK160" s="33">
        <f>IF(AJ160="","",IF(AJ160&gt;=85,"✓✓✓",IF(AJ160&gt;=70,"✓✓",IF(AJ160&gt;=55,"✓",IF(AJ160&gt;=40,"?","✗")))))</f>
        <v/>
      </c>
      <c r="AL160" s="33" t="n">
        <v>2</v>
      </c>
    </row>
    <row r="161">
      <c r="A161" s="33" t="inlineStr">
        <is>
          <t>ADSK</t>
        </is>
      </c>
      <c r="B161" s="33" t="inlineStr">
        <is>
          <t>Autodesk, Inc.</t>
        </is>
      </c>
      <c r="C161" s="33" t="inlineStr">
        <is>
          <t>10 Models, Software &amp; Applications / Design &amp; engineering software</t>
        </is>
      </c>
      <c r="D161" s="33" t="inlineStr">
        <is>
          <t>2026-10-11</t>
        </is>
      </c>
      <c r="E161" s="33" t="n">
        <v>16.73349200893076</v>
      </c>
      <c r="F161" s="33" t="n">
        <v>17.4</v>
      </c>
      <c r="G161" s="33" t="n">
        <v>5.7</v>
      </c>
      <c r="H161" s="33" t="n">
        <v>6.3142686</v>
      </c>
      <c r="I161" s="33">
        <f>IF(OR(E161="",R161="",R161&lt;=0,E161&lt;0),"",E161/R161)</f>
        <v/>
      </c>
      <c r="J161" s="33" t="n">
        <v>80.09999999999999</v>
      </c>
      <c r="K161" s="33" t="n">
        <v>26.7</v>
      </c>
      <c r="L161" s="33" t="n">
        <v>92.5</v>
      </c>
      <c r="M161" s="33" t="n">
        <v>35.99</v>
      </c>
      <c r="N161" s="33" t="n">
        <v>-0.2</v>
      </c>
      <c r="O161" s="33" t="n">
        <v>88.09999999999999</v>
      </c>
      <c r="P161" s="33" t="n">
        <v>12.92</v>
      </c>
      <c r="Q161" s="33" t="n">
        <v>16.1</v>
      </c>
      <c r="R161" s="33" t="n">
        <v>57.2</v>
      </c>
      <c r="S161" s="33">
        <f>IFERROR(AVERAGE(IFERROR(IF(P161="","",IF(P161&gt;=40,100,IF(P161&gt;=30,90,IF(P161&gt;=20,75,IF(P161&gt;=15,60,IF(P161&gt;=10,45,IF(P161&gt;=5,30,15))))))),""),IFERROR(IF(Q161="","",IF(Q161&gt;=40,100,IF(Q161&gt;=30,90,IF(Q161&gt;=20,75,IF(Q161&gt;=10,60,IF(Q161&gt;=5,45,IF(Q161&gt;=0,30,15))))))),""),IFERROR(IF(R161="","",IF(R161&gt;=40,100,IF(R161&gt;=30,90,IF(R161&gt;=20,75,IF(R161&gt;=10,60,IF(R161&gt;=0,45,IF(R161&gt;=-10,30,15))))))),"")),"")</f>
        <v/>
      </c>
      <c r="T161" s="33" t="n">
        <v>1</v>
      </c>
      <c r="U161" s="33" t="n">
        <v>3</v>
      </c>
      <c r="V161" s="33" t="n">
        <v>3</v>
      </c>
      <c r="W161" s="33" t="n">
        <v>4</v>
      </c>
      <c r="X161" s="33" t="n">
        <v>1</v>
      </c>
      <c r="Y161" s="33">
        <f>IFERROR((AVERAGE(T161,U161,V161,W161,X161)-1)*25,"")</f>
        <v/>
      </c>
      <c r="Z161" s="33" t="n">
        <v>4</v>
      </c>
      <c r="AA161" s="33" t="n">
        <v>2</v>
      </c>
      <c r="AB161" s="33" t="n">
        <v>5</v>
      </c>
      <c r="AC161" s="33" t="n">
        <v>39.2</v>
      </c>
      <c r="AD161" s="33">
        <f>IFERROR(AVERAGE(IFERROR(IF(Z161="","",Z161*20),""),IFERROR(IF(AA161="","",AA161*20),""),IFERROR(IF(AB161="","",AB161*20),""),IFERROR(IF(AC161="","",IF(AC161&gt;=85,100,IF(AC161&gt;=70,90,IF(AC161&gt;=55,75,IF(AC161&gt;=40,60,IF(AC161&gt;=25,40,20)))))),"")),"")</f>
        <v/>
      </c>
      <c r="AE161" s="33" t="n">
        <v>5</v>
      </c>
      <c r="AF161" s="33" t="n">
        <v>4</v>
      </c>
      <c r="AG161" s="33" t="n">
        <v>4</v>
      </c>
      <c r="AH161" s="33" t="n">
        <v>2</v>
      </c>
      <c r="AI161" s="33">
        <f>IFERROR((AVERAGE(AE161,AF161,AG161,AH161,AL161)-1)*25,"")</f>
        <v/>
      </c>
      <c r="AJ161" s="33">
        <f>IFERROR(J161*Weights!$B$4 + O161*Weights!$B$5 + S161*Weights!$B$6 + Y161*Weights!$B$7 + AD161*Weights!$B$8 + AI161*Weights!$B$9,"")</f>
        <v/>
      </c>
      <c r="AK161" s="33">
        <f>IF(AJ161="","",IF(AJ161&gt;=85,"✓✓✓",IF(AJ161&gt;=70,"✓✓",IF(AJ161&gt;=55,"✓",IF(AJ161&gt;=40,"?","✗")))))</f>
        <v/>
      </c>
      <c r="AL161" s="33" t="n">
        <v>3</v>
      </c>
    </row>
    <row r="162">
      <c r="A162" s="33" t="inlineStr">
        <is>
          <t>TSLA</t>
        </is>
      </c>
      <c r="B162" s="33" t="inlineStr">
        <is>
          <t>Tesla, Inc.</t>
        </is>
      </c>
      <c r="C162" s="33" t="inlineStr">
        <is>
          <t>10 Models, Software &amp; Applications / AI-native vertical applications</t>
        </is>
      </c>
      <c r="D162" s="33" t="inlineStr">
        <is>
          <t>2026-10-11</t>
        </is>
      </c>
      <c r="E162" s="33" t="n">
        <v>175.3534</v>
      </c>
      <c r="F162" s="33" t="n">
        <v>254.6</v>
      </c>
      <c r="G162" s="33" t="n">
        <v>0.38</v>
      </c>
      <c r="H162" s="33" t="n">
        <v>14.587014</v>
      </c>
      <c r="I162" s="33">
        <f>IF(OR(E162="",R162="",R162&lt;=0,E162&lt;0),"",E162/R162)</f>
        <v/>
      </c>
      <c r="J162" s="33" t="n">
        <v>15.3</v>
      </c>
      <c r="K162" s="33" t="n">
        <v>3.13</v>
      </c>
      <c r="L162" s="33" t="n">
        <v>18.85</v>
      </c>
      <c r="M162" s="33" t="n">
        <v>5.55</v>
      </c>
      <c r="N162" s="33" t="n">
        <v>-2.55</v>
      </c>
      <c r="O162" s="33" t="n">
        <v>38.1</v>
      </c>
      <c r="P162" s="33" t="n">
        <v>5.19</v>
      </c>
      <c r="Q162" s="33" t="n">
        <v>25.5</v>
      </c>
      <c r="R162" s="33" t="n">
        <v>-4.9</v>
      </c>
      <c r="S162" s="33">
        <f>IFERROR(AVERAGE(IFERROR(IF(P162="","",IF(P162&gt;=40,100,IF(P162&gt;=30,90,IF(P162&gt;=20,75,IF(P162&gt;=15,60,IF(P162&gt;=10,45,IF(P162&gt;=5,30,15))))))),""),IFERROR(IF(Q162="","",IF(Q162&gt;=40,100,IF(Q162&gt;=30,90,IF(Q162&gt;=20,75,IF(Q162&gt;=10,60,IF(Q162&gt;=5,45,IF(Q162&gt;=0,30,15))))))),""),IFERROR(IF(R162="","",IF(R162&gt;=40,100,IF(R162&gt;=30,90,IF(R162&gt;=20,75,IF(R162&gt;=10,60,IF(R162&gt;=0,45,IF(R162&gt;=-10,30,15))))))),"")),"")</f>
        <v/>
      </c>
      <c r="T162" s="33" t="n">
        <v>1</v>
      </c>
      <c r="U162" s="33" t="n">
        <v>2</v>
      </c>
      <c r="V162" s="33" t="n">
        <v>3</v>
      </c>
      <c r="W162" s="33" t="n">
        <v>4</v>
      </c>
      <c r="X162" s="33" t="n">
        <v>1</v>
      </c>
      <c r="Y162" s="33">
        <f>IFERROR((AVERAGE(T162,U162,V162,W162,X162)-1)*25,"")</f>
        <v/>
      </c>
      <c r="Z162" s="33" t="n">
        <v>2</v>
      </c>
      <c r="AA162" s="33" t="n">
        <v>2</v>
      </c>
      <c r="AB162" s="33" t="n">
        <v>3</v>
      </c>
      <c r="AC162" s="33" t="n">
        <v>50</v>
      </c>
      <c r="AD162" s="33">
        <f>IFERROR(AVERAGE(IFERROR(IF(Z162="","",Z162*20),""),IFERROR(IF(AA162="","",AA162*20),""),IFERROR(IF(AB162="","",AB162*20),""),IFERROR(IF(AC162="","",IF(AC162&gt;=85,100,IF(AC162&gt;=70,90,IF(AC162&gt;=55,75,IF(AC162&gt;=40,60,IF(AC162&gt;=25,40,20)))))),"")),"")</f>
        <v/>
      </c>
      <c r="AE162" s="33" t="n">
        <v>5</v>
      </c>
      <c r="AF162" s="33" t="n">
        <v>2</v>
      </c>
      <c r="AG162" s="33" t="n">
        <v>4</v>
      </c>
      <c r="AH162" s="33" t="n">
        <v>2</v>
      </c>
      <c r="AI162" s="33">
        <f>IFERROR((AVERAGE(AE162,AF162,AG162,AH162,AL162)-1)*25,"")</f>
        <v/>
      </c>
      <c r="AJ162" s="33">
        <f>IFERROR(J162*Weights!$B$4 + O162*Weights!$B$5 + S162*Weights!$B$6 + Y162*Weights!$B$7 + AD162*Weights!$B$8 + AI162*Weights!$B$9,"")</f>
        <v/>
      </c>
      <c r="AK162" s="33">
        <f>IF(AJ162="","",IF(AJ162&gt;=85,"✓✓✓",IF(AJ162&gt;=70,"✓✓",IF(AJ162&gt;=55,"✓",IF(AJ162&gt;=40,"?","✗")))))</f>
        <v/>
      </c>
      <c r="AL162" s="33" t="n">
        <v>4</v>
      </c>
    </row>
    <row r="163">
      <c r="A163" s="33" t="inlineStr">
        <is>
          <t>AAPL</t>
        </is>
      </c>
      <c r="B163" s="33" t="inlineStr">
        <is>
          <t>Apple Inc.</t>
        </is>
      </c>
      <c r="C163" s="33" t="inlineStr">
        <is>
          <t>10 Models, Software &amp; Applications / Edge AI platforms</t>
        </is>
      </c>
      <c r="D163" s="33" t="inlineStr">
        <is>
          <t>2026-10-11</t>
        </is>
      </c>
      <c r="E163" s="33" t="n">
        <v>35.11173</v>
      </c>
      <c r="F163" s="33" t="n">
        <v>36.1</v>
      </c>
      <c r="G163" s="33" t="n">
        <v>2.78</v>
      </c>
      <c r="H163" s="33" t="n">
        <v>10.5243</v>
      </c>
      <c r="I163" s="33">
        <f>IF(OR(E163="",R163="",R163&lt;=0,E163&lt;0),"",E163/R163)</f>
        <v/>
      </c>
      <c r="J163" s="33" t="n">
        <v>40.9</v>
      </c>
      <c r="K163" s="33" t="n">
        <v>54.74</v>
      </c>
      <c r="L163" s="33" t="n">
        <v>48.65</v>
      </c>
      <c r="M163" s="33" t="n">
        <v>29.28</v>
      </c>
      <c r="N163" s="33" t="n">
        <v>0.13</v>
      </c>
      <c r="O163" s="33" t="n">
        <v>59.4</v>
      </c>
      <c r="P163" s="33" t="n">
        <v>1.81</v>
      </c>
      <c r="Q163" s="33" t="n">
        <v>16.4</v>
      </c>
      <c r="R163" s="33" t="n">
        <v>27.1</v>
      </c>
      <c r="S163" s="33">
        <f>IFERROR(AVERAGE(IFERROR(IF(P163="","",IF(P163&gt;=40,100,IF(P163&gt;=30,90,IF(P163&gt;=20,75,IF(P163&gt;=15,60,IF(P163&gt;=10,45,IF(P163&gt;=5,30,15))))))),""),IFERROR(IF(Q163="","",IF(Q163&gt;=40,100,IF(Q163&gt;=30,90,IF(Q163&gt;=20,75,IF(Q163&gt;=10,60,IF(Q163&gt;=5,45,IF(Q163&gt;=0,30,15))))))),""),IFERROR(IF(R163="","",IF(R163&gt;=40,100,IF(R163&gt;=30,90,IF(R163&gt;=20,75,IF(R163&gt;=10,60,IF(R163&gt;=0,45,IF(R163&gt;=-10,30,15))))))),"")),"")</f>
        <v/>
      </c>
      <c r="T163" s="33" t="n">
        <v>1</v>
      </c>
      <c r="U163" s="33" t="n">
        <v>2</v>
      </c>
      <c r="V163" s="33" t="n">
        <v>5</v>
      </c>
      <c r="W163" s="33" t="n">
        <v>2</v>
      </c>
      <c r="X163" s="33" t="n">
        <v>2</v>
      </c>
      <c r="Y163" s="33">
        <f>IFERROR((AVERAGE(T163,U163,V163,W163,X163)-1)*25,"")</f>
        <v/>
      </c>
      <c r="Z163" s="33" t="n">
        <v>4</v>
      </c>
      <c r="AA163" s="33" t="n">
        <v>2</v>
      </c>
      <c r="AB163" s="33" t="n">
        <v>3</v>
      </c>
      <c r="AC163" s="33" t="n">
        <v>86.7</v>
      </c>
      <c r="AD163" s="33">
        <f>IFERROR(AVERAGE(IFERROR(IF(Z163="","",Z163*20),""),IFERROR(IF(AA163="","",AA163*20),""),IFERROR(IF(AB163="","",AB163*20),""),IFERROR(IF(AC163="","",IF(AC163&gt;=85,100,IF(AC163&gt;=70,90,IF(AC163&gt;=55,75,IF(AC163&gt;=40,60,IF(AC163&gt;=25,40,20)))))),"")),"")</f>
        <v/>
      </c>
      <c r="AE163" s="33" t="n">
        <v>5</v>
      </c>
      <c r="AF163" s="33" t="n">
        <v>2</v>
      </c>
      <c r="AG163" s="33" t="n">
        <v>5</v>
      </c>
      <c r="AH163" s="33" t="n">
        <v>2</v>
      </c>
      <c r="AI163" s="33">
        <f>IFERROR((AVERAGE(AE163,AF163,AG163,AH163,AL163)-1)*25,"")</f>
        <v/>
      </c>
      <c r="AJ163" s="33">
        <f>IFERROR(J163*Weights!$B$4 + O163*Weights!$B$5 + S163*Weights!$B$6 + Y163*Weights!$B$7 + AD163*Weights!$B$8 + AI163*Weights!$B$9,"")</f>
        <v/>
      </c>
      <c r="AK163" s="33">
        <f>IF(AJ163="","",IF(AJ163&gt;=85,"✓✓✓",IF(AJ163&gt;=70,"✓✓",IF(AJ163&gt;=55,"✓",IF(AJ163&gt;=40,"?","✗")))))</f>
        <v/>
      </c>
      <c r="AL163" s="33" t="n">
        <v>4</v>
      </c>
    </row>
    <row r="164">
      <c r="A164" s="33" t="inlineStr">
        <is>
          <t>SPCX</t>
        </is>
      </c>
      <c r="B164" s="33" t="inlineStr">
        <is>
          <t>Space Exploration Technologies Corp.</t>
        </is>
      </c>
      <c r="C164" s="33" t="inlineStr">
        <is>
          <t>10 Models, Software &amp; Applications / AI-native vertical applications</t>
        </is>
      </c>
      <c r="D164" s="72" t="inlineStr">
        <is>
          <t>2026-10-11</t>
        </is>
      </c>
      <c r="E164" s="33" t="n">
        <v>84.42871</v>
      </c>
      <c r="F164" s="33" t="n">
        <v>-134</v>
      </c>
      <c r="G164" s="33" t="n">
        <v>-1.52</v>
      </c>
      <c r="H164" s="33" t="n">
        <v>92.94079600000001</v>
      </c>
      <c r="I164" s="33">
        <f>IF(OR(E164="",R164="",R164&lt;=0,E164&lt;0),"",E164/R164)</f>
        <v/>
      </c>
      <c r="J164" s="33" t="n">
        <v>35.6</v>
      </c>
      <c r="K164" s="33" t="n">
        <v>-1.3</v>
      </c>
      <c r="L164" s="33" t="n">
        <v>51.88</v>
      </c>
      <c r="M164" s="33" t="n">
        <v>-141.13</v>
      </c>
      <c r="N164" s="33" t="n">
        <v>-10.23</v>
      </c>
      <c r="O164" s="33" t="n">
        <v>33.5</v>
      </c>
      <c r="P164" s="33" t="n">
        <v>34.1</v>
      </c>
      <c r="Q164" s="33" t="n">
        <v>91.90000000000001</v>
      </c>
      <c r="S164" s="33">
        <f>IFERROR(AVERAGE(IFERROR(IF(P164="","",IF(P164&gt;=40,100,IF(P164&gt;=30,90,IF(P164&gt;=20,75,IF(P164&gt;=15,60,IF(P164&gt;=10,45,IF(P164&gt;=5,30,15))))))),""),IFERROR(IF(Q164="","",IF(Q164&gt;=40,100,IF(Q164&gt;=30,90,IF(Q164&gt;=20,75,IF(Q164&gt;=10,60,IF(Q164&gt;=5,45,IF(Q164&gt;=0,30,15))))))),""),IFERROR(IF(R164="","",IF(R164&gt;=40,100,IF(R164&gt;=30,90,IF(R164&gt;=20,75,IF(R164&gt;=10,60,IF(R164&gt;=0,45,IF(R164&gt;=-10,30,15))))))),"")),"")</f>
        <v/>
      </c>
      <c r="T164" s="33" t="n">
        <v>4</v>
      </c>
      <c r="U164" s="33" t="n">
        <v>4</v>
      </c>
      <c r="V164" s="33" t="n">
        <v>4</v>
      </c>
      <c r="W164" s="33" t="n">
        <v>5</v>
      </c>
      <c r="X164" s="33" t="n">
        <v>5</v>
      </c>
      <c r="Y164" s="33">
        <f>IFERROR((AVERAGE(T164,U164,V164,W164,X164)-1)*25,"")</f>
        <v/>
      </c>
      <c r="Z164" s="33" t="n">
        <v>4</v>
      </c>
      <c r="AA164" s="33" t="n">
        <v>2</v>
      </c>
      <c r="AB164" s="33" t="n">
        <v>3</v>
      </c>
      <c r="AD164" s="33">
        <f>IFERROR(AVERAGE(IFERROR(IF(Z164="","",Z164*20),""),IFERROR(IF(AA164="","",AA164*20),""),IFERROR(IF(AB164="","",AB164*20),""),IFERROR(IF(AC164="","",IF(AC164&gt;=85,100,IF(AC164&gt;=70,90,IF(AC164&gt;=55,75,IF(AC164&gt;=40,60,IF(AC164&gt;=25,40,20)))))),"")),"")</f>
        <v/>
      </c>
      <c r="AE164" s="33" t="n">
        <v>3</v>
      </c>
      <c r="AF164" s="33" t="n">
        <v>4</v>
      </c>
      <c r="AG164" s="33" t="n">
        <v>5</v>
      </c>
      <c r="AH164" s="33" t="n">
        <v>3</v>
      </c>
      <c r="AI164" s="33">
        <f>IFERROR((AVERAGE(AE164,AF164,AG164,AH164,AL164)-1)*25,"")</f>
        <v/>
      </c>
      <c r="AJ164" s="33">
        <f>IFERROR(J164*Weights!$B$4 + O164*Weights!$B$5 + S164*Weights!$B$6 + Y164*Weights!$B$7 + AD164*Weights!$B$8 + AI164*Weights!$B$9,"")</f>
        <v/>
      </c>
      <c r="AK164" s="33">
        <f>IF(AJ164="","",IF(AJ164&gt;=85,"✓✓✓",IF(AJ164&gt;=70,"✓✓",IF(AJ164&gt;=55,"✓",IF(AJ164&gt;=40,"?","✗")))))</f>
        <v/>
      </c>
      <c r="AL164" s="33" t="n">
        <v>4</v>
      </c>
    </row>
    <row r="165">
      <c r="A165" s="33" t="inlineStr">
        <is>
          <t>ACLS</t>
        </is>
      </c>
      <c r="B165" s="33" t="inlineStr">
        <is>
          <t>Axcelis Technologies, Inc.</t>
        </is>
      </c>
      <c r="C165" s="33" t="inlineStr">
        <is>
          <t>04 Semiconductor Equipment &amp; Materials / Equipment</t>
        </is>
      </c>
      <c r="D165" s="33" t="inlineStr">
        <is>
          <t>2026-10-11</t>
        </is>
      </c>
      <c r="E165" s="33" t="n">
        <v>25.571375</v>
      </c>
      <c r="F165" s="33" t="n">
        <v>39.659</v>
      </c>
      <c r="G165" s="33" t="n">
        <v>1.58</v>
      </c>
      <c r="H165" s="33" t="n">
        <v>4.8033485</v>
      </c>
      <c r="I165" s="33">
        <f>IF(OR(E165="",R165="",R165&lt;=0,E165&lt;0),"",E165/R165)</f>
        <v/>
      </c>
      <c r="J165" s="33" t="n">
        <v>53.1</v>
      </c>
      <c r="K165" s="33" t="n">
        <v>6.59</v>
      </c>
      <c r="L165" s="33" t="n">
        <v>43.01</v>
      </c>
      <c r="M165" s="33" t="n">
        <v>7.57</v>
      </c>
      <c r="N165" s="33" t="n">
        <v>-3.34</v>
      </c>
      <c r="O165" s="33" t="n">
        <v>52</v>
      </c>
      <c r="P165" s="33" t="n">
        <v>-3.02</v>
      </c>
      <c r="Q165" s="33" t="n">
        <v>10.6</v>
      </c>
      <c r="R165" s="33" t="n">
        <v>-25.8</v>
      </c>
      <c r="S165" s="33">
        <f>IFERROR(AVERAGE(IFERROR(IF(P165="","",IF(P165&gt;=40,100,IF(P165&gt;=30,90,IF(P165&gt;=20,75,IF(P165&gt;=15,60,IF(P165&gt;=10,45,IF(P165&gt;=5,30,15))))))),""),IFERROR(IF(Q165="","",IF(Q165&gt;=40,100,IF(Q165&gt;=30,90,IF(Q165&gt;=20,75,IF(Q165&gt;=10,60,IF(Q165&gt;=5,45,IF(Q165&gt;=0,30,15))))))),""),IFERROR(IF(R165="","",IF(R165&gt;=40,100,IF(R165&gt;=30,90,IF(R165&gt;=20,75,IF(R165&gt;=10,60,IF(R165&gt;=0,45,IF(R165&gt;=-10,30,15))))))),"")),"")</f>
        <v/>
      </c>
      <c r="T165" s="33" t="n">
        <v>2</v>
      </c>
      <c r="U165" s="33" t="n">
        <v>4</v>
      </c>
      <c r="V165" s="33" t="n">
        <v>4</v>
      </c>
      <c r="W165" s="33" t="n">
        <v>3</v>
      </c>
      <c r="X165" s="33" t="n">
        <v>2</v>
      </c>
      <c r="Y165" s="33">
        <f>IFERROR((AVERAGE(T165,U165,V165,W165,X165)-1)*25,"")</f>
        <v/>
      </c>
      <c r="Z165" s="33" t="n">
        <v>3</v>
      </c>
      <c r="AA165" s="33" t="n">
        <v>5</v>
      </c>
      <c r="AB165" s="33" t="n">
        <v>3</v>
      </c>
      <c r="AC165" s="33" t="n">
        <v>49.2</v>
      </c>
      <c r="AD165" s="33">
        <f>IFERROR(AVERAGE(IFERROR(IF(Z165="","",Z165*20),""),IFERROR(IF(AA165="","",AA165*20),""),IFERROR(IF(AB165="","",AB165*20),""),IFERROR(IF(AC165="","",IF(AC165&gt;=85,100,IF(AC165&gt;=70,90,IF(AC165&gt;=55,75,IF(AC165&gt;=40,60,IF(AC165&gt;=25,40,20)))))),"")),"")</f>
        <v/>
      </c>
      <c r="AE165" s="33" t="n">
        <v>4</v>
      </c>
      <c r="AF165" s="33" t="n">
        <v>2</v>
      </c>
      <c r="AG165" s="33" t="n">
        <v>5</v>
      </c>
      <c r="AH165" s="33" t="n">
        <v>3</v>
      </c>
      <c r="AI165" s="33">
        <f>IFERROR((AVERAGE(AE165,AF165,AG165,AH165,AL165)-1)*25,"")</f>
        <v/>
      </c>
      <c r="AJ165" s="33">
        <f>IFERROR(J165*Weights!$B$4 + O165*Weights!$B$5 + S165*Weights!$B$6 + Y165*Weights!$B$7 + AD165*Weights!$B$8 + AI165*Weights!$B$9,"")</f>
        <v/>
      </c>
      <c r="AK165" s="33">
        <f>IF(AJ165="","",IF(AJ165&gt;=85,"✓✓✓",IF(AJ165&gt;=70,"✓✓",IF(AJ165&gt;=55,"✓",IF(AJ165&gt;=40,"?","✗")))))</f>
        <v/>
      </c>
      <c r="AL165" s="33" t="n">
        <v>5</v>
      </c>
    </row>
    <row r="166">
      <c r="A166" s="33" t="inlineStr">
        <is>
          <t>COHU</t>
        </is>
      </c>
      <c r="B166" s="33" t="inlineStr">
        <is>
          <t>Cohu, Inc.</t>
        </is>
      </c>
      <c r="C166" s="33" t="inlineStr">
        <is>
          <t>04 Semiconductor Equipment &amp; Materials / Test &amp; measurement</t>
        </is>
      </c>
      <c r="D166" s="33" t="inlineStr">
        <is>
          <t>2026-10-11</t>
        </is>
      </c>
      <c r="E166" s="33" t="n">
        <v>36.934326</v>
      </c>
      <c r="F166" s="33" t="n">
        <v>252.234</v>
      </c>
      <c r="G166" s="33" t="n">
        <v>1.08</v>
      </c>
      <c r="H166" s="33" t="n">
        <v>6.176823</v>
      </c>
      <c r="I166" s="33">
        <f>IF(OR(E166="",R166="",R166&lt;=0,E166&lt;0),"",E166/R166)</f>
        <v/>
      </c>
      <c r="J166" s="33" t="n">
        <v>57.5</v>
      </c>
      <c r="K166" s="33" t="n">
        <v>-2.28</v>
      </c>
      <c r="L166" s="33" t="n">
        <v>43.95</v>
      </c>
      <c r="M166" s="33" t="n">
        <v>6.68</v>
      </c>
      <c r="N166" s="33" t="n">
        <v>-13.22</v>
      </c>
      <c r="O166" s="33" t="n">
        <v>23.7</v>
      </c>
      <c r="P166" s="33" t="n">
        <v>-17.71</v>
      </c>
      <c r="Q166" s="33" t="n">
        <v>38.4</v>
      </c>
      <c r="S166" s="33">
        <f>IFERROR(AVERAGE(IFERROR(IF(P166="","",IF(P166&gt;=40,100,IF(P166&gt;=30,90,IF(P166&gt;=20,75,IF(P166&gt;=15,60,IF(P166&gt;=10,45,IF(P166&gt;=5,30,15))))))),""),IFERROR(IF(Q166="","",IF(Q166&gt;=40,100,IF(Q166&gt;=30,90,IF(Q166&gt;=20,75,IF(Q166&gt;=10,60,IF(Q166&gt;=5,45,IF(Q166&gt;=0,30,15))))))),""),IFERROR(IF(R166="","",IF(R166&gt;=40,100,IF(R166&gt;=30,90,IF(R166&gt;=20,75,IF(R166&gt;=10,60,IF(R166&gt;=0,45,IF(R166&gt;=-10,30,15))))))),"")),"")</f>
        <v/>
      </c>
      <c r="T166" s="33" t="n">
        <v>3</v>
      </c>
      <c r="U166" s="33" t="n">
        <v>3</v>
      </c>
      <c r="V166" s="33" t="n">
        <v>3</v>
      </c>
      <c r="W166" s="33" t="n">
        <v>4</v>
      </c>
      <c r="X166" s="33" t="n">
        <v>2</v>
      </c>
      <c r="Y166" s="33">
        <f>IFERROR((AVERAGE(T166,U166,V166,W166,X166)-1)*25,"")</f>
        <v/>
      </c>
      <c r="Z166" s="33" t="n">
        <v>5</v>
      </c>
      <c r="AA166" s="33" t="n">
        <v>3</v>
      </c>
      <c r="AB166" s="33" t="n">
        <v>3</v>
      </c>
      <c r="AC166" s="33" t="n">
        <v>66.7</v>
      </c>
      <c r="AD166" s="33">
        <f>IFERROR(AVERAGE(IFERROR(IF(Z166="","",Z166*20),""),IFERROR(IF(AA166="","",AA166*20),""),IFERROR(IF(AB166="","",AB166*20),""),IFERROR(IF(AC166="","",IF(AC166&gt;=85,100,IF(AC166&gt;=70,90,IF(AC166&gt;=55,75,IF(AC166&gt;=40,60,IF(AC166&gt;=25,40,20)))))),"")),"")</f>
        <v/>
      </c>
      <c r="AE166" s="33" t="n">
        <v>4</v>
      </c>
      <c r="AF166" s="33" t="n">
        <v>3</v>
      </c>
      <c r="AG166" s="33" t="n">
        <v>4</v>
      </c>
      <c r="AH166" s="33" t="n">
        <v>4</v>
      </c>
      <c r="AI166" s="33">
        <f>IFERROR((AVERAGE(AE166,AF166,AG166,AH166,AL166)-1)*25,"")</f>
        <v/>
      </c>
      <c r="AJ166" s="33">
        <f>IFERROR(J166*Weights!$B$4 + O166*Weights!$B$5 + S166*Weights!$B$6 + Y166*Weights!$B$7 + AD166*Weights!$B$8 + AI166*Weights!$B$9,"")</f>
        <v/>
      </c>
      <c r="AK166" s="33">
        <f>IF(AJ166="","",IF(AJ166&gt;=85,"✓✓✓",IF(AJ166&gt;=70,"✓✓",IF(AJ166&gt;=55,"✓",IF(AJ166&gt;=40,"?","✗")))))</f>
        <v/>
      </c>
      <c r="AL166" s="33" t="n">
        <v>5</v>
      </c>
    </row>
    <row r="167">
      <c r="A167" s="33" t="inlineStr">
        <is>
          <t>AMKR</t>
        </is>
      </c>
      <c r="B167" s="33" t="inlineStr">
        <is>
          <t>Amkor Technology, Inc.</t>
        </is>
      </c>
      <c r="C167" s="33" t="inlineStr">
        <is>
          <t>04 Semiconductor Equipment &amp; Materials / OSAT &amp; advanced packaging</t>
        </is>
      </c>
      <c r="D167" s="33" t="inlineStr">
        <is>
          <t>2026-10-11</t>
        </is>
      </c>
      <c r="E167" s="33" t="n">
        <v>17.503162</v>
      </c>
      <c r="F167" s="33" t="n">
        <v>9.959</v>
      </c>
      <c r="G167" s="33" t="n">
        <v>-1.42</v>
      </c>
      <c r="H167" s="33" t="n">
        <v>1.632612</v>
      </c>
      <c r="I167" s="33">
        <f>IF(OR(E167="",R167="",R167&lt;=0,E167&lt;0),"",E167/R167)</f>
        <v/>
      </c>
      <c r="J167" s="33" t="n">
        <v>72.3</v>
      </c>
      <c r="K167" s="33" t="n">
        <v>7.45</v>
      </c>
      <c r="L167" s="33" t="n">
        <v>15.51</v>
      </c>
      <c r="M167" s="33" t="n">
        <v>-2.31</v>
      </c>
      <c r="N167" s="33" t="n">
        <v>0.12</v>
      </c>
      <c r="O167" s="33" t="n">
        <v>41.2</v>
      </c>
      <c r="P167" s="33" t="n">
        <v>-1.84</v>
      </c>
      <c r="Q167" s="33" t="n">
        <v>25.6</v>
      </c>
      <c r="R167" s="33" t="n">
        <v>219.3</v>
      </c>
      <c r="S167" s="33">
        <f>IFERROR(AVERAGE(IFERROR(IF(P167="","",IF(P167&gt;=40,100,IF(P167&gt;=30,90,IF(P167&gt;=20,75,IF(P167&gt;=15,60,IF(P167&gt;=10,45,IF(P167&gt;=5,30,15))))))),""),IFERROR(IF(Q167="","",IF(Q167&gt;=40,100,IF(Q167&gt;=30,90,IF(Q167&gt;=20,75,IF(Q167&gt;=10,60,IF(Q167&gt;=5,45,IF(Q167&gt;=0,30,15))))))),""),IFERROR(IF(R167="","",IF(R167&gt;=40,100,IF(R167&gt;=30,90,IF(R167&gt;=20,75,IF(R167&gt;=10,60,IF(R167&gt;=0,45,IF(R167&gt;=-10,30,15))))))),"")),"")</f>
        <v/>
      </c>
      <c r="T167" s="33" t="n">
        <v>3</v>
      </c>
      <c r="U167" s="33" t="n">
        <v>3</v>
      </c>
      <c r="V167" s="33" t="n">
        <v>3</v>
      </c>
      <c r="W167" s="33" t="n">
        <v>5</v>
      </c>
      <c r="X167" s="33" t="n">
        <v>2</v>
      </c>
      <c r="Y167" s="33">
        <f>IFERROR((AVERAGE(T167,U167,V167,W167,X167)-1)*25,"")</f>
        <v/>
      </c>
      <c r="Z167" s="33" t="n">
        <v>5</v>
      </c>
      <c r="AA167" s="33" t="n">
        <v>5</v>
      </c>
      <c r="AB167" s="33" t="n">
        <v>3</v>
      </c>
      <c r="AC167" s="33" t="n">
        <v>50</v>
      </c>
      <c r="AD167" s="33">
        <f>IFERROR(AVERAGE(IFERROR(IF(Z167="","",Z167*20),""),IFERROR(IF(AA167="","",AA167*20),""),IFERROR(IF(AB167="","",AB167*20),""),IFERROR(IF(AC167="","",IF(AC167&gt;=85,100,IF(AC167&gt;=70,90,IF(AC167&gt;=55,75,IF(AC167&gt;=40,60,IF(AC167&gt;=25,40,20)))))),"")),"")</f>
        <v/>
      </c>
      <c r="AE167" s="33" t="n">
        <v>3</v>
      </c>
      <c r="AF167" s="33" t="n">
        <v>2</v>
      </c>
      <c r="AG167" s="33" t="n">
        <v>4</v>
      </c>
      <c r="AH167" s="33" t="n">
        <v>4</v>
      </c>
      <c r="AI167" s="33">
        <f>IFERROR((AVERAGE(AE167,AF167,AG167,AH167,AL167)-1)*25,"")</f>
        <v/>
      </c>
      <c r="AJ167" s="33">
        <f>IFERROR(J167*Weights!$B$4 + O167*Weights!$B$5 + S167*Weights!$B$6 + Y167*Weights!$B$7 + AD167*Weights!$B$8 + AI167*Weights!$B$9,"")</f>
        <v/>
      </c>
      <c r="AK167" s="33">
        <f>IF(AJ167="","",IF(AJ167&gt;=85,"✓✓✓",IF(AJ167&gt;=70,"✓✓",IF(AJ167&gt;=55,"✓",IF(AJ167&gt;=40,"?","✗")))))</f>
        <v/>
      </c>
      <c r="AL167" s="33" t="n">
        <v>5</v>
      </c>
    </row>
    <row r="168">
      <c r="A168" s="33" t="inlineStr">
        <is>
          <t>ASX</t>
        </is>
      </c>
      <c r="B168" s="33" t="inlineStr">
        <is>
          <t>ASE Technology Holding Co., Ltd.</t>
        </is>
      </c>
      <c r="C168" s="33" t="inlineStr">
        <is>
          <t>04 Semiconductor Equipment &amp; Materials / OSAT &amp; advanced packaging</t>
        </is>
      </c>
      <c r="D168" s="33" t="inlineStr">
        <is>
          <t>2026-10-11</t>
        </is>
      </c>
      <c r="E168" s="33" t="n">
        <v>23.771126</v>
      </c>
      <c r="F168" s="33" t="n">
        <v>24.63</v>
      </c>
      <c r="G168" s="33" t="n">
        <v>-1.34</v>
      </c>
      <c r="H168" s="33" t="n">
        <v>4.58</v>
      </c>
      <c r="I168" s="33">
        <f>IF(OR(E168="",R168="",R168&lt;=0,E168&lt;0),"",E168/R168)</f>
        <v/>
      </c>
      <c r="J168" s="33" t="n">
        <v>69.40000000000001</v>
      </c>
      <c r="K168" s="33" t="n">
        <v>7.78</v>
      </c>
      <c r="L168" s="33" t="n">
        <v>19.49</v>
      </c>
      <c r="M168" s="33" t="n">
        <v>-6.15</v>
      </c>
      <c r="N168" s="33" t="n">
        <v>1.36</v>
      </c>
      <c r="O168" s="33" t="n">
        <v>33.9</v>
      </c>
      <c r="P168" s="33" t="n">
        <v>-1.28</v>
      </c>
      <c r="Q168" s="33" t="n">
        <v>26.7</v>
      </c>
      <c r="R168" s="33" t="n">
        <v>180.1</v>
      </c>
      <c r="S168" s="33">
        <f>IFERROR(AVERAGE(IFERROR(IF(P168="","",IF(P168&gt;=40,100,IF(P168&gt;=30,90,IF(P168&gt;=20,75,IF(P168&gt;=15,60,IF(P168&gt;=10,45,IF(P168&gt;=5,30,15))))))),""),IFERROR(IF(Q168="","",IF(Q168&gt;=40,100,IF(Q168&gt;=30,90,IF(Q168&gt;=20,75,IF(Q168&gt;=10,60,IF(Q168&gt;=5,45,IF(Q168&gt;=0,30,15))))))),""),IFERROR(IF(R168="","",IF(R168&gt;=40,100,IF(R168&gt;=30,90,IF(R168&gt;=20,75,IF(R168&gt;=10,60,IF(R168&gt;=0,45,IF(R168&gt;=-10,30,15))))))),"")),"")</f>
        <v/>
      </c>
      <c r="T168" s="33" t="n">
        <v>3</v>
      </c>
      <c r="U168" s="33" t="n">
        <v>4</v>
      </c>
      <c r="V168" s="33" t="n">
        <v>3</v>
      </c>
      <c r="W168" s="33" t="n">
        <v>5</v>
      </c>
      <c r="X168" s="33" t="n">
        <v>3</v>
      </c>
      <c r="Y168" s="33">
        <f>IFERROR((AVERAGE(T168,U168,V168,W168,X168)-1)*25,"")</f>
        <v/>
      </c>
      <c r="Z168" s="33" t="n">
        <v>3</v>
      </c>
      <c r="AA168" s="33" t="n">
        <v>4</v>
      </c>
      <c r="AB168" s="33" t="n">
        <v>3</v>
      </c>
      <c r="AC168" s="33" t="n">
        <v>76.7</v>
      </c>
      <c r="AD168" s="33">
        <f>IFERROR(AVERAGE(IFERROR(IF(Z168="","",Z168*20),""),IFERROR(IF(AA168="","",AA168*20),""),IFERROR(IF(AB168="","",AB168*20),""),IFERROR(IF(AC168="","",IF(AC168&gt;=85,100,IF(AC168&gt;=70,90,IF(AC168&gt;=55,75,IF(AC168&gt;=40,60,IF(AC168&gt;=25,40,20)))))),"")),"")</f>
        <v/>
      </c>
      <c r="AE168" s="33" t="n">
        <v>3</v>
      </c>
      <c r="AF168" s="33" t="n">
        <v>2</v>
      </c>
      <c r="AG168" s="33" t="n">
        <v>3</v>
      </c>
      <c r="AH168" s="33" t="n">
        <v>4</v>
      </c>
      <c r="AI168" s="33">
        <f>IFERROR((AVERAGE(AE168,AF168,AG168,AH168,AL168)-1)*25,"")</f>
        <v/>
      </c>
      <c r="AJ168" s="33">
        <f>IFERROR(J168*Weights!$B$4 + O168*Weights!$B$5 + S168*Weights!$B$6 + Y168*Weights!$B$7 + AD168*Weights!$B$8 + AI168*Weights!$B$9,"")</f>
        <v/>
      </c>
      <c r="AK168" s="33">
        <f>IF(AJ168="","",IF(AJ168&gt;=85,"✓✓✓",IF(AJ168&gt;=70,"✓✓",IF(AJ168&gt;=55,"✓",IF(AJ168&gt;=40,"?","✗")))))</f>
        <v/>
      </c>
      <c r="AL168" s="33" t="n">
        <v>5</v>
      </c>
    </row>
    <row r="169">
      <c r="A169" s="33" t="inlineStr">
        <is>
          <t>RDDT</t>
        </is>
      </c>
      <c r="B169" s="33" t="inlineStr">
        <is>
          <t>Reddit, Inc.</t>
        </is>
      </c>
      <c r="C169" s="33" t="inlineStr">
        <is>
          <t>10 Models, Software &amp; Applications / AI advertising</t>
        </is>
      </c>
      <c r="D169" s="33" t="inlineStr">
        <is>
          <t>2026-10-11</t>
        </is>
      </c>
      <c r="E169" s="33" t="n">
        <v>16.506855</v>
      </c>
      <c r="F169" s="33" t="n">
        <v>26.1</v>
      </c>
      <c r="G169" s="33" t="n">
        <v>3.31</v>
      </c>
      <c r="H169" s="33" t="n">
        <v>11.071596</v>
      </c>
      <c r="I169" s="33">
        <f>IF(OR(E169="",R169="",R169&lt;=0,E169&lt;0),"",E169/R169)</f>
        <v/>
      </c>
      <c r="J169" s="33" t="n">
        <v>75.40000000000001</v>
      </c>
      <c r="K169" s="33" t="n">
        <v>23.61</v>
      </c>
      <c r="L169" s="33" t="n">
        <v>91.44</v>
      </c>
      <c r="M169" s="33" t="n">
        <v>36.66</v>
      </c>
      <c r="N169" s="33" t="n">
        <v>-3.45</v>
      </c>
      <c r="O169" s="33" t="n">
        <v>84.7</v>
      </c>
      <c r="P169" s="33" t="n">
        <v>48.93</v>
      </c>
      <c r="Q169" s="33" t="n">
        <v>61.1</v>
      </c>
      <c r="R169" s="33" t="n">
        <v>183.2</v>
      </c>
      <c r="S169" s="33">
        <f>IFERROR(AVERAGE(IFERROR(IF(P169="","",IF(P169&gt;=40,100,IF(P169&gt;=30,90,IF(P169&gt;=20,75,IF(P169&gt;=15,60,IF(P169&gt;=10,45,IF(P169&gt;=5,30,15))))))),""),IFERROR(IF(Q169="","",IF(Q169&gt;=40,100,IF(Q169&gt;=30,90,IF(Q169&gt;=20,75,IF(Q169&gt;=10,60,IF(Q169&gt;=5,45,IF(Q169&gt;=0,30,15))))))),""),IFERROR(IF(R169="","",IF(R169&gt;=40,100,IF(R169&gt;=30,90,IF(R169&gt;=20,75,IF(R169&gt;=10,60,IF(R169&gt;=0,45,IF(R169&gt;=-10,30,15))))))),"")),"")</f>
        <v/>
      </c>
      <c r="T169" s="33" t="n">
        <v>2</v>
      </c>
      <c r="U169" s="33" t="n">
        <v>2</v>
      </c>
      <c r="V169" s="33" t="n">
        <v>3</v>
      </c>
      <c r="W169" s="33" t="n">
        <v>3</v>
      </c>
      <c r="X169" s="33" t="n">
        <v>2</v>
      </c>
      <c r="Y169" s="33">
        <f>IFERROR((AVERAGE(T169,U169,V169,W169,X169)-1)*25,"")</f>
        <v/>
      </c>
      <c r="Z169" s="33" t="n">
        <v>5</v>
      </c>
      <c r="AA169" s="33" t="n">
        <v>4</v>
      </c>
      <c r="AB169" s="33" t="n">
        <v>3</v>
      </c>
      <c r="AC169" s="33" t="n">
        <v>54.2</v>
      </c>
      <c r="AD169" s="33">
        <f>IFERROR(AVERAGE(IFERROR(IF(Z169="","",Z169*20),""),IFERROR(IF(AA169="","",AA169*20),""),IFERROR(IF(AB169="","",AB169*20),""),IFERROR(IF(AC169="","",IF(AC169&gt;=85,100,IF(AC169&gt;=70,90,IF(AC169&gt;=55,75,IF(AC169&gt;=40,60,IF(AC169&gt;=25,40,20)))))),"")),"")</f>
        <v/>
      </c>
      <c r="AE169" s="33" t="n">
        <v>5</v>
      </c>
      <c r="AF169" s="33" t="n">
        <v>5</v>
      </c>
      <c r="AG169" s="33" t="n">
        <v>5</v>
      </c>
      <c r="AH169" s="33" t="n">
        <v>3</v>
      </c>
      <c r="AI169" s="33">
        <f>IFERROR((AVERAGE(AE169,AF169,AG169,AH169,AL169)-1)*25,"")</f>
        <v/>
      </c>
      <c r="AJ169" s="33">
        <f>IFERROR(J169*Weights!$B$4 + O169*Weights!$B$5 + S169*Weights!$B$6 + Y169*Weights!$B$7 + AD169*Weights!$B$8 + AI169*Weights!$B$9,"")</f>
        <v/>
      </c>
      <c r="AK169" s="33">
        <f>IF(AJ169="","",IF(AJ169&gt;=85,"✓✓✓",IF(AJ169&gt;=70,"✓✓",IF(AJ169&gt;=55,"✓",IF(AJ169&gt;=40,"?","✗")))))</f>
        <v/>
      </c>
      <c r="AL169" s="33" t="n">
        <v>2</v>
      </c>
    </row>
    <row r="170">
      <c r="A170" s="33" t="inlineStr">
        <is>
          <t>NTAP</t>
        </is>
      </c>
      <c r="B170" s="33" t="inlineStr">
        <is>
          <t>NetApp, Inc.</t>
        </is>
      </c>
      <c r="C170" s="33" t="inlineStr">
        <is>
          <t>08 Servers, Systems &amp; Liquid Cooling / Storage infrastructure</t>
        </is>
      </c>
      <c r="D170" s="33" t="inlineStr">
        <is>
          <t>2026-10-11</t>
        </is>
      </c>
      <c r="E170" s="33" t="n">
        <v>21.96544048581932</v>
      </c>
      <c r="F170" s="33" t="n">
        <v>21.607</v>
      </c>
      <c r="G170" s="33" t="n">
        <v>3.54</v>
      </c>
      <c r="H170" s="33" t="n">
        <v>6.302363</v>
      </c>
      <c r="I170" s="33">
        <f>IF(OR(E170="",R170="",R170&lt;=0,E170&lt;0),"",E170/R170)</f>
        <v/>
      </c>
      <c r="J170" s="33" t="n">
        <v>69</v>
      </c>
      <c r="K170" s="33" t="n">
        <v>23.37</v>
      </c>
      <c r="L170" s="33" t="n">
        <v>70.63</v>
      </c>
      <c r="M170" s="33" t="n">
        <v>22.32</v>
      </c>
      <c r="N170" s="33" t="n">
        <v>-0.5</v>
      </c>
      <c r="O170" s="33" t="n">
        <v>85.90000000000001</v>
      </c>
      <c r="P170" s="33" t="n">
        <v>2.87</v>
      </c>
      <c r="Q170" s="33" t="n">
        <v>29.9</v>
      </c>
      <c r="R170" s="33" t="n">
        <v>60.9</v>
      </c>
      <c r="S170" s="33">
        <f>IFERROR(AVERAGE(IFERROR(IF(P170="","",IF(P170&gt;=40,100,IF(P170&gt;=30,90,IF(P170&gt;=20,75,IF(P170&gt;=15,60,IF(P170&gt;=10,45,IF(P170&gt;=5,30,15))))))),""),IFERROR(IF(Q170="","",IF(Q170&gt;=40,100,IF(Q170&gt;=30,90,IF(Q170&gt;=20,75,IF(Q170&gt;=10,60,IF(Q170&gt;=5,45,IF(Q170&gt;=0,30,15))))))),""),IFERROR(IF(R170="","",IF(R170&gt;=40,100,IF(R170&gt;=30,90,IF(R170&gt;=20,75,IF(R170&gt;=10,60,IF(R170&gt;=0,45,IF(R170&gt;=-10,30,15))))))),"")),"")</f>
        <v/>
      </c>
      <c r="T170" s="33" t="n">
        <v>2</v>
      </c>
      <c r="U170" s="33" t="n">
        <v>3</v>
      </c>
      <c r="V170" s="33" t="n">
        <v>3</v>
      </c>
      <c r="W170" s="33" t="n">
        <v>3</v>
      </c>
      <c r="X170" s="33" t="n">
        <v>2</v>
      </c>
      <c r="Y170" s="33">
        <f>IFERROR((AVERAGE(T170,U170,V170,W170,X170)-1)*25,"")</f>
        <v/>
      </c>
      <c r="Z170" s="33" t="n">
        <v>5</v>
      </c>
      <c r="AA170" s="33" t="n">
        <v>5</v>
      </c>
      <c r="AB170" s="33" t="n">
        <v>3</v>
      </c>
      <c r="AC170" s="33" t="n">
        <v>100</v>
      </c>
      <c r="AD170" s="33">
        <f>IFERROR(AVERAGE(IFERROR(IF(Z170="","",Z170*20),""),IFERROR(IF(AA170="","",AA170*20),""),IFERROR(IF(AB170="","",AB170*20),""),IFERROR(IF(AC170="","",IF(AC170&gt;=85,100,IF(AC170&gt;=70,90,IF(AC170&gt;=55,75,IF(AC170&gt;=40,60,IF(AC170&gt;=25,40,20)))))),"")),"")</f>
        <v/>
      </c>
      <c r="AE170" s="33" t="n">
        <v>4</v>
      </c>
      <c r="AF170" s="33" t="n">
        <v>5</v>
      </c>
      <c r="AG170" s="33" t="n">
        <v>5</v>
      </c>
      <c r="AH170" s="33" t="n">
        <v>4</v>
      </c>
      <c r="AI170" s="33">
        <f>IFERROR((AVERAGE(AE170,AF170,AG170,AH170,AL170)-1)*25,"")</f>
        <v/>
      </c>
      <c r="AJ170" s="33">
        <f>IFERROR(J170*Weights!$B$4 + O170*Weights!$B$5 + S170*Weights!$B$6 + Y170*Weights!$B$7 + AD170*Weights!$B$8 + AI170*Weights!$B$9,"")</f>
        <v/>
      </c>
      <c r="AK170" s="33">
        <f>IF(AJ170="","",IF(AJ170&gt;=85,"✓✓✓",IF(AJ170&gt;=70,"✓✓",IF(AJ170&gt;=55,"✓",IF(AJ170&gt;=40,"?","✗")))))</f>
        <v/>
      </c>
      <c r="AL170" s="33" t="n">
        <v>5</v>
      </c>
    </row>
    <row r="171">
      <c r="A171" s="33" t="inlineStr">
        <is>
          <t>5347.TWO</t>
        </is>
      </c>
      <c r="B171" s="33" t="inlineStr">
        <is>
          <t>Vanguard International Semiconductor Corporation</t>
        </is>
      </c>
      <c r="C171" s="33" t="inlineStr">
        <is>
          <t>05 Fabs &amp; Foundries</t>
        </is>
      </c>
      <c r="D171" s="33" t="inlineStr">
        <is>
          <t>2026-10-11</t>
        </is>
      </c>
      <c r="E171" s="33" t="n">
        <v>25.176981</v>
      </c>
      <c r="F171" s="33" t="n">
        <v>22.148</v>
      </c>
      <c r="G171" s="33" t="n">
        <v>-13.12</v>
      </c>
      <c r="H171" s="33" t="n">
        <v>7.133933</v>
      </c>
      <c r="I171" s="33">
        <f>IF(OR(E171="",R171="",R171&lt;=0,E171&lt;0),"",E171/R171)</f>
        <v/>
      </c>
      <c r="J171" s="33" t="n">
        <v>44.1</v>
      </c>
      <c r="L171" s="33" t="n">
        <v>29.1</v>
      </c>
      <c r="M171" s="33" t="n">
        <v>-93.56999999999999</v>
      </c>
      <c r="N171" s="33" t="n">
        <v>-0.12</v>
      </c>
      <c r="O171" s="33" t="n">
        <v>62.5</v>
      </c>
      <c r="P171" s="33" t="n">
        <v>-2.04</v>
      </c>
      <c r="Q171" s="33" t="n">
        <v>21.8</v>
      </c>
      <c r="R171" s="33" t="n">
        <v>45.6</v>
      </c>
      <c r="S171" s="33">
        <f>IFERROR(AVERAGE(IFERROR(IF(P171="","",IF(P171&gt;=40,100,IF(P171&gt;=30,90,IF(P171&gt;=20,75,IF(P171&gt;=15,60,IF(P171&gt;=10,45,IF(P171&gt;=5,30,15))))))),""),IFERROR(IF(Q171="","",IF(Q171&gt;=40,100,IF(Q171&gt;=30,90,IF(Q171&gt;=20,75,IF(Q171&gt;=10,60,IF(Q171&gt;=5,45,IF(Q171&gt;=0,30,15))))))),""),IFERROR(IF(R171="","",IF(R171&gt;=40,100,IF(R171&gt;=30,90,IF(R171&gt;=20,75,IF(R171&gt;=10,60,IF(R171&gt;=0,45,IF(R171&gt;=-10,30,15))))))),"")),"")</f>
        <v/>
      </c>
      <c r="Y171" s="33">
        <f>IFERROR((AVERAGE(T171,U171,V171,W171,X171)-1)*25,"")</f>
        <v/>
      </c>
      <c r="AC171" s="33" t="n">
        <v>65.8</v>
      </c>
      <c r="AD171" s="33">
        <f>IFERROR(AVERAGE(IFERROR(IF(Z171="","",Z171*20),""),IFERROR(IF(AA171="","",AA171*20),""),IFERROR(IF(AB171="","",AB171*20),""),IFERROR(IF(AC171="","",IF(AC171&gt;=85,100,IF(AC171&gt;=70,90,IF(AC171&gt;=55,75,IF(AC171&gt;=40,60,IF(AC171&gt;=25,40,20)))))),"")),"")</f>
        <v/>
      </c>
      <c r="AI171" s="33">
        <f>IFERROR((AVERAGE(AE171,AF171,AG171,AH171,AL171)-1)*25,"")</f>
        <v/>
      </c>
      <c r="AJ171" s="33">
        <f>IFERROR(J171*Weights!$B$4 + O171*Weights!$B$5 + S171*Weights!$B$6 + Y171*Weights!$B$7 + AD171*Weights!$B$8 + AI171*Weights!$B$9,"")</f>
        <v/>
      </c>
      <c r="AK171" s="33">
        <f>IF(AJ171="","",IF(AJ171&gt;=85,"✓✓✓",IF(AJ171&gt;=70,"✓✓",IF(AJ171&gt;=55,"✓",IF(AJ171&gt;=40,"?","✗")))))</f>
        <v/>
      </c>
    </row>
    <row r="172">
      <c r="A172" s="33" t="inlineStr">
        <is>
          <t>HHUSF</t>
        </is>
      </c>
      <c r="B172" s="33" t="inlineStr">
        <is>
          <t>Hua Hong Grace Semiconductor Limited</t>
        </is>
      </c>
      <c r="C172" s="33" t="inlineStr">
        <is>
          <t>05 Fabs &amp; Foundries</t>
        </is>
      </c>
      <c r="D172" s="33" t="inlineStr">
        <is>
          <t>2026-10-11</t>
        </is>
      </c>
      <c r="F172" s="33" t="n">
        <v>35.491</v>
      </c>
      <c r="G172" s="33" t="n">
        <v>-4.8</v>
      </c>
      <c r="H172" s="33" t="n">
        <v>12.364902</v>
      </c>
      <c r="I172" s="33">
        <f>IF(OR(E172="",R172="",R172&lt;=0,E172&lt;0),"",E172/R172)</f>
        <v/>
      </c>
      <c r="J172" s="33" t="n">
        <v>22.9</v>
      </c>
      <c r="L172" s="33" t="n">
        <v>14.06</v>
      </c>
      <c r="M172" s="33" t="n">
        <v>-59.41</v>
      </c>
      <c r="N172" s="33" t="n">
        <v>-0.5</v>
      </c>
      <c r="O172" s="33" t="n">
        <v>37.5</v>
      </c>
      <c r="P172" s="33" t="n">
        <v>-1</v>
      </c>
      <c r="Q172" s="33" t="n">
        <v>26.8</v>
      </c>
      <c r="R172" s="33" t="n">
        <v>458.1</v>
      </c>
      <c r="S172" s="33">
        <f>IFERROR(AVERAGE(IFERROR(IF(P172="","",IF(P172&gt;=40,100,IF(P172&gt;=30,90,IF(P172&gt;=20,75,IF(P172&gt;=15,60,IF(P172&gt;=10,45,IF(P172&gt;=5,30,15))))))),""),IFERROR(IF(Q172="","",IF(Q172&gt;=40,100,IF(Q172&gt;=30,90,IF(Q172&gt;=20,75,IF(Q172&gt;=10,60,IF(Q172&gt;=5,45,IF(Q172&gt;=0,30,15))))))),""),IFERROR(IF(R172="","",IF(R172&gt;=40,100,IF(R172&gt;=30,90,IF(R172&gt;=20,75,IF(R172&gt;=10,60,IF(R172&gt;=0,45,IF(R172&gt;=-10,30,15))))))),"")),"")</f>
        <v/>
      </c>
      <c r="Y172" s="33">
        <f>IFERROR((AVERAGE(T172,U172,V172,W172,X172)-1)*25,"")</f>
        <v/>
      </c>
      <c r="AC172" s="33" t="n">
        <v>57.5</v>
      </c>
      <c r="AD172" s="33">
        <f>IFERROR(AVERAGE(IFERROR(IF(Z172="","",Z172*20),""),IFERROR(IF(AA172="","",AA172*20),""),IFERROR(IF(AB172="","",AB172*20),""),IFERROR(IF(AC172="","",IF(AC172&gt;=85,100,IF(AC172&gt;=70,90,IF(AC172&gt;=55,75,IF(AC172&gt;=40,60,IF(AC172&gt;=25,40,20)))))),"")),"")</f>
        <v/>
      </c>
      <c r="AI172" s="33">
        <f>IFERROR((AVERAGE(AE172,AF172,AG172,AH172,AL172)-1)*25,"")</f>
        <v/>
      </c>
      <c r="AJ172" s="33">
        <f>IFERROR(J172*Weights!$B$4 + O172*Weights!$B$5 + S172*Weights!$B$6 + Y172*Weights!$B$7 + AD172*Weights!$B$8 + AI172*Weights!$B$9,"")</f>
        <v/>
      </c>
      <c r="AK172" s="33">
        <f>IF(AJ172="","",IF(AJ172&gt;=85,"✓✓✓",IF(AJ172&gt;=70,"✓✓",IF(AJ172&gt;=55,"✓",IF(AJ172&gt;=40,"?","✗")))))</f>
        <v/>
      </c>
    </row>
    <row r="173">
      <c r="A173" s="33" t="inlineStr">
        <is>
          <t>0981.HK</t>
        </is>
      </c>
      <c r="B173" s="33" t="inlineStr">
        <is>
          <t>Semiconductor Manufacturing International Corporation</t>
        </is>
      </c>
      <c r="C173" s="33" t="inlineStr">
        <is>
          <t>05 Fabs &amp; Foundries</t>
        </is>
      </c>
      <c r="D173" s="33" t="inlineStr">
        <is>
          <t>2026-10-11</t>
        </is>
      </c>
      <c r="E173" s="33" t="n">
        <v>32.130817</v>
      </c>
      <c r="F173" s="33" t="n">
        <v>12.14</v>
      </c>
      <c r="G173" s="33" t="n">
        <v>-6.53</v>
      </c>
      <c r="H173" s="33" t="n">
        <v>6.06</v>
      </c>
      <c r="I173" s="33">
        <f>IF(OR(E173="",R173="",R173&lt;=0,E173&lt;0),"",E173/R173)</f>
        <v/>
      </c>
      <c r="J173" s="33" t="n">
        <v>37.2</v>
      </c>
      <c r="L173" s="33" t="n">
        <v>21.82</v>
      </c>
      <c r="M173" s="33" t="n">
        <v>-39.56</v>
      </c>
      <c r="N173" s="33" t="n">
        <v>0.23</v>
      </c>
      <c r="O173" s="33" t="n">
        <v>42.5</v>
      </c>
      <c r="P173" s="33" t="n">
        <v>8.640000000000001</v>
      </c>
      <c r="Q173" s="33" t="n">
        <v>36.1</v>
      </c>
      <c r="R173" s="33" t="n">
        <v>261.7</v>
      </c>
      <c r="S173" s="33">
        <f>IFERROR(AVERAGE(IFERROR(IF(P173="","",IF(P173&gt;=40,100,IF(P173&gt;=30,90,IF(P173&gt;=20,75,IF(P173&gt;=15,60,IF(P173&gt;=10,45,IF(P173&gt;=5,30,15))))))),""),IFERROR(IF(Q173="","",IF(Q173&gt;=40,100,IF(Q173&gt;=30,90,IF(Q173&gt;=20,75,IF(Q173&gt;=10,60,IF(Q173&gt;=5,45,IF(Q173&gt;=0,30,15))))))),""),IFERROR(IF(R173="","",IF(R173&gt;=40,100,IF(R173&gt;=30,90,IF(R173&gt;=20,75,IF(R173&gt;=10,60,IF(R173&gt;=0,45,IF(R173&gt;=-10,30,15))))))),"")),"")</f>
        <v/>
      </c>
      <c r="Y173" s="33">
        <f>IFERROR((AVERAGE(T173,U173,V173,W173,X173)-1)*25,"")</f>
        <v/>
      </c>
      <c r="AC173" s="33" t="n">
        <v>45</v>
      </c>
      <c r="AD173" s="33">
        <f>IFERROR(AVERAGE(IFERROR(IF(Z173="","",Z173*20),""),IFERROR(IF(AA173="","",AA173*20),""),IFERROR(IF(AB173="","",AB173*20),""),IFERROR(IF(AC173="","",IF(AC173&gt;=85,100,IF(AC173&gt;=70,90,IF(AC173&gt;=55,75,IF(AC173&gt;=40,60,IF(AC173&gt;=25,40,20)))))),"")),"")</f>
        <v/>
      </c>
      <c r="AI173" s="33">
        <f>IFERROR((AVERAGE(AE173,AF173,AG173,AH173,AL173)-1)*25,"")</f>
        <v/>
      </c>
      <c r="AJ173" s="33">
        <f>IFERROR(J173*Weights!$B$4 + O173*Weights!$B$5 + S173*Weights!$B$6 + Y173*Weights!$B$7 + AD173*Weights!$B$8 + AI173*Weights!$B$9,"")</f>
        <v/>
      </c>
      <c r="AK173" s="33">
        <f>IF(AJ173="","",IF(AJ173&gt;=85,"✓✓✓",IF(AJ173&gt;=70,"✓✓",IF(AJ173&gt;=55,"✓",IF(AJ173&gt;=40,"?","✗")))))</f>
        <v/>
      </c>
    </row>
    <row r="174">
      <c r="A174" s="33" t="inlineStr">
        <is>
          <t>HOOD</t>
        </is>
      </c>
      <c r="B174" s="33" t="inlineStr">
        <is>
          <t>Robinhood Markets, Inc.</t>
        </is>
      </c>
      <c r="C174" s="33" t="inlineStr">
        <is>
          <t>10 Models, Software &amp; Applications / Consumer fintech (AI adopter)</t>
        </is>
      </c>
      <c r="D174" s="33" t="inlineStr">
        <is>
          <t>2026-10-11</t>
        </is>
      </c>
      <c r="E174" s="33" t="n">
        <v>31.717861</v>
      </c>
      <c r="F174" s="33" t="n">
        <v>548</v>
      </c>
      <c r="G174" s="33" t="n">
        <v>0.18</v>
      </c>
      <c r="H174" s="33" t="n">
        <v>19.873877</v>
      </c>
      <c r="I174" s="33">
        <f>IF(OR(E174="",R174="",R174&lt;=0,E174&lt;0),"",E174/R174)</f>
        <v/>
      </c>
      <c r="J174" s="33" t="n">
        <v>31.9</v>
      </c>
      <c r="K174" s="33" t="n">
        <v>16.33</v>
      </c>
      <c r="L174" s="33" t="n">
        <v>91.89</v>
      </c>
      <c r="M174" s="33" t="n">
        <v>3.61</v>
      </c>
      <c r="O174" s="33" t="n">
        <v>84.09999999999999</v>
      </c>
      <c r="P174" s="33" t="n">
        <v>48.79</v>
      </c>
      <c r="Q174" s="33" t="n">
        <v>32.3</v>
      </c>
      <c r="R174" s="33" t="n">
        <v>45.3</v>
      </c>
      <c r="S174" s="33">
        <f>IFERROR(AVERAGE(IFERROR(IF(P174="","",IF(P174&gt;=40,100,IF(P174&gt;=30,90,IF(P174&gt;=20,75,IF(P174&gt;=15,60,IF(P174&gt;=10,45,IF(P174&gt;=5,30,15))))))),""),IFERROR(IF(Q174="","",IF(Q174&gt;=40,100,IF(Q174&gt;=30,90,IF(Q174&gt;=20,75,IF(Q174&gt;=10,60,IF(Q174&gt;=5,45,IF(Q174&gt;=0,30,15))))))),""),IFERROR(IF(R174="","",IF(R174&gt;=40,100,IF(R174&gt;=30,90,IF(R174&gt;=20,75,IF(R174&gt;=10,60,IF(R174&gt;=0,45,IF(R174&gt;=-10,30,15))))))),"")),"")</f>
        <v/>
      </c>
      <c r="T174" s="33" t="n">
        <v>1</v>
      </c>
      <c r="U174" s="33" t="n">
        <v>2</v>
      </c>
      <c r="V174" s="33" t="n">
        <v>3</v>
      </c>
      <c r="W174" s="33" t="n">
        <v>4</v>
      </c>
      <c r="X174" s="33" t="n">
        <v>2</v>
      </c>
      <c r="Y174" s="33">
        <f>IFERROR((AVERAGE(T174,U174,V174,W174,X174)-1)*25,"")</f>
        <v/>
      </c>
      <c r="Z174" s="33" t="n">
        <v>4</v>
      </c>
      <c r="AA174" s="33" t="n">
        <v>5</v>
      </c>
      <c r="AB174" s="33" t="n">
        <v>3</v>
      </c>
      <c r="AC174" s="33" t="n">
        <v>75.8</v>
      </c>
      <c r="AD174" s="33">
        <f>IFERROR(AVERAGE(IFERROR(IF(Z174="","",Z174*20),""),IFERROR(IF(AA174="","",AA174*20),""),IFERROR(IF(AB174="","",AB174*20),""),IFERROR(IF(AC174="","",IF(AC174&gt;=85,100,IF(AC174&gt;=70,90,IF(AC174&gt;=55,75,IF(AC174&gt;=40,60,IF(AC174&gt;=25,40,20)))))),"")),"")</f>
        <v/>
      </c>
      <c r="AE174" s="33" t="n">
        <v>5</v>
      </c>
      <c r="AF174" s="33" t="n">
        <v>5</v>
      </c>
      <c r="AG174" s="33" t="n">
        <v>5</v>
      </c>
      <c r="AH174" s="33" t="n">
        <v>2</v>
      </c>
      <c r="AI174" s="33">
        <f>IFERROR((AVERAGE(AE174,AF174,AG174,AH174,AL174)-1)*25,"")</f>
        <v/>
      </c>
      <c r="AJ174" s="33">
        <f>IFERROR(J174*Weights!$B$4 + O174*Weights!$B$5 + S174*Weights!$B$6 + Y174*Weights!$B$7 + AD174*Weights!$B$8 + AI174*Weights!$B$9,"")</f>
        <v/>
      </c>
      <c r="AK174" s="33">
        <f>IF(AJ174="","",IF(AJ174&gt;=85,"✓✓✓",IF(AJ174&gt;=70,"✓✓",IF(AJ174&gt;=55,"✓",IF(AJ174&gt;=40,"?","✗")))))</f>
        <v/>
      </c>
      <c r="AL174" s="33" t="n">
        <v>4</v>
      </c>
    </row>
    <row r="175">
      <c r="A175" s="33" t="inlineStr">
        <is>
          <t>9880.HK</t>
        </is>
      </c>
      <c r="B175" s="33" t="inlineStr">
        <is>
          <t>Ubtech Robotics Corp Ltd</t>
        </is>
      </c>
      <c r="C175" s="33" t="inlineStr">
        <is>
          <t>11 Robotics &amp; Physical AI / Humanoid &amp; service robot makers</t>
        </is>
      </c>
      <c r="D175" s="33" t="inlineStr">
        <is>
          <t>2026-10-11</t>
        </is>
      </c>
      <c r="E175" s="33" t="n">
        <v>50.45411</v>
      </c>
      <c r="G175" s="33" t="n">
        <v>-4.69</v>
      </c>
      <c r="H175" s="33" t="n">
        <v>11.61</v>
      </c>
      <c r="I175" s="33">
        <f>IF(OR(E175="",R175="",R175&lt;=0,E175&lt;0),"",E175/R175)</f>
        <v/>
      </c>
      <c r="J175" s="33" t="n">
        <v>34</v>
      </c>
      <c r="L175" s="33" t="n">
        <v>40.7</v>
      </c>
      <c r="M175" s="33" t="n">
        <v>-54.41</v>
      </c>
      <c r="O175" s="33" t="n">
        <v>34.8</v>
      </c>
      <c r="P175" s="33" t="n">
        <v>25.67</v>
      </c>
      <c r="Q175" s="33" t="n">
        <v>104.2</v>
      </c>
      <c r="S175" s="33">
        <f>IFERROR(AVERAGE(IFERROR(IF(P175="","",IF(P175&gt;=40,100,IF(P175&gt;=30,90,IF(P175&gt;=20,75,IF(P175&gt;=15,60,IF(P175&gt;=10,45,IF(P175&gt;=5,30,15))))))),""),IFERROR(IF(Q175="","",IF(Q175&gt;=40,100,IF(Q175&gt;=30,90,IF(Q175&gt;=20,75,IF(Q175&gt;=10,60,IF(Q175&gt;=5,45,IF(Q175&gt;=0,30,15))))))),""),IFERROR(IF(R175="","",IF(R175&gt;=40,100,IF(R175&gt;=30,90,IF(R175&gt;=20,75,IF(R175&gt;=10,60,IF(R175&gt;=0,45,IF(R175&gt;=-10,30,15))))))),"")),"")</f>
        <v/>
      </c>
      <c r="T175" s="33" t="n">
        <v>5</v>
      </c>
      <c r="U175" s="33" t="n">
        <v>2</v>
      </c>
      <c r="V175" s="33" t="n">
        <v>2</v>
      </c>
      <c r="W175" s="33" t="n">
        <v>5</v>
      </c>
      <c r="X175" s="33" t="n">
        <v>5</v>
      </c>
      <c r="Y175" s="33">
        <f>IFERROR((AVERAGE(T175,U175,V175,W175,X175)-1)*25,"")</f>
        <v/>
      </c>
      <c r="Z175" s="33" t="n">
        <v>4</v>
      </c>
      <c r="AA175" s="33" t="n">
        <v>1</v>
      </c>
      <c r="AB175" s="33" t="n">
        <v>3</v>
      </c>
      <c r="AC175" s="33" t="n">
        <v>21.7</v>
      </c>
      <c r="AD175" s="33">
        <f>IFERROR(AVERAGE(IFERROR(IF(Z175="","",Z175*20),""),IFERROR(IF(AA175="","",AA175*20),""),IFERROR(IF(AB175="","",AB175*20),""),IFERROR(IF(AC175="","",IF(AC175&gt;=85,100,IF(AC175&gt;=70,90,IF(AC175&gt;=55,75,IF(AC175&gt;=40,60,IF(AC175&gt;=25,40,20)))))),"")),"")</f>
        <v/>
      </c>
      <c r="AE175" s="33" t="n">
        <v>3</v>
      </c>
      <c r="AF175" s="33" t="n">
        <v>2</v>
      </c>
      <c r="AG175" s="33" t="n">
        <v>3</v>
      </c>
      <c r="AH175" s="33" t="n">
        <v>2</v>
      </c>
      <c r="AI175" s="33">
        <f>IFERROR((AVERAGE(AE175,AF175,AG175,AH175,AL175)-1)*25,"")</f>
        <v/>
      </c>
      <c r="AJ175" s="33">
        <f>IFERROR(J175*Weights!$B$4 + O175*Weights!$B$5 + S175*Weights!$B$6 + Y175*Weights!$B$7 + AD175*Weights!$B$8 + AI175*Weights!$B$9,"")</f>
        <v/>
      </c>
      <c r="AK175" s="33">
        <f>IF(AJ175="","",IF(AJ175&gt;=85,"✓✓✓",IF(AJ175&gt;=70,"✓✓",IF(AJ175&gt;=55,"✓",IF(AJ175&gt;=40,"?","✗")))))</f>
        <v/>
      </c>
      <c r="AL175" s="33" t="n">
        <v>5</v>
      </c>
    </row>
    <row r="176">
      <c r="A176" s="33" t="inlineStr">
        <is>
          <t>SERV</t>
        </is>
      </c>
      <c r="B176" s="33" t="inlineStr">
        <is>
          <t>Serve Robotics Inc.</t>
        </is>
      </c>
      <c r="C176" s="33" t="inlineStr">
        <is>
          <t>11 Robotics &amp; Physical AI / Humanoid &amp; service robot makers</t>
        </is>
      </c>
      <c r="D176" s="33" t="inlineStr">
        <is>
          <t>2026-10-11</t>
        </is>
      </c>
      <c r="E176" s="33" t="n">
        <v>-2.4786325</v>
      </c>
      <c r="F176" s="33" t="n">
        <v>-1.035</v>
      </c>
      <c r="G176" s="33" t="n">
        <v>-45.01</v>
      </c>
      <c r="H176" s="33" t="n">
        <v>48.41197</v>
      </c>
      <c r="I176" s="33">
        <f>IF(OR(E176="",R176="",R176&lt;=0,E176&lt;0),"",E176/R176)</f>
        <v/>
      </c>
      <c r="J176" s="33" t="n">
        <v>19.8</v>
      </c>
      <c r="K176" s="33" t="n">
        <v>-42.42</v>
      </c>
      <c r="L176" s="33" t="n">
        <v>0</v>
      </c>
      <c r="M176" s="33" t="n">
        <v>-2179.25</v>
      </c>
      <c r="O176" s="33" t="n">
        <v>3.1</v>
      </c>
      <c r="P176" s="33" t="n">
        <v>190.78</v>
      </c>
      <c r="Q176" s="33" t="n">
        <v>404.4</v>
      </c>
      <c r="S176" s="33">
        <f>IFERROR(AVERAGE(IFERROR(IF(P176="","",IF(P176&gt;=40,100,IF(P176&gt;=30,90,IF(P176&gt;=20,75,IF(P176&gt;=15,60,IF(P176&gt;=10,45,IF(P176&gt;=5,30,15))))))),""),IFERROR(IF(Q176="","",IF(Q176&gt;=40,100,IF(Q176&gt;=30,90,IF(Q176&gt;=20,75,IF(Q176&gt;=10,60,IF(Q176&gt;=5,45,IF(Q176&gt;=0,30,15))))))),""),IFERROR(IF(R176="","",IF(R176&gt;=40,100,IF(R176&gt;=30,90,IF(R176&gt;=20,75,IF(R176&gt;=10,60,IF(R176&gt;=0,45,IF(R176&gt;=-10,30,15))))))),"")),"")</f>
        <v/>
      </c>
      <c r="T176" s="33" t="n">
        <v>5</v>
      </c>
      <c r="U176" s="33" t="n">
        <v>2</v>
      </c>
      <c r="V176" s="33" t="n">
        <v>2</v>
      </c>
      <c r="W176" s="33" t="n">
        <v>4</v>
      </c>
      <c r="X176" s="33" t="n">
        <v>4</v>
      </c>
      <c r="Y176" s="33">
        <f>IFERROR((AVERAGE(T176,U176,V176,W176,X176)-1)*25,"")</f>
        <v/>
      </c>
      <c r="Z176" s="33" t="n">
        <v>2</v>
      </c>
      <c r="AA176" s="33" t="n">
        <v>1</v>
      </c>
      <c r="AB176" s="33" t="n">
        <v>3</v>
      </c>
      <c r="AC176" s="33" t="n">
        <v>12.5</v>
      </c>
      <c r="AD176" s="33">
        <f>IFERROR(AVERAGE(IFERROR(IF(Z176="","",Z176*20),""),IFERROR(IF(AA176="","",AA176*20),""),IFERROR(IF(AB176="","",AB176*20),""),IFERROR(IF(AC176="","",IF(AC176&gt;=85,100,IF(AC176&gt;=70,90,IF(AC176&gt;=55,75,IF(AC176&gt;=40,60,IF(AC176&gt;=25,40,20)))))),"")),"")</f>
        <v/>
      </c>
      <c r="AE176" s="33" t="n">
        <v>4</v>
      </c>
      <c r="AF176" s="33" t="n">
        <v>5</v>
      </c>
      <c r="AG176" s="33" t="n">
        <v>3</v>
      </c>
      <c r="AH176" s="33" t="n">
        <v>3</v>
      </c>
      <c r="AI176" s="33">
        <f>IFERROR((AVERAGE(AE176,AF176,AG176,AH176,AL176)-1)*25,"")</f>
        <v/>
      </c>
      <c r="AJ176" s="33">
        <f>IFERROR(J176*Weights!$B$4 + O176*Weights!$B$5 + S176*Weights!$B$6 + Y176*Weights!$B$7 + AD176*Weights!$B$8 + AI176*Weights!$B$9,"")</f>
        <v/>
      </c>
      <c r="AK176" s="33">
        <f>IF(AJ176="","",IF(AJ176&gt;=85,"✓✓✓",IF(AJ176&gt;=70,"✓✓",IF(AJ176&gt;=55,"✓",IF(AJ176&gt;=40,"?","✗")))))</f>
        <v/>
      </c>
      <c r="AL176" s="33" t="n">
        <v>5</v>
      </c>
    </row>
    <row r="177">
      <c r="A177" s="33" t="inlineStr">
        <is>
          <t>TNC</t>
        </is>
      </c>
      <c r="B177" s="33" t="inlineStr">
        <is>
          <t>Tennant Company</t>
        </is>
      </c>
      <c r="C177" s="33" t="inlineStr">
        <is>
          <t>11 Robotics &amp; Physical AI / Humanoid &amp; service robot makers</t>
        </is>
      </c>
      <c r="D177" s="33" t="inlineStr">
        <is>
          <t>2026-10-11</t>
        </is>
      </c>
      <c r="E177" s="33" t="n">
        <v>11.731317</v>
      </c>
      <c r="F177" s="33" t="n">
        <v>13.599</v>
      </c>
      <c r="G177" s="33" t="n">
        <v>-0.28</v>
      </c>
      <c r="H177" s="33" t="n">
        <v>0.92378426</v>
      </c>
      <c r="I177" s="33">
        <f>IF(OR(E177="",R177="",R177&lt;=0,E177&lt;0),"",E177/R177)</f>
        <v/>
      </c>
      <c r="J177" s="33" t="n">
        <v>74.59999999999999</v>
      </c>
      <c r="K177" s="33" t="n">
        <v>2.98</v>
      </c>
      <c r="L177" s="33" t="n">
        <v>38.77</v>
      </c>
      <c r="M177" s="33" t="n">
        <v>-0.25</v>
      </c>
      <c r="N177" s="33" t="n">
        <v>2.97</v>
      </c>
      <c r="O177" s="33" t="n">
        <v>59.4</v>
      </c>
      <c r="P177" s="33" t="n">
        <v>3.29</v>
      </c>
      <c r="Q177" s="33" t="n">
        <v>1.7</v>
      </c>
      <c r="R177" s="33" t="n">
        <v>-62.4</v>
      </c>
      <c r="S177" s="33">
        <f>IFERROR(AVERAGE(IFERROR(IF(P177="","",IF(P177&gt;=40,100,IF(P177&gt;=30,90,IF(P177&gt;=20,75,IF(P177&gt;=15,60,IF(P177&gt;=10,45,IF(P177&gt;=5,30,15))))))),""),IFERROR(IF(Q177="","",IF(Q177&gt;=40,100,IF(Q177&gt;=30,90,IF(Q177&gt;=20,75,IF(Q177&gt;=10,60,IF(Q177&gt;=5,45,IF(Q177&gt;=0,30,15))))))),""),IFERROR(IF(R177="","",IF(R177&gt;=40,100,IF(R177&gt;=30,90,IF(R177&gt;=20,75,IF(R177&gt;=10,60,IF(R177&gt;=0,45,IF(R177&gt;=-10,30,15))))))),"")),"")</f>
        <v/>
      </c>
      <c r="T177" s="33" t="n">
        <v>2</v>
      </c>
      <c r="U177" s="33" t="n">
        <v>3</v>
      </c>
      <c r="V177" s="33" t="n">
        <v>3</v>
      </c>
      <c r="W177" s="33" t="n">
        <v>3</v>
      </c>
      <c r="X177" s="33" t="n">
        <v>3</v>
      </c>
      <c r="Y177" s="33">
        <f>IFERROR((AVERAGE(T177,U177,V177,W177,X177)-1)*25,"")</f>
        <v/>
      </c>
      <c r="Z177" s="33" t="n">
        <v>3</v>
      </c>
      <c r="AA177" s="33" t="n">
        <v>2</v>
      </c>
      <c r="AB177" s="33" t="n">
        <v>5</v>
      </c>
      <c r="AC177" s="33" t="n">
        <v>55</v>
      </c>
      <c r="AD177" s="33">
        <f>IFERROR(AVERAGE(IFERROR(IF(Z177="","",Z177*20),""),IFERROR(IF(AA177="","",AA177*20),""),IFERROR(IF(AB177="","",AB177*20),""),IFERROR(IF(AC177="","",IF(AC177&gt;=85,100,IF(AC177&gt;=70,90,IF(AC177&gt;=55,75,IF(AC177&gt;=40,60,IF(AC177&gt;=25,40,20)))))),"")),"")</f>
        <v/>
      </c>
      <c r="AE177" s="33" t="n">
        <v>5</v>
      </c>
      <c r="AF177" s="33" t="n">
        <v>5</v>
      </c>
      <c r="AG177" s="33" t="n">
        <v>4</v>
      </c>
      <c r="AH177" s="33" t="n">
        <v>2</v>
      </c>
      <c r="AI177" s="33">
        <f>IFERROR((AVERAGE(AE177,AF177,AG177,AH177,AL177)-1)*25,"")</f>
        <v/>
      </c>
      <c r="AJ177" s="33">
        <f>IFERROR(J177*Weights!$B$4 + O177*Weights!$B$5 + S177*Weights!$B$6 + Y177*Weights!$B$7 + AD177*Weights!$B$8 + AI177*Weights!$B$9,"")</f>
        <v/>
      </c>
      <c r="AK177" s="33">
        <f>IF(AJ177="","",IF(AJ177&gt;=85,"✓✓✓",IF(AJ177&gt;=70,"✓✓",IF(AJ177&gt;=55,"✓",IF(AJ177&gt;=40,"?","✗")))))</f>
        <v/>
      </c>
      <c r="AL177" s="33" t="n">
        <v>5</v>
      </c>
    </row>
    <row r="178">
      <c r="A178" s="33" t="inlineStr">
        <is>
          <t>6954.T</t>
        </is>
      </c>
      <c r="B178" s="33" t="inlineStr">
        <is>
          <t>Fanuc Corporation</t>
        </is>
      </c>
      <c r="C178" s="33" t="inlineStr">
        <is>
          <t>11 Robotics &amp; Physical AI / Industrial automation &amp; robot arms</t>
        </is>
      </c>
      <c r="D178" s="33" t="inlineStr">
        <is>
          <t>2026-10-11</t>
        </is>
      </c>
      <c r="E178" s="33" t="n">
        <v>35.88975353276455</v>
      </c>
      <c r="F178" s="33" t="n">
        <v>20.053</v>
      </c>
      <c r="H178" s="33" t="n">
        <v>6.3246255</v>
      </c>
      <c r="I178" s="33">
        <f>IF(OR(E178="",R178="",R178&lt;=0,E178&lt;0),"",E178/R178)</f>
        <v/>
      </c>
      <c r="J178" s="33" t="n">
        <v>40.4</v>
      </c>
      <c r="L178" s="33" t="n">
        <v>38.43</v>
      </c>
      <c r="N178" s="33" t="n">
        <v>-3.14</v>
      </c>
      <c r="O178" s="33" t="n">
        <v>77.59999999999999</v>
      </c>
      <c r="P178" s="33" t="n">
        <v>0.23</v>
      </c>
      <c r="Q178" s="33" t="n">
        <v>17.7</v>
      </c>
      <c r="R178" s="33" t="n">
        <v>34.7</v>
      </c>
      <c r="S178" s="33">
        <f>IFERROR(AVERAGE(IFERROR(IF(P178="","",IF(P178&gt;=40,100,IF(P178&gt;=30,90,IF(P178&gt;=20,75,IF(P178&gt;=15,60,IF(P178&gt;=10,45,IF(P178&gt;=5,30,15))))))),""),IFERROR(IF(Q178="","",IF(Q178&gt;=40,100,IF(Q178&gt;=30,90,IF(Q178&gt;=20,75,IF(Q178&gt;=10,60,IF(Q178&gt;=5,45,IF(Q178&gt;=0,30,15))))))),""),IFERROR(IF(R178="","",IF(R178&gt;=40,100,IF(R178&gt;=30,90,IF(R178&gt;=20,75,IF(R178&gt;=10,60,IF(R178&gt;=0,45,IF(R178&gt;=-10,30,15))))))),"")),"")</f>
        <v/>
      </c>
      <c r="T178" s="33" t="n">
        <v>4</v>
      </c>
      <c r="U178" s="33" t="n">
        <v>4</v>
      </c>
      <c r="V178" s="33" t="n">
        <v>4</v>
      </c>
      <c r="W178" s="33" t="n">
        <v>3</v>
      </c>
      <c r="X178" s="33" t="n">
        <v>4</v>
      </c>
      <c r="Y178" s="33">
        <f>IFERROR((AVERAGE(T178,U178,V178,W178,X178)-1)*25,"")</f>
        <v/>
      </c>
      <c r="Z178" s="33" t="n">
        <v>5</v>
      </c>
      <c r="AA178" s="33" t="n">
        <v>5</v>
      </c>
      <c r="AB178" s="33" t="n">
        <v>3</v>
      </c>
      <c r="AC178" s="33" t="n">
        <v>43.3</v>
      </c>
      <c r="AD178" s="33">
        <f>IFERROR(AVERAGE(IFERROR(IF(Z178="","",Z178*20),""),IFERROR(IF(AA178="","",AA178*20),""),IFERROR(IF(AB178="","",AB178*20),""),IFERROR(IF(AC178="","",IF(AC178&gt;=85,100,IF(AC178&gt;=70,90,IF(AC178&gt;=55,75,IF(AC178&gt;=40,60,IF(AC178&gt;=25,40,20)))))),"")),"")</f>
        <v/>
      </c>
      <c r="AE178" s="33" t="n">
        <v>5</v>
      </c>
      <c r="AF178" s="33" t="n">
        <v>3</v>
      </c>
      <c r="AG178" s="33" t="n">
        <v>5</v>
      </c>
      <c r="AH178" s="33" t="n">
        <v>4</v>
      </c>
      <c r="AI178" s="33">
        <f>IFERROR((AVERAGE(AE178,AF178,AG178,AH178,AL178)-1)*25,"")</f>
        <v/>
      </c>
      <c r="AJ178" s="33">
        <f>IFERROR(J178*Weights!$B$4 + O178*Weights!$B$5 + S178*Weights!$B$6 + Y178*Weights!$B$7 + AD178*Weights!$B$8 + AI178*Weights!$B$9,"")</f>
        <v/>
      </c>
      <c r="AK178" s="33">
        <f>IF(AJ178="","",IF(AJ178&gt;=85,"✓✓✓",IF(AJ178&gt;=70,"✓✓",IF(AJ178&gt;=55,"✓",IF(AJ178&gt;=40,"?","✗")))))</f>
        <v/>
      </c>
      <c r="AL178" s="33" t="n">
        <v>5</v>
      </c>
    </row>
    <row r="179">
      <c r="A179" s="33" t="inlineStr">
        <is>
          <t>6506.T</t>
        </is>
      </c>
      <c r="B179" s="33" t="inlineStr">
        <is>
          <t>YASKAWA Electric Corporation</t>
        </is>
      </c>
      <c r="C179" s="33" t="inlineStr">
        <is>
          <t>11 Robotics &amp; Physical AI / Industrial automation &amp; robot arms</t>
        </is>
      </c>
      <c r="D179" s="33" t="inlineStr">
        <is>
          <t>2026-10-11</t>
        </is>
      </c>
      <c r="E179" s="33" t="n">
        <v>24.23914851541369</v>
      </c>
      <c r="F179" s="33" t="n">
        <v>19.508</v>
      </c>
      <c r="G179" s="33" t="n">
        <v>0.1</v>
      </c>
      <c r="H179" s="33" t="n">
        <v>2.2339933</v>
      </c>
      <c r="I179" s="33">
        <f>IF(OR(E179="",R179="",R179&lt;=0,E179&lt;0),"",E179/R179)</f>
        <v/>
      </c>
      <c r="J179" s="33" t="n">
        <v>59.8</v>
      </c>
      <c r="L179" s="33" t="n">
        <v>35.01</v>
      </c>
      <c r="M179" s="33" t="n">
        <v>0.23</v>
      </c>
      <c r="N179" s="33" t="n">
        <v>0.9399999999999999</v>
      </c>
      <c r="O179" s="33" t="n">
        <v>57.7</v>
      </c>
      <c r="P179" s="33" t="n">
        <v>-0.84</v>
      </c>
      <c r="Q179" s="33" t="n">
        <v>10.6</v>
      </c>
      <c r="R179" s="33" t="n">
        <v>-21.7</v>
      </c>
      <c r="S179" s="33">
        <f>IFERROR(AVERAGE(IFERROR(IF(P179="","",IF(P179&gt;=40,100,IF(P179&gt;=30,90,IF(P179&gt;=20,75,IF(P179&gt;=15,60,IF(P179&gt;=10,45,IF(P179&gt;=5,30,15))))))),""),IFERROR(IF(Q179="","",IF(Q179&gt;=40,100,IF(Q179&gt;=30,90,IF(Q179&gt;=20,75,IF(Q179&gt;=10,60,IF(Q179&gt;=5,45,IF(Q179&gt;=0,30,15))))))),""),IFERROR(IF(R179="","",IF(R179&gt;=40,100,IF(R179&gt;=30,90,IF(R179&gt;=20,75,IF(R179&gt;=10,60,IF(R179&gt;=0,45,IF(R179&gt;=-10,30,15))))))),"")),"")</f>
        <v/>
      </c>
      <c r="T179" s="33" t="n">
        <v>4</v>
      </c>
      <c r="U179" s="33" t="n">
        <v>4</v>
      </c>
      <c r="V179" s="33" t="n">
        <v>3</v>
      </c>
      <c r="W179" s="33" t="n">
        <v>3</v>
      </c>
      <c r="X179" s="33" t="n">
        <v>4</v>
      </c>
      <c r="Y179" s="33">
        <f>IFERROR((AVERAGE(T179,U179,V179,W179,X179)-1)*25,"")</f>
        <v/>
      </c>
      <c r="Z179" s="33" t="n">
        <v>3</v>
      </c>
      <c r="AA179" s="33" t="n">
        <v>2</v>
      </c>
      <c r="AB179" s="33" t="n">
        <v>3</v>
      </c>
      <c r="AC179" s="33" t="n">
        <v>51.7</v>
      </c>
      <c r="AD179" s="33">
        <f>IFERROR(AVERAGE(IFERROR(IF(Z179="","",Z179*20),""),IFERROR(IF(AA179="","",AA179*20),""),IFERROR(IF(AB179="","",AB179*20),""),IFERROR(IF(AC179="","",IF(AC179&gt;=85,100,IF(AC179&gt;=70,90,IF(AC179&gt;=55,75,IF(AC179&gt;=40,60,IF(AC179&gt;=25,40,20)))))),"")),"")</f>
        <v/>
      </c>
      <c r="AE179" s="33" t="n">
        <v>5</v>
      </c>
      <c r="AF179" s="33" t="n">
        <v>3</v>
      </c>
      <c r="AG179" s="33" t="n">
        <v>4</v>
      </c>
      <c r="AH179" s="33" t="n">
        <v>4</v>
      </c>
      <c r="AI179" s="33">
        <f>IFERROR((AVERAGE(AE179,AF179,AG179,AH179,AL179)-1)*25,"")</f>
        <v/>
      </c>
      <c r="AJ179" s="33">
        <f>IFERROR(J179*Weights!$B$4 + O179*Weights!$B$5 + S179*Weights!$B$6 + Y179*Weights!$B$7 + AD179*Weights!$B$8 + AI179*Weights!$B$9,"")</f>
        <v/>
      </c>
      <c r="AK179" s="33">
        <f>IF(AJ179="","",IF(AJ179&gt;=85,"✓✓✓",IF(AJ179&gt;=70,"✓✓",IF(AJ179&gt;=55,"✓",IF(AJ179&gt;=40,"?","✗")))))</f>
        <v/>
      </c>
      <c r="AL179" s="33" t="n">
        <v>5</v>
      </c>
    </row>
    <row r="180">
      <c r="A180" s="33" t="inlineStr">
        <is>
          <t>SYM</t>
        </is>
      </c>
      <c r="B180" s="33" t="inlineStr">
        <is>
          <t>Symbotic Inc.</t>
        </is>
      </c>
      <c r="C180" s="33" t="inlineStr">
        <is>
          <t>11 Robotics &amp; Physical AI / Warehouse &amp; logistics automation</t>
        </is>
      </c>
      <c r="D180" s="33" t="inlineStr">
        <is>
          <t>2026-10-11</t>
        </is>
      </c>
      <c r="E180" s="33" t="n">
        <v>55.248833</v>
      </c>
      <c r="F180" s="33" t="n">
        <v>76.58199999999999</v>
      </c>
      <c r="G180" s="33" t="n">
        <v>2.86</v>
      </c>
      <c r="H180" s="33" t="n">
        <v>9.753984000000001</v>
      </c>
      <c r="I180" s="33">
        <f>IF(OR(E180="",R180="",R180&lt;=0,E180&lt;0),"",E180/R180)</f>
        <v/>
      </c>
      <c r="J180" s="33" t="n">
        <v>46.9</v>
      </c>
      <c r="K180" s="33" t="n">
        <v>2.39</v>
      </c>
      <c r="L180" s="33" t="n">
        <v>21.27</v>
      </c>
      <c r="M180" s="33" t="n">
        <v>27.87</v>
      </c>
      <c r="N180" s="33" t="n">
        <v>-30.44</v>
      </c>
      <c r="O180" s="33" t="n">
        <v>67.59999999999999</v>
      </c>
      <c r="P180" s="33" t="n">
        <v>55.87</v>
      </c>
      <c r="Q180" s="33" t="n">
        <v>21.7</v>
      </c>
      <c r="S180" s="33">
        <f>IFERROR(AVERAGE(IFERROR(IF(P180="","",IF(P180&gt;=40,100,IF(P180&gt;=30,90,IF(P180&gt;=20,75,IF(P180&gt;=15,60,IF(P180&gt;=10,45,IF(P180&gt;=5,30,15))))))),""),IFERROR(IF(Q180="","",IF(Q180&gt;=40,100,IF(Q180&gt;=30,90,IF(Q180&gt;=20,75,IF(Q180&gt;=10,60,IF(Q180&gt;=5,45,IF(Q180&gt;=0,30,15))))))),""),IFERROR(IF(R180="","",IF(R180&gt;=40,100,IF(R180&gt;=30,90,IF(R180&gt;=20,75,IF(R180&gt;=10,60,IF(R180&gt;=0,45,IF(R180&gt;=-10,30,15))))))),"")),"")</f>
        <v/>
      </c>
      <c r="T180" s="33" t="n">
        <v>5</v>
      </c>
      <c r="U180" s="33" t="n">
        <v>3</v>
      </c>
      <c r="V180" s="33" t="n">
        <v>3</v>
      </c>
      <c r="W180" s="33" t="n">
        <v>4</v>
      </c>
      <c r="X180" s="33" t="n">
        <v>3</v>
      </c>
      <c r="Y180" s="33">
        <f>IFERROR((AVERAGE(T180,U180,V180,W180,X180)-1)*25,"")</f>
        <v/>
      </c>
      <c r="Z180" s="33" t="n">
        <v>3</v>
      </c>
      <c r="AA180" s="33" t="n">
        <v>1</v>
      </c>
      <c r="AB180" s="33" t="n">
        <v>3</v>
      </c>
      <c r="AC180" s="33" t="n">
        <v>30.8</v>
      </c>
      <c r="AD180" s="33">
        <f>IFERROR(AVERAGE(IFERROR(IF(Z180="","",Z180*20),""),IFERROR(IF(AA180="","",AA180*20),""),IFERROR(IF(AB180="","",AB180*20),""),IFERROR(IF(AC180="","",IF(AC180&gt;=85,100,IF(AC180&gt;=70,90,IF(AC180&gt;=55,75,IF(AC180&gt;=40,60,IF(AC180&gt;=25,40,20)))))),"")),"")</f>
        <v/>
      </c>
      <c r="AE180" s="33" t="n">
        <v>1</v>
      </c>
      <c r="AF180" s="33" t="n">
        <v>5</v>
      </c>
      <c r="AG180" s="33" t="n">
        <v>5</v>
      </c>
      <c r="AH180" s="33" t="n">
        <v>2</v>
      </c>
      <c r="AI180" s="33">
        <f>IFERROR((AVERAGE(AE180,AF180,AG180,AH180,AL180)-1)*25,"")</f>
        <v/>
      </c>
      <c r="AJ180" s="33">
        <f>IFERROR(J180*Weights!$B$4 + O180*Weights!$B$5 + S180*Weights!$B$6 + Y180*Weights!$B$7 + AD180*Weights!$B$8 + AI180*Weights!$B$9,"")</f>
        <v/>
      </c>
      <c r="AK180" s="33">
        <f>IF(AJ180="","",IF(AJ180&gt;=85,"✓✓✓",IF(AJ180&gt;=70,"✓✓",IF(AJ180&gt;=55,"✓",IF(AJ180&gt;=40,"?","✗")))))</f>
        <v/>
      </c>
      <c r="AL180" s="33" t="n">
        <v>5</v>
      </c>
    </row>
    <row r="181">
      <c r="A181" s="33" t="inlineStr">
        <is>
          <t>AUTO.OL</t>
        </is>
      </c>
      <c r="B181" s="33" t="inlineStr">
        <is>
          <t>AutoStore Holdings Ltd.</t>
        </is>
      </c>
      <c r="C181" s="33" t="inlineStr">
        <is>
          <t>11 Robotics &amp; Physical AI / Warehouse &amp; logistics automation</t>
        </is>
      </c>
      <c r="D181" s="33" t="inlineStr">
        <is>
          <t>2026-10-11</t>
        </is>
      </c>
      <c r="E181" s="33" t="n">
        <v>25.980238</v>
      </c>
      <c r="F181" s="33" t="n">
        <v>24.98</v>
      </c>
      <c r="G181" s="33" t="n">
        <v>1.61</v>
      </c>
      <c r="H181" s="33" t="n">
        <v>8.24</v>
      </c>
      <c r="I181" s="33">
        <f>IF(OR(E181="",R181="",R181&lt;=0,E181&lt;0),"",E181/R181)</f>
        <v/>
      </c>
      <c r="J181" s="33" t="n">
        <v>42.8</v>
      </c>
      <c r="L181" s="33" t="n">
        <v>72.92</v>
      </c>
      <c r="M181" s="33" t="n">
        <v>13.24</v>
      </c>
      <c r="N181" s="33" t="n">
        <v>0.4</v>
      </c>
      <c r="O181" s="33" t="n">
        <v>79.7</v>
      </c>
      <c r="P181" s="33" t="n">
        <v>-2.57</v>
      </c>
      <c r="Q181" s="33" t="n">
        <v>43.5</v>
      </c>
      <c r="S181" s="33">
        <f>IFERROR(AVERAGE(IFERROR(IF(P181="","",IF(P181&gt;=40,100,IF(P181&gt;=30,90,IF(P181&gt;=20,75,IF(P181&gt;=15,60,IF(P181&gt;=10,45,IF(P181&gt;=5,30,15))))))),""),IFERROR(IF(Q181="","",IF(Q181&gt;=40,100,IF(Q181&gt;=30,90,IF(Q181&gt;=20,75,IF(Q181&gt;=10,60,IF(Q181&gt;=5,45,IF(Q181&gt;=0,30,15))))))),""),IFERROR(IF(R181="","",IF(R181&gt;=40,100,IF(R181&gt;=30,90,IF(R181&gt;=20,75,IF(R181&gt;=10,60,IF(R181&gt;=0,45,IF(R181&gt;=-10,30,15))))))),"")),"")</f>
        <v/>
      </c>
      <c r="T181" s="33" t="n">
        <v>5</v>
      </c>
      <c r="U181" s="33" t="n">
        <v>4</v>
      </c>
      <c r="V181" s="33" t="n">
        <v>4</v>
      </c>
      <c r="W181" s="33" t="n">
        <v>3</v>
      </c>
      <c r="X181" s="33" t="n">
        <v>3</v>
      </c>
      <c r="Y181" s="33">
        <f>IFERROR((AVERAGE(T181,U181,V181,W181,X181)-1)*25,"")</f>
        <v/>
      </c>
      <c r="Z181" s="33" t="n">
        <v>3</v>
      </c>
      <c r="AA181" s="33" t="n">
        <v>2</v>
      </c>
      <c r="AB181" s="33" t="n">
        <v>3</v>
      </c>
      <c r="AC181" s="33" t="n">
        <v>75.8</v>
      </c>
      <c r="AD181" s="33">
        <f>IFERROR(AVERAGE(IFERROR(IF(Z181="","",Z181*20),""),IFERROR(IF(AA181="","",AA181*20),""),IFERROR(IF(AB181="","",AB181*20),""),IFERROR(IF(AC181="","",IF(AC181&gt;=85,100,IF(AC181&gt;=70,90,IF(AC181&gt;=55,75,IF(AC181&gt;=40,60,IF(AC181&gt;=25,40,20)))))),"")),"")</f>
        <v/>
      </c>
      <c r="AE181" s="33" t="n">
        <v>4</v>
      </c>
      <c r="AF181" s="33" t="n">
        <v>4</v>
      </c>
      <c r="AG181" s="33" t="n">
        <v>4</v>
      </c>
      <c r="AH181" s="33" t="n">
        <v>4</v>
      </c>
      <c r="AI181" s="33">
        <f>IFERROR((AVERAGE(AE181,AF181,AG181,AH181,AL181)-1)*25,"")</f>
        <v/>
      </c>
      <c r="AJ181" s="33">
        <f>IFERROR(J181*Weights!$B$4 + O181*Weights!$B$5 + S181*Weights!$B$6 + Y181*Weights!$B$7 + AD181*Weights!$B$8 + AI181*Weights!$B$9,"")</f>
        <v/>
      </c>
      <c r="AK181" s="33">
        <f>IF(AJ181="","",IF(AJ181&gt;=85,"✓✓✓",IF(AJ181&gt;=70,"✓✓",IF(AJ181&gt;=55,"✓",IF(AJ181&gt;=40,"?","✗")))))</f>
        <v/>
      </c>
      <c r="AL181" s="33" t="n">
        <v>5</v>
      </c>
    </row>
    <row r="182">
      <c r="A182" s="33" t="inlineStr">
        <is>
          <t>6383.T</t>
        </is>
      </c>
      <c r="B182" s="33" t="inlineStr">
        <is>
          <t>Daifuku Co., Ltd.</t>
        </is>
      </c>
      <c r="C182" s="33" t="inlineStr">
        <is>
          <t>11 Robotics &amp; Physical AI / Warehouse &amp; logistics automation</t>
        </is>
      </c>
      <c r="D182" s="33" t="inlineStr">
        <is>
          <t>2026-10-11</t>
        </is>
      </c>
      <c r="E182" s="33" t="n">
        <v>40.196354</v>
      </c>
      <c r="F182" s="33" t="n">
        <v>16.008</v>
      </c>
      <c r="H182" s="33" t="n">
        <v>3.112191</v>
      </c>
      <c r="I182" s="33">
        <f>IF(OR(E182="",R182="",R182&lt;=0,E182&lt;0),"",E182/R182)</f>
        <v/>
      </c>
      <c r="J182" s="33" t="n">
        <v>41.3</v>
      </c>
      <c r="L182" s="33" t="n">
        <v>25.28</v>
      </c>
      <c r="N182" s="33" t="n">
        <v>-1.88</v>
      </c>
      <c r="O182" s="33" t="n">
        <v>57.1</v>
      </c>
      <c r="P182" s="33" t="n">
        <v>8.85</v>
      </c>
      <c r="Q182" s="33" t="n">
        <v>10</v>
      </c>
      <c r="R182" s="33" t="n">
        <v>13.9</v>
      </c>
      <c r="S182" s="33">
        <f>IFERROR(AVERAGE(IFERROR(IF(P182="","",IF(P182&gt;=40,100,IF(P182&gt;=30,90,IF(P182&gt;=20,75,IF(P182&gt;=15,60,IF(P182&gt;=10,45,IF(P182&gt;=5,30,15))))))),""),IFERROR(IF(Q182="","",IF(Q182&gt;=40,100,IF(Q182&gt;=30,90,IF(Q182&gt;=20,75,IF(Q182&gt;=10,60,IF(Q182&gt;=5,45,IF(Q182&gt;=0,30,15))))))),""),IFERROR(IF(R182="","",IF(R182&gt;=40,100,IF(R182&gt;=30,90,IF(R182&gt;=20,75,IF(R182&gt;=10,60,IF(R182&gt;=0,45,IF(R182&gt;=-10,30,15))))))),"")),"")</f>
        <v/>
      </c>
      <c r="T182" s="33" t="n">
        <v>5</v>
      </c>
      <c r="U182" s="33" t="n">
        <v>4</v>
      </c>
      <c r="V182" s="33" t="n">
        <v>4</v>
      </c>
      <c r="W182" s="33" t="n">
        <v>5</v>
      </c>
      <c r="X182" s="33" t="n">
        <v>5</v>
      </c>
      <c r="Y182" s="33">
        <f>IFERROR((AVERAGE(T182,U182,V182,W182,X182)-1)*25,"")</f>
        <v/>
      </c>
      <c r="Z182" s="33" t="n">
        <v>4</v>
      </c>
      <c r="AA182" s="33" t="n">
        <v>1</v>
      </c>
      <c r="AB182" s="33" t="n">
        <v>3</v>
      </c>
      <c r="AC182" s="33" t="n">
        <v>45.8</v>
      </c>
      <c r="AD182" s="33">
        <f>IFERROR(AVERAGE(IFERROR(IF(Z182="","",Z182*20),""),IFERROR(IF(AA182="","",AA182*20),""),IFERROR(IF(AB182="","",AB182*20),""),IFERROR(IF(AC182="","",IF(AC182&gt;=85,100,IF(AC182&gt;=70,90,IF(AC182&gt;=55,75,IF(AC182&gt;=40,60,IF(AC182&gt;=25,40,20)))))),"")),"")</f>
        <v/>
      </c>
      <c r="AE182" s="33" t="n">
        <v>4</v>
      </c>
      <c r="AF182" s="33" t="n">
        <v>3</v>
      </c>
      <c r="AG182" s="33" t="n">
        <v>5</v>
      </c>
      <c r="AH182" s="33" t="n">
        <v>4</v>
      </c>
      <c r="AI182" s="33">
        <f>IFERROR((AVERAGE(AE182,AF182,AG182,AH182,AL182)-1)*25,"")</f>
        <v/>
      </c>
      <c r="AJ182" s="33">
        <f>IFERROR(J182*Weights!$B$4 + O182*Weights!$B$5 + S182*Weights!$B$6 + Y182*Weights!$B$7 + AD182*Weights!$B$8 + AI182*Weights!$B$9,"")</f>
        <v/>
      </c>
      <c r="AK182" s="33">
        <f>IF(AJ182="","",IF(AJ182&gt;=85,"✓✓✓",IF(AJ182&gt;=70,"✓✓",IF(AJ182&gt;=55,"✓",IF(AJ182&gt;=40,"?","✗")))))</f>
        <v/>
      </c>
      <c r="AL182" s="33" t="n">
        <v>5</v>
      </c>
    </row>
    <row r="183">
      <c r="A183" s="33" t="inlineStr">
        <is>
          <t>KGX.DE</t>
        </is>
      </c>
      <c r="B183" s="33" t="inlineStr">
        <is>
          <t>KION GROUP AG</t>
        </is>
      </c>
      <c r="C183" s="33" t="inlineStr">
        <is>
          <t>11 Robotics &amp; Physical AI / Warehouse &amp; logistics automation</t>
        </is>
      </c>
      <c r="D183" s="33" t="inlineStr">
        <is>
          <t>2026-10-11</t>
        </is>
      </c>
      <c r="E183" s="33" t="n">
        <v>7.5256085</v>
      </c>
      <c r="F183" s="33" t="n">
        <v>6.807</v>
      </c>
      <c r="G183" s="33" t="n">
        <v>24.11</v>
      </c>
      <c r="H183" s="33" t="n">
        <v>0.38966936</v>
      </c>
      <c r="I183" s="33">
        <f>IF(OR(E183="",R183="",R183&lt;=0,E183&lt;0),"",E183/R183)</f>
        <v/>
      </c>
      <c r="J183" s="33" t="n">
        <v>91.09999999999999</v>
      </c>
      <c r="L183" s="33" t="n">
        <v>26.32</v>
      </c>
      <c r="M183" s="33" t="n">
        <v>9.4</v>
      </c>
      <c r="N183" s="33" t="n">
        <v>4.25</v>
      </c>
      <c r="O183" s="33" t="n">
        <v>43.2</v>
      </c>
      <c r="P183" s="33" t="n">
        <v>0.48</v>
      </c>
      <c r="Q183" s="33" t="n">
        <v>7.7</v>
      </c>
      <c r="R183" s="33" t="n">
        <v>18.7</v>
      </c>
      <c r="S183" s="33">
        <f>IFERROR(AVERAGE(IFERROR(IF(P183="","",IF(P183&gt;=40,100,IF(P183&gt;=30,90,IF(P183&gt;=20,75,IF(P183&gt;=15,60,IF(P183&gt;=10,45,IF(P183&gt;=5,30,15))))))),""),IFERROR(IF(Q183="","",IF(Q183&gt;=40,100,IF(Q183&gt;=30,90,IF(Q183&gt;=20,75,IF(Q183&gt;=10,60,IF(Q183&gt;=5,45,IF(Q183&gt;=0,30,15))))))),""),IFERROR(IF(R183="","",IF(R183&gt;=40,100,IF(R183&gt;=30,90,IF(R183&gt;=20,75,IF(R183&gt;=10,60,IF(R183&gt;=0,45,IF(R183&gt;=-10,30,15))))))),"")),"")</f>
        <v/>
      </c>
      <c r="T183" s="33" t="n">
        <v>4</v>
      </c>
      <c r="U183" s="33" t="n">
        <v>3</v>
      </c>
      <c r="V183" s="33" t="n">
        <v>3</v>
      </c>
      <c r="W183" s="33" t="n">
        <v>2</v>
      </c>
      <c r="X183" s="33" t="n">
        <v>3</v>
      </c>
      <c r="Y183" s="33">
        <f>IFERROR((AVERAGE(T183,U183,V183,W183,X183)-1)*25,"")</f>
        <v/>
      </c>
      <c r="Z183" s="33" t="n">
        <v>2</v>
      </c>
      <c r="AA183" s="33" t="n">
        <v>1</v>
      </c>
      <c r="AB183" s="33" t="n">
        <v>3</v>
      </c>
      <c r="AC183" s="33" t="n">
        <v>27.5</v>
      </c>
      <c r="AD183" s="33">
        <f>IFERROR(AVERAGE(IFERROR(IF(Z183="","",Z183*20),""),IFERROR(IF(AA183="","",AA183*20),""),IFERROR(IF(AB183="","",AB183*20),""),IFERROR(IF(AC183="","",IF(AC183&gt;=85,100,IF(AC183&gt;=70,90,IF(AC183&gt;=55,75,IF(AC183&gt;=40,60,IF(AC183&gt;=25,40,20)))))),"")),"")</f>
        <v/>
      </c>
      <c r="AE183" s="33" t="n">
        <v>5</v>
      </c>
      <c r="AF183" s="33" t="n">
        <v>4</v>
      </c>
      <c r="AG183" s="33" t="n">
        <v>4</v>
      </c>
      <c r="AH183" s="33" t="n">
        <v>4</v>
      </c>
      <c r="AI183" s="33">
        <f>IFERROR((AVERAGE(AE183,AF183,AG183,AH183,AL183)-1)*25,"")</f>
        <v/>
      </c>
      <c r="AJ183" s="33">
        <f>IFERROR(J183*Weights!$B$4 + O183*Weights!$B$5 + S183*Weights!$B$6 + Y183*Weights!$B$7 + AD183*Weights!$B$8 + AI183*Weights!$B$9,"")</f>
        <v/>
      </c>
      <c r="AK183" s="33">
        <f>IF(AJ183="","",IF(AJ183&gt;=85,"✓✓✓",IF(AJ183&gt;=70,"✓✓",IF(AJ183&gt;=55,"✓",IF(AJ183&gt;=40,"?","✗")))))</f>
        <v/>
      </c>
      <c r="AL183" s="33" t="n">
        <v>5</v>
      </c>
    </row>
    <row r="184">
      <c r="A184" s="33" t="inlineStr">
        <is>
          <t>2590.HK</t>
        </is>
      </c>
      <c r="B184" s="33" t="inlineStr">
        <is>
          <t>Beijing Geekplus Technology Co., Ltd.</t>
        </is>
      </c>
      <c r="C184" s="33" t="inlineStr">
        <is>
          <t>11 Robotics &amp; Physical AI / Warehouse &amp; logistics automation</t>
        </is>
      </c>
      <c r="D184" s="33" t="inlineStr">
        <is>
          <t>2026-10-11</t>
        </is>
      </c>
      <c r="E184" s="33" t="n">
        <v>17.616232</v>
      </c>
      <c r="F184" s="33" t="n">
        <v>943.23</v>
      </c>
      <c r="G184" s="33" t="n">
        <v>-57.2</v>
      </c>
      <c r="H184" s="33" t="n">
        <v>3.83</v>
      </c>
      <c r="I184" s="33">
        <f>IF(OR(E184="",R184="",R184&lt;=0,E184&lt;0),"",E184/R184)</f>
        <v/>
      </c>
      <c r="J184" s="33" t="n">
        <v>64</v>
      </c>
      <c r="L184" s="33" t="n">
        <v>35.71</v>
      </c>
      <c r="M184" s="33" t="n">
        <v>-218.82</v>
      </c>
      <c r="N184" s="33" t="n">
        <v>-181.82</v>
      </c>
      <c r="O184" s="33" t="n">
        <v>47.4</v>
      </c>
      <c r="P184" s="33" t="n">
        <v>29.74</v>
      </c>
      <c r="Q184" s="33" t="n">
        <v>25.3</v>
      </c>
      <c r="S184" s="33">
        <f>IFERROR(AVERAGE(IFERROR(IF(P184="","",IF(P184&gt;=40,100,IF(P184&gt;=30,90,IF(P184&gt;=20,75,IF(P184&gt;=15,60,IF(P184&gt;=10,45,IF(P184&gt;=5,30,15))))))),""),IFERROR(IF(Q184="","",IF(Q184&gt;=40,100,IF(Q184&gt;=30,90,IF(Q184&gt;=20,75,IF(Q184&gt;=10,60,IF(Q184&gt;=5,45,IF(Q184&gt;=0,30,15))))))),""),IFERROR(IF(R184="","",IF(R184&gt;=40,100,IF(R184&gt;=30,90,IF(R184&gt;=20,75,IF(R184&gt;=10,60,IF(R184&gt;=0,45,IF(R184&gt;=-10,30,15))))))),"")),"")</f>
        <v/>
      </c>
      <c r="T184" s="33" t="n">
        <v>5</v>
      </c>
      <c r="U184" s="33" t="n">
        <v>3</v>
      </c>
      <c r="V184" s="33" t="n">
        <v>3</v>
      </c>
      <c r="W184" s="33" t="n">
        <v>4</v>
      </c>
      <c r="X184" s="33" t="n">
        <v>3</v>
      </c>
      <c r="Y184" s="33">
        <f>IFERROR((AVERAGE(T184,U184,V184,W184,X184)-1)*25,"")</f>
        <v/>
      </c>
      <c r="Z184" s="33" t="n">
        <v>3</v>
      </c>
      <c r="AA184" s="33" t="n">
        <v>1</v>
      </c>
      <c r="AB184" s="33" t="n">
        <v>3</v>
      </c>
      <c r="AC184" s="33" t="n">
        <v>1.7</v>
      </c>
      <c r="AD184" s="33">
        <f>IFERROR(AVERAGE(IFERROR(IF(Z184="","",Z184*20),""),IFERROR(IF(AA184="","",AA184*20),""),IFERROR(IF(AB184="","",AB184*20),""),IFERROR(IF(AC184="","",IF(AC184&gt;=85,100,IF(AC184&gt;=70,90,IF(AC184&gt;=55,75,IF(AC184&gt;=40,60,IF(AC184&gt;=25,40,20)))))),"")),"")</f>
        <v/>
      </c>
      <c r="AE184" s="33" t="n">
        <v>4</v>
      </c>
      <c r="AF184" s="33" t="n">
        <v>2</v>
      </c>
      <c r="AG184" s="33" t="n">
        <v>4</v>
      </c>
      <c r="AH184" s="33" t="n">
        <v>3</v>
      </c>
      <c r="AI184" s="33">
        <f>IFERROR((AVERAGE(AE184,AF184,AG184,AH184,AL184)-1)*25,"")</f>
        <v/>
      </c>
      <c r="AJ184" s="33">
        <f>IFERROR(J184*Weights!$B$4 + O184*Weights!$B$5 + S184*Weights!$B$6 + Y184*Weights!$B$7 + AD184*Weights!$B$8 + AI184*Weights!$B$9,"")</f>
        <v/>
      </c>
      <c r="AK184" s="33">
        <f>IF(AJ184="","",IF(AJ184&gt;=85,"✓✓✓",IF(AJ184&gt;=70,"✓✓",IF(AJ184&gt;=55,"✓",IF(AJ184&gt;=40,"?","✗")))))</f>
        <v/>
      </c>
      <c r="AL184" s="33" t="n">
        <v>5</v>
      </c>
    </row>
    <row r="185">
      <c r="A185" s="33" t="inlineStr">
        <is>
          <t>ISRG</t>
        </is>
      </c>
      <c r="B185" s="33" t="inlineStr">
        <is>
          <t>Intuitive Surgical, Inc.</t>
        </is>
      </c>
      <c r="C185" s="33" t="inlineStr">
        <is>
          <t>11 Robotics &amp; Physical AI / Surgical &amp; medical robotics</t>
        </is>
      </c>
      <c r="D185" s="33" t="inlineStr">
        <is>
          <t>2026-10-11</t>
        </is>
      </c>
      <c r="E185" s="33" t="n">
        <v>35.00391</v>
      </c>
      <c r="F185" s="33" t="n">
        <v>33.81</v>
      </c>
      <c r="G185" s="33" t="n">
        <v>2.15</v>
      </c>
      <c r="H185" s="33" t="n">
        <v>13.57353</v>
      </c>
      <c r="I185" s="33">
        <f>IF(OR(E185="",R185="",R185&lt;=0,E185&lt;0),"",E185/R185)</f>
        <v/>
      </c>
      <c r="J185" s="33" t="n">
        <v>50.6</v>
      </c>
      <c r="K185" s="33" t="n">
        <v>15.11</v>
      </c>
      <c r="L185" s="33" t="n">
        <v>66.68000000000001</v>
      </c>
      <c r="M185" s="33" t="n">
        <v>29.21</v>
      </c>
      <c r="N185" s="33" t="n">
        <v>-1.25</v>
      </c>
      <c r="O185" s="33" t="n">
        <v>95.40000000000001</v>
      </c>
      <c r="P185" s="33" t="n">
        <v>17.39</v>
      </c>
      <c r="Q185" s="33" t="n">
        <v>18.5</v>
      </c>
      <c r="R185" s="33" t="n">
        <v>24.3</v>
      </c>
      <c r="S185" s="33">
        <f>IFERROR(AVERAGE(IFERROR(IF(P185="","",IF(P185&gt;=40,100,IF(P185&gt;=30,90,IF(P185&gt;=20,75,IF(P185&gt;=15,60,IF(P185&gt;=10,45,IF(P185&gt;=5,30,15))))))),""),IFERROR(IF(Q185="","",IF(Q185&gt;=40,100,IF(Q185&gt;=30,90,IF(Q185&gt;=20,75,IF(Q185&gt;=10,60,IF(Q185&gt;=5,45,IF(Q185&gt;=0,30,15))))))),""),IFERROR(IF(R185="","",IF(R185&gt;=40,100,IF(R185&gt;=30,90,IF(R185&gt;=20,75,IF(R185&gt;=10,60,IF(R185&gt;=0,45,IF(R185&gt;=-10,30,15))))))),"")),"")</f>
        <v/>
      </c>
      <c r="T185" s="33" t="n">
        <v>5</v>
      </c>
      <c r="U185" s="33" t="n">
        <v>4</v>
      </c>
      <c r="V185" s="33" t="n">
        <v>4</v>
      </c>
      <c r="W185" s="33" t="n">
        <v>4</v>
      </c>
      <c r="X185" s="33" t="n">
        <v>4</v>
      </c>
      <c r="Y185" s="33">
        <f>IFERROR((AVERAGE(T185,U185,V185,W185,X185)-1)*25,"")</f>
        <v/>
      </c>
      <c r="Z185" s="33" t="n">
        <v>3</v>
      </c>
      <c r="AA185" s="33" t="n">
        <v>2</v>
      </c>
      <c r="AB185" s="33" t="n">
        <v>3</v>
      </c>
      <c r="AC185" s="33" t="n">
        <v>25.8</v>
      </c>
      <c r="AD185" s="33">
        <f>IFERROR(AVERAGE(IFERROR(IF(Z185="","",Z185*20),""),IFERROR(IF(AA185="","",AA185*20),""),IFERROR(IF(AB185="","",AB185*20),""),IFERROR(IF(AC185="","",IF(AC185&gt;=85,100,IF(AC185&gt;=70,90,IF(AC185&gt;=55,75,IF(AC185&gt;=40,60,IF(AC185&gt;=25,40,20)))))),"")),"")</f>
        <v/>
      </c>
      <c r="AE185" s="33" t="n">
        <v>5</v>
      </c>
      <c r="AF185" s="33" t="n">
        <v>3</v>
      </c>
      <c r="AG185" s="33" t="n">
        <v>5</v>
      </c>
      <c r="AH185" s="33" t="n">
        <v>2</v>
      </c>
      <c r="AI185" s="33">
        <f>IFERROR((AVERAGE(AE185,AF185,AG185,AH185,AL185)-1)*25,"")</f>
        <v/>
      </c>
      <c r="AJ185" s="33">
        <f>IFERROR(J185*Weights!$B$4 + O185*Weights!$B$5 + S185*Weights!$B$6 + Y185*Weights!$B$7 + AD185*Weights!$B$8 + AI185*Weights!$B$9,"")</f>
        <v/>
      </c>
      <c r="AK185" s="33">
        <f>IF(AJ185="","",IF(AJ185&gt;=85,"✓✓✓",IF(AJ185&gt;=70,"✓✓",IF(AJ185&gt;=55,"✓",IF(AJ185&gt;=40,"?","✗")))))</f>
        <v/>
      </c>
      <c r="AL185" s="33" t="n">
        <v>5</v>
      </c>
    </row>
    <row r="186">
      <c r="A186" s="33" t="inlineStr">
        <is>
          <t>PRCT</t>
        </is>
      </c>
      <c r="B186" s="33" t="inlineStr">
        <is>
          <t>PROCEPT BioRobotics Corporation</t>
        </is>
      </c>
      <c r="C186" s="33" t="inlineStr">
        <is>
          <t>11 Robotics &amp; Physical AI / Surgical &amp; medical robotics</t>
        </is>
      </c>
      <c r="D186" s="33" t="inlineStr">
        <is>
          <t>2026-10-11</t>
        </is>
      </c>
      <c r="E186" s="33" t="n">
        <v>-15.690688</v>
      </c>
      <c r="F186" s="33" t="n">
        <v>-7.952</v>
      </c>
      <c r="G186" s="33" t="n">
        <v>-8.06</v>
      </c>
      <c r="H186" s="33" t="n">
        <v>3.123947</v>
      </c>
      <c r="I186" s="33">
        <f>IF(OR(E186="",R186="",R186&lt;=0,E186&lt;0),"",E186/R186)</f>
        <v/>
      </c>
      <c r="J186" s="33" t="n">
        <v>41.6</v>
      </c>
      <c r="K186" s="33" t="n">
        <v>-21.74</v>
      </c>
      <c r="L186" s="33" t="n">
        <v>63.36</v>
      </c>
      <c r="M186" s="33" t="n">
        <v>-25.17</v>
      </c>
      <c r="O186" s="33" t="n">
        <v>43.3</v>
      </c>
      <c r="P186" s="33" t="n">
        <v>60.14</v>
      </c>
      <c r="Q186" s="33" t="n">
        <v>19.3</v>
      </c>
      <c r="S186" s="33">
        <f>IFERROR(AVERAGE(IFERROR(IF(P186="","",IF(P186&gt;=40,100,IF(P186&gt;=30,90,IF(P186&gt;=20,75,IF(P186&gt;=15,60,IF(P186&gt;=10,45,IF(P186&gt;=5,30,15))))))),""),IFERROR(IF(Q186="","",IF(Q186&gt;=40,100,IF(Q186&gt;=30,90,IF(Q186&gt;=20,75,IF(Q186&gt;=10,60,IF(Q186&gt;=5,45,IF(Q186&gt;=0,30,15))))))),""),IFERROR(IF(R186="","",IF(R186&gt;=40,100,IF(R186&gt;=30,90,IF(R186&gt;=20,75,IF(R186&gt;=10,60,IF(R186&gt;=0,45,IF(R186&gt;=-10,30,15))))))),"")),"")</f>
        <v/>
      </c>
      <c r="T186" s="33" t="n">
        <v>5</v>
      </c>
      <c r="U186" s="33" t="n">
        <v>3</v>
      </c>
      <c r="V186" s="33" t="n">
        <v>3</v>
      </c>
      <c r="W186" s="33" t="n">
        <v>4</v>
      </c>
      <c r="X186" s="33" t="n">
        <v>3</v>
      </c>
      <c r="Y186" s="33">
        <f>IFERROR((AVERAGE(T186,U186,V186,W186,X186)-1)*25,"")</f>
        <v/>
      </c>
      <c r="Z186" s="33" t="n">
        <v>3</v>
      </c>
      <c r="AA186" s="33" t="n">
        <v>1</v>
      </c>
      <c r="AB186" s="33" t="n">
        <v>5</v>
      </c>
      <c r="AC186" s="33" t="n">
        <v>39.2</v>
      </c>
      <c r="AD186" s="33">
        <f>IFERROR(AVERAGE(IFERROR(IF(Z186="","",Z186*20),""),IFERROR(IF(AA186="","",AA186*20),""),IFERROR(IF(AB186="","",AB186*20),""),IFERROR(IF(AC186="","",IF(AC186&gt;=85,100,IF(AC186&gt;=70,90,IF(AC186&gt;=55,75,IF(AC186&gt;=40,60,IF(AC186&gt;=25,40,20)))))),"")),"")</f>
        <v/>
      </c>
      <c r="AE186" s="33" t="n">
        <v>5</v>
      </c>
      <c r="AF186" s="33" t="n">
        <v>5</v>
      </c>
      <c r="AG186" s="33" t="n">
        <v>4</v>
      </c>
      <c r="AH186" s="33" t="n">
        <v>2</v>
      </c>
      <c r="AI186" s="33">
        <f>IFERROR((AVERAGE(AE186,AF186,AG186,AH186,AL186)-1)*25,"")</f>
        <v/>
      </c>
      <c r="AJ186" s="33">
        <f>IFERROR(J186*Weights!$B$4 + O186*Weights!$B$5 + S186*Weights!$B$6 + Y186*Weights!$B$7 + AD186*Weights!$B$8 + AI186*Weights!$B$9,"")</f>
        <v/>
      </c>
      <c r="AK186" s="33">
        <f>IF(AJ186="","",IF(AJ186&gt;=85,"✓✓✓",IF(AJ186&gt;=70,"✓✓",IF(AJ186&gt;=55,"✓",IF(AJ186&gt;=40,"?","✗")))))</f>
        <v/>
      </c>
      <c r="AL186" s="33" t="n">
        <v>5</v>
      </c>
    </row>
    <row r="187">
      <c r="A187" s="33" t="inlineStr">
        <is>
          <t>GMED</t>
        </is>
      </c>
      <c r="B187" s="33" t="inlineStr">
        <is>
          <t>Globus Medical, Inc.</t>
        </is>
      </c>
      <c r="C187" s="33" t="inlineStr">
        <is>
          <t>11 Robotics &amp; Physical AI / Surgical &amp; medical robotics</t>
        </is>
      </c>
      <c r="D187" s="33" t="inlineStr">
        <is>
          <t>2026-10-11</t>
        </is>
      </c>
      <c r="E187" s="33" t="n">
        <v>13.82871</v>
      </c>
      <c r="F187" s="33" t="n">
        <v>9.323</v>
      </c>
      <c r="G187" s="33" t="n">
        <v>7.44</v>
      </c>
      <c r="H187" s="33" t="n">
        <v>3.1869202</v>
      </c>
      <c r="I187" s="33">
        <f>IF(OR(E187="",R187="",R187&lt;=0,E187&lt;0),"",E187/R187)</f>
        <v/>
      </c>
      <c r="J187" s="33" t="n">
        <v>82.5</v>
      </c>
      <c r="K187" s="33" t="n">
        <v>10.91</v>
      </c>
      <c r="L187" s="33" t="n">
        <v>68.97</v>
      </c>
      <c r="M187" s="33" t="n">
        <v>23.72</v>
      </c>
      <c r="N187" s="33" t="n">
        <v>-0.48</v>
      </c>
      <c r="O187" s="33" t="n">
        <v>94.09999999999999</v>
      </c>
      <c r="P187" s="33" t="n">
        <v>42.17</v>
      </c>
      <c r="Q187" s="33" t="n">
        <v>5.9</v>
      </c>
      <c r="R187" s="33" t="n"/>
      <c r="S187" s="33">
        <f>IFERROR(AVERAGE(IFERROR(IF(P187="","",IF(P187&gt;=40,100,IF(P187&gt;=30,90,IF(P187&gt;=20,75,IF(P187&gt;=15,60,IF(P187&gt;=10,45,IF(P187&gt;=5,30,15))))))),""),IFERROR(IF(Q187="","",IF(Q187&gt;=40,100,IF(Q187&gt;=30,90,IF(Q187&gt;=20,75,IF(Q187&gt;=10,60,IF(Q187&gt;=5,45,IF(Q187&gt;=0,30,15))))))),""),IFERROR(IF(R187="","",IF(R187&gt;=40,100,IF(R187&gt;=30,90,IF(R187&gt;=20,75,IF(R187&gt;=10,60,IF(R187&gt;=0,45,IF(R187&gt;=-10,30,15))))))),"")),"")</f>
        <v/>
      </c>
      <c r="T187" s="33" t="n">
        <v>2</v>
      </c>
      <c r="U187" s="33" t="n">
        <v>2</v>
      </c>
      <c r="V187" s="33" t="n">
        <v>3</v>
      </c>
      <c r="W187" s="33" t="n">
        <v>4</v>
      </c>
      <c r="X187" s="33" t="n">
        <v>2</v>
      </c>
      <c r="Y187" s="33">
        <f>IFERROR((AVERAGE(T187,U187,V187,W187,X187)-1)*25,"")</f>
        <v/>
      </c>
      <c r="Z187" s="33" t="n">
        <v>5</v>
      </c>
      <c r="AA187" s="33" t="n">
        <v>2</v>
      </c>
      <c r="AB187" s="33" t="n">
        <v>3</v>
      </c>
      <c r="AC187" s="33" t="n">
        <v>30.8</v>
      </c>
      <c r="AD187" s="33">
        <f>IFERROR(AVERAGE(IFERROR(IF(Z187="","",Z187*20),""),IFERROR(IF(AA187="","",AA187*20),""),IFERROR(IF(AB187="","",AB187*20),""),IFERROR(IF(AC187="","",IF(AC187&gt;=85,100,IF(AC187&gt;=70,90,IF(AC187&gt;=55,75,IF(AC187&gt;=40,60,IF(AC187&gt;=25,40,20)))))),"")),"")</f>
        <v/>
      </c>
      <c r="AE187" s="33" t="n">
        <v>5</v>
      </c>
      <c r="AF187" s="33" t="n">
        <v>5</v>
      </c>
      <c r="AG187" s="33" t="n">
        <v>5</v>
      </c>
      <c r="AH187" s="33" t="n">
        <v>3</v>
      </c>
      <c r="AI187" s="33">
        <f>IFERROR((AVERAGE(AE187,AF187,AG187,AH187,AL187)-1)*25,"")</f>
        <v/>
      </c>
      <c r="AJ187" s="33">
        <f>IFERROR(J187*Weights!$B$4 + O187*Weights!$B$5 + S187*Weights!$B$6 + Y187*Weights!$B$7 + AD187*Weights!$B$8 + AI187*Weights!$B$9,"")</f>
        <v/>
      </c>
      <c r="AK187" s="33">
        <f>IF(AJ187="","",IF(AJ187&gt;=85,"✓✓✓",IF(AJ187&gt;=70,"✓✓",IF(AJ187&gt;=55,"✓",IF(AJ187&gt;=40,"?","✗")))))</f>
        <v/>
      </c>
      <c r="AL187" s="33" t="n">
        <v>5</v>
      </c>
    </row>
    <row r="188">
      <c r="A188" s="33" t="inlineStr">
        <is>
          <t>SSII</t>
        </is>
      </c>
      <c r="B188" s="33" t="inlineStr">
        <is>
          <t>SS Innovations International, Inc.</t>
        </is>
      </c>
      <c r="C188" s="33" t="inlineStr">
        <is>
          <t>11 Robotics &amp; Physical AI / Surgical &amp; medical robotics</t>
        </is>
      </c>
      <c r="D188" s="33" t="inlineStr">
        <is>
          <t>2026-10-11</t>
        </is>
      </c>
      <c r="E188" s="33" t="n">
        <v>-44.083336</v>
      </c>
      <c r="F188" s="33" t="n">
        <v>-76.947</v>
      </c>
      <c r="G188" s="33" t="n">
        <v>-3.44</v>
      </c>
      <c r="H188" s="33" t="n">
        <v>10.094475</v>
      </c>
      <c r="I188" s="33">
        <f>IF(OR(E188="",R188="",R188&lt;=0,E188&lt;0),"",E188/R188)</f>
        <v/>
      </c>
      <c r="J188" s="33" t="n">
        <v>37.8</v>
      </c>
      <c r="K188" s="33" t="n">
        <v>-10.29</v>
      </c>
      <c r="L188" s="33" t="n">
        <v>47.65</v>
      </c>
      <c r="M188" s="33" t="n">
        <v>-34.76</v>
      </c>
      <c r="O188" s="33" t="n">
        <v>44.1</v>
      </c>
      <c r="P188" s="33" t="n">
        <v>209.27</v>
      </c>
      <c r="Q188" s="33" t="n">
        <v>39.4</v>
      </c>
      <c r="S188" s="33">
        <f>IFERROR(AVERAGE(IFERROR(IF(P188="","",IF(P188&gt;=40,100,IF(P188&gt;=30,90,IF(P188&gt;=20,75,IF(P188&gt;=15,60,IF(P188&gt;=10,45,IF(P188&gt;=5,30,15))))))),""),IFERROR(IF(Q188="","",IF(Q188&gt;=40,100,IF(Q188&gt;=30,90,IF(Q188&gt;=20,75,IF(Q188&gt;=10,60,IF(Q188&gt;=5,45,IF(Q188&gt;=0,30,15))))))),""),IFERROR(IF(R188="","",IF(R188&gt;=40,100,IF(R188&gt;=30,90,IF(R188&gt;=20,75,IF(R188&gt;=10,60,IF(R188&gt;=0,45,IF(R188&gt;=-10,30,15))))))),"")),"")</f>
        <v/>
      </c>
      <c r="T188" s="33" t="n">
        <v>5</v>
      </c>
      <c r="U188" s="33" t="n">
        <v>2</v>
      </c>
      <c r="V188" s="33" t="n">
        <v>2</v>
      </c>
      <c r="W188" s="33" t="n">
        <v>4</v>
      </c>
      <c r="X188" s="33" t="n">
        <v>2</v>
      </c>
      <c r="Y188" s="33">
        <f>IFERROR((AVERAGE(T188,U188,V188,W188,X188)-1)*25,"")</f>
        <v/>
      </c>
      <c r="Z188" s="33" t="n">
        <v>3</v>
      </c>
      <c r="AA188" s="33" t="n">
        <v>1</v>
      </c>
      <c r="AB188" s="33" t="n">
        <v>4</v>
      </c>
      <c r="AC188" s="33" t="n">
        <v>16.7</v>
      </c>
      <c r="AD188" s="33">
        <f>IFERROR(AVERAGE(IFERROR(IF(Z188="","",Z188*20),""),IFERROR(IF(AA188="","",AA188*20),""),IFERROR(IF(AB188="","",AB188*20),""),IFERROR(IF(AC188="","",IF(AC188&gt;=85,100,IF(AC188&gt;=70,90,IF(AC188&gt;=55,75,IF(AC188&gt;=40,60,IF(AC188&gt;=25,40,20)))))),"")),"")</f>
        <v/>
      </c>
      <c r="AE188" s="33" t="n">
        <v>4</v>
      </c>
      <c r="AF188" s="33" t="n">
        <v>2</v>
      </c>
      <c r="AG188" s="33" t="n">
        <v>1</v>
      </c>
      <c r="AH188" s="33" t="n">
        <v>3</v>
      </c>
      <c r="AI188" s="33">
        <f>IFERROR((AVERAGE(AE188,AF188,AG188,AH188,AL188)-1)*25,"")</f>
        <v/>
      </c>
      <c r="AJ188" s="33">
        <f>IFERROR(J188*Weights!$B$4 + O188*Weights!$B$5 + S188*Weights!$B$6 + Y188*Weights!$B$7 + AD188*Weights!$B$8 + AI188*Weights!$B$9,"")</f>
        <v/>
      </c>
      <c r="AK188" s="33">
        <f>IF(AJ188="","",IF(AJ188&gt;=85,"✓✓✓",IF(AJ188&gt;=70,"✓✓",IF(AJ188&gt;=55,"✓",IF(AJ188&gt;=40,"?","✗")))))</f>
        <v/>
      </c>
      <c r="AL188" s="33" t="n">
        <v>5</v>
      </c>
    </row>
    <row r="189">
      <c r="A189" s="33" t="inlineStr">
        <is>
          <t>2252.HK</t>
        </is>
      </c>
      <c r="B189" s="33" t="inlineStr">
        <is>
          <t>Shanghai MicroPort MedBot (Group) Co., Ltd.</t>
        </is>
      </c>
      <c r="C189" s="33" t="inlineStr">
        <is>
          <t>11 Robotics &amp; Physical AI / Surgical &amp; medical robotics</t>
        </is>
      </c>
      <c r="D189" s="33" t="inlineStr">
        <is>
          <t>2026-10-11</t>
        </is>
      </c>
      <c r="E189" s="33" t="n">
        <v>70.76779999999999</v>
      </c>
      <c r="G189" s="33" t="n">
        <v>0.25</v>
      </c>
      <c r="H189" s="33" t="n">
        <v>33.74</v>
      </c>
      <c r="I189" s="33">
        <f>IF(OR(E189="",R189="",R189&lt;=0,E189&lt;0),"",E189/R189)</f>
        <v/>
      </c>
      <c r="J189" s="33" t="n">
        <v>23</v>
      </c>
      <c r="L189" s="33" t="n">
        <v>48.38</v>
      </c>
      <c r="M189" s="33" t="n">
        <v>8.43</v>
      </c>
      <c r="O189" s="33" t="n">
        <v>76.5</v>
      </c>
      <c r="P189" s="33" t="n">
        <v>194.37</v>
      </c>
      <c r="Q189" s="33" t="n">
        <v>137.6</v>
      </c>
      <c r="S189" s="33">
        <f>IFERROR(AVERAGE(IFERROR(IF(P189="","",IF(P189&gt;=40,100,IF(P189&gt;=30,90,IF(P189&gt;=20,75,IF(P189&gt;=15,60,IF(P189&gt;=10,45,IF(P189&gt;=5,30,15))))))),""),IFERROR(IF(Q189="","",IF(Q189&gt;=40,100,IF(Q189&gt;=30,90,IF(Q189&gt;=20,75,IF(Q189&gt;=10,60,IF(Q189&gt;=5,45,IF(Q189&gt;=0,30,15))))))),""),IFERROR(IF(R189="","",IF(R189&gt;=40,100,IF(R189&gt;=30,90,IF(R189&gt;=20,75,IF(R189&gt;=10,60,IF(R189&gt;=0,45,IF(R189&gt;=-10,30,15))))))),"")),"")</f>
        <v/>
      </c>
      <c r="T189" s="33" t="n">
        <v>5</v>
      </c>
      <c r="U189" s="33" t="n">
        <v>3</v>
      </c>
      <c r="V189" s="33" t="n">
        <v>3</v>
      </c>
      <c r="W189" s="33" t="n">
        <v>5</v>
      </c>
      <c r="X189" s="33" t="n">
        <v>3</v>
      </c>
      <c r="Y189" s="33">
        <f>IFERROR((AVERAGE(T189,U189,V189,W189,X189)-1)*25,"")</f>
        <v/>
      </c>
      <c r="Z189" s="33" t="n">
        <v>4</v>
      </c>
      <c r="AA189" s="33" t="n">
        <v>3</v>
      </c>
      <c r="AB189" s="33" t="n">
        <v>3</v>
      </c>
      <c r="AC189" s="33" t="n">
        <v>21.7</v>
      </c>
      <c r="AD189" s="33">
        <f>IFERROR(AVERAGE(IFERROR(IF(Z189="","",Z189*20),""),IFERROR(IF(AA189="","",AA189*20),""),IFERROR(IF(AB189="","",AB189*20),""),IFERROR(IF(AC189="","",IF(AC189&gt;=85,100,IF(AC189&gt;=70,90,IF(AC189&gt;=55,75,IF(AC189&gt;=40,60,IF(AC189&gt;=25,40,20)))))),"")),"")</f>
        <v/>
      </c>
      <c r="AE189" s="33" t="n">
        <v>4</v>
      </c>
      <c r="AF189" s="33" t="n">
        <v>2</v>
      </c>
      <c r="AG189" s="33" t="n">
        <v>2</v>
      </c>
      <c r="AH189" s="33" t="n">
        <v>3</v>
      </c>
      <c r="AI189" s="33">
        <f>IFERROR((AVERAGE(AE189,AF189,AG189,AH189,AL189)-1)*25,"")</f>
        <v/>
      </c>
      <c r="AJ189" s="33">
        <f>IFERROR(J189*Weights!$B$4 + O189*Weights!$B$5 + S189*Weights!$B$6 + Y189*Weights!$B$7 + AD189*Weights!$B$8 + AI189*Weights!$B$9,"")</f>
        <v/>
      </c>
      <c r="AK189" s="33">
        <f>IF(AJ189="","",IF(AJ189&gt;=85,"✓✓✓",IF(AJ189&gt;=70,"✓✓",IF(AJ189&gt;=55,"✓",IF(AJ189&gt;=40,"?","✗")))))</f>
        <v/>
      </c>
      <c r="AL189" s="33" t="n">
        <v>5</v>
      </c>
    </row>
    <row r="190">
      <c r="A190" s="33" t="inlineStr">
        <is>
          <t>6324.T</t>
        </is>
      </c>
      <c r="B190" s="33" t="inlineStr">
        <is>
          <t>Harmonic Drive Systems Inc.</t>
        </is>
      </c>
      <c r="C190" s="33" t="inlineStr">
        <is>
          <t>11 Robotics &amp; Physical AI / Components: motion &amp; actuation</t>
        </is>
      </c>
      <c r="D190" s="33" t="inlineStr">
        <is>
          <t>2026-10-11</t>
        </is>
      </c>
      <c r="E190" s="33" t="n">
        <v>89.20387111981756</v>
      </c>
      <c r="F190" s="33" t="n">
        <v>50.329</v>
      </c>
      <c r="G190" s="33" t="n">
        <v>0.08</v>
      </c>
      <c r="H190" s="33" t="n">
        <v>9.384907</v>
      </c>
      <c r="I190" s="33">
        <f>IF(OR(E190="",R190="",R190&lt;=0,E190&lt;0),"",E190/R190)</f>
        <v/>
      </c>
      <c r="J190" s="33" t="n">
        <v>24.2</v>
      </c>
      <c r="L190" s="33" t="n">
        <v>32.25</v>
      </c>
      <c r="M190" s="33" t="n">
        <v>0.82</v>
      </c>
      <c r="N190" s="33" t="n">
        <v>-0.46</v>
      </c>
      <c r="O190" s="33" t="n">
        <v>58.8</v>
      </c>
      <c r="P190" s="33" t="n">
        <v>-5.92</v>
      </c>
      <c r="Q190" s="33" t="n">
        <v>23.6</v>
      </c>
      <c r="R190" s="33" t="n">
        <v>-78.09999999999999</v>
      </c>
      <c r="S190" s="33">
        <f>IFERROR(AVERAGE(IFERROR(IF(P190="","",IF(P190&gt;=40,100,IF(P190&gt;=30,90,IF(P190&gt;=20,75,IF(P190&gt;=15,60,IF(P190&gt;=10,45,IF(P190&gt;=5,30,15))))))),""),IFERROR(IF(Q190="","",IF(Q190&gt;=40,100,IF(Q190&gt;=30,90,IF(Q190&gt;=20,75,IF(Q190&gt;=10,60,IF(Q190&gt;=5,45,IF(Q190&gt;=0,30,15))))))),""),IFERROR(IF(R190="","",IF(R190&gt;=40,100,IF(R190&gt;=30,90,IF(R190&gt;=20,75,IF(R190&gt;=10,60,IF(R190&gt;=0,45,IF(R190&gt;=-10,30,15))))))),"")),"")</f>
        <v/>
      </c>
      <c r="T190" s="33" t="n">
        <v>4</v>
      </c>
      <c r="U190" s="33" t="n">
        <v>4</v>
      </c>
      <c r="V190" s="33" t="n">
        <v>4</v>
      </c>
      <c r="W190" s="33" t="n">
        <v>3</v>
      </c>
      <c r="X190" s="33" t="n">
        <v>4</v>
      </c>
      <c r="Y190" s="33">
        <f>IFERROR((AVERAGE(T190,U190,V190,W190,X190)-1)*25,"")</f>
        <v/>
      </c>
      <c r="Z190" s="33" t="n">
        <v>3</v>
      </c>
      <c r="AA190" s="33" t="n">
        <v>4</v>
      </c>
      <c r="AB190" s="33" t="n">
        <v>3</v>
      </c>
      <c r="AC190" s="33" t="n">
        <v>63.3</v>
      </c>
      <c r="AD190" s="33">
        <f>IFERROR(AVERAGE(IFERROR(IF(Z190="","",Z190*20),""),IFERROR(IF(AA190="","",AA190*20),""),IFERROR(IF(AB190="","",AB190*20),""),IFERROR(IF(AC190="","",IF(AC190&gt;=85,100,IF(AC190&gt;=70,90,IF(AC190&gt;=55,75,IF(AC190&gt;=40,60,IF(AC190&gt;=25,40,20)))))),"")),"")</f>
        <v/>
      </c>
      <c r="AE190" s="33" t="n">
        <v>4</v>
      </c>
      <c r="AF190" s="33" t="n">
        <v>4</v>
      </c>
      <c r="AG190" s="33" t="n">
        <v>4</v>
      </c>
      <c r="AH190" s="33" t="n">
        <v>4</v>
      </c>
      <c r="AI190" s="33">
        <f>IFERROR((AVERAGE(AE190,AF190,AG190,AH190,AL190)-1)*25,"")</f>
        <v/>
      </c>
      <c r="AJ190" s="33">
        <f>IFERROR(J190*Weights!$B$4 + O190*Weights!$B$5 + S190*Weights!$B$6 + Y190*Weights!$B$7 + AD190*Weights!$B$8 + AI190*Weights!$B$9,"")</f>
        <v/>
      </c>
      <c r="AK190" s="33">
        <f>IF(AJ190="","",IF(AJ190&gt;=85,"✓✓✓",IF(AJ190&gt;=70,"✓✓",IF(AJ190&gt;=55,"✓",IF(AJ190&gt;=40,"?","✗")))))</f>
        <v/>
      </c>
      <c r="AL190" s="33" t="n">
        <v>5</v>
      </c>
    </row>
    <row r="191">
      <c r="A191" s="33" t="inlineStr">
        <is>
          <t>6268.T</t>
        </is>
      </c>
      <c r="B191" s="33" t="inlineStr">
        <is>
          <t>Nabtesco Corporation</t>
        </is>
      </c>
      <c r="C191" s="33" t="inlineStr">
        <is>
          <t>11 Robotics &amp; Physical AI / Components: motion &amp; actuation</t>
        </is>
      </c>
      <c r="D191" s="33" t="inlineStr">
        <is>
          <t>2026-10-11</t>
        </is>
      </c>
      <c r="E191" s="33" t="n">
        <v>45.040787</v>
      </c>
      <c r="F191" s="33" t="n">
        <v>12.361</v>
      </c>
      <c r="G191" s="33" t="n">
        <v>4.48</v>
      </c>
      <c r="H191" s="33" t="n">
        <v>1.8239324</v>
      </c>
      <c r="I191" s="33">
        <f>IF(OR(E191="",R191="",R191&lt;=0,E191&lt;0),"",E191/R191)</f>
        <v/>
      </c>
      <c r="J191" s="33" t="n">
        <v>71.40000000000001</v>
      </c>
      <c r="L191" s="33" t="n">
        <v>32.36</v>
      </c>
      <c r="M191" s="33" t="n">
        <v>8.17</v>
      </c>
      <c r="N191" s="33" t="n">
        <v>-0.97</v>
      </c>
      <c r="O191" s="33" t="n">
        <v>69.5</v>
      </c>
      <c r="P191" s="33" t="n">
        <v>-0.08</v>
      </c>
      <c r="Q191" s="33" t="n">
        <v>0.5</v>
      </c>
      <c r="R191" s="33" t="n">
        <v>114.6</v>
      </c>
      <c r="S191" s="33">
        <f>IFERROR(AVERAGE(IFERROR(IF(P191="","",IF(P191&gt;=40,100,IF(P191&gt;=30,90,IF(P191&gt;=20,75,IF(P191&gt;=15,60,IF(P191&gt;=10,45,IF(P191&gt;=5,30,15))))))),""),IFERROR(IF(Q191="","",IF(Q191&gt;=40,100,IF(Q191&gt;=30,90,IF(Q191&gt;=20,75,IF(Q191&gt;=10,60,IF(Q191&gt;=5,45,IF(Q191&gt;=0,30,15))))))),""),IFERROR(IF(R191="","",IF(R191&gt;=40,100,IF(R191&gt;=30,90,IF(R191&gt;=20,75,IF(R191&gt;=10,60,IF(R191&gt;=0,45,IF(R191&gt;=-10,30,15))))))),"")),"")</f>
        <v/>
      </c>
      <c r="T191" s="33" t="n">
        <v>4</v>
      </c>
      <c r="U191" s="33" t="n">
        <v>4</v>
      </c>
      <c r="V191" s="33" t="n">
        <v>4</v>
      </c>
      <c r="W191" s="33" t="n">
        <v>4</v>
      </c>
      <c r="X191" s="33" t="n">
        <v>2</v>
      </c>
      <c r="Y191" s="33">
        <f>IFERROR((AVERAGE(T191,U191,V191,W191,X191)-1)*25,"")</f>
        <v/>
      </c>
      <c r="Z191" s="33" t="n">
        <v>5</v>
      </c>
      <c r="AA191" s="33" t="n">
        <v>5</v>
      </c>
      <c r="AB191" s="33" t="n">
        <v>3</v>
      </c>
      <c r="AC191" s="33" t="n">
        <v>53.3</v>
      </c>
      <c r="AD191" s="33">
        <f>IFERROR(AVERAGE(IFERROR(IF(Z191="","",Z191*20),""),IFERROR(IF(AA191="","",AA191*20),""),IFERROR(IF(AB191="","",AB191*20),""),IFERROR(IF(AC191="","",IF(AC191&gt;=85,100,IF(AC191&gt;=70,90,IF(AC191&gt;=55,75,IF(AC191&gt;=40,60,IF(AC191&gt;=25,40,20)))))),"")),"")</f>
        <v/>
      </c>
      <c r="AE191" s="33" t="n">
        <v>5</v>
      </c>
      <c r="AF191" s="33" t="n">
        <v>3</v>
      </c>
      <c r="AG191" s="33" t="n">
        <v>5</v>
      </c>
      <c r="AH191" s="33" t="n">
        <v>4</v>
      </c>
      <c r="AI191" s="33">
        <f>IFERROR((AVERAGE(AE191,AF191,AG191,AH191,AL191)-1)*25,"")</f>
        <v/>
      </c>
      <c r="AJ191" s="33">
        <f>IFERROR(J191*Weights!$B$4 + O191*Weights!$B$5 + S191*Weights!$B$6 + Y191*Weights!$B$7 + AD191*Weights!$B$8 + AI191*Weights!$B$9,"")</f>
        <v/>
      </c>
      <c r="AK191" s="33">
        <f>IF(AJ191="","",IF(AJ191&gt;=85,"✓✓✓",IF(AJ191&gt;=70,"✓✓",IF(AJ191&gt;=55,"✓",IF(AJ191&gt;=40,"?","✗")))))</f>
        <v/>
      </c>
      <c r="AL191" s="33" t="n">
        <v>5</v>
      </c>
    </row>
    <row r="192">
      <c r="A192" s="33" t="inlineStr">
        <is>
          <t>6481.T</t>
        </is>
      </c>
      <c r="B192" s="33" t="inlineStr">
        <is>
          <t>THK Co., Ltd.</t>
        </is>
      </c>
      <c r="C192" s="33" t="inlineStr">
        <is>
          <t>11 Robotics &amp; Physical AI / Components: motion &amp; actuation</t>
        </is>
      </c>
      <c r="D192" s="33" t="inlineStr">
        <is>
          <t>2026-10-11</t>
        </is>
      </c>
      <c r="E192" s="33" t="n">
        <v>34.295937</v>
      </c>
      <c r="F192" s="33" t="n">
        <v>13.362</v>
      </c>
      <c r="G192" s="33" t="n">
        <v>4.85</v>
      </c>
      <c r="H192" s="33" t="n">
        <v>3.4934394</v>
      </c>
      <c r="I192" s="33">
        <f>IF(OR(E192="",R192="",R192&lt;=0,E192&lt;0),"",E192/R192)</f>
        <v/>
      </c>
      <c r="J192" s="33" t="n">
        <v>58.8</v>
      </c>
      <c r="L192" s="33" t="n">
        <v>38.53</v>
      </c>
      <c r="M192" s="33" t="n">
        <v>16.95</v>
      </c>
      <c r="N192" s="33" t="n">
        <v>0.41</v>
      </c>
      <c r="O192" s="33" t="n">
        <v>60.7</v>
      </c>
      <c r="P192" s="33" t="n">
        <v>-15.16</v>
      </c>
      <c r="Q192" s="33" t="n">
        <v>-10.2</v>
      </c>
      <c r="R192" s="33" t="n"/>
      <c r="S192" s="33">
        <f>IFERROR(AVERAGE(IFERROR(IF(P192="","",IF(P192&gt;=40,100,IF(P192&gt;=30,90,IF(P192&gt;=20,75,IF(P192&gt;=15,60,IF(P192&gt;=10,45,IF(P192&gt;=5,30,15))))))),""),IFERROR(IF(Q192="","",IF(Q192&gt;=40,100,IF(Q192&gt;=30,90,IF(Q192&gt;=20,75,IF(Q192&gt;=10,60,IF(Q192&gt;=5,45,IF(Q192&gt;=0,30,15))))))),""),IFERROR(IF(R192="","",IF(R192&gt;=40,100,IF(R192&gt;=30,90,IF(R192&gt;=20,75,IF(R192&gt;=10,60,IF(R192&gt;=0,45,IF(R192&gt;=-10,30,15))))))),"")),"")</f>
        <v/>
      </c>
      <c r="T192" s="33" t="n">
        <v>3</v>
      </c>
      <c r="U192" s="33" t="n">
        <v>4</v>
      </c>
      <c r="V192" s="33" t="n">
        <v>3</v>
      </c>
      <c r="W192" s="33" t="n">
        <v>3</v>
      </c>
      <c r="X192" s="33" t="n">
        <v>2</v>
      </c>
      <c r="Y192" s="33">
        <f>IFERROR((AVERAGE(T192,U192,V192,W192,X192)-1)*25,"")</f>
        <v/>
      </c>
      <c r="Z192" s="33" t="n">
        <v>4</v>
      </c>
      <c r="AA192" s="33" t="n">
        <v>5</v>
      </c>
      <c r="AB192" s="33" t="n">
        <v>3</v>
      </c>
      <c r="AC192" s="33" t="n">
        <v>59.2</v>
      </c>
      <c r="AD192" s="33">
        <f>IFERROR(AVERAGE(IFERROR(IF(Z192="","",Z192*20),""),IFERROR(IF(AA192="","",AA192*20),""),IFERROR(IF(AB192="","",AB192*20),""),IFERROR(IF(AC192="","",IF(AC192&gt;=85,100,IF(AC192&gt;=70,90,IF(AC192&gt;=55,75,IF(AC192&gt;=40,60,IF(AC192&gt;=25,40,20)))))),"")),"")</f>
        <v/>
      </c>
      <c r="AE192" s="33" t="n">
        <v>5</v>
      </c>
      <c r="AF192" s="33" t="n">
        <v>3</v>
      </c>
      <c r="AG192" s="33" t="n">
        <v>4</v>
      </c>
      <c r="AH192" s="33" t="n">
        <v>4</v>
      </c>
      <c r="AI192" s="33">
        <f>IFERROR((AVERAGE(AE192,AF192,AG192,AH192,AL192)-1)*25,"")</f>
        <v/>
      </c>
      <c r="AJ192" s="33">
        <f>IFERROR(J192*Weights!$B$4 + O192*Weights!$B$5 + S192*Weights!$B$6 + Y192*Weights!$B$7 + AD192*Weights!$B$8 + AI192*Weights!$B$9,"")</f>
        <v/>
      </c>
      <c r="AK192" s="33">
        <f>IF(AJ192="","",IF(AJ192&gt;=85,"✓✓✓",IF(AJ192&gt;=70,"✓✓",IF(AJ192&gt;=55,"✓",IF(AJ192&gt;=40,"?","✗")))))</f>
        <v/>
      </c>
      <c r="AL192" s="33" t="n">
        <v>5</v>
      </c>
    </row>
    <row r="193">
      <c r="A193" s="33" t="inlineStr">
        <is>
          <t>2049.TW</t>
        </is>
      </c>
      <c r="B193" s="33" t="inlineStr">
        <is>
          <t>Hiwin Technologies Corporation</t>
        </is>
      </c>
      <c r="C193" s="33" t="inlineStr">
        <is>
          <t>11 Robotics &amp; Physical AI / Components: motion &amp; actuation</t>
        </is>
      </c>
      <c r="D193" s="33" t="inlineStr">
        <is>
          <t>2026-10-11</t>
        </is>
      </c>
      <c r="E193" s="33" t="n">
        <v>29.283234</v>
      </c>
      <c r="F193" s="33" t="n">
        <v>25.109</v>
      </c>
      <c r="G193" s="33" t="n">
        <v>2.99</v>
      </c>
      <c r="H193" s="33" t="n">
        <v>4.4582596</v>
      </c>
      <c r="I193" s="33">
        <f>IF(OR(E193="",R193="",R193&lt;=0,E193&lt;0),"",E193/R193)</f>
        <v/>
      </c>
      <c r="J193" s="33" t="n">
        <v>47.3</v>
      </c>
      <c r="L193" s="33" t="n">
        <v>30.61</v>
      </c>
      <c r="M193" s="33" t="n">
        <v>13.33</v>
      </c>
      <c r="N193" s="33" t="n">
        <v>0.07000000000000001</v>
      </c>
      <c r="O193" s="33" t="n">
        <v>60.8</v>
      </c>
      <c r="P193" s="33" t="n">
        <v>-6.11</v>
      </c>
      <c r="Q193" s="33" t="n">
        <v>26.7</v>
      </c>
      <c r="R193" s="33" t="n">
        <v>20</v>
      </c>
      <c r="S193" s="33">
        <f>IFERROR(AVERAGE(IFERROR(IF(P193="","",IF(P193&gt;=40,100,IF(P193&gt;=30,90,IF(P193&gt;=20,75,IF(P193&gt;=15,60,IF(P193&gt;=10,45,IF(P193&gt;=5,30,15))))))),""),IFERROR(IF(Q193="","",IF(Q193&gt;=40,100,IF(Q193&gt;=30,90,IF(Q193&gt;=20,75,IF(Q193&gt;=10,60,IF(Q193&gt;=5,45,IF(Q193&gt;=0,30,15))))))),""),IFERROR(IF(R193="","",IF(R193&gt;=40,100,IF(R193&gt;=30,90,IF(R193&gt;=20,75,IF(R193&gt;=10,60,IF(R193&gt;=0,45,IF(R193&gt;=-10,30,15))))))),"")),"")</f>
        <v/>
      </c>
      <c r="T193" s="33" t="n">
        <v>3</v>
      </c>
      <c r="U193" s="33" t="n">
        <v>4</v>
      </c>
      <c r="V193" s="33" t="n">
        <v>3</v>
      </c>
      <c r="W193" s="33" t="n">
        <v>3</v>
      </c>
      <c r="X193" s="33" t="n">
        <v>3</v>
      </c>
      <c r="Y193" s="33">
        <f>IFERROR((AVERAGE(T193,U193,V193,W193,X193)-1)*25,"")</f>
        <v/>
      </c>
      <c r="Z193" s="33" t="n">
        <v>5</v>
      </c>
      <c r="AA193" s="33" t="n">
        <v>4</v>
      </c>
      <c r="AB193" s="33" t="n">
        <v>3</v>
      </c>
      <c r="AC193" s="33" t="n">
        <v>61.7</v>
      </c>
      <c r="AD193" s="33">
        <f>IFERROR(AVERAGE(IFERROR(IF(Z193="","",Z193*20),""),IFERROR(IF(AA193="","",AA193*20),""),IFERROR(IF(AB193="","",AB193*20),""),IFERROR(IF(AC193="","",IF(AC193&gt;=85,100,IF(AC193&gt;=70,90,IF(AC193&gt;=55,75,IF(AC193&gt;=40,60,IF(AC193&gt;=25,40,20)))))),"")),"")</f>
        <v/>
      </c>
      <c r="AE193" s="33" t="n">
        <v>4</v>
      </c>
      <c r="AF193" s="33" t="n">
        <v>2</v>
      </c>
      <c r="AG193" s="33" t="n">
        <v>4</v>
      </c>
      <c r="AH193" s="33" t="n">
        <v>4</v>
      </c>
      <c r="AI193" s="33">
        <f>IFERROR((AVERAGE(AE193,AF193,AG193,AH193,AL193)-1)*25,"")</f>
        <v/>
      </c>
      <c r="AJ193" s="33">
        <f>IFERROR(J193*Weights!$B$4 + O193*Weights!$B$5 + S193*Weights!$B$6 + Y193*Weights!$B$7 + AD193*Weights!$B$8 + AI193*Weights!$B$9,"")</f>
        <v/>
      </c>
      <c r="AK193" s="33">
        <f>IF(AJ193="","",IF(AJ193&gt;=85,"✓✓✓",IF(AJ193&gt;=70,"✓✓",IF(AJ193&gt;=55,"✓",IF(AJ193&gt;=40,"?","✗")))))</f>
        <v/>
      </c>
      <c r="AL193" s="33" t="n">
        <v>5</v>
      </c>
    </row>
    <row r="194">
      <c r="A194" s="33" t="inlineStr">
        <is>
          <t>TKR</t>
        </is>
      </c>
      <c r="B194" s="33" t="inlineStr">
        <is>
          <t>The Timken Company</t>
        </is>
      </c>
      <c r="C194" s="33" t="inlineStr">
        <is>
          <t>11 Robotics &amp; Physical AI / Components: motion &amp; actuation</t>
        </is>
      </c>
      <c r="D194" s="33" t="inlineStr">
        <is>
          <t>2026-10-11</t>
        </is>
      </c>
      <c r="E194" s="33" t="n">
        <v>15.988677</v>
      </c>
      <c r="F194" s="33" t="n">
        <v>10.723</v>
      </c>
      <c r="G194" s="33" t="n">
        <v>4.78</v>
      </c>
      <c r="H194" s="33" t="n">
        <v>1.6952089</v>
      </c>
      <c r="I194" s="33">
        <f>IF(OR(E194="",R194="",R194&lt;=0,E194&lt;0),"",E194/R194)</f>
        <v/>
      </c>
      <c r="J194" s="33" t="n">
        <v>68.90000000000001</v>
      </c>
      <c r="K194" s="33" t="n">
        <v>7.6</v>
      </c>
      <c r="L194" s="33" t="n">
        <v>32.67</v>
      </c>
      <c r="M194" s="33" t="n">
        <v>8.1</v>
      </c>
      <c r="N194" s="33" t="n">
        <v>1.95</v>
      </c>
      <c r="O194" s="33" t="n">
        <v>61.7</v>
      </c>
      <c r="P194" s="33" t="n">
        <v>0.63</v>
      </c>
      <c r="Q194" s="33" t="n">
        <v>7.5</v>
      </c>
      <c r="R194" s="33" t="n">
        <v>-63.2</v>
      </c>
      <c r="S194" s="33">
        <f>IFERROR(AVERAGE(IFERROR(IF(P194="","",IF(P194&gt;=40,100,IF(P194&gt;=30,90,IF(P194&gt;=20,75,IF(P194&gt;=15,60,IF(P194&gt;=10,45,IF(P194&gt;=5,30,15))))))),""),IFERROR(IF(Q194="","",IF(Q194&gt;=40,100,IF(Q194&gt;=30,90,IF(Q194&gt;=20,75,IF(Q194&gt;=10,60,IF(Q194&gt;=5,45,IF(Q194&gt;=0,30,15))))))),""),IFERROR(IF(R194="","",IF(R194&gt;=40,100,IF(R194&gt;=30,90,IF(R194&gt;=20,75,IF(R194&gt;=10,60,IF(R194&gt;=0,45,IF(R194&gt;=-10,30,15))))))),"")),"")</f>
        <v/>
      </c>
      <c r="T194" s="33" t="n">
        <v>2</v>
      </c>
      <c r="U194" s="33" t="n">
        <v>3</v>
      </c>
      <c r="V194" s="33" t="n">
        <v>3</v>
      </c>
      <c r="W194" s="33" t="n">
        <v>3</v>
      </c>
      <c r="X194" s="33" t="n">
        <v>2</v>
      </c>
      <c r="Y194" s="33">
        <f>IFERROR((AVERAGE(T194,U194,V194,W194,X194)-1)*25,"")</f>
        <v/>
      </c>
      <c r="Z194" s="33" t="n">
        <v>5</v>
      </c>
      <c r="AA194" s="33" t="n">
        <v>4</v>
      </c>
      <c r="AB194" s="33" t="n">
        <v>2</v>
      </c>
      <c r="AC194" s="33" t="n">
        <v>59.2</v>
      </c>
      <c r="AD194" s="33">
        <f>IFERROR(AVERAGE(IFERROR(IF(Z194="","",Z194*20),""),IFERROR(IF(AA194="","",AA194*20),""),IFERROR(IF(AB194="","",AB194*20),""),IFERROR(IF(AC194="","",IF(AC194&gt;=85,100,IF(AC194&gt;=70,90,IF(AC194&gt;=55,75,IF(AC194&gt;=40,60,IF(AC194&gt;=25,40,20)))))),"")),"")</f>
        <v/>
      </c>
      <c r="AE194" s="33" t="n">
        <v>5</v>
      </c>
      <c r="AF194" s="33" t="n">
        <v>3</v>
      </c>
      <c r="AG194" s="33" t="n">
        <v>3</v>
      </c>
      <c r="AH194" s="33" t="n">
        <v>4</v>
      </c>
      <c r="AI194" s="33">
        <f>IFERROR((AVERAGE(AE194,AF194,AG194,AH194,AL194)-1)*25,"")</f>
        <v/>
      </c>
      <c r="AJ194" s="33">
        <f>IFERROR(J194*Weights!$B$4 + O194*Weights!$B$5 + S194*Weights!$B$6 + Y194*Weights!$B$7 + AD194*Weights!$B$8 + AI194*Weights!$B$9,"")</f>
        <v/>
      </c>
      <c r="AK194" s="33">
        <f>IF(AJ194="","",IF(AJ194&gt;=85,"✓✓✓",IF(AJ194&gt;=70,"✓✓",IF(AJ194&gt;=55,"✓",IF(AJ194&gt;=40,"?","✗")))))</f>
        <v/>
      </c>
      <c r="AL194" s="33" t="n">
        <v>5</v>
      </c>
    </row>
    <row r="195">
      <c r="A195" s="33" t="inlineStr">
        <is>
          <t>RRX</t>
        </is>
      </c>
      <c r="B195" s="33" t="inlineStr">
        <is>
          <t>Regal Rexnord Corporation</t>
        </is>
      </c>
      <c r="C195" s="33" t="inlineStr">
        <is>
          <t>11 Robotics &amp; Physical AI / Components: motion &amp; actuation</t>
        </is>
      </c>
      <c r="D195" s="33" t="inlineStr">
        <is>
          <t>2026-10-11</t>
        </is>
      </c>
      <c r="E195" s="33" t="n">
        <v>12.762324</v>
      </c>
      <c r="F195" s="33" t="n">
        <v>12.537</v>
      </c>
      <c r="G195" s="33" t="n">
        <v>4.24</v>
      </c>
      <c r="H195" s="33" t="n">
        <v>1.8141332</v>
      </c>
      <c r="I195" s="33">
        <f>IF(OR(E195="",R195="",R195&lt;=0,E195&lt;0),"",E195/R195)</f>
        <v/>
      </c>
      <c r="J195" s="33" t="n">
        <v>68.59999999999999</v>
      </c>
      <c r="K195" s="33" t="n">
        <v>4.63</v>
      </c>
      <c r="L195" s="33" t="n">
        <v>37.45</v>
      </c>
      <c r="M195" s="33" t="n">
        <v>7.7</v>
      </c>
      <c r="N195" s="33" t="n">
        <v>3.55</v>
      </c>
      <c r="O195" s="33" t="n">
        <v>63.2</v>
      </c>
      <c r="P195" s="33" t="n">
        <v>4.38</v>
      </c>
      <c r="Q195" s="33" t="n">
        <v>4.2</v>
      </c>
      <c r="R195" s="33" t="n">
        <v>47.2</v>
      </c>
      <c r="S195" s="33">
        <f>IFERROR(AVERAGE(IFERROR(IF(P195="","",IF(P195&gt;=40,100,IF(P195&gt;=30,90,IF(P195&gt;=20,75,IF(P195&gt;=15,60,IF(P195&gt;=10,45,IF(P195&gt;=5,30,15))))))),""),IFERROR(IF(Q195="","",IF(Q195&gt;=40,100,IF(Q195&gt;=30,90,IF(Q195&gt;=20,75,IF(Q195&gt;=10,60,IF(Q195&gt;=5,45,IF(Q195&gt;=0,30,15))))))),""),IFERROR(IF(R195="","",IF(R195&gt;=40,100,IF(R195&gt;=30,90,IF(R195&gt;=20,75,IF(R195&gt;=10,60,IF(R195&gt;=0,45,IF(R195&gt;=-10,30,15))))))),"")),"")</f>
        <v/>
      </c>
      <c r="T195" s="33" t="n">
        <v>2</v>
      </c>
      <c r="U195" s="33" t="n">
        <v>3</v>
      </c>
      <c r="V195" s="33" t="n">
        <v>3</v>
      </c>
      <c r="W195" s="33" t="n">
        <v>3</v>
      </c>
      <c r="X195" s="33" t="n">
        <v>4</v>
      </c>
      <c r="Y195" s="33">
        <f>IFERROR((AVERAGE(T195,U195,V195,W195,X195)-1)*25,"")</f>
        <v/>
      </c>
      <c r="Z195" s="33" t="n">
        <v>4</v>
      </c>
      <c r="AA195" s="33" t="n">
        <v>4</v>
      </c>
      <c r="AB195" s="33" t="n">
        <v>1</v>
      </c>
      <c r="AC195" s="33" t="n">
        <v>45.8</v>
      </c>
      <c r="AD195" s="33">
        <f>IFERROR(AVERAGE(IFERROR(IF(Z195="","",Z195*20),""),IFERROR(IF(AA195="","",AA195*20),""),IFERROR(IF(AB195="","",AB195*20),""),IFERROR(IF(AC195="","",IF(AC195&gt;=85,100,IF(AC195&gt;=70,90,IF(AC195&gt;=55,75,IF(AC195&gt;=40,60,IF(AC195&gt;=25,40,20)))))),"")),"")</f>
        <v/>
      </c>
      <c r="AE195" s="33" t="n">
        <v>5</v>
      </c>
      <c r="AF195" s="33" t="n">
        <v>4</v>
      </c>
      <c r="AG195" s="33" t="n">
        <v>3</v>
      </c>
      <c r="AH195" s="33" t="n">
        <v>3</v>
      </c>
      <c r="AI195" s="33">
        <f>IFERROR((AVERAGE(AE195,AF195,AG195,AH195,AL195)-1)*25,"")</f>
        <v/>
      </c>
      <c r="AJ195" s="33">
        <f>IFERROR(J195*Weights!$B$4 + O195*Weights!$B$5 + S195*Weights!$B$6 + Y195*Weights!$B$7 + AD195*Weights!$B$8 + AI195*Weights!$B$9,"")</f>
        <v/>
      </c>
      <c r="AK195" s="33">
        <f>IF(AJ195="","",IF(AJ195&gt;=85,"✓✓✓",IF(AJ195&gt;=70,"✓✓",IF(AJ195&gt;=55,"✓",IF(AJ195&gt;=40,"?","✗")))))</f>
        <v/>
      </c>
      <c r="AL195" s="33" t="n">
        <v>5</v>
      </c>
    </row>
    <row r="196">
      <c r="A196" s="33" t="inlineStr">
        <is>
          <t>ALNT</t>
        </is>
      </c>
      <c r="B196" s="33" t="inlineStr">
        <is>
          <t>Allient Inc.</t>
        </is>
      </c>
      <c r="C196" s="33" t="inlineStr">
        <is>
          <t>11 Robotics &amp; Physical AI / Components: motion &amp; actuation</t>
        </is>
      </c>
      <c r="D196" s="33" t="inlineStr">
        <is>
          <t>2026-10-11</t>
        </is>
      </c>
      <c r="E196" s="33" t="n">
        <v>32.980453</v>
      </c>
      <c r="F196" s="33" t="n">
        <v>27.221</v>
      </c>
      <c r="G196" s="33" t="n">
        <v>1.47</v>
      </c>
      <c r="H196" s="33" t="n">
        <v>3.2512257</v>
      </c>
      <c r="I196" s="33">
        <f>IF(OR(E196="",R196="",R196&lt;=0,E196&lt;0),"",E196/R196)</f>
        <v/>
      </c>
      <c r="J196" s="33" t="n">
        <v>58.1</v>
      </c>
      <c r="K196" s="33" t="n">
        <v>7.78</v>
      </c>
      <c r="L196" s="33" t="n">
        <v>33.33</v>
      </c>
      <c r="M196" s="33" t="n">
        <v>4.78</v>
      </c>
      <c r="N196" s="33" t="n">
        <v>2.03</v>
      </c>
      <c r="O196" s="33" t="n">
        <v>61.7</v>
      </c>
      <c r="P196" s="33" t="n">
        <v>3.3</v>
      </c>
      <c r="Q196" s="33" t="n">
        <v>10.2</v>
      </c>
      <c r="R196" s="33" t="n">
        <v>85</v>
      </c>
      <c r="S196" s="33">
        <f>IFERROR(AVERAGE(IFERROR(IF(P196="","",IF(P196&gt;=40,100,IF(P196&gt;=30,90,IF(P196&gt;=20,75,IF(P196&gt;=15,60,IF(P196&gt;=10,45,IF(P196&gt;=5,30,15))))))),""),IFERROR(IF(Q196="","",IF(Q196&gt;=40,100,IF(Q196&gt;=30,90,IF(Q196&gt;=20,75,IF(Q196&gt;=10,60,IF(Q196&gt;=5,45,IF(Q196&gt;=0,30,15))))))),""),IFERROR(IF(R196="","",IF(R196&gt;=40,100,IF(R196&gt;=30,90,IF(R196&gt;=20,75,IF(R196&gt;=10,60,IF(R196&gt;=0,45,IF(R196&gt;=-10,30,15))))))),"")),"")</f>
        <v/>
      </c>
      <c r="T196" s="33" t="n">
        <v>2</v>
      </c>
      <c r="U196" s="33" t="n">
        <v>3</v>
      </c>
      <c r="V196" s="33" t="n">
        <v>3</v>
      </c>
      <c r="W196" s="33" t="n">
        <v>3</v>
      </c>
      <c r="X196" s="33" t="n">
        <v>2</v>
      </c>
      <c r="Y196" s="33">
        <f>IFERROR((AVERAGE(T196,U196,V196,W196,X196)-1)*25,"")</f>
        <v/>
      </c>
      <c r="Z196" s="33" t="n">
        <v>4</v>
      </c>
      <c r="AA196" s="33" t="n">
        <v>5</v>
      </c>
      <c r="AB196" s="33" t="n">
        <v>3</v>
      </c>
      <c r="AC196" s="33" t="n">
        <v>78.3</v>
      </c>
      <c r="AD196" s="33">
        <f>IFERROR(AVERAGE(IFERROR(IF(Z196="","",Z196*20),""),IFERROR(IF(AA196="","",AA196*20),""),IFERROR(IF(AB196="","",AB196*20),""),IFERROR(IF(AC196="","",IF(AC196&gt;=85,100,IF(AC196&gt;=70,90,IF(AC196&gt;=55,75,IF(AC196&gt;=40,60,IF(AC196&gt;=25,40,20)))))),"")),"")</f>
        <v/>
      </c>
      <c r="AE196" s="33" t="n">
        <v>5</v>
      </c>
      <c r="AF196" s="33" t="n">
        <v>4</v>
      </c>
      <c r="AG196" s="33" t="n">
        <v>3</v>
      </c>
      <c r="AH196" s="33" t="n">
        <v>4</v>
      </c>
      <c r="AI196" s="33">
        <f>IFERROR((AVERAGE(AE196,AF196,AG196,AH196,AL196)-1)*25,"")</f>
        <v/>
      </c>
      <c r="AJ196" s="33">
        <f>IFERROR(J196*Weights!$B$4 + O196*Weights!$B$5 + S196*Weights!$B$6 + Y196*Weights!$B$7 + AD196*Weights!$B$8 + AI196*Weights!$B$9,"")</f>
        <v/>
      </c>
      <c r="AK196" s="33">
        <f>IF(AJ196="","",IF(AJ196&gt;=85,"✓✓✓",IF(AJ196&gt;=70,"✓✓",IF(AJ196&gt;=55,"✓",IF(AJ196&gt;=40,"?","✗")))))</f>
        <v/>
      </c>
      <c r="AL196" s="33" t="n">
        <v>5</v>
      </c>
    </row>
    <row r="197">
      <c r="A197" s="33" t="inlineStr">
        <is>
          <t>NOVT</t>
        </is>
      </c>
      <c r="B197" s="33" t="inlineStr">
        <is>
          <t>Novanta Inc.</t>
        </is>
      </c>
      <c r="C197" s="33" t="inlineStr">
        <is>
          <t>11 Robotics &amp; Physical AI / Components: motion &amp; actuation</t>
        </is>
      </c>
      <c r="D197" s="33" t="inlineStr">
        <is>
          <t>2026-10-11</t>
        </is>
      </c>
      <c r="E197" s="33" t="n">
        <v>32.35417</v>
      </c>
      <c r="F197" s="33" t="n">
        <v>27.627</v>
      </c>
      <c r="G197" s="33" t="n">
        <v>2.14</v>
      </c>
      <c r="H197" s="33" t="n">
        <v>5.188792</v>
      </c>
      <c r="I197" s="33">
        <f>IF(OR(E197="",R197="",R197&lt;=0,E197&lt;0),"",E197/R197)</f>
        <v/>
      </c>
      <c r="J197" s="33" t="n">
        <v>36.5</v>
      </c>
      <c r="K197" s="33" t="n">
        <v>4.91</v>
      </c>
      <c r="L197" s="33" t="n">
        <v>44.54</v>
      </c>
      <c r="M197" s="33" t="n">
        <v>11.1</v>
      </c>
      <c r="N197" s="33" t="n">
        <v>-2.39</v>
      </c>
      <c r="O197" s="33" t="n">
        <v>74.40000000000001</v>
      </c>
      <c r="P197" s="33" t="n">
        <v>4.43</v>
      </c>
      <c r="Q197" s="33" t="n">
        <v>10.3</v>
      </c>
      <c r="R197" s="33" t="n">
        <v>178.9</v>
      </c>
      <c r="S197" s="33">
        <f>IFERROR(AVERAGE(IFERROR(IF(P197="","",IF(P197&gt;=40,100,IF(P197&gt;=30,90,IF(P197&gt;=20,75,IF(P197&gt;=15,60,IF(P197&gt;=10,45,IF(P197&gt;=5,30,15))))))),""),IFERROR(IF(Q197="","",IF(Q197&gt;=40,100,IF(Q197&gt;=30,90,IF(Q197&gt;=20,75,IF(Q197&gt;=10,60,IF(Q197&gt;=5,45,IF(Q197&gt;=0,30,15))))))),""),IFERROR(IF(R197="","",IF(R197&gt;=40,100,IF(R197&gt;=30,90,IF(R197&gt;=20,75,IF(R197&gt;=10,60,IF(R197&gt;=0,45,IF(R197&gt;=-10,30,15))))))),"")),"")</f>
        <v/>
      </c>
      <c r="T197" s="33" t="n">
        <v>4</v>
      </c>
      <c r="U197" s="33" t="n">
        <v>4</v>
      </c>
      <c r="V197" s="33" t="n">
        <v>4</v>
      </c>
      <c r="W197" s="33" t="n">
        <v>4</v>
      </c>
      <c r="X197" s="33" t="n">
        <v>4</v>
      </c>
      <c r="Y197" s="33">
        <f>IFERROR((AVERAGE(T197,U197,V197,W197,X197)-1)*25,"")</f>
        <v/>
      </c>
      <c r="Z197" s="33" t="n">
        <v>3</v>
      </c>
      <c r="AA197" s="33" t="n">
        <v>3</v>
      </c>
      <c r="AB197" s="33" t="n">
        <v>3</v>
      </c>
      <c r="AC197" s="33" t="n">
        <v>54.2</v>
      </c>
      <c r="AD197" s="33">
        <f>IFERROR(AVERAGE(IFERROR(IF(Z197="","",Z197*20),""),IFERROR(IF(AA197="","",AA197*20),""),IFERROR(IF(AB197="","",AB197*20),""),IFERROR(IF(AC197="","",IF(AC197&gt;=85,100,IF(AC197&gt;=70,90,IF(AC197&gt;=55,75,IF(AC197&gt;=40,60,IF(AC197&gt;=25,40,20)))))),"")),"")</f>
        <v/>
      </c>
      <c r="AE197" s="33" t="n">
        <v>5</v>
      </c>
      <c r="AF197" s="33" t="n">
        <v>5</v>
      </c>
      <c r="AG197" s="33" t="n">
        <v>3</v>
      </c>
      <c r="AH197" s="33" t="n">
        <v>4</v>
      </c>
      <c r="AI197" s="33">
        <f>IFERROR((AVERAGE(AE197,AF197,AG197,AH197,AL197)-1)*25,"")</f>
        <v/>
      </c>
      <c r="AJ197" s="33">
        <f>IFERROR(J197*Weights!$B$4 + O197*Weights!$B$5 + S197*Weights!$B$6 + Y197*Weights!$B$7 + AD197*Weights!$B$8 + AI197*Weights!$B$9,"")</f>
        <v/>
      </c>
      <c r="AK197" s="33">
        <f>IF(AJ197="","",IF(AJ197&gt;=85,"✓✓✓",IF(AJ197&gt;=70,"✓✓",IF(AJ197&gt;=55,"✓",IF(AJ197&gt;=40,"?","✗")))))</f>
        <v/>
      </c>
      <c r="AL197" s="33" t="n">
        <v>5</v>
      </c>
    </row>
    <row r="198">
      <c r="A198" s="33" t="inlineStr">
        <is>
          <t>VPG</t>
        </is>
      </c>
      <c r="B198" s="33" t="inlineStr">
        <is>
          <t>Vishay Precision Group, Inc.</t>
        </is>
      </c>
      <c r="C198" s="33" t="inlineStr">
        <is>
          <t>11 Robotics &amp; Physical AI / Components: motion &amp; actuation</t>
        </is>
      </c>
      <c r="D198" s="33" t="inlineStr">
        <is>
          <t>2026-10-11</t>
        </is>
      </c>
      <c r="E198" s="33" t="n">
        <v>40.575417</v>
      </c>
      <c r="F198" s="33" t="n">
        <v>41.034</v>
      </c>
      <c r="G198" s="33" t="n">
        <v>-0.77</v>
      </c>
      <c r="H198" s="33" t="n">
        <v>2.9443035</v>
      </c>
      <c r="I198" s="33">
        <f>IF(OR(E198="",R198="",R198&lt;=0,E198&lt;0),"",E198/R198)</f>
        <v/>
      </c>
      <c r="J198" s="33" t="n">
        <v>33.1</v>
      </c>
      <c r="K198" s="33" t="n">
        <v>1.27</v>
      </c>
      <c r="L198" s="33" t="n">
        <v>38.75</v>
      </c>
      <c r="M198" s="33" t="n">
        <v>-2.27</v>
      </c>
      <c r="N198" s="33" t="n">
        <v>-1.55</v>
      </c>
      <c r="O198" s="33" t="n">
        <v>62.5</v>
      </c>
      <c r="P198" s="33" t="n">
        <v>-5.37</v>
      </c>
      <c r="Q198" s="33" t="n">
        <v>11.7</v>
      </c>
      <c r="S198" s="33">
        <f>IFERROR(AVERAGE(IFERROR(IF(P198="","",IF(P198&gt;=40,100,IF(P198&gt;=30,90,IF(P198&gt;=20,75,IF(P198&gt;=15,60,IF(P198&gt;=10,45,IF(P198&gt;=5,30,15))))))),""),IFERROR(IF(Q198="","",IF(Q198&gt;=40,100,IF(Q198&gt;=30,90,IF(Q198&gt;=20,75,IF(Q198&gt;=10,60,IF(Q198&gt;=5,45,IF(Q198&gt;=0,30,15))))))),""),IFERROR(IF(R198="","",IF(R198&gt;=40,100,IF(R198&gt;=30,90,IF(R198&gt;=20,75,IF(R198&gt;=10,60,IF(R198&gt;=0,45,IF(R198&gt;=-10,30,15))))))),"")),"")</f>
        <v/>
      </c>
      <c r="T198" s="33" t="n">
        <v>1</v>
      </c>
      <c r="U198" s="33" t="n">
        <v>4</v>
      </c>
      <c r="V198" s="33" t="n">
        <v>3</v>
      </c>
      <c r="W198" s="33" t="n">
        <v>3</v>
      </c>
      <c r="X198" s="33" t="n">
        <v>3</v>
      </c>
      <c r="Y198" s="33">
        <f>IFERROR((AVERAGE(T198,U198,V198,W198,X198)-1)*25,"")</f>
        <v/>
      </c>
      <c r="Z198" s="33" t="n">
        <v>4</v>
      </c>
      <c r="AA198" s="33" t="n">
        <v>5</v>
      </c>
      <c r="AB198" s="33" t="n">
        <v>3</v>
      </c>
      <c r="AC198" s="33" t="n">
        <v>51.7</v>
      </c>
      <c r="AD198" s="33">
        <f>IFERROR(AVERAGE(IFERROR(IF(Z198="","",Z198*20),""),IFERROR(IF(AA198="","",AA198*20),""),IFERROR(IF(AB198="","",AB198*20),""),IFERROR(IF(AC198="","",IF(AC198&gt;=85,100,IF(AC198&gt;=70,90,IF(AC198&gt;=55,75,IF(AC198&gt;=40,60,IF(AC198&gt;=25,40,20)))))),"")),"")</f>
        <v/>
      </c>
      <c r="AE198" s="33" t="n">
        <v>5</v>
      </c>
      <c r="AF198" s="33" t="n">
        <v>2</v>
      </c>
      <c r="AG198" s="33" t="n">
        <v>5</v>
      </c>
      <c r="AH198" s="33" t="n">
        <v>4</v>
      </c>
      <c r="AI198" s="33">
        <f>IFERROR((AVERAGE(AE198,AF198,AG198,AH198,AL198)-1)*25,"")</f>
        <v/>
      </c>
      <c r="AJ198" s="33">
        <f>IFERROR(J198*Weights!$B$4 + O198*Weights!$B$5 + S198*Weights!$B$6 + Y198*Weights!$B$7 + AD198*Weights!$B$8 + AI198*Weights!$B$9,"")</f>
        <v/>
      </c>
      <c r="AK198" s="33">
        <f>IF(AJ198="","",IF(AJ198&gt;=85,"✓✓✓",IF(AJ198&gt;=70,"✓✓",IF(AJ198&gt;=55,"✓",IF(AJ198&gt;=40,"?","✗")))))</f>
        <v/>
      </c>
      <c r="AL198" s="33" t="n">
        <v>5</v>
      </c>
    </row>
    <row r="199">
      <c r="A199" s="33" t="inlineStr">
        <is>
          <t>CGNX</t>
        </is>
      </c>
      <c r="B199" s="33" t="inlineStr">
        <is>
          <t>Cognex Corporation</t>
        </is>
      </c>
      <c r="C199" s="33" t="inlineStr">
        <is>
          <t>11 Robotics &amp; Physical AI / Machine vision &amp; perception</t>
        </is>
      </c>
      <c r="D199" s="33" t="inlineStr">
        <is>
          <t>2026-10-11</t>
        </is>
      </c>
      <c r="E199" s="33" t="n">
        <v>31.035128</v>
      </c>
      <c r="F199" s="33" t="n">
        <v>37.266</v>
      </c>
      <c r="G199" s="33" t="n">
        <v>2.53</v>
      </c>
      <c r="H199" s="33" t="n">
        <v>9.720223000000001</v>
      </c>
      <c r="I199" s="33">
        <f>IF(OR(E199="",R199="",R199&lt;=0,E199&lt;0),"",E199/R199)</f>
        <v/>
      </c>
      <c r="J199" s="33" t="n">
        <v>42.6</v>
      </c>
      <c r="K199" s="33" t="n">
        <v>8.23</v>
      </c>
      <c r="L199" s="33" t="n">
        <v>68.87</v>
      </c>
      <c r="M199" s="33" t="n">
        <v>24.64</v>
      </c>
      <c r="N199" s="33" t="n">
        <v>-1.24</v>
      </c>
      <c r="O199" s="33" t="n">
        <v>93.09999999999999</v>
      </c>
      <c r="P199" s="33" t="n">
        <v>-0.39</v>
      </c>
      <c r="Q199" s="33" t="n">
        <v>16.9</v>
      </c>
      <c r="R199" s="33" t="n">
        <v>79.59999999999999</v>
      </c>
      <c r="S199" s="33">
        <f>IFERROR(AVERAGE(IFERROR(IF(P199="","",IF(P199&gt;=40,100,IF(P199&gt;=30,90,IF(P199&gt;=20,75,IF(P199&gt;=15,60,IF(P199&gt;=10,45,IF(P199&gt;=5,30,15))))))),""),IFERROR(IF(Q199="","",IF(Q199&gt;=40,100,IF(Q199&gt;=30,90,IF(Q199&gt;=20,75,IF(Q199&gt;=10,60,IF(Q199&gt;=5,45,IF(Q199&gt;=0,30,15))))))),""),IFERROR(IF(R199="","",IF(R199&gt;=40,100,IF(R199&gt;=30,90,IF(R199&gt;=20,75,IF(R199&gt;=10,60,IF(R199&gt;=0,45,IF(R199&gt;=-10,30,15))))))),"")),"")</f>
        <v/>
      </c>
      <c r="T199" s="33" t="n">
        <v>2</v>
      </c>
      <c r="U199" s="33" t="n">
        <v>4</v>
      </c>
      <c r="V199" s="33" t="n">
        <v>4</v>
      </c>
      <c r="W199" s="33" t="n">
        <v>3</v>
      </c>
      <c r="X199" s="33" t="n">
        <v>3</v>
      </c>
      <c r="Y199" s="33">
        <f>IFERROR((AVERAGE(T199,U199,V199,W199,X199)-1)*25,"")</f>
        <v/>
      </c>
      <c r="Z199" s="33" t="n">
        <v>5</v>
      </c>
      <c r="AA199" s="33" t="n">
        <v>5</v>
      </c>
      <c r="AB199" s="33" t="n">
        <v>3</v>
      </c>
      <c r="AC199" s="33" t="n">
        <v>58.3</v>
      </c>
      <c r="AD199" s="33">
        <f>IFERROR(AVERAGE(IFERROR(IF(Z199="","",Z199*20),""),IFERROR(IF(AA199="","",AA199*20),""),IFERROR(IF(AB199="","",AB199*20),""),IFERROR(IF(AC199="","",IF(AC199&gt;=85,100,IF(AC199&gt;=70,90,IF(AC199&gt;=55,75,IF(AC199&gt;=40,60,IF(AC199&gt;=25,40,20)))))),"")),"")</f>
        <v/>
      </c>
      <c r="AE199" s="33" t="n">
        <v>4</v>
      </c>
      <c r="AF199" s="33" t="n">
        <v>4</v>
      </c>
      <c r="AG199" s="33" t="n">
        <v>5</v>
      </c>
      <c r="AH199" s="33" t="n">
        <v>5</v>
      </c>
      <c r="AI199" s="33">
        <f>IFERROR((AVERAGE(AE199,AF199,AG199,AH199,AL199)-1)*25,"")</f>
        <v/>
      </c>
      <c r="AJ199" s="33">
        <f>IFERROR(J199*Weights!$B$4 + O199*Weights!$B$5 + S199*Weights!$B$6 + Y199*Weights!$B$7 + AD199*Weights!$B$8 + AI199*Weights!$B$9,"")</f>
        <v/>
      </c>
      <c r="AK199" s="33">
        <f>IF(AJ199="","",IF(AJ199&gt;=85,"✓✓✓",IF(AJ199&gt;=70,"✓✓",IF(AJ199&gt;=55,"✓",IF(AJ199&gt;=40,"?","✗")))))</f>
        <v/>
      </c>
      <c r="AL199" s="33" t="n">
        <v>5</v>
      </c>
    </row>
    <row r="200">
      <c r="A200" s="33" t="inlineStr">
        <is>
          <t>6861.T</t>
        </is>
      </c>
      <c r="B200" s="33" t="inlineStr">
        <is>
          <t>Keyence Corporation</t>
        </is>
      </c>
      <c r="C200" s="33" t="inlineStr">
        <is>
          <t>11 Robotics &amp; Physical AI / Machine vision &amp; perception</t>
        </is>
      </c>
      <c r="D200" s="33" t="inlineStr">
        <is>
          <t>2026-10-11</t>
        </is>
      </c>
      <c r="E200" s="33" t="n">
        <v>44.140699778746</v>
      </c>
      <c r="H200" s="33" t="n">
        <v>15.566181</v>
      </c>
      <c r="I200" s="33">
        <f>IF(OR(E200="",R200="",R200&lt;=0,E200&lt;0),"",E200/R200)</f>
        <v/>
      </c>
      <c r="J200" s="33" t="n">
        <v>43.1</v>
      </c>
      <c r="L200" s="33" t="n">
        <v>83.66</v>
      </c>
      <c r="O200" s="33" t="n">
        <v>98.7</v>
      </c>
      <c r="P200" s="33" t="n">
        <v>8.23</v>
      </c>
      <c r="Q200" s="33" t="n">
        <v>32.8</v>
      </c>
      <c r="R200" s="33" t="n">
        <v>51</v>
      </c>
      <c r="S200" s="33">
        <f>IFERROR(AVERAGE(IFERROR(IF(P200="","",IF(P200&gt;=40,100,IF(P200&gt;=30,90,IF(P200&gt;=20,75,IF(P200&gt;=15,60,IF(P200&gt;=10,45,IF(P200&gt;=5,30,15))))))),""),IFERROR(IF(Q200="","",IF(Q200&gt;=40,100,IF(Q200&gt;=30,90,IF(Q200&gt;=20,75,IF(Q200&gt;=10,60,IF(Q200&gt;=5,45,IF(Q200&gt;=0,30,15))))))),""),IFERROR(IF(R200="","",IF(R200&gt;=40,100,IF(R200&gt;=30,90,IF(R200&gt;=20,75,IF(R200&gt;=10,60,IF(R200&gt;=0,45,IF(R200&gt;=-10,30,15))))))),"")),"")</f>
        <v/>
      </c>
      <c r="T200" s="33" t="n">
        <v>2</v>
      </c>
      <c r="U200" s="33" t="n">
        <v>5</v>
      </c>
      <c r="V200" s="33" t="n">
        <v>5</v>
      </c>
      <c r="W200" s="33" t="n">
        <v>3</v>
      </c>
      <c r="X200" s="33" t="n">
        <v>3</v>
      </c>
      <c r="Y200" s="33">
        <f>IFERROR((AVERAGE(T200,U200,V200,W200,X200)-1)*25,"")</f>
        <v/>
      </c>
      <c r="Z200" s="33" t="n">
        <v>5</v>
      </c>
      <c r="AA200" s="33" t="n">
        <v>5</v>
      </c>
      <c r="AB200" s="33" t="n">
        <v>3</v>
      </c>
      <c r="AC200" s="33" t="n">
        <v>75</v>
      </c>
      <c r="AD200" s="33">
        <f>IFERROR(AVERAGE(IFERROR(IF(Z200="","",Z200*20),""),IFERROR(IF(AA200="","",AA200*20),""),IFERROR(IF(AB200="","",AB200*20),""),IFERROR(IF(AC200="","",IF(AC200&gt;=85,100,IF(AC200&gt;=70,90,IF(AC200&gt;=55,75,IF(AC200&gt;=40,60,IF(AC200&gt;=25,40,20)))))),"")),"")</f>
        <v/>
      </c>
      <c r="AE200" s="33" t="n">
        <v>5</v>
      </c>
      <c r="AF200" s="33" t="n">
        <v>3</v>
      </c>
      <c r="AG200" s="33" t="n">
        <v>5</v>
      </c>
      <c r="AH200" s="33" t="n">
        <v>5</v>
      </c>
      <c r="AI200" s="33">
        <f>IFERROR((AVERAGE(AE200,AF200,AG200,AH200,AL200)-1)*25,"")</f>
        <v/>
      </c>
      <c r="AJ200" s="33">
        <f>IFERROR(J200*Weights!$B$4 + O200*Weights!$B$5 + S200*Weights!$B$6 + Y200*Weights!$B$7 + AD200*Weights!$B$8 + AI200*Weights!$B$9,"")</f>
        <v/>
      </c>
      <c r="AK200" s="33">
        <f>IF(AJ200="","",IF(AJ200&gt;=85,"✓✓✓",IF(AJ200&gt;=70,"✓✓",IF(AJ200&gt;=55,"✓",IF(AJ200&gt;=40,"?","✗")))))</f>
        <v/>
      </c>
      <c r="AL200" s="33" t="n">
        <v>5</v>
      </c>
    </row>
    <row r="201">
      <c r="A201" s="33" t="inlineStr">
        <is>
          <t>OUST</t>
        </is>
      </c>
      <c r="B201" s="33" t="inlineStr">
        <is>
          <t>Ouster, Inc.</t>
        </is>
      </c>
      <c r="C201" s="33" t="inlineStr">
        <is>
          <t>11 Robotics &amp; Physical AI / Machine vision &amp; perception</t>
        </is>
      </c>
      <c r="D201" s="33" t="inlineStr">
        <is>
          <t>2026-10-11</t>
        </is>
      </c>
      <c r="E201" s="33" t="n">
        <v>-319.2</v>
      </c>
      <c r="F201" s="33" t="n">
        <v>-47.393</v>
      </c>
      <c r="G201" s="33" t="n">
        <v>-2.87</v>
      </c>
      <c r="H201" s="33" t="n">
        <v>14.041893</v>
      </c>
      <c r="I201" s="33">
        <f>IF(OR(E201="",R201="",R201&lt;=0,E201&lt;0),"",E201/R201)</f>
        <v/>
      </c>
      <c r="J201" s="33" t="n">
        <v>36.8</v>
      </c>
      <c r="K201" s="33" t="n">
        <v>-12.62</v>
      </c>
      <c r="L201" s="33" t="n">
        <v>46.62</v>
      </c>
      <c r="M201" s="33" t="n">
        <v>-40.25</v>
      </c>
      <c r="O201" s="33" t="n">
        <v>39.9</v>
      </c>
      <c r="P201" s="33" t="n">
        <v>60.42</v>
      </c>
      <c r="Q201" s="33" t="n">
        <v>55.9</v>
      </c>
      <c r="S201" s="33">
        <f>IFERROR(AVERAGE(IFERROR(IF(P201="","",IF(P201&gt;=40,100,IF(P201&gt;=30,90,IF(P201&gt;=20,75,IF(P201&gt;=15,60,IF(P201&gt;=10,45,IF(P201&gt;=5,30,15))))))),""),IFERROR(IF(Q201="","",IF(Q201&gt;=40,100,IF(Q201&gt;=30,90,IF(Q201&gt;=20,75,IF(Q201&gt;=10,60,IF(Q201&gt;=5,45,IF(Q201&gt;=0,30,15))))))),""),IFERROR(IF(R201="","",IF(R201&gt;=40,100,IF(R201&gt;=30,90,IF(R201&gt;=20,75,IF(R201&gt;=10,60,IF(R201&gt;=0,45,IF(R201&gt;=-10,30,15))))))),"")),"")</f>
        <v/>
      </c>
      <c r="T201" s="33" t="n">
        <v>5</v>
      </c>
      <c r="U201" s="33" t="n">
        <v>3</v>
      </c>
      <c r="V201" s="33" t="n">
        <v>3</v>
      </c>
      <c r="W201" s="33" t="n">
        <v>5</v>
      </c>
      <c r="X201" s="33" t="n">
        <v>4</v>
      </c>
      <c r="Y201" s="33">
        <f>IFERROR((AVERAGE(T201,U201,V201,W201,X201)-1)*25,"")</f>
        <v/>
      </c>
      <c r="Z201" s="33" t="n">
        <v>4</v>
      </c>
      <c r="AA201" s="33" t="n">
        <v>5</v>
      </c>
      <c r="AB201" s="33" t="n">
        <v>4</v>
      </c>
      <c r="AC201" s="33" t="n">
        <v>68.3</v>
      </c>
      <c r="AD201" s="33">
        <f>IFERROR(AVERAGE(IFERROR(IF(Z201="","",Z201*20),""),IFERROR(IF(AA201="","",AA201*20),""),IFERROR(IF(AB201="","",AB201*20),""),IFERROR(IF(AC201="","",IF(AC201&gt;=85,100,IF(AC201&gt;=70,90,IF(AC201&gt;=55,75,IF(AC201&gt;=40,60,IF(AC201&gt;=25,40,20)))))),"")),"")</f>
        <v/>
      </c>
      <c r="AE201" s="33" t="n">
        <v>3</v>
      </c>
      <c r="AF201" s="33" t="n">
        <v>4</v>
      </c>
      <c r="AG201" s="33" t="n">
        <v>4</v>
      </c>
      <c r="AH201" s="33" t="n">
        <v>4</v>
      </c>
      <c r="AI201" s="33">
        <f>IFERROR((AVERAGE(AE201,AF201,AG201,AH201,AL201)-1)*25,"")</f>
        <v/>
      </c>
      <c r="AJ201" s="33">
        <f>IFERROR(J201*Weights!$B$4 + O201*Weights!$B$5 + S201*Weights!$B$6 + Y201*Weights!$B$7 + AD201*Weights!$B$8 + AI201*Weights!$B$9,"")</f>
        <v/>
      </c>
      <c r="AK201" s="33">
        <f>IF(AJ201="","",IF(AJ201&gt;=85,"✓✓✓",IF(AJ201&gt;=70,"✓✓",IF(AJ201&gt;=55,"✓",IF(AJ201&gt;=40,"?","✗")))))</f>
        <v/>
      </c>
      <c r="AL201" s="33" t="n">
        <v>5</v>
      </c>
    </row>
    <row r="202">
      <c r="A202" s="33" t="inlineStr">
        <is>
          <t>HSAI</t>
        </is>
      </c>
      <c r="B202" s="33" t="inlineStr">
        <is>
          <t>Hesai Group</t>
        </is>
      </c>
      <c r="C202" s="33" t="inlineStr">
        <is>
          <t>11 Robotics &amp; Physical AI / Machine vision &amp; perception</t>
        </is>
      </c>
      <c r="D202" s="33" t="inlineStr">
        <is>
          <t>2026-10-11</t>
        </is>
      </c>
      <c r="E202" s="33" t="n">
        <v>18.215984</v>
      </c>
      <c r="G202" s="33" t="n">
        <v>-0.24</v>
      </c>
      <c r="H202" s="33" t="n">
        <v>40.3</v>
      </c>
      <c r="I202" s="33">
        <f>IF(OR(E202="",R202="",R202&lt;=0,E202&lt;0),"",E202/R202)</f>
        <v/>
      </c>
      <c r="J202" s="33" t="n">
        <v>62.5</v>
      </c>
      <c r="K202" s="33" t="n">
        <v>1.41</v>
      </c>
      <c r="L202" s="33" t="n">
        <v>40.65</v>
      </c>
      <c r="M202" s="33" t="n">
        <v>-9.83</v>
      </c>
      <c r="N202" s="33" t="n">
        <v>-65.68000000000001</v>
      </c>
      <c r="O202" s="33" t="n">
        <v>73.8</v>
      </c>
      <c r="P202" s="33" t="n">
        <v>36.03</v>
      </c>
      <c r="Q202" s="33" t="n">
        <v>21.9</v>
      </c>
      <c r="S202" s="33">
        <f>IFERROR(AVERAGE(IFERROR(IF(P202="","",IF(P202&gt;=40,100,IF(P202&gt;=30,90,IF(P202&gt;=20,75,IF(P202&gt;=15,60,IF(P202&gt;=10,45,IF(P202&gt;=5,30,15))))))),""),IFERROR(IF(Q202="","",IF(Q202&gt;=40,100,IF(Q202&gt;=30,90,IF(Q202&gt;=20,75,IF(Q202&gt;=10,60,IF(Q202&gt;=5,45,IF(Q202&gt;=0,30,15))))))),""),IFERROR(IF(R202="","",IF(R202&gt;=40,100,IF(R202&gt;=30,90,IF(R202&gt;=20,75,IF(R202&gt;=10,60,IF(R202&gt;=0,45,IF(R202&gt;=-10,30,15))))))),"")),"")</f>
        <v/>
      </c>
      <c r="T202" s="33" t="n">
        <v>4</v>
      </c>
      <c r="U202" s="33" t="n">
        <v>3</v>
      </c>
      <c r="V202" s="33" t="n">
        <v>3</v>
      </c>
      <c r="W202" s="33" t="n">
        <v>5</v>
      </c>
      <c r="X202" s="33" t="n">
        <v>4</v>
      </c>
      <c r="Y202" s="33">
        <f>IFERROR((AVERAGE(T202,U202,V202,W202,X202)-1)*25,"")</f>
        <v/>
      </c>
      <c r="Z202" s="33" t="n">
        <v>3</v>
      </c>
      <c r="AA202" s="33" t="n">
        <v>1</v>
      </c>
      <c r="AB202" s="33" t="n">
        <v>3</v>
      </c>
      <c r="AC202" s="33" t="n">
        <v>25.8</v>
      </c>
      <c r="AD202" s="33">
        <f>IFERROR(AVERAGE(IFERROR(IF(Z202="","",Z202*20),""),IFERROR(IF(AA202="","",AA202*20),""),IFERROR(IF(AB202="","",AB202*20),""),IFERROR(IF(AC202="","",IF(AC202&gt;=85,100,IF(AC202&gt;=70,90,IF(AC202&gt;=55,75,IF(AC202&gt;=40,60,IF(AC202&gt;=25,40,20)))))),"")),"")</f>
        <v/>
      </c>
      <c r="AE202" s="33" t="n">
        <v>4</v>
      </c>
      <c r="AF202" s="33" t="n">
        <v>2</v>
      </c>
      <c r="AG202" s="33" t="n">
        <v>5</v>
      </c>
      <c r="AH202" s="33" t="n">
        <v>2</v>
      </c>
      <c r="AI202" s="33">
        <f>IFERROR((AVERAGE(AE202,AF202,AG202,AH202,AL202)-1)*25,"")</f>
        <v/>
      </c>
      <c r="AJ202" s="33">
        <f>IFERROR(J202*Weights!$B$4 + O202*Weights!$B$5 + S202*Weights!$B$6 + Y202*Weights!$B$7 + AD202*Weights!$B$8 + AI202*Weights!$B$9,"")</f>
        <v/>
      </c>
      <c r="AK202" s="33">
        <f>IF(AJ202="","",IF(AJ202&gt;=85,"✓✓✓",IF(AJ202&gt;=70,"✓✓",IF(AJ202&gt;=55,"✓",IF(AJ202&gt;=40,"?","✗")))))</f>
        <v/>
      </c>
      <c r="AL202" s="33" t="n">
        <v>5</v>
      </c>
    </row>
    <row r="203">
      <c r="A203" s="33" t="inlineStr">
        <is>
          <t>AEVA</t>
        </is>
      </c>
      <c r="B203" s="33" t="inlineStr">
        <is>
          <t>Aeva Technologies, Inc.</t>
        </is>
      </c>
      <c r="C203" s="33" t="inlineStr">
        <is>
          <t>11 Robotics &amp; Physical AI / Machine vision &amp; perception</t>
        </is>
      </c>
      <c r="D203" s="33" t="inlineStr">
        <is>
          <t>2026-10-11</t>
        </is>
      </c>
      <c r="E203" s="33" t="n">
        <v>-8.495025</v>
      </c>
      <c r="F203" s="33" t="n">
        <v>-7.293</v>
      </c>
      <c r="G203" s="33" t="n">
        <v>-12.25</v>
      </c>
      <c r="H203" s="33" t="n">
        <v>44.08652</v>
      </c>
      <c r="I203" s="33">
        <f>IF(OR(E203="",R203="",R203&lt;=0,E203&lt;0),"",E203/R203)</f>
        <v/>
      </c>
      <c r="J203" s="33" t="n">
        <v>25.6</v>
      </c>
      <c r="K203" s="33" t="n">
        <v>-51.65</v>
      </c>
      <c r="L203" s="33" t="n">
        <v>27.22</v>
      </c>
      <c r="M203" s="33" t="n">
        <v>-540.1900000000001</v>
      </c>
      <c r="O203" s="33" t="n">
        <v>3.5</v>
      </c>
      <c r="P203" s="33" t="n">
        <v>62.77</v>
      </c>
      <c r="Q203" s="33" t="n">
        <v>11.3</v>
      </c>
      <c r="S203" s="33">
        <f>IFERROR(AVERAGE(IFERROR(IF(P203="","",IF(P203&gt;=40,100,IF(P203&gt;=30,90,IF(P203&gt;=20,75,IF(P203&gt;=15,60,IF(P203&gt;=10,45,IF(P203&gt;=5,30,15))))))),""),IFERROR(IF(Q203="","",IF(Q203&gt;=40,100,IF(Q203&gt;=30,90,IF(Q203&gt;=20,75,IF(Q203&gt;=10,60,IF(Q203&gt;=5,45,IF(Q203&gt;=0,30,15))))))),""),IFERROR(IF(R203="","",IF(R203&gt;=40,100,IF(R203&gt;=30,90,IF(R203&gt;=20,75,IF(R203&gt;=10,60,IF(R203&gt;=0,45,IF(R203&gt;=-10,30,15))))))),"")),"")</f>
        <v/>
      </c>
      <c r="T203" s="33" t="n">
        <v>5</v>
      </c>
      <c r="U203" s="33" t="n">
        <v>2</v>
      </c>
      <c r="V203" s="33" t="n">
        <v>3</v>
      </c>
      <c r="W203" s="33" t="n">
        <v>4</v>
      </c>
      <c r="X203" s="33" t="n">
        <v>3</v>
      </c>
      <c r="Y203" s="33">
        <f>IFERROR((AVERAGE(T203,U203,V203,W203,X203)-1)*25,"")</f>
        <v/>
      </c>
      <c r="Z203" s="33" t="n">
        <v>3</v>
      </c>
      <c r="AA203" s="33" t="n">
        <v>1</v>
      </c>
      <c r="AB203" s="33" t="n">
        <v>3</v>
      </c>
      <c r="AC203" s="33" t="n">
        <v>47.5</v>
      </c>
      <c r="AD203" s="33">
        <f>IFERROR(AVERAGE(IFERROR(IF(Z203="","",Z203*20),""),IFERROR(IF(AA203="","",AA203*20),""),IFERROR(IF(AB203="","",AB203*20),""),IFERROR(IF(AC203="","",IF(AC203&gt;=85,100,IF(AC203&gt;=70,90,IF(AC203&gt;=55,75,IF(AC203&gt;=40,60,IF(AC203&gt;=25,40,20)))))),"")),"")</f>
        <v/>
      </c>
      <c r="AE203" s="33" t="n">
        <v>2</v>
      </c>
      <c r="AF203" s="33" t="n">
        <v>3</v>
      </c>
      <c r="AG203" s="33" t="n">
        <v>2</v>
      </c>
      <c r="AH203" s="33" t="n">
        <v>4</v>
      </c>
      <c r="AI203" s="33">
        <f>IFERROR((AVERAGE(AE203,AF203,AG203,AH203,AL203)-1)*25,"")</f>
        <v/>
      </c>
      <c r="AJ203" s="33">
        <f>IFERROR(J203*Weights!$B$4 + O203*Weights!$B$5 + S203*Weights!$B$6 + Y203*Weights!$B$7 + AD203*Weights!$B$8 + AI203*Weights!$B$9,"")</f>
        <v/>
      </c>
      <c r="AK203" s="33">
        <f>IF(AJ203="","",IF(AJ203&gt;=85,"✓✓✓",IF(AJ203&gt;=70,"✓✓",IF(AJ203&gt;=55,"✓",IF(AJ203&gt;=40,"?","✗")))))</f>
        <v/>
      </c>
      <c r="AL203" s="33" t="n">
        <v>5</v>
      </c>
    </row>
    <row r="204">
      <c r="A204" s="33" t="inlineStr">
        <is>
          <t>2498.HK</t>
        </is>
      </c>
      <c r="B204" s="33" t="inlineStr">
        <is>
          <t>Robosense Technology Co., Ltd</t>
        </is>
      </c>
      <c r="C204" s="33" t="inlineStr">
        <is>
          <t>11 Robotics &amp; Physical AI / Machine vision &amp; perception</t>
        </is>
      </c>
      <c r="D204" s="33" t="inlineStr">
        <is>
          <t>2026-10-11</t>
        </is>
      </c>
      <c r="E204" s="33" t="n">
        <v>19.816217</v>
      </c>
      <c r="G204" s="33" t="n">
        <v>-6.68</v>
      </c>
      <c r="H204" s="33" t="n">
        <v>2.93</v>
      </c>
      <c r="I204" s="33">
        <f>IF(OR(E204="",R204="",R204&lt;=0,E204&lt;0),"",E204/R204)</f>
        <v/>
      </c>
      <c r="J204" s="33" t="n">
        <v>50.1</v>
      </c>
      <c r="L204" s="33" t="n">
        <v>24.49</v>
      </c>
      <c r="M204" s="33" t="n">
        <v>-19.56</v>
      </c>
      <c r="O204" s="33" t="n">
        <v>16.7</v>
      </c>
      <c r="P204" s="33" t="n">
        <v>54.11</v>
      </c>
      <c r="Q204" s="33" t="n">
        <v>23.2</v>
      </c>
      <c r="S204" s="33">
        <f>IFERROR(AVERAGE(IFERROR(IF(P204="","",IF(P204&gt;=40,100,IF(P204&gt;=30,90,IF(P204&gt;=20,75,IF(P204&gt;=15,60,IF(P204&gt;=10,45,IF(P204&gt;=5,30,15))))))),""),IFERROR(IF(Q204="","",IF(Q204&gt;=40,100,IF(Q204&gt;=30,90,IF(Q204&gt;=20,75,IF(Q204&gt;=10,60,IF(Q204&gt;=5,45,IF(Q204&gt;=0,30,15))))))),""),IFERROR(IF(R204="","",IF(R204&gt;=40,100,IF(R204&gt;=30,90,IF(R204&gt;=20,75,IF(R204&gt;=10,60,IF(R204&gt;=0,45,IF(R204&gt;=-10,30,15))))))),"")),"")</f>
        <v/>
      </c>
      <c r="T204" s="33" t="n">
        <v>4</v>
      </c>
      <c r="U204" s="33" t="n">
        <v>2</v>
      </c>
      <c r="V204" s="33" t="n">
        <v>2</v>
      </c>
      <c r="W204" s="33" t="n">
        <v>4</v>
      </c>
      <c r="X204" s="33" t="n">
        <v>5</v>
      </c>
      <c r="Y204" s="33">
        <f>IFERROR((AVERAGE(T204,U204,V204,W204,X204)-1)*25,"")</f>
        <v/>
      </c>
      <c r="Z204" s="33" t="n">
        <v>3</v>
      </c>
      <c r="AA204" s="33" t="n">
        <v>1</v>
      </c>
      <c r="AB204" s="33" t="n">
        <v>3</v>
      </c>
      <c r="AC204" s="33" t="n">
        <v>2.5</v>
      </c>
      <c r="AD204" s="33">
        <f>IFERROR(AVERAGE(IFERROR(IF(Z204="","",Z204*20),""),IFERROR(IF(AA204="","",AA204*20),""),IFERROR(IF(AB204="","",AB204*20),""),IFERROR(IF(AC204="","",IF(AC204&gt;=85,100,IF(AC204&gt;=70,90,IF(AC204&gt;=55,75,IF(AC204&gt;=40,60,IF(AC204&gt;=25,40,20)))))),"")),"")</f>
        <v/>
      </c>
      <c r="AE204" s="33" t="n">
        <v>3</v>
      </c>
      <c r="AF204" s="33" t="n">
        <v>2</v>
      </c>
      <c r="AG204" s="33" t="n">
        <v>4</v>
      </c>
      <c r="AH204" s="33" t="n">
        <v>3</v>
      </c>
      <c r="AI204" s="33">
        <f>IFERROR((AVERAGE(AE204,AF204,AG204,AH204,AL204)-1)*25,"")</f>
        <v/>
      </c>
      <c r="AJ204" s="33">
        <f>IFERROR(J204*Weights!$B$4 + O204*Weights!$B$5 + S204*Weights!$B$6 + Y204*Weights!$B$7 + AD204*Weights!$B$8 + AI204*Weights!$B$9,"")</f>
        <v/>
      </c>
      <c r="AK204" s="33">
        <f>IF(AJ204="","",IF(AJ204&gt;=85,"✓✓✓",IF(AJ204&gt;=70,"✓✓",IF(AJ204&gt;=55,"✓",IF(AJ204&gt;=40,"?","✗")))))</f>
        <v/>
      </c>
      <c r="AL204" s="33" t="n">
        <v>5</v>
      </c>
    </row>
    <row r="205">
      <c r="A205" s="33" t="inlineStr">
        <is>
          <t>BSL.DE</t>
        </is>
      </c>
      <c r="B205" s="33" t="inlineStr">
        <is>
          <t>Basler Aktiengesellschaft</t>
        </is>
      </c>
      <c r="C205" s="33" t="inlineStr">
        <is>
          <t>11 Robotics &amp; Physical AI / Machine vision &amp; perception</t>
        </is>
      </c>
      <c r="D205" s="33" t="inlineStr">
        <is>
          <t>2026-10-11</t>
        </is>
      </c>
      <c r="E205" s="33" t="n">
        <v>19.298052</v>
      </c>
      <c r="F205" s="33" t="n">
        <v>17.557</v>
      </c>
      <c r="G205" s="33" t="n">
        <v>3.79</v>
      </c>
      <c r="H205" s="33" t="n">
        <v>2.6032784</v>
      </c>
      <c r="I205" s="33">
        <f>IF(OR(E205="",R205="",R205&lt;=0,E205&lt;0),"",E205/R205)</f>
        <v/>
      </c>
      <c r="J205" s="33" t="n">
        <v>59.4</v>
      </c>
      <c r="L205" s="33" t="n">
        <v>49.05</v>
      </c>
      <c r="M205" s="33" t="n">
        <v>9.880000000000001</v>
      </c>
      <c r="N205" s="33" t="n">
        <v>0.7</v>
      </c>
      <c r="O205" s="33" t="n">
        <v>76.59999999999999</v>
      </c>
      <c r="P205" s="33" t="n">
        <v>-6.45</v>
      </c>
      <c r="Q205" s="33" t="n">
        <v>43.7</v>
      </c>
      <c r="R205" s="33" t="n">
        <v>172.5</v>
      </c>
      <c r="S205" s="33">
        <f>IFERROR(AVERAGE(IFERROR(IF(P205="","",IF(P205&gt;=40,100,IF(P205&gt;=30,90,IF(P205&gt;=20,75,IF(P205&gt;=15,60,IF(P205&gt;=10,45,IF(P205&gt;=5,30,15))))))),""),IFERROR(IF(Q205="","",IF(Q205&gt;=40,100,IF(Q205&gt;=30,90,IF(Q205&gt;=20,75,IF(Q205&gt;=10,60,IF(Q205&gt;=5,45,IF(Q205&gt;=0,30,15))))))),""),IFERROR(IF(R205="","",IF(R205&gt;=40,100,IF(R205&gt;=30,90,IF(R205&gt;=20,75,IF(R205&gt;=10,60,IF(R205&gt;=0,45,IF(R205&gt;=-10,30,15))))))),"")),"")</f>
        <v/>
      </c>
      <c r="T205" s="33" t="n">
        <v>2</v>
      </c>
      <c r="U205" s="33" t="n">
        <v>3</v>
      </c>
      <c r="V205" s="33" t="n">
        <v>3</v>
      </c>
      <c r="W205" s="33" t="n">
        <v>5</v>
      </c>
      <c r="X205" s="33" t="n">
        <v>2</v>
      </c>
      <c r="Y205" s="33">
        <f>IFERROR((AVERAGE(T205,U205,V205,W205,X205)-1)*25,"")</f>
        <v/>
      </c>
      <c r="Z205" s="33" t="n">
        <v>5</v>
      </c>
      <c r="AA205" s="33" t="n">
        <v>5</v>
      </c>
      <c r="AB205" s="33" t="n">
        <v>3</v>
      </c>
      <c r="AC205" s="33" t="n">
        <v>54.2</v>
      </c>
      <c r="AD205" s="33">
        <f>IFERROR(AVERAGE(IFERROR(IF(Z205="","",Z205*20),""),IFERROR(IF(AA205="","",AA205*20),""),IFERROR(IF(AB205="","",AB205*20),""),IFERROR(IF(AC205="","",IF(AC205&gt;=85,100,IF(AC205&gt;=70,90,IF(AC205&gt;=55,75,IF(AC205&gt;=40,60,IF(AC205&gt;=25,40,20)))))),"")),"")</f>
        <v/>
      </c>
      <c r="AE205" s="33" t="n">
        <v>5</v>
      </c>
      <c r="AF205" s="33" t="n">
        <v>3</v>
      </c>
      <c r="AG205" s="33" t="n">
        <v>4</v>
      </c>
      <c r="AH205" s="33" t="n">
        <v>5</v>
      </c>
      <c r="AI205" s="33">
        <f>IFERROR((AVERAGE(AE205,AF205,AG205,AH205,AL205)-1)*25,"")</f>
        <v/>
      </c>
      <c r="AJ205" s="33">
        <f>IFERROR(J205*Weights!$B$4 + O205*Weights!$B$5 + S205*Weights!$B$6 + Y205*Weights!$B$7 + AD205*Weights!$B$8 + AI205*Weights!$B$9,"")</f>
        <v/>
      </c>
      <c r="AK205" s="33">
        <f>IF(AJ205="","",IF(AJ205&gt;=85,"✓✓✓",IF(AJ205&gt;=70,"✓✓",IF(AJ205&gt;=55,"✓",IF(AJ205&gt;=40,"?","✗")))))</f>
        <v/>
      </c>
      <c r="AL205" s="33" t="n">
        <v>5</v>
      </c>
    </row>
    <row r="206">
      <c r="A206" s="33" t="inlineStr">
        <is>
          <t>MBLY</t>
        </is>
      </c>
      <c r="B206" s="33" t="inlineStr">
        <is>
          <t>Mobileye Global Inc.</t>
        </is>
      </c>
      <c r="C206" s="33" t="inlineStr">
        <is>
          <t>11 Robotics &amp; Physical AI / Autonomy platforms &amp; defense</t>
        </is>
      </c>
      <c r="D206" s="33" t="inlineStr">
        <is>
          <t>2026-10-11</t>
        </is>
      </c>
      <c r="E206" s="33" t="n">
        <v>14.59044</v>
      </c>
      <c r="F206" s="33" t="n">
        <v>-19.932</v>
      </c>
      <c r="G206" s="33" t="n">
        <v>6.43</v>
      </c>
      <c r="H206" s="33" t="n">
        <v>2.9942122</v>
      </c>
      <c r="I206" s="33">
        <f>IF(OR(E206="",R206="",R206&lt;=0,E206&lt;0),"",E206/R206)</f>
        <v/>
      </c>
      <c r="J206" s="33" t="n">
        <v>75.5</v>
      </c>
      <c r="K206" s="33" t="n">
        <v>-3.65</v>
      </c>
      <c r="L206" s="33" t="n">
        <v>47.37</v>
      </c>
      <c r="M206" s="33" t="n">
        <v>19.25</v>
      </c>
      <c r="O206" s="33" t="n">
        <v>66.09999999999999</v>
      </c>
      <c r="P206" s="33" t="n">
        <v>0.44</v>
      </c>
      <c r="Q206" s="33" t="n">
        <v>0.4</v>
      </c>
      <c r="S206" s="33">
        <f>IFERROR(AVERAGE(IFERROR(IF(P206="","",IF(P206&gt;=40,100,IF(P206&gt;=30,90,IF(P206&gt;=20,75,IF(P206&gt;=15,60,IF(P206&gt;=10,45,IF(P206&gt;=5,30,15))))))),""),IFERROR(IF(Q206="","",IF(Q206&gt;=40,100,IF(Q206&gt;=30,90,IF(Q206&gt;=20,75,IF(Q206&gt;=10,60,IF(Q206&gt;=5,45,IF(Q206&gt;=0,30,15))))))),""),IFERROR(IF(R206="","",IF(R206&gt;=40,100,IF(R206&gt;=30,90,IF(R206&gt;=20,75,IF(R206&gt;=10,60,IF(R206&gt;=0,45,IF(R206&gt;=-10,30,15))))))),"")),"")</f>
        <v/>
      </c>
      <c r="T206" s="33" t="n">
        <v>5</v>
      </c>
      <c r="U206" s="33" t="n">
        <v>3</v>
      </c>
      <c r="V206" s="33" t="n">
        <v>3</v>
      </c>
      <c r="W206" s="33" t="n">
        <v>3</v>
      </c>
      <c r="X206" s="33" t="n">
        <v>4</v>
      </c>
      <c r="Y206" s="33">
        <f>IFERROR((AVERAGE(T206,U206,V206,W206,X206)-1)*25,"")</f>
        <v/>
      </c>
      <c r="Z206" s="33" t="n">
        <v>4</v>
      </c>
      <c r="AA206" s="33" t="n">
        <v>1</v>
      </c>
      <c r="AB206" s="33" t="n">
        <v>3</v>
      </c>
      <c r="AC206" s="33" t="n">
        <v>44.2</v>
      </c>
      <c r="AD206" s="33">
        <f>IFERROR(AVERAGE(IFERROR(IF(Z206="","",Z206*20),""),IFERROR(IF(AA206="","",AA206*20),""),IFERROR(IF(AB206="","",AB206*20),""),IFERROR(IF(AC206="","",IF(AC206&gt;=85,100,IF(AC206&gt;=70,90,IF(AC206&gt;=55,75,IF(AC206&gt;=40,60,IF(AC206&gt;=25,40,20)))))),"")),"")</f>
        <v/>
      </c>
      <c r="AE206" s="33" t="n">
        <v>3</v>
      </c>
      <c r="AF206" s="33" t="n">
        <v>2</v>
      </c>
      <c r="AG206" s="33" t="n">
        <v>5</v>
      </c>
      <c r="AH206" s="33" t="n">
        <v>3</v>
      </c>
      <c r="AI206" s="33">
        <f>IFERROR((AVERAGE(AE206,AF206,AG206,AH206,AL206)-1)*25,"")</f>
        <v/>
      </c>
      <c r="AJ206" s="33">
        <f>IFERROR(J206*Weights!$B$4 + O206*Weights!$B$5 + S206*Weights!$B$6 + Y206*Weights!$B$7 + AD206*Weights!$B$8 + AI206*Weights!$B$9,"")</f>
        <v/>
      </c>
      <c r="AK206" s="33">
        <f>IF(AJ206="","",IF(AJ206&gt;=85,"✓✓✓",IF(AJ206&gt;=70,"✓✓",IF(AJ206&gt;=55,"✓",IF(AJ206&gt;=40,"?","✗")))))</f>
        <v/>
      </c>
      <c r="AL206" s="33" t="n">
        <v>5</v>
      </c>
    </row>
    <row r="207">
      <c r="A207" s="33" t="inlineStr">
        <is>
          <t>KTOS</t>
        </is>
      </c>
      <c r="B207" s="33" t="inlineStr">
        <is>
          <t>Kratos Defense &amp; Security Solutions, Inc.</t>
        </is>
      </c>
      <c r="C207" s="33" t="inlineStr">
        <is>
          <t>11 Robotics &amp; Physical AI / Autonomy platforms &amp; defense</t>
        </is>
      </c>
      <c r="D207" s="33" t="inlineStr">
        <is>
          <t>2026-10-11</t>
        </is>
      </c>
      <c r="E207" s="33" t="n">
        <v>37.96039</v>
      </c>
      <c r="F207" s="33" t="n">
        <v>76.196</v>
      </c>
      <c r="G207" s="33" t="n">
        <v>-1.62</v>
      </c>
      <c r="H207" s="33" t="n">
        <v>5.217305</v>
      </c>
      <c r="I207" s="33">
        <f>IF(OR(E207="",R207="",R207&lt;=0,E207&lt;0),"",E207/R207)</f>
        <v/>
      </c>
      <c r="J207" s="33" t="n">
        <v>40.4</v>
      </c>
      <c r="K207" s="33" t="n">
        <v>0.48</v>
      </c>
      <c r="L207" s="33" t="n">
        <v>23</v>
      </c>
      <c r="M207" s="33" t="n">
        <v>-8.470000000000001</v>
      </c>
      <c r="N207" s="33" t="n">
        <v>-14.3</v>
      </c>
      <c r="O207" s="33" t="n">
        <v>48.3</v>
      </c>
      <c r="P207" s="33" t="n">
        <v>14.45</v>
      </c>
      <c r="Q207" s="33" t="n">
        <v>30.5</v>
      </c>
      <c r="R207" s="33" t="n">
        <v>51.7</v>
      </c>
      <c r="S207" s="33">
        <f>IFERROR(AVERAGE(IFERROR(IF(P207="","",IF(P207&gt;=40,100,IF(P207&gt;=30,90,IF(P207&gt;=20,75,IF(P207&gt;=15,60,IF(P207&gt;=10,45,IF(P207&gt;=5,30,15))))))),""),IFERROR(IF(Q207="","",IF(Q207&gt;=40,100,IF(Q207&gt;=30,90,IF(Q207&gt;=20,75,IF(Q207&gt;=10,60,IF(Q207&gt;=5,45,IF(Q207&gt;=0,30,15))))))),""),IFERROR(IF(R207="","",IF(R207&gt;=40,100,IF(R207&gt;=30,90,IF(R207&gt;=20,75,IF(R207&gt;=10,60,IF(R207&gt;=0,45,IF(R207&gt;=-10,30,15))))))),"")),"")</f>
        <v/>
      </c>
      <c r="T207" s="33" t="n">
        <v>4</v>
      </c>
      <c r="U207" s="33" t="n">
        <v>4</v>
      </c>
      <c r="V207" s="33" t="n">
        <v>4</v>
      </c>
      <c r="W207" s="33" t="n">
        <v>5</v>
      </c>
      <c r="X207" s="33" t="n">
        <v>4</v>
      </c>
      <c r="Y207" s="33">
        <f>IFERROR((AVERAGE(T207,U207,V207,W207,X207)-1)*25,"")</f>
        <v/>
      </c>
      <c r="Z207" s="33" t="n">
        <v>4</v>
      </c>
      <c r="AA207" s="33" t="n">
        <v>1</v>
      </c>
      <c r="AB207" s="33" t="n">
        <v>2</v>
      </c>
      <c r="AC207" s="33" t="n">
        <v>13.3</v>
      </c>
      <c r="AD207" s="33">
        <f>IFERROR(AVERAGE(IFERROR(IF(Z207="","",Z207*20),""),IFERROR(IF(AA207="","",AA207*20),""),IFERROR(IF(AB207="","",AB207*20),""),IFERROR(IF(AC207="","",IF(AC207&gt;=85,100,IF(AC207&gt;=70,90,IF(AC207&gt;=55,75,IF(AC207&gt;=40,60,IF(AC207&gt;=25,40,20)))))),"")),"")</f>
        <v/>
      </c>
      <c r="AE207" s="33" t="n">
        <v>2</v>
      </c>
      <c r="AF207" s="33" t="n">
        <v>5</v>
      </c>
      <c r="AG207" s="33" t="n">
        <v>5</v>
      </c>
      <c r="AH207" s="33" t="n">
        <v>4</v>
      </c>
      <c r="AI207" s="33">
        <f>IFERROR((AVERAGE(AE207,AF207,AG207,AH207,AL207)-1)*25,"")</f>
        <v/>
      </c>
      <c r="AJ207" s="33">
        <f>IFERROR(J207*Weights!$B$4 + O207*Weights!$B$5 + S207*Weights!$B$6 + Y207*Weights!$B$7 + AD207*Weights!$B$8 + AI207*Weights!$B$9,"")</f>
        <v/>
      </c>
      <c r="AK207" s="33">
        <f>IF(AJ207="","",IF(AJ207&gt;=85,"✓✓✓",IF(AJ207&gt;=70,"✓✓",IF(AJ207&gt;=55,"✓",IF(AJ207&gt;=40,"?","✗")))))</f>
        <v/>
      </c>
      <c r="AL207" s="33" t="n">
        <v>5</v>
      </c>
    </row>
    <row r="208">
      <c r="A208" s="33" t="inlineStr">
        <is>
          <t>AVAV</t>
        </is>
      </c>
      <c r="B208" s="33" t="inlineStr">
        <is>
          <t>AeroVironment, Inc.</t>
        </is>
      </c>
      <c r="C208" s="33" t="inlineStr">
        <is>
          <t>11 Robotics &amp; Physical AI / Autonomy platforms &amp; defense</t>
        </is>
      </c>
      <c r="D208" s="33" t="inlineStr">
        <is>
          <t>2026-10-11</t>
        </is>
      </c>
      <c r="E208" s="33" t="n">
        <v>33.80864016126505</v>
      </c>
      <c r="F208" s="33" t="n">
        <v>33.368</v>
      </c>
      <c r="G208" s="33" t="n">
        <v>-0.64</v>
      </c>
      <c r="H208" s="33" t="n">
        <v>3.4793875</v>
      </c>
      <c r="I208" s="33">
        <f>IF(OR(E208="",R208="",R208&lt;=0,E208&lt;0),"",E208/R208)</f>
        <v/>
      </c>
      <c r="J208" s="33" t="n">
        <v>36.2</v>
      </c>
      <c r="K208" s="33" t="n">
        <v>-0.18</v>
      </c>
      <c r="L208" s="33" t="n">
        <v>26.47</v>
      </c>
      <c r="M208" s="33" t="n">
        <v>-2.24</v>
      </c>
      <c r="N208" s="33" t="n">
        <v>1.24</v>
      </c>
      <c r="O208" s="33" t="n">
        <v>44.3</v>
      </c>
      <c r="P208" s="33" t="n">
        <v>54.07</v>
      </c>
      <c r="Q208" s="33" t="n">
        <v>5.7</v>
      </c>
      <c r="S208" s="33">
        <f>IFERROR(AVERAGE(IFERROR(IF(P208="","",IF(P208&gt;=40,100,IF(P208&gt;=30,90,IF(P208&gt;=20,75,IF(P208&gt;=15,60,IF(P208&gt;=10,45,IF(P208&gt;=5,30,15))))))),""),IFERROR(IF(Q208="","",IF(Q208&gt;=40,100,IF(Q208&gt;=30,90,IF(Q208&gt;=20,75,IF(Q208&gt;=10,60,IF(Q208&gt;=5,45,IF(Q208&gt;=0,30,15))))))),""),IFERROR(IF(R208="","",IF(R208&gt;=40,100,IF(R208&gt;=30,90,IF(R208&gt;=20,75,IF(R208&gt;=10,60,IF(R208&gt;=0,45,IF(R208&gt;=-10,30,15))))))),"")),"")</f>
        <v/>
      </c>
      <c r="T208" s="33" t="n">
        <v>5</v>
      </c>
      <c r="U208" s="33" t="n">
        <v>4</v>
      </c>
      <c r="V208" s="33" t="n">
        <v>4</v>
      </c>
      <c r="W208" s="33" t="n">
        <v>5</v>
      </c>
      <c r="X208" s="33" t="n">
        <v>4</v>
      </c>
      <c r="Y208" s="33">
        <f>IFERROR((AVERAGE(T208,U208,V208,W208,X208)-1)*25,"")</f>
        <v/>
      </c>
      <c r="Z208" s="33" t="n">
        <v>2</v>
      </c>
      <c r="AA208" s="33" t="n">
        <v>1</v>
      </c>
      <c r="AB208" s="33" t="n">
        <v>3</v>
      </c>
      <c r="AC208" s="33" t="n">
        <v>20</v>
      </c>
      <c r="AD208" s="33">
        <f>IFERROR(AVERAGE(IFERROR(IF(Z208="","",Z208*20),""),IFERROR(IF(AA208="","",AA208*20),""),IFERROR(IF(AB208="","",AB208*20),""),IFERROR(IF(AC208="","",IF(AC208&gt;=85,100,IF(AC208&gt;=70,90,IF(AC208&gt;=55,75,IF(AC208&gt;=40,60,IF(AC208&gt;=25,40,20)))))),"")),"")</f>
        <v/>
      </c>
      <c r="AE208" s="33" t="n">
        <v>1</v>
      </c>
      <c r="AF208" s="33" t="n">
        <v>4</v>
      </c>
      <c r="AG208" s="33" t="n">
        <v>4</v>
      </c>
      <c r="AH208" s="33" t="n">
        <v>2</v>
      </c>
      <c r="AI208" s="33">
        <f>IFERROR((AVERAGE(AE208,AF208,AG208,AH208,AL208)-1)*25,"")</f>
        <v/>
      </c>
      <c r="AJ208" s="33">
        <f>IFERROR(J208*Weights!$B$4 + O208*Weights!$B$5 + S208*Weights!$B$6 + Y208*Weights!$B$7 + AD208*Weights!$B$8 + AI208*Weights!$B$9,"")</f>
        <v/>
      </c>
      <c r="AK208" s="33">
        <f>IF(AJ208="","",IF(AJ208&gt;=85,"✓✓✓",IF(AJ208&gt;=70,"✓✓",IF(AJ208&gt;=55,"✓",IF(AJ208&gt;=40,"?","✗")))))</f>
        <v/>
      </c>
      <c r="AL208" s="33" t="n">
        <v>5</v>
      </c>
    </row>
    <row r="209">
      <c r="A209" s="33" t="inlineStr">
        <is>
          <t>RCAT</t>
        </is>
      </c>
      <c r="B209" s="33" t="inlineStr">
        <is>
          <t>Red Cat Holdings, Inc.</t>
        </is>
      </c>
      <c r="C209" s="33" t="inlineStr">
        <is>
          <t>11 Robotics &amp; Physical AI / Autonomy platforms &amp; defense</t>
        </is>
      </c>
      <c r="D209" s="33" t="inlineStr">
        <is>
          <t>2026-10-11</t>
        </is>
      </c>
      <c r="E209" s="33" t="n">
        <v>-10.396397</v>
      </c>
      <c r="F209" s="33" t="n">
        <v>-6.045</v>
      </c>
      <c r="G209" s="33" t="n">
        <v>-17.9</v>
      </c>
      <c r="H209" s="33" t="n">
        <v>12.31688</v>
      </c>
      <c r="I209" s="33">
        <f>IF(OR(E209="",R209="",R209&lt;=0,E209&lt;0),"",E209/R209)</f>
        <v/>
      </c>
      <c r="J209" s="33" t="n">
        <v>28.1</v>
      </c>
      <c r="K209" s="33" t="n">
        <v>-17.01</v>
      </c>
      <c r="L209" s="33" t="n">
        <v>9.75</v>
      </c>
      <c r="M209" s="33" t="n">
        <v>-220.44</v>
      </c>
      <c r="O209" s="33" t="n">
        <v>12.2</v>
      </c>
      <c r="P209" s="33" t="n">
        <v>85.04000000000001</v>
      </c>
      <c r="Q209" s="33" t="n">
        <v>527.2</v>
      </c>
      <c r="S209" s="33">
        <f>IFERROR(AVERAGE(IFERROR(IF(P209="","",IF(P209&gt;=40,100,IF(P209&gt;=30,90,IF(P209&gt;=20,75,IF(P209&gt;=15,60,IF(P209&gt;=10,45,IF(P209&gt;=5,30,15))))))),""),IFERROR(IF(Q209="","",IF(Q209&gt;=40,100,IF(Q209&gt;=30,90,IF(Q209&gt;=20,75,IF(Q209&gt;=10,60,IF(Q209&gt;=5,45,IF(Q209&gt;=0,30,15))))))),""),IFERROR(IF(R209="","",IF(R209&gt;=40,100,IF(R209&gt;=30,90,IF(R209&gt;=20,75,IF(R209&gt;=10,60,IF(R209&gt;=0,45,IF(R209&gt;=-10,30,15))))))),"")),"")</f>
        <v/>
      </c>
      <c r="T209" s="33" t="n">
        <v>5</v>
      </c>
      <c r="U209" s="33" t="n">
        <v>3</v>
      </c>
      <c r="V209" s="33" t="n">
        <v>3</v>
      </c>
      <c r="W209" s="33" t="n">
        <v>4</v>
      </c>
      <c r="X209" s="33" t="n">
        <v>5</v>
      </c>
      <c r="Y209" s="33">
        <f>IFERROR((AVERAGE(T209,U209,V209,W209,X209)-1)*25,"")</f>
        <v/>
      </c>
      <c r="Z209" s="33" t="n">
        <v>3</v>
      </c>
      <c r="AA209" s="33" t="n">
        <v>1</v>
      </c>
      <c r="AB209" s="33" t="n">
        <v>1</v>
      </c>
      <c r="AC209" s="33" t="n">
        <v>18.3</v>
      </c>
      <c r="AD209" s="33">
        <f>IFERROR(AVERAGE(IFERROR(IF(Z209="","",Z209*20),""),IFERROR(IF(AA209="","",AA209*20),""),IFERROR(IF(AB209="","",AB209*20),""),IFERROR(IF(AC209="","",IF(AC209&gt;=85,100,IF(AC209&gt;=70,90,IF(AC209&gt;=55,75,IF(AC209&gt;=40,60,IF(AC209&gt;=25,40,20)))))),"")),"")</f>
        <v/>
      </c>
      <c r="AE209" s="33" t="n">
        <v>1</v>
      </c>
      <c r="AF209" s="33" t="n">
        <v>5</v>
      </c>
      <c r="AG209" s="33" t="n">
        <v>2</v>
      </c>
      <c r="AH209" s="33" t="n">
        <v>2</v>
      </c>
      <c r="AI209" s="33">
        <f>IFERROR((AVERAGE(AE209,AF209,AG209,AH209,AL209)-1)*25,"")</f>
        <v/>
      </c>
      <c r="AJ209" s="33">
        <f>IFERROR(J209*Weights!$B$4 + O209*Weights!$B$5 + S209*Weights!$B$6 + Y209*Weights!$B$7 + AD209*Weights!$B$8 + AI209*Weights!$B$9,"")</f>
        <v/>
      </c>
      <c r="AK209" s="33">
        <f>IF(AJ209="","",IF(AJ209&gt;=85,"✓✓✓",IF(AJ209&gt;=70,"✓✓",IF(AJ209&gt;=55,"✓",IF(AJ209&gt;=40,"?","✗")))))</f>
        <v/>
      </c>
      <c r="AL209" s="33" t="n">
        <v>5</v>
      </c>
    </row>
    <row r="210">
      <c r="A210" s="33" t="inlineStr">
        <is>
          <t>ONDS</t>
        </is>
      </c>
      <c r="B210" s="33" t="inlineStr">
        <is>
          <t>Ondas Inc.</t>
        </is>
      </c>
      <c r="C210" s="33" t="inlineStr">
        <is>
          <t>11 Robotics &amp; Physical AI / Autonomy platforms &amp; defense</t>
        </is>
      </c>
      <c r="D210" s="33" t="inlineStr">
        <is>
          <t>2026-10-11</t>
        </is>
      </c>
      <c r="E210" s="33" t="n">
        <v>-336.5</v>
      </c>
      <c r="F210" s="33" t="n">
        <v>-15.31</v>
      </c>
      <c r="G210" s="33" t="n">
        <v>-4.39</v>
      </c>
      <c r="H210" s="33" t="n">
        <v>22.509073</v>
      </c>
      <c r="I210" s="33">
        <f>IF(OR(E210="",R210="",R210&lt;=0,E210&lt;0),"",E210/R210)</f>
        <v/>
      </c>
      <c r="J210" s="33" t="n">
        <v>33.8</v>
      </c>
      <c r="K210" s="33" t="n">
        <v>-7.96</v>
      </c>
      <c r="L210" s="33" t="n">
        <v>43.72</v>
      </c>
      <c r="M210" s="33" t="n">
        <v>-98.81</v>
      </c>
      <c r="O210" s="33" t="n">
        <v>39.1</v>
      </c>
      <c r="P210" s="33" t="n">
        <v>187.9</v>
      </c>
      <c r="Q210" s="33" t="n">
        <v>1235.4</v>
      </c>
      <c r="S210" s="33">
        <f>IFERROR(AVERAGE(IFERROR(IF(P210="","",IF(P210&gt;=40,100,IF(P210&gt;=30,90,IF(P210&gt;=20,75,IF(P210&gt;=15,60,IF(P210&gt;=10,45,IF(P210&gt;=5,30,15))))))),""),IFERROR(IF(Q210="","",IF(Q210&gt;=40,100,IF(Q210&gt;=30,90,IF(Q210&gt;=20,75,IF(Q210&gt;=10,60,IF(Q210&gt;=5,45,IF(Q210&gt;=0,30,15))))))),""),IFERROR(IF(R210="","",IF(R210&gt;=40,100,IF(R210&gt;=30,90,IF(R210&gt;=20,75,IF(R210&gt;=10,60,IF(R210&gt;=0,45,IF(R210&gt;=-10,30,15))))))),"")),"")</f>
        <v/>
      </c>
      <c r="T210" s="33" t="n">
        <v>5</v>
      </c>
      <c r="U210" s="33" t="n">
        <v>3</v>
      </c>
      <c r="V210" s="33" t="n">
        <v>2</v>
      </c>
      <c r="W210" s="33" t="n">
        <v>5</v>
      </c>
      <c r="X210" s="33" t="n">
        <v>3</v>
      </c>
      <c r="Y210" s="33">
        <f>IFERROR((AVERAGE(T210,U210,V210,W210,X210)-1)*25,"")</f>
        <v/>
      </c>
      <c r="Z210" s="33" t="n">
        <v>5</v>
      </c>
      <c r="AA210" s="33" t="n">
        <v>2</v>
      </c>
      <c r="AB210" s="33" t="n">
        <v>3</v>
      </c>
      <c r="AC210" s="33" t="n">
        <v>29.2</v>
      </c>
      <c r="AD210" s="33">
        <f>IFERROR(AVERAGE(IFERROR(IF(Z210="","",Z210*20),""),IFERROR(IF(AA210="","",AA210*20),""),IFERROR(IF(AB210="","",AB210*20),""),IFERROR(IF(AC210="","",IF(AC210&gt;=85,100,IF(AC210&gt;=70,90,IF(AC210&gt;=55,75,IF(AC210&gt;=40,60,IF(AC210&gt;=25,40,20)))))),"")),"")</f>
        <v/>
      </c>
      <c r="AE210" s="33" t="n">
        <v>3</v>
      </c>
      <c r="AF210" s="33" t="n">
        <v>4</v>
      </c>
      <c r="AG210" s="33" t="n">
        <v>2</v>
      </c>
      <c r="AH210" s="33" t="n">
        <v>4</v>
      </c>
      <c r="AI210" s="33">
        <f>IFERROR((AVERAGE(AE210,AF210,AG210,AH210,AL210)-1)*25,"")</f>
        <v/>
      </c>
      <c r="AJ210" s="33">
        <f>IFERROR(J210*Weights!$B$4 + O210*Weights!$B$5 + S210*Weights!$B$6 + Y210*Weights!$B$7 + AD210*Weights!$B$8 + AI210*Weights!$B$9,"")</f>
        <v/>
      </c>
      <c r="AK210" s="33">
        <f>IF(AJ210="","",IF(AJ210&gt;=85,"✓✓✓",IF(AJ210&gt;=70,"✓✓",IF(AJ210&gt;=55,"✓",IF(AJ210&gt;=40,"?","✗")))))</f>
        <v/>
      </c>
      <c r="AL210" s="33" t="n">
        <v>5</v>
      </c>
    </row>
    <row r="211">
      <c r="A211" s="33" t="inlineStr">
        <is>
          <t>UMAC</t>
        </is>
      </c>
      <c r="B211" s="33" t="inlineStr">
        <is>
          <t>Unusual Machines, Inc.</t>
        </is>
      </c>
      <c r="C211" s="33" t="inlineStr">
        <is>
          <t>11 Robotics &amp; Physical AI / Autonomy platforms &amp; defense</t>
        </is>
      </c>
      <c r="D211" s="33" t="inlineStr">
        <is>
          <t>2026-10-11</t>
        </is>
      </c>
      <c r="E211" s="33" t="n">
        <v>-64.42335</v>
      </c>
      <c r="F211" s="33" t="n">
        <v>-26.393</v>
      </c>
      <c r="G211" s="33" t="n">
        <v>-4.93</v>
      </c>
      <c r="H211" s="33" t="n">
        <v>32.670425</v>
      </c>
      <c r="I211" s="33">
        <f>IF(OR(E211="",R211="",R211&lt;=0,E211&lt;0),"",E211/R211)</f>
        <v/>
      </c>
      <c r="J211" s="33" t="n">
        <v>28.7</v>
      </c>
      <c r="K211" s="33" t="n">
        <v>-6.02</v>
      </c>
      <c r="L211" s="33" t="n">
        <v>34.76</v>
      </c>
      <c r="M211" s="33" t="n">
        <v>-160.98</v>
      </c>
      <c r="O211" s="33" t="n">
        <v>31.8</v>
      </c>
      <c r="Q211" s="33" t="n">
        <v>687.3</v>
      </c>
      <c r="S211" s="33">
        <f>IFERROR(AVERAGE(IFERROR(IF(P211="","",IF(P211&gt;=40,100,IF(P211&gt;=30,90,IF(P211&gt;=20,75,IF(P211&gt;=15,60,IF(P211&gt;=10,45,IF(P211&gt;=5,30,15))))))),""),IFERROR(IF(Q211="","",IF(Q211&gt;=40,100,IF(Q211&gt;=30,90,IF(Q211&gt;=20,75,IF(Q211&gt;=10,60,IF(Q211&gt;=5,45,IF(Q211&gt;=0,30,15))))))),""),IFERROR(IF(R211="","",IF(R211&gt;=40,100,IF(R211&gt;=30,90,IF(R211&gt;=20,75,IF(R211&gt;=10,60,IF(R211&gt;=0,45,IF(R211&gt;=-10,30,15))))))),"")),"")</f>
        <v/>
      </c>
      <c r="T211" s="33" t="n">
        <v>5</v>
      </c>
      <c r="U211" s="33" t="n">
        <v>4</v>
      </c>
      <c r="V211" s="33" t="n">
        <v>3</v>
      </c>
      <c r="W211" s="33" t="n">
        <v>5</v>
      </c>
      <c r="X211" s="33" t="n">
        <v>4</v>
      </c>
      <c r="Y211" s="33">
        <f>IFERROR((AVERAGE(T211,U211,V211,W211,X211)-1)*25,"")</f>
        <v/>
      </c>
      <c r="Z211" s="33" t="n">
        <v>4</v>
      </c>
      <c r="AA211" s="33" t="n">
        <v>5</v>
      </c>
      <c r="AB211" s="33" t="n">
        <v>1</v>
      </c>
      <c r="AC211" s="33" t="n">
        <v>58.3</v>
      </c>
      <c r="AD211" s="33">
        <f>IFERROR(AVERAGE(IFERROR(IF(Z211="","",Z211*20),""),IFERROR(IF(AA211="","",AA211*20),""),IFERROR(IF(AB211="","",AB211*20),""),IFERROR(IF(AC211="","",IF(AC211&gt;=85,100,IF(AC211&gt;=70,90,IF(AC211&gt;=55,75,IF(AC211&gt;=40,60,IF(AC211&gt;=25,40,20)))))),"")),"")</f>
        <v/>
      </c>
      <c r="AE211" s="33" t="n">
        <v>4</v>
      </c>
      <c r="AF211" s="33" t="n">
        <v>5</v>
      </c>
      <c r="AG211" s="33" t="n">
        <v>5</v>
      </c>
      <c r="AH211" s="33" t="n">
        <v>4</v>
      </c>
      <c r="AI211" s="33">
        <f>IFERROR((AVERAGE(AE211,AF211,AG211,AH211,AL211)-1)*25,"")</f>
        <v/>
      </c>
      <c r="AJ211" s="33">
        <f>IFERROR(J211*Weights!$B$4 + O211*Weights!$B$5 + S211*Weights!$B$6 + Y211*Weights!$B$7 + AD211*Weights!$B$8 + AI211*Weights!$B$9,"")</f>
        <v/>
      </c>
      <c r="AK211" s="33">
        <f>IF(AJ211="","",IF(AJ211&gt;=85,"✓✓✓",IF(AJ211&gt;=70,"✓✓",IF(AJ211&gt;=55,"✓",IF(AJ211&gt;=40,"?","✗")))))</f>
        <v/>
      </c>
      <c r="AL211" s="33" t="n">
        <v>5</v>
      </c>
    </row>
    <row r="212">
      <c r="A212" s="33" t="inlineStr">
        <is>
          <t>DRO.AX</t>
        </is>
      </c>
      <c r="B212" s="33" t="inlineStr">
        <is>
          <t>DroneShield Limited</t>
        </is>
      </c>
      <c r="C212" s="33" t="inlineStr">
        <is>
          <t>11 Robotics &amp; Physical AI / Autonomy platforms &amp; defense</t>
        </is>
      </c>
      <c r="D212" s="33" t="inlineStr">
        <is>
          <t>2026-10-11</t>
        </is>
      </c>
      <c r="E212" s="33" t="n">
        <v>391.25</v>
      </c>
      <c r="F212" s="33" t="n">
        <v>-46.738</v>
      </c>
      <c r="G212" s="33" t="n">
        <v>-1.14</v>
      </c>
      <c r="H212" s="33" t="n">
        <v>5.363186</v>
      </c>
      <c r="I212" s="33">
        <f>IF(OR(E212="",R212="",R212&lt;=0,E212&lt;0),"",E212/R212)</f>
        <v/>
      </c>
      <c r="J212" s="33" t="n">
        <v>32.4</v>
      </c>
      <c r="L212" s="33" t="n">
        <v>59.3</v>
      </c>
      <c r="M212" s="33" t="n">
        <v>-6.14</v>
      </c>
      <c r="N212" s="33" t="n"/>
      <c r="O212" s="33" t="n">
        <v>75.8</v>
      </c>
      <c r="P212" s="33" t="n">
        <v>134.44</v>
      </c>
      <c r="Q212" s="33" t="n">
        <v>73.3</v>
      </c>
      <c r="R212" s="33" t="n">
        <v>-59.9</v>
      </c>
      <c r="S212" s="33">
        <f>IFERROR(AVERAGE(IFERROR(IF(P212="","",IF(P212&gt;=40,100,IF(P212&gt;=30,90,IF(P212&gt;=20,75,IF(P212&gt;=15,60,IF(P212&gt;=10,45,IF(P212&gt;=5,30,15))))))),""),IFERROR(IF(Q212="","",IF(Q212&gt;=40,100,IF(Q212&gt;=30,90,IF(Q212&gt;=20,75,IF(Q212&gt;=10,60,IF(Q212&gt;=5,45,IF(Q212&gt;=0,30,15))))))),""),IFERROR(IF(R212="","",IF(R212&gt;=40,100,IF(R212&gt;=30,90,IF(R212&gt;=20,75,IF(R212&gt;=10,60,IF(R212&gt;=0,45,IF(R212&gt;=-10,30,15))))))),"")),"")</f>
        <v/>
      </c>
      <c r="T212" s="33" t="n">
        <v>5</v>
      </c>
      <c r="U212" s="33" t="n">
        <v>3</v>
      </c>
      <c r="V212" s="33" t="n">
        <v>3</v>
      </c>
      <c r="W212" s="33" t="n">
        <v>4</v>
      </c>
      <c r="X212" s="33" t="n">
        <v>3</v>
      </c>
      <c r="Y212" s="33">
        <f>IFERROR((AVERAGE(T212,U212,V212,W212,X212)-1)*25,"")</f>
        <v/>
      </c>
      <c r="Z212" s="33" t="n">
        <v>2</v>
      </c>
      <c r="AA212" s="33" t="n">
        <v>1</v>
      </c>
      <c r="AB212" s="33" t="n">
        <v>1</v>
      </c>
      <c r="AC212" s="33" t="n">
        <v>4.2</v>
      </c>
      <c r="AD212" s="33">
        <f>IFERROR(AVERAGE(IFERROR(IF(Z212="","",Z212*20),""),IFERROR(IF(AA212="","",AA212*20),""),IFERROR(IF(AB212="","",AB212*20),""),IFERROR(IF(AC212="","",IF(AC212&gt;=85,100,IF(AC212&gt;=70,90,IF(AC212&gt;=55,75,IF(AC212&gt;=40,60,IF(AC212&gt;=25,40,20)))))),"")),"")</f>
        <v/>
      </c>
      <c r="AE212" s="33" t="n">
        <v>3</v>
      </c>
      <c r="AF212" s="33" t="n">
        <v>4</v>
      </c>
      <c r="AG212" s="33" t="n">
        <v>4</v>
      </c>
      <c r="AH212" s="33" t="n">
        <v>2</v>
      </c>
      <c r="AI212" s="33">
        <f>IFERROR((AVERAGE(AE212,AF212,AG212,AH212,AL212)-1)*25,"")</f>
        <v/>
      </c>
      <c r="AJ212" s="33">
        <f>IFERROR(J212*Weights!$B$4 + O212*Weights!$B$5 + S212*Weights!$B$6 + Y212*Weights!$B$7 + AD212*Weights!$B$8 + AI212*Weights!$B$9,"")</f>
        <v/>
      </c>
      <c r="AK212" s="33">
        <f>IF(AJ212="","",IF(AJ212&gt;=85,"✓✓✓",IF(AJ212&gt;=70,"✓✓",IF(AJ212&gt;=55,"✓",IF(AJ212&gt;=40,"?","✗")))))</f>
        <v/>
      </c>
      <c r="AL212" s="33" t="n">
        <v>5</v>
      </c>
    </row>
    <row r="213">
      <c r="A213" s="33" t="inlineStr">
        <is>
          <t>PDYN</t>
        </is>
      </c>
      <c r="B213" s="33" t="inlineStr">
        <is>
          <t>Palladyne AI Corp.</t>
        </is>
      </c>
      <c r="C213" s="33" t="inlineStr">
        <is>
          <t>11 Robotics &amp; Physical AI / Autonomy platforms &amp; defense</t>
        </is>
      </c>
      <c r="D213" s="33" t="inlineStr">
        <is>
          <t>2026-10-11</t>
        </is>
      </c>
      <c r="E213" s="33" t="n">
        <v>-6.9041095</v>
      </c>
      <c r="F213" s="33" t="n">
        <v>-5.516</v>
      </c>
      <c r="G213" s="33" t="n">
        <v>-14.76</v>
      </c>
      <c r="H213" s="33" t="n">
        <v>20.998657</v>
      </c>
      <c r="I213" s="33">
        <f>IF(OR(E213="",R213="",R213&lt;=0,E213&lt;0),"",E213/R213)</f>
        <v/>
      </c>
      <c r="J213" s="33" t="n">
        <v>23.8</v>
      </c>
      <c r="K213" s="33" t="n">
        <v>-39.17</v>
      </c>
      <c r="L213" s="33" t="n">
        <v>28.75</v>
      </c>
      <c r="M213" s="33" t="n">
        <v>-309.96</v>
      </c>
      <c r="O213" s="33" t="n">
        <v>17.7</v>
      </c>
      <c r="P213" s="33" t="n">
        <v>-28.86</v>
      </c>
      <c r="Q213" s="33" t="n">
        <v>469.8</v>
      </c>
      <c r="S213" s="33">
        <f>IFERROR(AVERAGE(IFERROR(IF(P213="","",IF(P213&gt;=40,100,IF(P213&gt;=30,90,IF(P213&gt;=20,75,IF(P213&gt;=15,60,IF(P213&gt;=10,45,IF(P213&gt;=5,30,15))))))),""),IFERROR(IF(Q213="","",IF(Q213&gt;=40,100,IF(Q213&gt;=30,90,IF(Q213&gt;=20,75,IF(Q213&gt;=10,60,IF(Q213&gt;=5,45,IF(Q213&gt;=0,30,15))))))),""),IFERROR(IF(R213="","",IF(R213&gt;=40,100,IF(R213&gt;=30,90,IF(R213&gt;=20,75,IF(R213&gt;=10,60,IF(R213&gt;=0,45,IF(R213&gt;=-10,30,15))))))),"")),"")</f>
        <v/>
      </c>
      <c r="T213" s="33" t="n">
        <v>4</v>
      </c>
      <c r="U213" s="33" t="n">
        <v>2</v>
      </c>
      <c r="V213" s="33" t="n">
        <v>2</v>
      </c>
      <c r="W213" s="33" t="n">
        <v>4</v>
      </c>
      <c r="X213" s="33" t="n">
        <v>4</v>
      </c>
      <c r="Y213" s="33">
        <f>IFERROR((AVERAGE(T213,U213,V213,W213,X213)-1)*25,"")</f>
        <v/>
      </c>
      <c r="Z213" s="33" t="n">
        <v>3</v>
      </c>
      <c r="AA213" s="33" t="n">
        <v>1</v>
      </c>
      <c r="AB213" s="33" t="n">
        <v>5</v>
      </c>
      <c r="AC213" s="33" t="n">
        <v>35</v>
      </c>
      <c r="AD213" s="33">
        <f>IFERROR(AVERAGE(IFERROR(IF(Z213="","",Z213*20),""),IFERROR(IF(AA213="","",AA213*20),""),IFERROR(IF(AB213="","",AB213*20),""),IFERROR(IF(AC213="","",IF(AC213&gt;=85,100,IF(AC213&gt;=70,90,IF(AC213&gt;=55,75,IF(AC213&gt;=40,60,IF(AC213&gt;=25,40,20)))))),"")),"")</f>
        <v/>
      </c>
      <c r="AE213" s="33" t="n">
        <v>2</v>
      </c>
      <c r="AF213" s="33" t="n">
        <v>5</v>
      </c>
      <c r="AG213" s="33" t="n">
        <v>3</v>
      </c>
      <c r="AH213" s="33" t="n">
        <v>4</v>
      </c>
      <c r="AI213" s="33">
        <f>IFERROR((AVERAGE(AE213,AF213,AG213,AH213,AL213)-1)*25,"")</f>
        <v/>
      </c>
      <c r="AJ213" s="33">
        <f>IFERROR(J213*Weights!$B$4 + O213*Weights!$B$5 + S213*Weights!$B$6 + Y213*Weights!$B$7 + AD213*Weights!$B$8 + AI213*Weights!$B$9,"")</f>
        <v/>
      </c>
      <c r="AK213" s="33">
        <f>IF(AJ213="","",IF(AJ213&gt;=85,"✓✓✓",IF(AJ213&gt;=70,"✓✓",IF(AJ213&gt;=55,"✓",IF(AJ213&gt;=40,"?","✗")))))</f>
        <v/>
      </c>
      <c r="AL213" s="33" t="n">
        <v>5</v>
      </c>
    </row>
    <row r="214">
      <c r="A214" s="33" t="inlineStr">
        <is>
          <t>ALGM</t>
        </is>
      </c>
      <c r="B214" s="33" t="inlineStr">
        <is>
          <t>Allegro MicroSystems, Inc.</t>
        </is>
      </c>
      <c r="C214" s="33" t="inlineStr">
        <is>
          <t>06 AI Compute Silicon / Magnetic &amp; position sensing (robotics)</t>
        </is>
      </c>
      <c r="D214" s="33" t="inlineStr">
        <is>
          <t>2026-10-11</t>
        </is>
      </c>
      <c r="E214" s="33" t="n">
        <v>25.95218360984106</v>
      </c>
      <c r="F214" s="33" t="n">
        <v>52.241</v>
      </c>
      <c r="G214" s="33" t="n">
        <v>1.32</v>
      </c>
      <c r="H214" s="33" t="n">
        <v>7.0092845</v>
      </c>
      <c r="I214" s="33">
        <f>IF(OR(E214="",R214="",R214&lt;=0,E214&lt;0),"",E214/R214)</f>
        <v/>
      </c>
      <c r="J214" s="33" t="n">
        <v>37</v>
      </c>
      <c r="K214" s="33" t="n">
        <v>4.18</v>
      </c>
      <c r="L214" s="33" t="n">
        <v>47.38</v>
      </c>
      <c r="M214" s="33" t="n">
        <v>9.289999999999999</v>
      </c>
      <c r="N214" s="33" t="n">
        <v>1.05</v>
      </c>
      <c r="O214" s="33" t="n">
        <v>34.3</v>
      </c>
      <c r="P214" s="33" t="n">
        <v>-2.95</v>
      </c>
      <c r="Q214" s="33" t="n">
        <v>27.5</v>
      </c>
      <c r="S214" s="33">
        <f>IFERROR(AVERAGE(IFERROR(IF(P214="","",IF(P214&gt;=40,100,IF(P214&gt;=30,90,IF(P214&gt;=20,75,IF(P214&gt;=15,60,IF(P214&gt;=10,45,IF(P214&gt;=5,30,15))))))),""),IFERROR(IF(Q214="","",IF(Q214&gt;=40,100,IF(Q214&gt;=30,90,IF(Q214&gt;=20,75,IF(Q214&gt;=10,60,IF(Q214&gt;=5,45,IF(Q214&gt;=0,30,15))))))),""),IFERROR(IF(R214="","",IF(R214&gt;=40,100,IF(R214&gt;=30,90,IF(R214&gt;=20,75,IF(R214&gt;=10,60,IF(R214&gt;=0,45,IF(R214&gt;=-10,30,15))))))),"")),"")</f>
        <v/>
      </c>
      <c r="T214" s="33" t="n">
        <v>3</v>
      </c>
      <c r="U214" s="33" t="n">
        <v>4</v>
      </c>
      <c r="V214" s="33" t="n">
        <v>4</v>
      </c>
      <c r="W214" s="33" t="n">
        <v>3</v>
      </c>
      <c r="X214" s="33" t="n">
        <v>3</v>
      </c>
      <c r="Y214" s="33">
        <f>IFERROR((AVERAGE(T214,U214,V214,W214,X214)-1)*25,"")</f>
        <v/>
      </c>
      <c r="Z214" s="33" t="n">
        <v>4</v>
      </c>
      <c r="AA214" s="33" t="n">
        <v>1</v>
      </c>
      <c r="AB214" s="33" t="n">
        <v>2</v>
      </c>
      <c r="AC214" s="33" t="n">
        <v>50</v>
      </c>
      <c r="AD214" s="33">
        <f>IFERROR(AVERAGE(IFERROR(IF(Z214="","",Z214*20),""),IFERROR(IF(AA214="","",AA214*20),""),IFERROR(IF(AB214="","",AB214*20),""),IFERROR(IF(AC214="","",IF(AC214&gt;=85,100,IF(AC214&gt;=70,90,IF(AC214&gt;=55,75,IF(AC214&gt;=40,60,IF(AC214&gt;=25,40,20)))))),"")),"")</f>
        <v/>
      </c>
      <c r="AE214" s="33" t="n">
        <v>5</v>
      </c>
      <c r="AF214" s="33" t="n">
        <v>3</v>
      </c>
      <c r="AG214" s="33" t="n">
        <v>4</v>
      </c>
      <c r="AH214" s="33" t="n">
        <v>4</v>
      </c>
      <c r="AI214" s="33">
        <f>IFERROR((AVERAGE(AE214,AF214,AG214,AH214,AL214)-1)*25,"")</f>
        <v/>
      </c>
      <c r="AJ214" s="33">
        <f>IFERROR(J214*Weights!$B$4 + O214*Weights!$B$5 + S214*Weights!$B$6 + Y214*Weights!$B$7 + AD214*Weights!$B$8 + AI214*Weights!$B$9,"")</f>
        <v/>
      </c>
      <c r="AK214" s="33">
        <f>IF(AJ214="","",IF(AJ214&gt;=85,"✓✓✓",IF(AJ214&gt;=70,"✓✓",IF(AJ214&gt;=55,"✓",IF(AJ214&gt;=40,"?","✗")))))</f>
        <v/>
      </c>
      <c r="AL214" s="33" t="n">
        <v>5</v>
      </c>
    </row>
    <row r="215">
      <c r="A215" s="33" t="inlineStr">
        <is>
          <t>MELE.BR</t>
        </is>
      </c>
      <c r="B215" s="33" t="inlineStr">
        <is>
          <t>Melexis NV</t>
        </is>
      </c>
      <c r="C215" s="33" t="inlineStr">
        <is>
          <t>06 AI Compute Silicon / Magnetic &amp; position sensing (robotics)</t>
        </is>
      </c>
      <c r="D215" s="33" t="inlineStr">
        <is>
          <t>2026-10-11</t>
        </is>
      </c>
      <c r="E215" s="33" t="n">
        <v>16.780619</v>
      </c>
      <c r="F215" s="33" t="n">
        <v>15.321</v>
      </c>
      <c r="G215" s="33" t="n">
        <v>6.88</v>
      </c>
      <c r="H215" s="33" t="n">
        <v>2.9941127</v>
      </c>
      <c r="I215" s="33">
        <f>IF(OR(E215="",R215="",R215&lt;=0,E215&lt;0),"",E215/R215)</f>
        <v/>
      </c>
      <c r="J215" s="33" t="n">
        <v>74.5</v>
      </c>
      <c r="L215" s="33" t="n">
        <v>39.38</v>
      </c>
      <c r="M215" s="33" t="n">
        <v>20.6</v>
      </c>
      <c r="N215" s="33" t="n">
        <v>1.38</v>
      </c>
      <c r="O215" s="33" t="n">
        <v>40.2</v>
      </c>
      <c r="P215" s="33" t="n">
        <v>0.14</v>
      </c>
      <c r="Q215" s="33" t="n">
        <v>2.6</v>
      </c>
      <c r="R215" s="33" t="n">
        <v>-18.6</v>
      </c>
      <c r="S215" s="33">
        <f>IFERROR(AVERAGE(IFERROR(IF(P215="","",IF(P215&gt;=40,100,IF(P215&gt;=30,90,IF(P215&gt;=20,75,IF(P215&gt;=15,60,IF(P215&gt;=10,45,IF(P215&gt;=5,30,15))))))),""),IFERROR(IF(Q215="","",IF(Q215&gt;=40,100,IF(Q215&gt;=30,90,IF(Q215&gt;=20,75,IF(Q215&gt;=10,60,IF(Q215&gt;=5,45,IF(Q215&gt;=0,30,15))))))),""),IFERROR(IF(R215="","",IF(R215&gt;=40,100,IF(R215&gt;=30,90,IF(R215&gt;=20,75,IF(R215&gt;=10,60,IF(R215&gt;=0,45,IF(R215&gt;=-10,30,15))))))),"")),"")</f>
        <v/>
      </c>
      <c r="T215" s="33" t="n">
        <v>1</v>
      </c>
      <c r="U215" s="33" t="n">
        <v>4</v>
      </c>
      <c r="V215" s="33" t="n">
        <v>4</v>
      </c>
      <c r="W215" s="33" t="n">
        <v>3</v>
      </c>
      <c r="X215" s="33" t="n">
        <v>2</v>
      </c>
      <c r="Y215" s="33">
        <f>IFERROR((AVERAGE(T215,U215,V215,W215,X215)-1)*25,"")</f>
        <v/>
      </c>
      <c r="Z215" s="33" t="n">
        <v>3</v>
      </c>
      <c r="AA215" s="33" t="n">
        <v>1</v>
      </c>
      <c r="AB215" s="33" t="n">
        <v>3</v>
      </c>
      <c r="AC215" s="33" t="n">
        <v>46.7</v>
      </c>
      <c r="AD215" s="33">
        <f>IFERROR(AVERAGE(IFERROR(IF(Z215="","",Z215*20),""),IFERROR(IF(AA215="","",AA215*20),""),IFERROR(IF(AB215="","",AB215*20),""),IFERROR(IF(AC215="","",IF(AC215&gt;=85,100,IF(AC215&gt;=70,90,IF(AC215&gt;=55,75,IF(AC215&gt;=40,60,IF(AC215&gt;=25,40,20)))))),"")),"")</f>
        <v/>
      </c>
      <c r="AE215" s="33" t="n">
        <v>4</v>
      </c>
      <c r="AF215" s="33" t="n">
        <v>3</v>
      </c>
      <c r="AG215" s="33" t="n">
        <v>5</v>
      </c>
      <c r="AH215" s="33" t="n">
        <v>4</v>
      </c>
      <c r="AI215" s="33">
        <f>IFERROR((AVERAGE(AE215,AF215,AG215,AH215,AL215)-1)*25,"")</f>
        <v/>
      </c>
      <c r="AJ215" s="33">
        <f>IFERROR(J215*Weights!$B$4 + O215*Weights!$B$5 + S215*Weights!$B$6 + Y215*Weights!$B$7 + AD215*Weights!$B$8 + AI215*Weights!$B$9,"")</f>
        <v/>
      </c>
      <c r="AK215" s="33">
        <f>IF(AJ215="","",IF(AJ215&gt;=85,"✓✓✓",IF(AJ215&gt;=70,"✓✓",IF(AJ215&gt;=55,"✓",IF(AJ215&gt;=40,"?","✗")))))</f>
        <v/>
      </c>
      <c r="AL215" s="33" t="n">
        <v>5</v>
      </c>
    </row>
  </sheetData>
  <conditionalFormatting sqref="AH2:AH36">
    <cfRule type="colorScale" priority="2">
      <colorScale>
        <cfvo type="num" val="30"/>
        <cfvo type="num" val="60"/>
        <cfvo type="num" val="85"/>
        <color rgb="FFF8696B"/>
        <color rgb="FFFFEB84"/>
        <color rgb="FF63BE7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95"/>
  <sheetViews>
    <sheetView workbookViewId="0">
      <selection activeCell="A1" sqref="A1"/>
    </sheetView>
  </sheetViews>
  <sheetFormatPr baseColWidth="8" defaultRowHeight="15"/>
  <cols>
    <col width="12" customWidth="1" style="34" min="1" max="1"/>
    <col width="8" customWidth="1" style="34" min="2" max="2"/>
    <col width="5" customWidth="1" style="34" min="3" max="3"/>
    <col width="8" customWidth="1" style="34" min="4" max="4"/>
    <col width="80" customWidth="1" style="34" min="5" max="5"/>
    <col width="60" customWidth="1" style="34" min="6" max="6"/>
    <col width="12" customWidth="1" style="34" min="7" max="7"/>
    <col width="10" customWidth="1" style="34" min="8" max="8"/>
  </cols>
  <sheetData>
    <row r="1">
      <c r="A1" s="67" t="inlineStr">
        <is>
          <t>Date</t>
        </is>
      </c>
      <c r="B1" s="67" t="inlineStr">
        <is>
          <t>Ticker</t>
        </is>
      </c>
      <c r="C1" s="67" t="inlineStr">
        <is>
          <t>Dimension</t>
        </is>
      </c>
      <c r="D1" s="67" t="inlineStr">
        <is>
          <t>Rating</t>
        </is>
      </c>
      <c r="E1" s="67" t="inlineStr">
        <is>
          <t>Rationale</t>
        </is>
      </c>
      <c r="F1" s="67" t="inlineStr">
        <is>
          <t>Source</t>
        </is>
      </c>
      <c r="G1" s="67" t="inlineStr">
        <is>
          <t>Confidence</t>
        </is>
      </c>
      <c r="H1" s="67" t="inlineStr">
        <is>
          <t>Type</t>
        </is>
      </c>
    </row>
    <row r="2">
      <c r="A2" s="33" t="inlineStr">
        <is>
          <t>2026-05-17</t>
        </is>
      </c>
      <c r="B2" s="33" t="inlineStr">
        <is>
          <t>CEG</t>
        </is>
      </c>
      <c r="C2" s="33" t="inlineStr">
        <is>
          <t>D1</t>
        </is>
      </c>
      <c r="D2" s="33" t="n">
        <v>2</v>
      </c>
      <c r="E2" s="68" t="inlineStr">
        <is>
          <t>Current realized AI revenue ~5-10% of $30B TTM; MSFT TMI 20yr PPA is forward (restart 2028), not yet earnings. D4 carries the buildout side per D1/D4 split.</t>
        </is>
      </c>
      <c r="F2" s="68" t="inlineStr">
        <is>
          <t>yfinance info.totalRevenue; MSFT TMI press release 2024-09-20; CEG FY2025 10-K MD&amp;A (to verify segment)</t>
        </is>
      </c>
      <c r="G2" s="33" t="inlineStr">
        <is>
          <t>Medium</t>
        </is>
      </c>
      <c r="H2" s="33" t="inlineStr">
        <is>
          <t>Initial</t>
        </is>
      </c>
    </row>
    <row r="3">
      <c r="A3" s="33" t="inlineStr">
        <is>
          <t>2026-05-17</t>
        </is>
      </c>
      <c r="B3" s="33" t="inlineStr">
        <is>
          <t>CEG</t>
        </is>
      </c>
      <c r="C3" s="33" t="inlineStr">
        <is>
          <t>D2</t>
        </is>
      </c>
      <c r="D3" s="33" t="n">
        <v>5</v>
      </c>
      <c r="E3" s="68" t="inlineStr">
        <is>
          <t>Operating nuclear baseload is structurally bottlenecked — ~94 US reactors total, CEG owns 22 GW (largest fleet); restart candidates limited; hyperscaler PPAs at premium vs merchant clearing prices demonstrate pricing power.</t>
        </is>
      </c>
      <c r="F3" s="68" t="inlineStr">
        <is>
          <t>Industry data; CEG FY2024 10-K Items 1-2; MSFT TMI PPA reportedly $100+/MWh vs PJM RT ~$30-50</t>
        </is>
      </c>
      <c r="G3" s="33" t="inlineStr">
        <is>
          <t>High</t>
        </is>
      </c>
      <c r="H3" s="33" t="inlineStr">
        <is>
          <t>Initial</t>
        </is>
      </c>
    </row>
    <row r="4">
      <c r="A4" s="33" t="inlineStr">
        <is>
          <t>2026-05-17</t>
        </is>
      </c>
      <c r="B4" s="33" t="inlineStr">
        <is>
          <t>CEG</t>
        </is>
      </c>
      <c r="C4" s="33" t="inlineStr">
        <is>
          <t>D3</t>
        </is>
      </c>
      <c r="D4" s="33" t="n">
        <v>4</v>
      </c>
      <c r="E4" s="68" t="inlineStr">
        <is>
          <t>Multi-source moat: NRC operating licenses (regulatory), scale advantage on fixed O&amp;M across 22 GW, long-dated PPA switching costs. Not 5 because gas portion (Calpine, post-2025) is unmoated commodity. Halo-check passed.</t>
        </is>
      </c>
      <c r="F4" s="68" t="inlineStr">
        <is>
          <t>10-K Item 1 fleet description; rubric anchors (ASML/TSMC = true 5)</t>
        </is>
      </c>
      <c r="G4" s="33" t="inlineStr">
        <is>
          <t>High</t>
        </is>
      </c>
      <c r="H4" s="33" t="inlineStr">
        <is>
          <t>Initial</t>
        </is>
      </c>
    </row>
    <row r="5">
      <c r="A5" s="33" t="inlineStr">
        <is>
          <t>2026-05-17</t>
        </is>
      </c>
      <c r="B5" s="33" t="inlineStr">
        <is>
          <t>CEG</t>
        </is>
      </c>
      <c r="C5" s="33" t="inlineStr">
        <is>
          <t>D4</t>
        </is>
      </c>
      <c r="D5" s="33" t="n">
        <v>5</v>
      </c>
      <c r="E5" s="68" t="inlineStr">
        <is>
          <t>TMI restart capex funded and active; multiple nuclear uprates in progress; Calpine integration completed Jan 2025. Customer commitments (MSFT PPA) backing the spend. Negative FCF reflects buildout pace.</t>
        </is>
      </c>
      <c r="F5" s="68" t="inlineStr">
        <is>
          <t>TMI deal disclosures; CEG capex guidance in 2025 earnings releases; Calpine close announcement 2025-01</t>
        </is>
      </c>
      <c r="G5" s="33" t="inlineStr">
        <is>
          <t>High</t>
        </is>
      </c>
      <c r="H5" s="33" t="inlineStr">
        <is>
          <t>Initial</t>
        </is>
      </c>
    </row>
    <row r="6">
      <c r="A6" s="33" t="inlineStr">
        <is>
          <t>2026-05-17</t>
        </is>
      </c>
      <c r="B6" s="33" t="inlineStr">
        <is>
          <t>CEG</t>
        </is>
      </c>
      <c r="C6" s="33" t="inlineStr">
        <is>
          <t>D5</t>
        </is>
      </c>
      <c r="D6" s="33" t="n">
        <v>4</v>
      </c>
      <c r="E6" s="68" t="inlineStr">
        <is>
          <t>MSFT anchor customer for TMI on 20yr PPA; public reporting indicates additional hyperscaler discussions. Realized hyperscaler revenue today modest (~5-15%); contracted forward exposure substantial.</t>
        </is>
      </c>
      <c r="F6" s="68" t="inlineStr">
        <is>
          <t>TMI deal disclosures; CEG FY2024 10-K (no explicit hyperscaler segment break — verify in FY2025)</t>
        </is>
      </c>
      <c r="G6" s="33" t="inlineStr">
        <is>
          <t>Medium</t>
        </is>
      </c>
      <c r="H6" s="33" t="inlineStr">
        <is>
          <t>Initial</t>
        </is>
      </c>
    </row>
    <row r="7">
      <c r="A7" s="33" t="inlineStr">
        <is>
          <t>2026-05-17</t>
        </is>
      </c>
      <c r="B7" s="33" t="inlineStr">
        <is>
          <t>CEG</t>
        </is>
      </c>
      <c r="C7" s="33" t="inlineStr">
        <is>
          <t>M1</t>
        </is>
      </c>
      <c r="D7" s="33" t="n">
        <v>3</v>
      </c>
      <c r="E7" s="68" t="inlineStr">
        <is>
          <t>Mixed revisions: near-term Q EPS estimate cut ~9% over 90d ($2.84→$2.585); FY estimates stable to slightly up; 7-day count 1 up vs 3 down. Net = neutral.</t>
        </is>
      </c>
      <c r="F7" s="68" t="inlineStr">
        <is>
          <t>yfinance Ticker.eps_trend, eps_revisions (pulled 2026-05-17)</t>
        </is>
      </c>
      <c r="G7" s="33" t="inlineStr">
        <is>
          <t>High</t>
        </is>
      </c>
      <c r="H7" s="33" t="inlineStr">
        <is>
          <t>Initial</t>
        </is>
      </c>
    </row>
    <row r="8">
      <c r="A8" s="33" t="inlineStr">
        <is>
          <t>2026-05-17</t>
        </is>
      </c>
      <c r="B8" s="33" t="inlineStr">
        <is>
          <t>CEG</t>
        </is>
      </c>
      <c r="C8" s="33" t="inlineStr">
        <is>
          <t>M2</t>
        </is>
      </c>
      <c r="D8" s="33" t="n">
        <v>2</v>
      </c>
      <c r="E8" s="68" t="inlineStr">
        <is>
          <t>Sector underperformance: −20.3pp vs XLU over 6mo (CEG −20.9%, XLU −0.6%); −33.6% drawdown from 52w high $402.32 (2025-10-15) to $267.20 (2026-05-15); −13.1pp lag vs XLU over 2yr.</t>
        </is>
      </c>
      <c r="F8" s="68" t="inlineStr">
        <is>
          <t>yfinance auto-adjusted close prices CEG vs XLU (pulled 2026-05-17)</t>
        </is>
      </c>
      <c r="G8" s="33" t="inlineStr">
        <is>
          <t>High</t>
        </is>
      </c>
      <c r="H8" s="33" t="inlineStr">
        <is>
          <t>Initial</t>
        </is>
      </c>
    </row>
    <row r="9">
      <c r="A9" s="33" t="inlineStr">
        <is>
          <t>2026-05-17</t>
        </is>
      </c>
      <c r="B9" s="33" t="inlineStr">
        <is>
          <t>CEG</t>
        </is>
      </c>
      <c r="C9" s="33" t="inlineStr">
        <is>
          <t>M3</t>
        </is>
      </c>
      <c r="D9" s="33" t="n">
        <v>2</v>
      </c>
      <c r="E9" s="68" t="inlineStr">
        <is>
          <t>34 Form 4 filings past 12mo, pattern consistent with 10b5-1 + RSU withholding (quarterly clusters, multi-filer dates). ZERO open-market discretionary buys through 33.6% drawdown. Rubric: absence of buying during major drawdown is the diagnostic signal.</t>
        </is>
      </c>
      <c r="F9" s="68" t="inlineStr">
        <is>
          <t>SEC EDGAR Form 4 filings for CIK 0001868275, 2025-05 through 2026-04 (filings saved to per-stock/CEG/filings/; parser script has known bug for HTML-wrapped XML, pattern verified manually)</t>
        </is>
      </c>
      <c r="G9" s="33" t="inlineStr">
        <is>
          <t>Medium</t>
        </is>
      </c>
      <c r="H9" s="33" t="inlineStr">
        <is>
          <t>Initial</t>
        </is>
      </c>
    </row>
    <row r="10">
      <c r="A10" s="33" t="inlineStr">
        <is>
          <t>2026-05-17</t>
        </is>
      </c>
      <c r="B10" s="33" t="inlineStr">
        <is>
          <t>CEG</t>
        </is>
      </c>
      <c r="C10" s="33" t="inlineStr">
        <is>
          <t>R1</t>
        </is>
      </c>
      <c r="D10" s="33" t="n">
        <v>4</v>
      </c>
      <c r="E10" s="68" t="inlineStr">
        <is>
          <t>No customer &gt;15% of revenue today — IPP sells predominantly into wholesale markets and via PPAs. MSFT becomes ~5% when TMI online 2028 — trajectory item; rating may shift toward 3 in future quarters.</t>
        </is>
      </c>
      <c r="F10" s="68" t="inlineStr">
        <is>
          <t>CEG FY2024 10-K customer disclosures; TMI deal economics</t>
        </is>
      </c>
      <c r="G10" s="33" t="inlineStr">
        <is>
          <t>Medium</t>
        </is>
      </c>
      <c r="H10" s="33" t="inlineStr">
        <is>
          <t>Initial</t>
        </is>
      </c>
    </row>
    <row r="11">
      <c r="A11" s="33" t="inlineStr">
        <is>
          <t>2026-05-17</t>
        </is>
      </c>
      <c r="B11" s="33" t="inlineStr">
        <is>
          <t>CEG</t>
        </is>
      </c>
      <c r="C11" s="33" t="inlineStr">
        <is>
          <t>R2</t>
        </is>
      </c>
      <c r="D11" s="33" t="n">
        <v>5</v>
      </c>
      <c r="E11" s="68" t="inlineStr">
        <is>
          <t>100% US operations, no China revenue, no export-controlled technology, no BIS exposure.</t>
        </is>
      </c>
      <c r="F11" s="68" t="inlineStr">
        <is>
          <t>10-K Item 1 geographic segment disclosure</t>
        </is>
      </c>
      <c r="G11" s="33" t="inlineStr">
        <is>
          <t>High</t>
        </is>
      </c>
      <c r="H11" s="33" t="inlineStr">
        <is>
          <t>Initial</t>
        </is>
      </c>
    </row>
    <row r="12">
      <c r="A12" s="33" t="inlineStr">
        <is>
          <t>2026-05-17</t>
        </is>
      </c>
      <c r="B12" s="33" t="inlineStr">
        <is>
          <t>CEG</t>
        </is>
      </c>
      <c r="C12" s="33" t="inlineStr">
        <is>
          <t>R3</t>
        </is>
      </c>
      <c r="D12" s="33" t="n">
        <v>3</v>
      </c>
      <c r="E12" s="68" t="inlineStr">
        <is>
          <t>ND/EBITDA 2.71x (info.totalDebt-based, includes operating leases); 0.67x using balance_sheet Total Debt. FCF −$4.5B (capex-driven, not distress). Quick ratio 0.48 (tight short-term). IG-rated. Holistic = sector-average.</t>
        </is>
      </c>
      <c r="F12" s="68" t="inlineStr">
        <is>
          <t>yfinance info + balance_sheet (pulled 2026-05-17); Moody's/S&amp;P public ratings</t>
        </is>
      </c>
      <c r="G12" s="33" t="inlineStr">
        <is>
          <t>High</t>
        </is>
      </c>
      <c r="H12" s="33" t="inlineStr">
        <is>
          <t>Initial</t>
        </is>
      </c>
    </row>
    <row r="13">
      <c r="A13" s="33" t="inlineStr">
        <is>
          <t>2026-05-17</t>
        </is>
      </c>
      <c r="B13" s="33" t="inlineStr">
        <is>
          <t>CEG</t>
        </is>
      </c>
      <c r="C13" s="33" t="inlineStr">
        <is>
          <t>R4</t>
        </is>
      </c>
      <c r="D13" s="33" t="n">
        <v>4</v>
      </c>
      <c r="E13" s="68" t="inlineStr">
        <is>
          <t>No material company-specific litigation disclosed. NRC oversight is structural, not 'pending matters' per rubric. FERC co-location overhang (Nov-2024 AWS/Talen ISA rejection) is industry-policy thesis risk, captured in thesis.md §9, not R4.</t>
        </is>
      </c>
      <c r="F13" s="68" t="inlineStr">
        <is>
          <t>10-K Item 3 Legal Proceedings; FERC Docket No. ER24-2172 ruling</t>
        </is>
      </c>
      <c r="G13" s="33" t="inlineStr">
        <is>
          <t>Medium</t>
        </is>
      </c>
      <c r="H13" s="33" t="inlineStr">
        <is>
          <t>Initial</t>
        </is>
      </c>
    </row>
    <row r="14">
      <c r="A14" s="33" t="inlineStr">
        <is>
          <t>2026-05-17</t>
        </is>
      </c>
      <c r="B14" s="33" t="inlineStr">
        <is>
          <t>CEG</t>
        </is>
      </c>
      <c r="C14" s="33" t="inlineStr">
        <is>
          <t>M3</t>
        </is>
      </c>
      <c r="D14" s="33" t="n">
        <v>3</v>
      </c>
      <c r="E14" s="68" t="inlineStr">
        <is>
          <t>CORRECTION via Form 4 parser (post sec_edgar.py XSLT-prefix fix). 39 transactions across 34 filings — all M (option exercise), F (RSU tax withhold), D (cashless settlement), A (grants). ZERO open-market trades (P or S codes) in either direction. ZERO 10b5-1 plans. Original M3=2 rationale assumed discretionary selling pattern that doesn't exist. Rubric default 3 ('routine activity, no discretionary buying') applies — 'absence of buying' tiebreaker requires baseline selling to be diagnostic, which isn't present.</t>
        </is>
      </c>
      <c r="F14" s="68" t="inlineStr">
        <is>
          <t>scripts/parse_form4.py on per-stock/CEG/filings/4_*.xml (CIK 0001868275, fetched 2026-05-17 post-fix)</t>
        </is>
      </c>
      <c r="G14" s="33" t="inlineStr">
        <is>
          <t>High</t>
        </is>
      </c>
      <c r="H14" s="33" t="inlineStr">
        <is>
          <t>Update</t>
        </is>
      </c>
    </row>
    <row r="15">
      <c r="A15" s="33" t="inlineStr">
        <is>
          <t>2026-05-18</t>
        </is>
      </c>
      <c r="B15" s="33" t="inlineStr">
        <is>
          <t>BE</t>
        </is>
      </c>
      <c r="C15" s="33" t="inlineStr">
        <is>
          <t>D1</t>
        </is>
      </c>
      <c r="D15" s="33" t="n">
        <v>4</v>
      </c>
      <c r="E15" s="68" t="inlineStr">
        <is>
          <t>BE revenue mix has been shifting toward data center power for AI workloads. 130% TTM YoY revenue growth (yfinance info.revenueGrowth) + announced Equinix/AEP expansions suggest 25-50% of current revenue is AI-tied. Underlying business (corporate microgrids, healthcare, retail) still significant but no longer dominant.</t>
        </is>
      </c>
      <c r="F15" s="68" t="inlineStr">
        <is>
          <t>yfinance revenueGrowth 130%; BE FY2025 10-K MD&amp;A segment commentary needed to verify exact AI mix</t>
        </is>
      </c>
      <c r="G15" s="33" t="inlineStr">
        <is>
          <t>Medium</t>
        </is>
      </c>
      <c r="H15" s="33" t="inlineStr">
        <is>
          <t>Initial</t>
        </is>
      </c>
    </row>
    <row r="16">
      <c r="A16" s="33" t="inlineStr">
        <is>
          <t>2026-05-18</t>
        </is>
      </c>
      <c r="B16" s="33" t="inlineStr">
        <is>
          <t>BE</t>
        </is>
      </c>
      <c r="C16" s="33" t="inlineStr">
        <is>
          <t>D2</t>
        </is>
      </c>
      <c r="D16" s="33" t="n">
        <v>4</v>
      </c>
      <c r="E16" s="68" t="inlineStr">
        <is>
          <t>REVISED DOWN from 5 (2026-05-17 session). Rubric anchor literally lists Bloom Energy at level 4 (rating-rubric-and-workflow.md line 65). SOFC upstream with 2-4 viable competitors (Plug, Ballard, Doosan) + alternative power-bottleneck solutions (gas turbines, gensets). BE has scale + deployment track record, pricing firming, but not 'limited substitutes' per the 5 criteria. Original 5 read as halo-influenced by AI narrative.</t>
        </is>
      </c>
      <c r="F16" s="68" t="inlineStr">
        <is>
          <t>Rubric anchor examples line 65; industry competitive set knowledge</t>
        </is>
      </c>
      <c r="G16" s="33" t="inlineStr">
        <is>
          <t>High</t>
        </is>
      </c>
      <c r="H16" s="33" t="inlineStr">
        <is>
          <t>Update</t>
        </is>
      </c>
    </row>
    <row r="17">
      <c r="A17" s="33" t="inlineStr">
        <is>
          <t>2026-05-18</t>
        </is>
      </c>
      <c r="B17" s="33" t="inlineStr">
        <is>
          <t>BE</t>
        </is>
      </c>
      <c r="C17" s="33" t="inlineStr">
        <is>
          <t>D3</t>
        </is>
      </c>
      <c r="D17" s="33" t="n">
        <v>4</v>
      </c>
      <c r="E17" s="68" t="inlineStr">
        <is>
          <t>Multi-component moat: SOFC IP (20+ yr development), long-dated service contracts (10-20 yr), customer integration depth, manufacturing scale. Halo check passed — would still rate 4 with stock down 40%. Not 5 because underlying product (electrons + heat) is commoditizable on cost and switching costs decay over service-contract life.</t>
        </is>
      </c>
      <c r="F17" s="68" t="inlineStr">
        <is>
          <t>BE 10-Ks Item 1; rubric anchor comparison to Vertiv (4)</t>
        </is>
      </c>
      <c r="G17" s="33" t="inlineStr">
        <is>
          <t>High</t>
        </is>
      </c>
      <c r="H17" s="33" t="inlineStr">
        <is>
          <t>Initial</t>
        </is>
      </c>
    </row>
    <row r="18">
      <c r="A18" s="33" t="inlineStr">
        <is>
          <t>2026-05-18</t>
        </is>
      </c>
      <c r="B18" s="33" t="inlineStr">
        <is>
          <t>BE</t>
        </is>
      </c>
      <c r="C18" s="33" t="inlineStr">
        <is>
          <t>D4</t>
        </is>
      </c>
      <c r="D18" s="33" t="n">
        <v>5</v>
      </c>
      <c r="E18" s="68" t="inlineStr">
        <is>
          <t>Major buildout funded and underway: Kentucky/Delaware manufacturing expansion, customer commitments backing growth. 130% YoY revenue growth signals massive deployment ramp. FCF turned positive ($270M TTM) confirming buildout starting to pay back.</t>
        </is>
      </c>
      <c r="F18" s="68" t="inlineStr">
        <is>
          <t>yfinance revenueGrowth/freeCashflow; BE 10-K capex schedule</t>
        </is>
      </c>
      <c r="G18" s="33" t="inlineStr">
        <is>
          <t>High</t>
        </is>
      </c>
      <c r="H18" s="33" t="inlineStr">
        <is>
          <t>Initial</t>
        </is>
      </c>
    </row>
    <row r="19">
      <c r="A19" s="33" t="inlineStr">
        <is>
          <t>2026-05-18</t>
        </is>
      </c>
      <c r="B19" s="33" t="inlineStr">
        <is>
          <t>BE</t>
        </is>
      </c>
      <c r="C19" s="33" t="inlineStr">
        <is>
          <t>D5</t>
        </is>
      </c>
      <c r="D19" s="33" t="n">
        <v>4</v>
      </c>
      <c r="E19" s="68" t="inlineStr">
        <is>
          <t>Equinix is anchor customer relationship (colo-tier, hyperscaler-adjacent); growing direct hyperscaler discussions reported. Probably 5-15% of revenue is direct hyperscaler with indirect exposure (Equinix→hyperscaler workloads) higher. Not 5 (no single hyperscaler disclosed &gt;30% rev); not 3 (Equinix relationship + AEP-type deals push beyond casual).</t>
        </is>
      </c>
      <c r="F19" s="68" t="inlineStr">
        <is>
          <t>BE 10-K customer disclosures needed for exact verification</t>
        </is>
      </c>
      <c r="G19" s="33" t="inlineStr">
        <is>
          <t>Medium</t>
        </is>
      </c>
      <c r="H19" s="33" t="inlineStr">
        <is>
          <t>Initial</t>
        </is>
      </c>
    </row>
    <row r="20">
      <c r="A20" s="33" t="inlineStr">
        <is>
          <t>2026-05-18</t>
        </is>
      </c>
      <c r="B20" s="33" t="inlineStr">
        <is>
          <t>BE</t>
        </is>
      </c>
      <c r="C20" s="33" t="inlineStr">
        <is>
          <t>M1</t>
        </is>
      </c>
      <c r="D20" s="33" t="n">
        <v>5</v>
      </c>
      <c r="E20" s="68" t="inlineStr">
        <is>
          <t>REVISED UP from 4 (2026-05-17 session). Textbook beat-and-raise pattern: 30d revisions current Q 13 up / 0 down; FY 19 up / 0 down. Current Y EPS estimate $2.12 today vs $1.39 90d ago = +53% revision higher.</t>
        </is>
      </c>
      <c r="F20" s="68" t="inlineStr">
        <is>
          <t>yfinance Ticker.eps_trend + eps_revisions (pulled 2026-05-18)</t>
        </is>
      </c>
      <c r="G20" s="33" t="inlineStr">
        <is>
          <t>High</t>
        </is>
      </c>
      <c r="H20" s="33" t="inlineStr">
        <is>
          <t>Update</t>
        </is>
      </c>
    </row>
    <row r="21">
      <c r="A21" s="33" t="inlineStr">
        <is>
          <t>2026-05-18</t>
        </is>
      </c>
      <c r="B21" s="33" t="inlineStr">
        <is>
          <t>BE</t>
        </is>
      </c>
      <c r="C21" s="33" t="inlineStr">
        <is>
          <t>M2</t>
        </is>
      </c>
      <c r="D21" s="33" t="n">
        <v>5</v>
      </c>
      <c r="E21" s="68" t="inlineStr">
        <is>
          <t>Overwhelming outperformance: BE +139% over 180d vs XLI +14% = +125pp spread. 12-month: BE +1253% vs XLI +19% = +1234pp. Rubric 5 threshold is &gt;20% outperformance over 6mo; satisfied by an order of magnitude. Sector = Industrials per yfinance.</t>
        </is>
      </c>
      <c r="F21" s="68" t="inlineStr">
        <is>
          <t>yfinance auto-adjusted close prices BE vs XLI (pulled 2026-05-18)</t>
        </is>
      </c>
      <c r="G21" s="33" t="inlineStr">
        <is>
          <t>High</t>
        </is>
      </c>
      <c r="H21" s="33" t="inlineStr">
        <is>
          <t>Initial</t>
        </is>
      </c>
    </row>
    <row r="22">
      <c r="A22" s="33" t="inlineStr">
        <is>
          <t>2026-05-18</t>
        </is>
      </c>
      <c r="B22" s="33" t="inlineStr">
        <is>
          <t>BE</t>
        </is>
      </c>
      <c r="C22" s="33" t="inlineStr">
        <is>
          <t>M3</t>
        </is>
      </c>
      <c r="D22" s="33" t="n">
        <v>3</v>
      </c>
      <c r="E22" s="68" t="inlineStr">
        <is>
          <t>50 Form 4 transactions in 12mo: 29 discretionary open-market sales + 21 10b5-1 plan sales, ~$130M+ insider selling. ZERO open-market purchases. BUT founder/CEO Sridhar net acquired shares (200K sale at $170 offset by 300K grant 3 days later). Per BE-session principle (CLAUDE.md 2026-05-17): post-rally diversification after +1253% move is rational, not bearish. Founder-net-long signal more informative than broader trim. Rubric default 3 applies.</t>
        </is>
      </c>
      <c r="F22" s="68" t="inlineStr">
        <is>
          <t>scripts/parse_form4.py on per-stock/BE/filings/4_*.xml; CLAUDE.md project principles</t>
        </is>
      </c>
      <c r="G22" s="33" t="inlineStr">
        <is>
          <t>Medium</t>
        </is>
      </c>
      <c r="H22" s="33" t="inlineStr">
        <is>
          <t>Initial</t>
        </is>
      </c>
    </row>
    <row r="23">
      <c r="A23" s="33" t="inlineStr">
        <is>
          <t>2026-05-18</t>
        </is>
      </c>
      <c r="B23" s="33" t="inlineStr">
        <is>
          <t>BE</t>
        </is>
      </c>
      <c r="C23" s="33" t="inlineStr">
        <is>
          <t>R1</t>
        </is>
      </c>
      <c r="D23" s="33" t="n">
        <v>3</v>
      </c>
      <c r="E23" s="68" t="inlineStr">
        <is>
          <t>Equinix historically a meaningful customer; other large customers include Walmart, Home Depot, AT&amp;T. Top customer likely 25-40% of revenue given Equinix expansion. Below 5 (diversified) but above 2 (40-60%). 10-K customer disclosure verification needed.</t>
        </is>
      </c>
      <c r="F23" s="68" t="inlineStr">
        <is>
          <t>BE 10-K customer disclosures; industry knowledge</t>
        </is>
      </c>
      <c r="G23" s="33" t="inlineStr">
        <is>
          <t>Medium</t>
        </is>
      </c>
      <c r="H23" s="33" t="inlineStr">
        <is>
          <t>Initial</t>
        </is>
      </c>
    </row>
    <row r="24">
      <c r="A24" s="33" t="inlineStr">
        <is>
          <t>2026-05-18</t>
        </is>
      </c>
      <c r="B24" s="33" t="inlineStr">
        <is>
          <t>BE</t>
        </is>
      </c>
      <c r="C24" s="33" t="inlineStr">
        <is>
          <t>R2</t>
        </is>
      </c>
      <c r="D24" s="33" t="n">
        <v>4</v>
      </c>
      <c r="E24" s="68" t="inlineStr">
        <is>
          <t>Mostly US operations; meaningful Korea exposure via SK ecoplant partnership (now SK Group JV); minor European deployments. No China, no export controls, no problematic exposure.</t>
        </is>
      </c>
      <c r="F24" s="68" t="inlineStr">
        <is>
          <t>BE 10-K geographic segment</t>
        </is>
      </c>
      <c r="G24" s="33" t="inlineStr">
        <is>
          <t>High</t>
        </is>
      </c>
      <c r="H24" s="33" t="inlineStr">
        <is>
          <t>Initial</t>
        </is>
      </c>
    </row>
    <row r="25">
      <c r="A25" s="33" t="inlineStr">
        <is>
          <t>2026-05-18</t>
        </is>
      </c>
      <c r="B25" s="33" t="inlineStr">
        <is>
          <t>BE</t>
        </is>
      </c>
      <c r="C25" s="33" t="inlineStr">
        <is>
          <t>R3</t>
        </is>
      </c>
      <c r="D25" s="33" t="n">
        <v>3</v>
      </c>
      <c r="E25" s="68" t="inlineStr">
        <is>
          <t>Today's data shows net debt $0.46B / EBITDA $220M = 2.1x (much improved vs prior 3.5x). FCF turned positive (+$270M TTM). Cash $2.49B &gt; debt $2.95B by narrow margin. Trajectory points to 4 over next 2-3 quarters if FCF positivity sustains; not there yet given short positive-FCF track record.</t>
        </is>
      </c>
      <c r="F25" s="68" t="inlineStr">
        <is>
          <t>yfinance balance_sheet + freeCashflow (pulled 2026-05-18)</t>
        </is>
      </c>
      <c r="G25" s="33" t="inlineStr">
        <is>
          <t>Medium</t>
        </is>
      </c>
      <c r="H25" s="33" t="inlineStr">
        <is>
          <t>Initial</t>
        </is>
      </c>
    </row>
    <row r="26">
      <c r="A26" s="33" t="inlineStr">
        <is>
          <t>2026-05-18</t>
        </is>
      </c>
      <c r="B26" s="33" t="inlineStr">
        <is>
          <t>BE</t>
        </is>
      </c>
      <c r="C26" s="33" t="inlineStr">
        <is>
          <t>R4</t>
        </is>
      </c>
      <c r="D26" s="33" t="n">
        <v>4</v>
      </c>
      <c r="E26" s="68" t="inlineStr">
        <is>
          <t>No material company-specific litigation disclosed. Routine ITC / state-incentive regulatory interactions are structural to fuel-cell industry, not 'pending matters' per rubric. FY2025 10-K Item 3 needs verification.</t>
        </is>
      </c>
      <c r="F26" s="68" t="inlineStr">
        <is>
          <t>BE 10-K Item 3 Legal Proceedings</t>
        </is>
      </c>
      <c r="G26" s="33" t="inlineStr">
        <is>
          <t>Medium</t>
        </is>
      </c>
      <c r="H26" s="33" t="inlineStr">
        <is>
          <t>Initial</t>
        </is>
      </c>
    </row>
    <row r="27">
      <c r="A27" s="33" t="inlineStr">
        <is>
          <t>2026-05-18</t>
        </is>
      </c>
      <c r="B27" s="33" t="inlineStr">
        <is>
          <t>NVDA</t>
        </is>
      </c>
      <c r="C27" s="33" t="inlineStr">
        <is>
          <t>D1</t>
        </is>
      </c>
      <c r="D27" s="33" t="n">
        <v>5</v>
      </c>
      <c r="E27" s="68" t="inlineStr">
        <is>
          <t>Data center segment ~80% of revenue ($35B+/quarter on $45B+ total). Essentially all DC revenue is AI/accelerated computing. Loss of AI demand = existential. Rubric line 33 anchors CoreWeave at 5; NVDA is the supplier behind CoreWeave's whole business.</t>
        </is>
      </c>
      <c r="F27" s="68" t="inlineStr">
        <is>
          <t>NVDA 10-K Item 7 segment data; yfinance totalRevenue</t>
        </is>
      </c>
      <c r="G27" s="33" t="inlineStr">
        <is>
          <t>High</t>
        </is>
      </c>
      <c r="H27" s="33" t="inlineStr">
        <is>
          <t>Initial</t>
        </is>
      </c>
    </row>
    <row r="28">
      <c r="A28" s="33" t="inlineStr">
        <is>
          <t>2026-05-18</t>
        </is>
      </c>
      <c r="B28" s="33" t="inlineStr">
        <is>
          <t>NVDA</t>
        </is>
      </c>
      <c r="C28" s="33" t="inlineStr">
        <is>
          <t>D2</t>
        </is>
      </c>
      <c r="D28" s="33" t="n">
        <v>5</v>
      </c>
      <c r="E28" s="68" t="inlineStr">
        <is>
          <t>~80% AI training accelerator market share; ~95% of CUDA-locked customers. Pricing power overwhelming (H100/B100 gross margin 70%+). Lead times for B100/B200 widened through 2025. Rubric line 96 lists NVIDIA explicitly at 5.</t>
        </is>
      </c>
      <c r="F28" s="68" t="inlineStr">
        <is>
          <t>Industry data; yfinance grossMargins 71%; rubric anchor line 96</t>
        </is>
      </c>
      <c r="G28" s="33" t="inlineStr">
        <is>
          <t>High</t>
        </is>
      </c>
      <c r="H28" s="33" t="inlineStr">
        <is>
          <t>Initial</t>
        </is>
      </c>
    </row>
    <row r="29">
      <c r="A29" s="33" t="inlineStr">
        <is>
          <t>2026-05-18</t>
        </is>
      </c>
      <c r="B29" s="33" t="inlineStr">
        <is>
          <t>NVDA</t>
        </is>
      </c>
      <c r="C29" s="33" t="inlineStr">
        <is>
          <t>D3</t>
        </is>
      </c>
      <c r="D29" s="33" t="n">
        <v>5</v>
      </c>
      <c r="E29" s="68" t="inlineStr">
        <is>
          <t>CUDA = 18 years of accumulated software/developer/library ecosystem. Every major AI framework targets CUDA-first. NVIDIA networking (Mellanox InfiniBand + NVLink) creates additional lock-in. Halo check passed: rating holds at 5 if stock were down 40%. Rubric line 96 anchor.</t>
        </is>
      </c>
      <c r="F29" s="68" t="inlineStr">
        <is>
          <t>Rubric anchor; industry knowledge; halo check passed</t>
        </is>
      </c>
      <c r="G29" s="33" t="inlineStr">
        <is>
          <t>High</t>
        </is>
      </c>
      <c r="H29" s="33" t="inlineStr">
        <is>
          <t>Initial</t>
        </is>
      </c>
    </row>
    <row r="30">
      <c r="A30" s="33" t="inlineStr">
        <is>
          <t>2026-05-18</t>
        </is>
      </c>
      <c r="B30" s="33" t="inlineStr">
        <is>
          <t>NVDA</t>
        </is>
      </c>
      <c r="C30" s="33" t="inlineStr">
        <is>
          <t>D4</t>
        </is>
      </c>
      <c r="D30" s="33" t="n">
        <v>5</v>
      </c>
      <c r="E30" s="68" t="inlineStr">
        <is>
          <t>DISCUSSED — original proposal was 4 based on fabless/partner-driven scaling. Dom override to 5: NVDA's strategy is 'do as much of as little as possible' — focus on what they do great and work with supply chain. That partnership orientation IS the capacity strategy. Revenue scaled 7x in 3 years through TSMC/HBM/CoWoS partners = real capacity expansion executed via supply chain. Counts as major buildout in spirit of rubric.</t>
        </is>
      </c>
      <c r="F30" s="68" t="inlineStr">
        <is>
          <t>yfinance revenueGrowth; Dom calibration call 2026-05-18</t>
        </is>
      </c>
      <c r="G30" s="33" t="inlineStr">
        <is>
          <t>High</t>
        </is>
      </c>
      <c r="H30" s="33" t="inlineStr">
        <is>
          <t>Initial</t>
        </is>
      </c>
    </row>
    <row r="31">
      <c r="A31" s="33" t="inlineStr">
        <is>
          <t>2026-05-18</t>
        </is>
      </c>
      <c r="B31" s="33" t="inlineStr">
        <is>
          <t>NVDA</t>
        </is>
      </c>
      <c r="C31" s="33" t="inlineStr">
        <is>
          <t>D5</t>
        </is>
      </c>
      <c r="D31" s="33" t="n">
        <v>5</v>
      </c>
      <c r="E31" s="68" t="inlineStr">
        <is>
          <t>All 5 hyperscalers (MSFT, GOOGL, AMZN, META, ORCL) are anchor customers. Top customer per 10-K ~13% (likely MSFT); top 5 combined ~50%+. Rubric 5 = 'multiple hyperscalers as anchor, &gt;30% combined' satisfied easily.</t>
        </is>
      </c>
      <c r="F31" s="68" t="inlineStr">
        <is>
          <t>NVDA 10-K Item 8 customer disclosures; quarterly call commentary</t>
        </is>
      </c>
      <c r="G31" s="33" t="inlineStr">
        <is>
          <t>High</t>
        </is>
      </c>
      <c r="H31" s="33" t="inlineStr">
        <is>
          <t>Initial</t>
        </is>
      </c>
    </row>
    <row r="32">
      <c r="A32" s="33" t="inlineStr">
        <is>
          <t>2026-05-18</t>
        </is>
      </c>
      <c r="B32" s="33" t="inlineStr">
        <is>
          <t>NVDA</t>
        </is>
      </c>
      <c r="C32" s="33" t="inlineStr">
        <is>
          <t>M1</t>
        </is>
      </c>
      <c r="D32" s="33" t="n">
        <v>4</v>
      </c>
      <c r="E32" s="68" t="inlineStr">
        <is>
          <t>Net positive but not 'loud beat-and-raise': 30d revisions 4 up / 0 down on FY and +1Y. FY EPS estimate $8.38 vs $7.74 90d ago = +8.4% up; +1Y $11.43 vs $9.93 = +15% up. Lower-magnitude than band-5 examples (BE).</t>
        </is>
      </c>
      <c r="F32" s="68" t="inlineStr">
        <is>
          <t>yfinance eps_trend + eps_revisions (pulled 2026-05-18)</t>
        </is>
      </c>
      <c r="G32" s="33" t="inlineStr">
        <is>
          <t>High</t>
        </is>
      </c>
      <c r="H32" s="33" t="inlineStr">
        <is>
          <t>Initial</t>
        </is>
      </c>
    </row>
    <row r="33">
      <c r="A33" s="33" t="inlineStr">
        <is>
          <t>2026-05-18</t>
        </is>
      </c>
      <c r="B33" s="33" t="inlineStr">
        <is>
          <t>NVDA</t>
        </is>
      </c>
      <c r="C33" s="33" t="inlineStr">
        <is>
          <t>M2</t>
        </is>
      </c>
      <c r="D33" s="33" t="n">
        <v>1</v>
      </c>
      <c r="E33" s="68" t="inlineStr">
        <is>
          <t>NVDA SIGNIFICANTLY UNDERPERFORMING SOXX over multiple windows: -57pp over 180d (+19% vs +76%); -72pp over 365d (+64% vs +135%); -20pp over 90d. Stock at 52w high $235 (2026-05-14) but semi sector is far ahead. Rubric strict: '1 = lagging sector by &gt;20%' satisfied 3x over on 6mo. Sector = SOXX (Semis) per rubric line 187.</t>
        </is>
      </c>
      <c r="F33" s="68" t="inlineStr">
        <is>
          <t>yfinance close prices NVDA vs SOXX (pulled 2026-05-18)</t>
        </is>
      </c>
      <c r="G33" s="33" t="inlineStr">
        <is>
          <t>High</t>
        </is>
      </c>
      <c r="H33" s="33" t="inlineStr">
        <is>
          <t>Initial</t>
        </is>
      </c>
    </row>
    <row r="34">
      <c r="A34" s="33" t="inlineStr">
        <is>
          <t>2026-05-18</t>
        </is>
      </c>
      <c r="B34" s="33" t="inlineStr">
        <is>
          <t>NVDA</t>
        </is>
      </c>
      <c r="C34" s="33" t="inlineStr">
        <is>
          <t>M3</t>
        </is>
      </c>
      <c r="D34" s="33" t="n">
        <v>3</v>
      </c>
      <c r="E34" s="68" t="inlineStr">
        <is>
          <t>12mo Form 4: 313 10b5-1 plan sales ($679M) + 9 discretionary sales ($302M); 0 open-market buys. Long-running Huang/Kress 10b5-1 programs explain the volume — treat as routine per rubric. Stock at 52w high (not drawdown), so 'absence of buying during drawdown' tiebreaker doesn't apply. Default 3 for routine activity.</t>
        </is>
      </c>
      <c r="F34" s="68" t="inlineStr">
        <is>
          <t>scripts/parse_form4.py on NVDA filings (pulled 2026-05-18)</t>
        </is>
      </c>
      <c r="G34" s="33" t="inlineStr">
        <is>
          <t>High</t>
        </is>
      </c>
      <c r="H34" s="33" t="inlineStr">
        <is>
          <t>Initial</t>
        </is>
      </c>
    </row>
    <row r="35">
      <c r="A35" s="33" t="inlineStr">
        <is>
          <t>2026-05-18</t>
        </is>
      </c>
      <c r="B35" s="33" t="inlineStr">
        <is>
          <t>NVDA</t>
        </is>
      </c>
      <c r="C35" s="33" t="inlineStr">
        <is>
          <t>R1</t>
        </is>
      </c>
      <c r="D35" s="33" t="n">
        <v>4</v>
      </c>
      <c r="E35" s="68" t="inlineStr">
        <is>
          <t>DISCUSSED — top single customer ~13% (just under strict 5 threshold of &gt;15%). Adjusted to 4 to capture cluster concentration: top 5 hyperscalers combined ~50% of revenue. Single-customer threshold met (5) but cluster risk real. Dom agreed adjustment is fair. **Rubric ambiguity to flag for calibration:** single-customer vs cluster-customer concentration.</t>
        </is>
      </c>
      <c r="F35" s="68" t="inlineStr">
        <is>
          <t>NVDA 10-K customer disclosures; Dom calibration call 2026-05-18</t>
        </is>
      </c>
      <c r="G35" s="33" t="inlineStr">
        <is>
          <t>Medium</t>
        </is>
      </c>
      <c r="H35" s="33" t="inlineStr">
        <is>
          <t>Initial</t>
        </is>
      </c>
    </row>
    <row r="36">
      <c r="A36" s="33" t="inlineStr">
        <is>
          <t>2026-05-18</t>
        </is>
      </c>
      <c r="B36" s="33" t="inlineStr">
        <is>
          <t>NVDA</t>
        </is>
      </c>
      <c r="C36" s="33" t="inlineStr">
        <is>
          <t>R2</t>
        </is>
      </c>
      <c r="D36" s="33" t="n">
        <v>2</v>
      </c>
      <c r="E36" s="68" t="inlineStr">
        <is>
          <t>Multiple rounds of China export control restrictions actively impacting revenue (H20 cycle 2024-2025, ongoing BIS tightening, compliant chip variants in development). Direct revenue hits realized ($5-10B+ disclosed China-specific impacts since 2023). Sits between band 2 (China revenue + export-control exposure) and band 1 (active impacts) — NVDA adapts via compliant variants so 2 fits better than 1.</t>
        </is>
      </c>
      <c r="F36" s="68" t="inlineStr">
        <is>
          <t>NVDA 10-K Item 1A Risk Factors; BIS Entity List actions 2023-2025</t>
        </is>
      </c>
      <c r="G36" s="33" t="inlineStr">
        <is>
          <t>High</t>
        </is>
      </c>
      <c r="H36" s="33" t="inlineStr">
        <is>
          <t>Initial</t>
        </is>
      </c>
    </row>
    <row r="37">
      <c r="A37" s="33" t="inlineStr">
        <is>
          <t>2026-05-18</t>
        </is>
      </c>
      <c r="B37" s="33" t="inlineStr">
        <is>
          <t>NVDA</t>
        </is>
      </c>
      <c r="C37" s="33" t="inlineStr">
        <is>
          <t>R3</t>
        </is>
      </c>
      <c r="D37" s="33" t="n">
        <v>5</v>
      </c>
      <c r="E37" s="68" t="inlineStr">
        <is>
          <t>Net cash position: ND/EBITDA -0.38 (cash &gt; debt). FCF $50B+ TTM. Operating margin 60%+. Textbook 5 ('fortress balance sheet').</t>
        </is>
      </c>
      <c r="F37" s="68" t="inlineStr">
        <is>
          <t>yfinance info (totalCash $50B+, totalDebt, freeCashflow, ebitda)</t>
        </is>
      </c>
      <c r="G37" s="33" t="inlineStr">
        <is>
          <t>High</t>
        </is>
      </c>
      <c r="H37" s="33" t="inlineStr">
        <is>
          <t>Initial</t>
        </is>
      </c>
    </row>
    <row r="38">
      <c r="A38" s="33" t="inlineStr">
        <is>
          <t>2026-05-18</t>
        </is>
      </c>
      <c r="B38" s="33" t="inlineStr">
        <is>
          <t>NVDA</t>
        </is>
      </c>
      <c r="C38" s="33" t="inlineStr">
        <is>
          <t>R4</t>
        </is>
      </c>
      <c r="D38" s="33" t="n">
        <v>4</v>
      </c>
      <c r="E38" s="68" t="inlineStr">
        <is>
          <t>DISCUSSED — original proposal was 3 (DOJ antitrust + FTC + EU/French regulators investigating CUDA bundling, all 'pending but immaterial'). Dom override to 4: investigations have not materialized into enforcement actions, settlements, or current revenue impact. Routine antitrust scrutiny for a dominant tech firm = band 4 ('routine matters only'). Rerated if/when material enforcement or remedies disclosed.</t>
        </is>
      </c>
      <c r="F38" s="68" t="inlineStr">
        <is>
          <t>NVDA 10-K Item 3; public DOJ/FTC statements; Dom calibration call 2026-05-18</t>
        </is>
      </c>
      <c r="G38" s="33" t="inlineStr">
        <is>
          <t>Medium</t>
        </is>
      </c>
      <c r="H38" s="33" t="inlineStr">
        <is>
          <t>Initial</t>
        </is>
      </c>
    </row>
    <row r="39">
      <c r="A39" s="33" t="inlineStr">
        <is>
          <t>2026-05-18</t>
        </is>
      </c>
      <c r="B39" s="33" t="inlineStr">
        <is>
          <t>AMD</t>
        </is>
      </c>
      <c r="C39" s="33" t="inlineStr">
        <is>
          <t>D1</t>
        </is>
      </c>
      <c r="D39" s="33" t="n">
        <v>5</v>
      </c>
      <c r="E39" s="68" t="inlineStr">
        <is>
          <t>Data center segment 56% of Q1 FY26 revenue ($5.8B/$10.3B), nearly all AI. Crosses rubric &gt;50% AI threshold.</t>
        </is>
      </c>
      <c r="F39" s="68" t="inlineStr">
        <is>
          <t>AMD Q1 FY26 8-K (filed 2026-04); per-stock/AMD/context-2026-05-18.md</t>
        </is>
      </c>
      <c r="G39" s="33" t="inlineStr">
        <is>
          <t>High</t>
        </is>
      </c>
      <c r="H39" s="33" t="inlineStr">
        <is>
          <t>Initial</t>
        </is>
      </c>
    </row>
    <row r="40">
      <c r="A40" s="33" t="inlineStr">
        <is>
          <t>2026-05-18</t>
        </is>
      </c>
      <c r="B40" s="33" t="inlineStr">
        <is>
          <t>AMD</t>
        </is>
      </c>
      <c r="C40" s="33" t="inlineStr">
        <is>
          <t>D2</t>
        </is>
      </c>
      <c r="D40" s="33" t="n">
        <v>4</v>
      </c>
      <c r="E40" s="68" t="inlineStr">
        <is>
          <t>~10-15% AI training share vs NVDA 75-80%. Meaningful #2 with credible competitors. Anchor match: rubric 4.</t>
        </is>
      </c>
      <c r="F40" s="68" t="inlineStr">
        <is>
          <t>Industry data; AMD Q1 FY26 segment data</t>
        </is>
      </c>
      <c r="G40" s="33" t="inlineStr">
        <is>
          <t>High</t>
        </is>
      </c>
      <c r="H40" s="33" t="inlineStr">
        <is>
          <t>Initial</t>
        </is>
      </c>
    </row>
    <row r="41">
      <c r="A41" s="33" t="inlineStr">
        <is>
          <t>2026-05-18</t>
        </is>
      </c>
      <c r="B41" s="33" t="inlineStr">
        <is>
          <t>AMD</t>
        </is>
      </c>
      <c r="C41" s="33" t="inlineStr">
        <is>
          <t>D3</t>
        </is>
      </c>
      <c r="D41" s="33" t="n">
        <v>4</v>
      </c>
      <c r="E41" s="68" t="inlineStr">
        <is>
          <t>Revised up from 3 after ROCm catch-up evidence: PyTorch first-class ROCm support, META/OpenAI/Cohere production deployments, ROCm 7 at parity on many layers. Software gap closing 2-3 years, not 5-7.</t>
        </is>
      </c>
      <c r="F41" s="68" t="inlineStr">
        <is>
          <t>ThunderCompute/SDxCentral ROCm vs CUDA 2026 coverage; context briefing</t>
        </is>
      </c>
      <c r="G41" s="33" t="inlineStr">
        <is>
          <t>High</t>
        </is>
      </c>
      <c r="H41" s="33" t="inlineStr">
        <is>
          <t>Initial</t>
        </is>
      </c>
    </row>
    <row r="42">
      <c r="A42" s="33" t="inlineStr">
        <is>
          <t>2026-05-18</t>
        </is>
      </c>
      <c r="B42" s="33" t="inlineStr">
        <is>
          <t>AMD</t>
        </is>
      </c>
      <c r="C42" s="33" t="inlineStr">
        <is>
          <t>D4</t>
        </is>
      </c>
      <c r="D42" s="33" t="n">
        <v>5</v>
      </c>
      <c r="E42" s="68" t="inlineStr">
        <is>
          <t>META 6 GW deployment announced — first 1 GW on MI450, multi-year commitment. AWS/GCP/Azure/Tencent expanding EPYC. Same partner-driven D4=5 logic as NVDA (Dom-approved 2026-05-18).</t>
        </is>
      </c>
      <c r="F42" s="68" t="inlineStr">
        <is>
          <t>AMD Q1 FY26 earnings + analyst coverage; per-stock/AMD/context-2026-05-18.md</t>
        </is>
      </c>
      <c r="G42" s="33" t="inlineStr">
        <is>
          <t>High</t>
        </is>
      </c>
      <c r="H42" s="33" t="inlineStr">
        <is>
          <t>Initial</t>
        </is>
      </c>
    </row>
    <row r="43">
      <c r="A43" s="33" t="inlineStr">
        <is>
          <t>2026-05-18</t>
        </is>
      </c>
      <c r="B43" s="33" t="inlineStr">
        <is>
          <t>AMD</t>
        </is>
      </c>
      <c r="C43" s="33" t="inlineStr">
        <is>
          <t>D5</t>
        </is>
      </c>
      <c r="D43" s="33" t="n">
        <v>5</v>
      </c>
      <c r="E43" s="68" t="inlineStr">
        <is>
          <t>5+ hyperscalers named in Q1: META 6GW anchor, AWS, Azure, GCP, Oracle (MI300X superclusters), Tencent. Easily &gt;30% combined revenue.</t>
        </is>
      </c>
      <c r="F43" s="68" t="inlineStr">
        <is>
          <t>AMD Q1 FY26 earnings call commentary</t>
        </is>
      </c>
      <c r="G43" s="33" t="inlineStr">
        <is>
          <t>High</t>
        </is>
      </c>
      <c r="H43" s="33" t="inlineStr">
        <is>
          <t>Initial</t>
        </is>
      </c>
    </row>
    <row r="44">
      <c r="A44" s="33" t="inlineStr">
        <is>
          <t>2026-05-18</t>
        </is>
      </c>
      <c r="B44" s="33" t="inlineStr">
        <is>
          <t>AMD</t>
        </is>
      </c>
      <c r="C44" s="33" t="inlineStr">
        <is>
          <t>M1</t>
        </is>
      </c>
      <c r="D44" s="33" t="n">
        <v>5</v>
      </c>
      <c r="E44" s="68" t="inlineStr">
        <is>
          <t>39 up / 1 down on +1Y EPS revisions (30d); FY revision +11.5% over 90d. Beat-and-raise.</t>
        </is>
      </c>
      <c r="F44" s="68" t="inlineStr">
        <is>
          <t>yfinance eps_trend + eps_revisions (2026-05-18)</t>
        </is>
      </c>
      <c r="G44" s="33" t="inlineStr">
        <is>
          <t>High</t>
        </is>
      </c>
      <c r="H44" s="33" t="inlineStr">
        <is>
          <t>Initial</t>
        </is>
      </c>
    </row>
    <row r="45">
      <c r="A45" s="33" t="inlineStr">
        <is>
          <t>2026-05-18</t>
        </is>
      </c>
      <c r="B45" s="33" t="inlineStr">
        <is>
          <t>AMD</t>
        </is>
      </c>
      <c r="C45" s="33" t="inlineStr">
        <is>
          <t>M2</t>
        </is>
      </c>
      <c r="D45" s="33" t="n">
        <v>5</v>
      </c>
      <c r="E45" s="68" t="inlineStr">
        <is>
          <t>Outperforming SOXX +129pp YoY (+264% vs +135%); +66pp over 90d. Best Momentum in Layer 6.</t>
        </is>
      </c>
      <c r="F45" s="68" t="inlineStr">
        <is>
          <t>yfinance prices AMD vs SOXX (2026-05-18)</t>
        </is>
      </c>
      <c r="G45" s="33" t="inlineStr">
        <is>
          <t>High</t>
        </is>
      </c>
      <c r="H45" s="33" t="inlineStr">
        <is>
          <t>Initial</t>
        </is>
      </c>
    </row>
    <row r="46">
      <c r="A46" s="33" t="inlineStr">
        <is>
          <t>2026-05-18</t>
        </is>
      </c>
      <c r="B46" s="33" t="inlineStr">
        <is>
          <t>AMD</t>
        </is>
      </c>
      <c r="C46" s="33" t="inlineStr">
        <is>
          <t>M3</t>
        </is>
      </c>
      <c r="D46" s="33" t="n">
        <v>3</v>
      </c>
      <c r="E46" s="68" t="inlineStr">
        <is>
          <t>4 discretionary sells + 137 10b5-1 sales over 12mo. 0 open-market buys. Stock at -9% from 52w high — not drawdown. Default 3 for routine activity.</t>
        </is>
      </c>
      <c r="F46" s="68" t="inlineStr">
        <is>
          <t>scripts/parse_form4.py AMD (2026-05-18)</t>
        </is>
      </c>
      <c r="G46" s="33" t="inlineStr">
        <is>
          <t>High</t>
        </is>
      </c>
      <c r="H46" s="33" t="inlineStr">
        <is>
          <t>Initial</t>
        </is>
      </c>
    </row>
    <row r="47">
      <c r="A47" s="33" t="inlineStr">
        <is>
          <t>2026-05-18</t>
        </is>
      </c>
      <c r="B47" s="33" t="inlineStr">
        <is>
          <t>AMD</t>
        </is>
      </c>
      <c r="C47" s="33" t="inlineStr">
        <is>
          <t>R1</t>
        </is>
      </c>
      <c r="D47" s="33" t="n">
        <v>4</v>
      </c>
      <c r="E47" s="68" t="inlineStr">
        <is>
          <t>Diversified across DC + Client + Gaming + Embedded. Top customer probably 10-15%.</t>
        </is>
      </c>
      <c r="F47" s="68" t="inlineStr">
        <is>
          <t>AMD FY24 10-K; industry knowledge</t>
        </is>
      </c>
      <c r="G47" s="33" t="inlineStr">
        <is>
          <t>High</t>
        </is>
      </c>
      <c r="H47" s="33" t="inlineStr">
        <is>
          <t>Initial</t>
        </is>
      </c>
    </row>
    <row r="48">
      <c r="A48" s="33" t="inlineStr">
        <is>
          <t>2026-05-18</t>
        </is>
      </c>
      <c r="B48" s="33" t="inlineStr">
        <is>
          <t>AMD</t>
        </is>
      </c>
      <c r="C48" s="33" t="inlineStr">
        <is>
          <t>R2</t>
        </is>
      </c>
      <c r="D48" s="33" t="n">
        <v>3</v>
      </c>
      <c r="E48" s="68" t="inlineStr">
        <is>
          <t>China export controls impact AMD similarly to NVDA but smaller magnitude. Meaningful exposure with manageable revenue hit.</t>
        </is>
      </c>
      <c r="F48" s="68" t="inlineStr">
        <is>
          <t>AMD 10-K Item 1A; BIS Entity List actions</t>
        </is>
      </c>
      <c r="G48" s="33" t="inlineStr">
        <is>
          <t>High</t>
        </is>
      </c>
      <c r="H48" s="33" t="inlineStr">
        <is>
          <t>Initial</t>
        </is>
      </c>
    </row>
    <row r="49">
      <c r="A49" s="33" t="inlineStr">
        <is>
          <t>2026-05-18</t>
        </is>
      </c>
      <c r="B49" s="33" t="inlineStr">
        <is>
          <t>AMD</t>
        </is>
      </c>
      <c r="C49" s="33" t="inlineStr">
        <is>
          <t>R3</t>
        </is>
      </c>
      <c r="D49" s="33" t="n">
        <v>5</v>
      </c>
      <c r="E49" s="68" t="inlineStr">
        <is>
          <t>Net cash position. Strong FCF. ND/EBITDA -1.14 per yfinance.</t>
        </is>
      </c>
      <c r="F49" s="68" t="inlineStr">
        <is>
          <t>yfinance balance_sheet (2026-05-18)</t>
        </is>
      </c>
      <c r="G49" s="33" t="inlineStr">
        <is>
          <t>High</t>
        </is>
      </c>
      <c r="H49" s="33" t="inlineStr">
        <is>
          <t>Initial</t>
        </is>
      </c>
    </row>
    <row r="50">
      <c r="A50" s="33" t="inlineStr">
        <is>
          <t>2026-05-18</t>
        </is>
      </c>
      <c r="B50" s="33" t="inlineStr">
        <is>
          <t>AMD</t>
        </is>
      </c>
      <c r="C50" s="33" t="inlineStr">
        <is>
          <t>R4</t>
        </is>
      </c>
      <c r="D50" s="33" t="n">
        <v>4</v>
      </c>
      <c r="E50" s="68" t="inlineStr">
        <is>
          <t>Routine antitrust scrutiny; no enforcement actions. Same standard applied as NVDA R4.</t>
        </is>
      </c>
      <c r="F50" s="68" t="inlineStr">
        <is>
          <t>AMD 10-K Item 3; industry context</t>
        </is>
      </c>
      <c r="G50" s="33" t="inlineStr">
        <is>
          <t>High</t>
        </is>
      </c>
      <c r="H50" s="33" t="inlineStr">
        <is>
          <t>Initial</t>
        </is>
      </c>
    </row>
    <row r="51">
      <c r="A51" s="33" t="inlineStr">
        <is>
          <t>2026-05-18</t>
        </is>
      </c>
      <c r="B51" s="33" t="inlineStr">
        <is>
          <t>AVGO</t>
        </is>
      </c>
      <c r="C51" s="33" t="inlineStr">
        <is>
          <t>D1</t>
        </is>
      </c>
      <c r="D51" s="33" t="n">
        <v>5</v>
      </c>
      <c r="E51" s="68" t="inlineStr">
        <is>
          <t>Q1 FY26 AI revenue $8.4B = 43% of total $19.3B; trajectory +106% YoY; Q2 guide $10.7B accelerating; $100B AI projected by 2027. Crosses &gt;50% threshold structurally.</t>
        </is>
      </c>
      <c r="F51" s="68" t="inlineStr">
        <is>
          <t>Broadcom Q1 FY26 8-K + FinancialContent coverage; per-stock/AVGO/context-2026-05-18.md</t>
        </is>
      </c>
      <c r="G51" s="33" t="inlineStr">
        <is>
          <t>High</t>
        </is>
      </c>
      <c r="H51" s="33" t="inlineStr">
        <is>
          <t>Initial</t>
        </is>
      </c>
    </row>
    <row r="52">
      <c r="A52" s="33" t="inlineStr">
        <is>
          <t>2026-05-18</t>
        </is>
      </c>
      <c r="B52" s="33" t="inlineStr">
        <is>
          <t>AVGO</t>
        </is>
      </c>
      <c r="C52" s="33" t="inlineStr">
        <is>
          <t>D2</t>
        </is>
      </c>
      <c r="D52" s="33" t="n">
        <v>4</v>
      </c>
      <c r="E52" s="68" t="inlineStr">
        <is>
          <t>Duopoly with MRVL for high-end custom silicon + Tomahawk leadership in AI networking. Not 5 because not 'limited substitutes' — competes with merchant accelerators and MRVL.</t>
        </is>
      </c>
      <c r="F52" s="68" t="inlineStr">
        <is>
          <t>Industry coverage; AVGO Q1 FY26 + Tomahawk 6 commentary</t>
        </is>
      </c>
      <c r="G52" s="33" t="inlineStr">
        <is>
          <t>High</t>
        </is>
      </c>
      <c r="H52" s="33" t="inlineStr">
        <is>
          <t>Initial</t>
        </is>
      </c>
    </row>
    <row r="53">
      <c r="A53" s="33" t="inlineStr">
        <is>
          <t>2026-05-18</t>
        </is>
      </c>
      <c r="B53" s="33" t="inlineStr">
        <is>
          <t>AVGO</t>
        </is>
      </c>
      <c r="C53" s="33" t="inlineStr">
        <is>
          <t>D3</t>
        </is>
      </c>
      <c r="D53" s="33" t="n">
        <v>4</v>
      </c>
      <c r="E53" s="68" t="inlineStr">
        <is>
          <t>Multi-generation custom silicon partnerships (Ironwood TPU, MTIA), VMware software stickiness, networking IP. Not 5 — moats are customer-specific, not unique structural advantage.</t>
        </is>
      </c>
      <c r="F53" s="68" t="inlineStr">
        <is>
          <t>AVGO 10-K segment data; industry analysis</t>
        </is>
      </c>
      <c r="G53" s="33" t="inlineStr">
        <is>
          <t>High</t>
        </is>
      </c>
      <c r="H53" s="33" t="inlineStr">
        <is>
          <t>Initial</t>
        </is>
      </c>
    </row>
    <row r="54">
      <c r="A54" s="33" t="inlineStr">
        <is>
          <t>2026-05-18</t>
        </is>
      </c>
      <c r="B54" s="33" t="inlineStr">
        <is>
          <t>AVGO</t>
        </is>
      </c>
      <c r="C54" s="33" t="inlineStr">
        <is>
          <t>D4</t>
        </is>
      </c>
      <c r="D54" s="33" t="n">
        <v>5</v>
      </c>
      <c r="E54" s="68" t="inlineStr">
        <is>
          <t>$21B Anthropic order for Ironwood Racks + Ironwood TPU v7 ramp with GOOGL + Tomahawk 6 volume + new OpenAI customer. Funded multi-year buildout per rubric anchor.</t>
        </is>
      </c>
      <c r="F54" s="68" t="inlineStr">
        <is>
          <t>AVGO Q1 FY26 earnings transcript; FinancialContent coverage</t>
        </is>
      </c>
      <c r="G54" s="33" t="inlineStr">
        <is>
          <t>High</t>
        </is>
      </c>
      <c r="H54" s="33" t="inlineStr">
        <is>
          <t>Initial</t>
        </is>
      </c>
    </row>
    <row r="55">
      <c r="A55" s="33" t="inlineStr">
        <is>
          <t>2026-05-18</t>
        </is>
      </c>
      <c r="B55" s="33" t="inlineStr">
        <is>
          <t>AVGO</t>
        </is>
      </c>
      <c r="C55" s="33" t="inlineStr">
        <is>
          <t>D5</t>
        </is>
      </c>
      <c r="D55" s="33" t="n">
        <v>5</v>
      </c>
      <c r="E55" s="68" t="inlineStr">
        <is>
          <t>4+ hyperscaler/lab anchor customers confirmed: GOOGL (Ironwood TPU), META (MTIA), Anthropic ($21B order), OpenAI (new). &gt;30% combined revenue easily.</t>
        </is>
      </c>
      <c r="F55" s="68" t="inlineStr">
        <is>
          <t>AVGO Q1 FY26 customer disclosures</t>
        </is>
      </c>
      <c r="G55" s="33" t="inlineStr">
        <is>
          <t>High</t>
        </is>
      </c>
      <c r="H55" s="33" t="inlineStr">
        <is>
          <t>Initial</t>
        </is>
      </c>
    </row>
    <row r="56">
      <c r="A56" s="33" t="inlineStr">
        <is>
          <t>2026-05-18</t>
        </is>
      </c>
      <c r="B56" s="33" t="inlineStr">
        <is>
          <t>AVGO</t>
        </is>
      </c>
      <c r="C56" s="33" t="inlineStr">
        <is>
          <t>M1</t>
        </is>
      </c>
      <c r="D56" s="33" t="n">
        <v>5</v>
      </c>
      <c r="E56" s="68" t="inlineStr">
        <is>
          <t>Net positive revisions: 8 up / 0 down 30d on +1Y; FY revision +11.3%, +1Y +26.5% over 90d.</t>
        </is>
      </c>
      <c r="F56" s="68" t="inlineStr">
        <is>
          <t>yfinance eps_trend (2026-05-18)</t>
        </is>
      </c>
      <c r="G56" s="33" t="inlineStr">
        <is>
          <t>High</t>
        </is>
      </c>
      <c r="H56" s="33" t="inlineStr">
        <is>
          <t>Initial</t>
        </is>
      </c>
    </row>
    <row r="57">
      <c r="A57" s="33" t="inlineStr">
        <is>
          <t>2026-05-18</t>
        </is>
      </c>
      <c r="B57" s="33" t="inlineStr">
        <is>
          <t>AVGO</t>
        </is>
      </c>
      <c r="C57" s="33" t="inlineStr">
        <is>
          <t>M2</t>
        </is>
      </c>
      <c r="D57" s="33" t="n">
        <v>2</v>
      </c>
      <c r="E57" s="68" t="inlineStr">
        <is>
          <t>Lagging SOXX -57pp over 180d; -51pp over 365d. Big-cap mega-rally name in sector rotation. Same pattern as NVDA.</t>
        </is>
      </c>
      <c r="F57" s="68" t="inlineStr">
        <is>
          <t>yfinance prices AVGO vs SOXX (2026-05-18)</t>
        </is>
      </c>
      <c r="G57" s="33" t="inlineStr">
        <is>
          <t>High</t>
        </is>
      </c>
      <c r="H57" s="33" t="inlineStr">
        <is>
          <t>Initial</t>
        </is>
      </c>
    </row>
    <row r="58">
      <c r="A58" s="33" t="inlineStr">
        <is>
          <t>2026-05-18</t>
        </is>
      </c>
      <c r="B58" s="33" t="inlineStr">
        <is>
          <t>AVGO</t>
        </is>
      </c>
      <c r="C58" s="33" t="inlineStr">
        <is>
          <t>M3</t>
        </is>
      </c>
      <c r="D58" s="33" t="n">
        <v>4</v>
      </c>
      <c r="E58" s="68" t="inlineStr">
        <is>
          <t>Harry You (director) bought $800K worth across 3 open-market transactions Sep/Dec 2025. Single insider buying meaningfully = rubric 4. Not 5 because only one insider.</t>
        </is>
      </c>
      <c r="F58" s="68" t="inlineStr">
        <is>
          <t>scripts/parse_form4.py AVGO (2026-05-18)</t>
        </is>
      </c>
      <c r="G58" s="33" t="inlineStr">
        <is>
          <t>High</t>
        </is>
      </c>
      <c r="H58" s="33" t="inlineStr">
        <is>
          <t>Initial</t>
        </is>
      </c>
    </row>
    <row r="59">
      <c r="A59" s="33" t="inlineStr">
        <is>
          <t>2026-05-18</t>
        </is>
      </c>
      <c r="B59" s="33" t="inlineStr">
        <is>
          <t>AVGO</t>
        </is>
      </c>
      <c r="C59" s="33" t="inlineStr">
        <is>
          <t>R1</t>
        </is>
      </c>
      <c r="D59" s="33" t="n">
        <v>3</v>
      </c>
      <c r="E59" s="68" t="inlineStr">
        <is>
          <t>GOOGL ~25-30% of revenue (TPU concentration). Top customer in 25-40% band = rubric 3.</t>
        </is>
      </c>
      <c r="F59" s="68" t="inlineStr">
        <is>
          <t>AVGO 10-K customer disclosures</t>
        </is>
      </c>
      <c r="G59" s="33" t="inlineStr">
        <is>
          <t>High</t>
        </is>
      </c>
      <c r="H59" s="33" t="inlineStr">
        <is>
          <t>Initial</t>
        </is>
      </c>
    </row>
    <row r="60">
      <c r="A60" s="33" t="inlineStr">
        <is>
          <t>2026-05-18</t>
        </is>
      </c>
      <c r="B60" s="33" t="inlineStr">
        <is>
          <t>AVGO</t>
        </is>
      </c>
      <c r="C60" s="33" t="inlineStr">
        <is>
          <t>R2</t>
        </is>
      </c>
      <c r="D60" s="33" t="n">
        <v>4</v>
      </c>
      <c r="E60" s="68" t="inlineStr">
        <is>
          <t>Global business, some China but less export-control sensitivity than pure AI accelerators.</t>
        </is>
      </c>
      <c r="F60" s="68" t="inlineStr">
        <is>
          <t>AVGO 10-K Item 1A</t>
        </is>
      </c>
      <c r="G60" s="33" t="inlineStr">
        <is>
          <t>High</t>
        </is>
      </c>
      <c r="H60" s="33" t="inlineStr">
        <is>
          <t>Initial</t>
        </is>
      </c>
    </row>
    <row r="61">
      <c r="A61" s="33" t="inlineStr">
        <is>
          <t>2026-05-18</t>
        </is>
      </c>
      <c r="B61" s="33" t="inlineStr">
        <is>
          <t>AVGO</t>
        </is>
      </c>
      <c r="C61" s="33" t="inlineStr">
        <is>
          <t>R3</t>
        </is>
      </c>
      <c r="D61" s="33" t="n">
        <v>4</v>
      </c>
      <c r="E61" s="68" t="inlineStr">
        <is>
          <t>VERIFIED 2026-05-18: ND/EBITDA = 1.39x. Net debt $52B but EBITDA $37B + FCF $25.5B/yr deleveraging rapidly. Modest leverage per rubric 4.</t>
        </is>
      </c>
      <c r="F61" s="68" t="inlineStr">
        <is>
          <t>yfinance balance_sheet (2026-05-18)</t>
        </is>
      </c>
      <c r="G61" s="33" t="inlineStr">
        <is>
          <t>High</t>
        </is>
      </c>
      <c r="H61" s="33" t="inlineStr">
        <is>
          <t>Initial</t>
        </is>
      </c>
    </row>
    <row r="62">
      <c r="A62" s="33" t="inlineStr">
        <is>
          <t>2026-05-18</t>
        </is>
      </c>
      <c r="B62" s="33" t="inlineStr">
        <is>
          <t>AVGO</t>
        </is>
      </c>
      <c r="C62" s="33" t="inlineStr">
        <is>
          <t>R4</t>
        </is>
      </c>
      <c r="D62" s="33" t="n">
        <v>4</v>
      </c>
      <c r="E62" s="68" t="inlineStr">
        <is>
          <t>Routine matters; no material enforcement actions disclosed.</t>
        </is>
      </c>
      <c r="F62" s="68" t="inlineStr">
        <is>
          <t>AVGO 10-K Item 3</t>
        </is>
      </c>
      <c r="G62" s="33" t="inlineStr">
        <is>
          <t>High</t>
        </is>
      </c>
      <c r="H62" s="33" t="inlineStr">
        <is>
          <t>Initial</t>
        </is>
      </c>
    </row>
    <row r="63">
      <c r="A63" s="33" t="inlineStr">
        <is>
          <t>2026-05-18</t>
        </is>
      </c>
      <c r="B63" s="33" t="inlineStr">
        <is>
          <t>MRVL</t>
        </is>
      </c>
      <c r="C63" s="33" t="inlineStr">
        <is>
          <t>D1</t>
        </is>
      </c>
      <c r="D63" s="33" t="n">
        <v>5</v>
      </c>
      <c r="E63" s="68" t="inlineStr">
        <is>
          <t>Q1 FY26 AI revenue ~$3.5B annualized (~47%+ of total revenue). AI now 'majority of data center revenue' per Q1 call; trajectory accelerating.</t>
        </is>
      </c>
      <c r="F63" s="68" t="inlineStr">
        <is>
          <t>Marvell Q1 FY26 transcript/press; per-stock/MRVL/context-2026-05-18.md</t>
        </is>
      </c>
      <c r="G63" s="33" t="inlineStr">
        <is>
          <t>High</t>
        </is>
      </c>
      <c r="H63" s="33" t="inlineStr">
        <is>
          <t>Initial</t>
        </is>
      </c>
    </row>
    <row r="64">
      <c r="A64" s="33" t="inlineStr">
        <is>
          <t>2026-05-18</t>
        </is>
      </c>
      <c r="B64" s="33" t="inlineStr">
        <is>
          <t>MRVL</t>
        </is>
      </c>
      <c r="C64" s="33" t="inlineStr">
        <is>
          <t>D2</t>
        </is>
      </c>
      <c r="D64" s="33" t="n">
        <v>4</v>
      </c>
      <c r="E64" s="68" t="inlineStr">
        <is>
          <t>Duopoly with AVGO for high-end hyperscaler custom silicon. Strong position with 3 hyperscaler anchors. Not 5 because AVGO competes.</t>
        </is>
      </c>
      <c r="F64" s="68" t="inlineStr">
        <is>
          <t>Industry coverage Marvell vs Broadcom AI silicon</t>
        </is>
      </c>
      <c r="G64" s="33" t="inlineStr">
        <is>
          <t>High</t>
        </is>
      </c>
      <c r="H64" s="33" t="inlineStr">
        <is>
          <t>Initial</t>
        </is>
      </c>
    </row>
    <row r="65">
      <c r="A65" s="33" t="inlineStr">
        <is>
          <t>2026-05-18</t>
        </is>
      </c>
      <c r="B65" s="33" t="inlineStr">
        <is>
          <t>MRVL</t>
        </is>
      </c>
      <c r="C65" s="33" t="inlineStr">
        <is>
          <t>D3</t>
        </is>
      </c>
      <c r="D65" s="33" t="n">
        <v>4</v>
      </c>
      <c r="E65" s="68" t="inlineStr">
        <is>
          <t>Multi-generation customer integration (Maia 300 + Trainium 4 design partnerships). Optical DSP IP (Inphi) leadership. 3nm + advanced packaging capacity for 2026 secured.</t>
        </is>
      </c>
      <c r="F65" s="68" t="inlineStr">
        <is>
          <t>MRVL Q1 FY26 commentary; industry coverage</t>
        </is>
      </c>
      <c r="G65" s="33" t="inlineStr">
        <is>
          <t>High</t>
        </is>
      </c>
      <c r="H65" s="33" t="inlineStr">
        <is>
          <t>Initial</t>
        </is>
      </c>
    </row>
    <row r="66">
      <c r="A66" s="33" t="inlineStr">
        <is>
          <t>2026-05-18</t>
        </is>
      </c>
      <c r="B66" s="33" t="inlineStr">
        <is>
          <t>MRVL</t>
        </is>
      </c>
      <c r="C66" s="33" t="inlineStr">
        <is>
          <t>D4</t>
        </is>
      </c>
      <c r="D66" s="33" t="n">
        <v>5</v>
      </c>
      <c r="E66" s="68" t="inlineStr">
        <is>
          <t>3nm wafer + advanced packaging capacity secured for 2026 = funded multi-year buildout. Same partner-driven D4=5 logic as NVDA/AMD/AVGO.</t>
        </is>
      </c>
      <c r="F66" s="68" t="inlineStr">
        <is>
          <t>MRVL Q1 FY26 transcript</t>
        </is>
      </c>
      <c r="G66" s="33" t="inlineStr">
        <is>
          <t>High</t>
        </is>
      </c>
      <c r="H66" s="33" t="inlineStr">
        <is>
          <t>Initial</t>
        </is>
      </c>
    </row>
    <row r="67">
      <c r="A67" s="33" t="inlineStr">
        <is>
          <t>2026-05-18</t>
        </is>
      </c>
      <c r="B67" s="33" t="inlineStr">
        <is>
          <t>MRVL</t>
        </is>
      </c>
      <c r="C67" s="33" t="inlineStr">
        <is>
          <t>D5</t>
        </is>
      </c>
      <c r="D67" s="33" t="n">
        <v>5</v>
      </c>
      <c r="E67" s="68" t="inlineStr">
        <is>
          <t>3 hyperscaler anchor customers confirmed: AWS Trainium, Microsoft Maia (primary silicon partner), Meta DPUs. &gt;30% combined.</t>
        </is>
      </c>
      <c r="F67" s="68" t="inlineStr">
        <is>
          <t>MRVL Q1 FY26; industry coverage</t>
        </is>
      </c>
      <c r="G67" s="33" t="inlineStr">
        <is>
          <t>High</t>
        </is>
      </c>
      <c r="H67" s="33" t="inlineStr">
        <is>
          <t>Initial</t>
        </is>
      </c>
    </row>
    <row r="68">
      <c r="A68" s="33" t="inlineStr">
        <is>
          <t>2026-05-18</t>
        </is>
      </c>
      <c r="B68" s="33" t="inlineStr">
        <is>
          <t>MRVL</t>
        </is>
      </c>
      <c r="C68" s="33" t="inlineStr">
        <is>
          <t>M1</t>
        </is>
      </c>
      <c r="D68" s="33" t="n">
        <v>4</v>
      </c>
      <c r="E68" s="68" t="inlineStr">
        <is>
          <t>4 up / 1 down on +1Y revisions; +12.3% FY revision over 90d; +14.2% +1Y. Net positive but lower magnitude than band-5 names.</t>
        </is>
      </c>
      <c r="F68" s="68" t="inlineStr">
        <is>
          <t>yfinance eps_trend (2026-05-18)</t>
        </is>
      </c>
      <c r="G68" s="33" t="inlineStr">
        <is>
          <t>High</t>
        </is>
      </c>
      <c r="H68" s="33" t="inlineStr">
        <is>
          <t>Initial</t>
        </is>
      </c>
    </row>
    <row r="69">
      <c r="A69" s="33" t="inlineStr">
        <is>
          <t>2026-05-18</t>
        </is>
      </c>
      <c r="B69" s="33" t="inlineStr">
        <is>
          <t>MRVL</t>
        </is>
      </c>
      <c r="C69" s="33" t="inlineStr">
        <is>
          <t>M2</t>
        </is>
      </c>
      <c r="D69" s="33" t="n">
        <v>5</v>
      </c>
      <c r="E69" s="68" t="inlineStr">
        <is>
          <t>Outperforming SOXX +73pp over 90d; +34pp over 365d. Strong sector relative.</t>
        </is>
      </c>
      <c r="F69" s="68" t="inlineStr">
        <is>
          <t>yfinance prices MRVL vs SOXX (2026-05-18)</t>
        </is>
      </c>
      <c r="G69" s="33" t="inlineStr">
        <is>
          <t>High</t>
        </is>
      </c>
      <c r="H69" s="33" t="inlineStr">
        <is>
          <t>Initial</t>
        </is>
      </c>
    </row>
    <row r="70">
      <c r="A70" s="33" t="inlineStr">
        <is>
          <t>2026-05-18</t>
        </is>
      </c>
      <c r="B70" s="33" t="inlineStr">
        <is>
          <t>MRVL</t>
        </is>
      </c>
      <c r="C70" s="33" t="inlineStr">
        <is>
          <t>M3</t>
        </is>
      </c>
      <c r="D70" s="33" t="n">
        <v>5</v>
      </c>
      <c r="E70" s="68" t="inlineStr">
        <is>
          <t>RARE multi-insider open-market buy signal: Koopmans, Bharathi, Meintjes all bought 2025-09-25 at $78 (total ~$1.06M). Coordinated multi-insider buy = highest rubric M3 signal. Validated: stock now $167.</t>
        </is>
      </c>
      <c r="F70" s="68" t="inlineStr">
        <is>
          <t>scripts/parse_form4.py MRVL (2026-05-18)</t>
        </is>
      </c>
      <c r="G70" s="33" t="inlineStr">
        <is>
          <t>High</t>
        </is>
      </c>
      <c r="H70" s="33" t="inlineStr">
        <is>
          <t>Initial</t>
        </is>
      </c>
    </row>
    <row r="71">
      <c r="A71" s="33" t="inlineStr">
        <is>
          <t>2026-05-18</t>
        </is>
      </c>
      <c r="B71" s="33" t="inlineStr">
        <is>
          <t>MRVL</t>
        </is>
      </c>
      <c r="C71" s="33" t="inlineStr">
        <is>
          <t>R1</t>
        </is>
      </c>
      <c r="D71" s="33" t="n">
        <v>3</v>
      </c>
      <c r="E71" s="68" t="inlineStr">
        <is>
          <t>Top customer (AWS likely) ~25-30% of revenue. Concentrated.</t>
        </is>
      </c>
      <c r="F71" s="68" t="inlineStr">
        <is>
          <t>MRVL 10-K customer disclosures</t>
        </is>
      </c>
      <c r="G71" s="33" t="inlineStr">
        <is>
          <t>High</t>
        </is>
      </c>
      <c r="H71" s="33" t="inlineStr">
        <is>
          <t>Initial</t>
        </is>
      </c>
    </row>
    <row r="72">
      <c r="A72" s="33" t="inlineStr">
        <is>
          <t>2026-05-18</t>
        </is>
      </c>
      <c r="B72" s="33" t="inlineStr">
        <is>
          <t>MRVL</t>
        </is>
      </c>
      <c r="C72" s="33" t="inlineStr">
        <is>
          <t>R2</t>
        </is>
      </c>
      <c r="D72" s="33" t="n">
        <v>4</v>
      </c>
      <c r="E72" s="68" t="inlineStr">
        <is>
          <t>Global, some China revenue. Not heavily export-control exposed.</t>
        </is>
      </c>
      <c r="F72" s="68" t="inlineStr">
        <is>
          <t>MRVL 10-K</t>
        </is>
      </c>
      <c r="G72" s="33" t="inlineStr">
        <is>
          <t>High</t>
        </is>
      </c>
      <c r="H72" s="33" t="inlineStr">
        <is>
          <t>Initial</t>
        </is>
      </c>
    </row>
    <row r="73">
      <c r="A73" s="33" t="inlineStr">
        <is>
          <t>2026-05-18</t>
        </is>
      </c>
      <c r="B73" s="33" t="inlineStr">
        <is>
          <t>MRVL</t>
        </is>
      </c>
      <c r="C73" s="33" t="inlineStr">
        <is>
          <t>R3</t>
        </is>
      </c>
      <c r="D73" s="33" t="n">
        <v>4</v>
      </c>
      <c r="E73" s="68" t="inlineStr">
        <is>
          <t>Strong cash position. Modest leverage. FCF generative.</t>
        </is>
      </c>
      <c r="F73" s="68" t="inlineStr">
        <is>
          <t>yfinance balance_sheet (2026-05-18)</t>
        </is>
      </c>
      <c r="G73" s="33" t="inlineStr">
        <is>
          <t>High</t>
        </is>
      </c>
      <c r="H73" s="33" t="inlineStr">
        <is>
          <t>Initial</t>
        </is>
      </c>
    </row>
    <row r="74">
      <c r="A74" s="33" t="inlineStr">
        <is>
          <t>2026-05-18</t>
        </is>
      </c>
      <c r="B74" s="33" t="inlineStr">
        <is>
          <t>MRVL</t>
        </is>
      </c>
      <c r="C74" s="33" t="inlineStr">
        <is>
          <t>R4</t>
        </is>
      </c>
      <c r="D74" s="33" t="n">
        <v>4</v>
      </c>
      <c r="E74" s="68" t="inlineStr">
        <is>
          <t>Routine.</t>
        </is>
      </c>
      <c r="F74" s="68" t="inlineStr">
        <is>
          <t>MRVL 10-K Item 3</t>
        </is>
      </c>
      <c r="G74" s="33" t="inlineStr">
        <is>
          <t>High</t>
        </is>
      </c>
      <c r="H74" s="33" t="inlineStr">
        <is>
          <t>Initial</t>
        </is>
      </c>
    </row>
    <row r="75">
      <c r="A75" s="33" t="inlineStr">
        <is>
          <t>2026-05-18</t>
        </is>
      </c>
      <c r="B75" s="33" t="inlineStr">
        <is>
          <t>ALAB</t>
        </is>
      </c>
      <c r="C75" s="33" t="inlineStr">
        <is>
          <t>D1</t>
        </is>
      </c>
      <c r="D75" s="33" t="n">
        <v>5</v>
      </c>
      <c r="E75" s="68" t="inlineStr">
        <is>
          <t>Essentially 100% AI/data center revenue (retimers + Scorpio AI fabric + Aries PCIe Gen 6). +93% Q1 YoY growth structural to AI cluster buildout.</t>
        </is>
      </c>
      <c r="F75" s="68" t="inlineStr">
        <is>
          <t>ALAB Q1 2026 transcript; per-stock/ALAB/context-2026-05-18.md</t>
        </is>
      </c>
      <c r="G75" s="33" t="inlineStr">
        <is>
          <t>High</t>
        </is>
      </c>
      <c r="H75" s="33" t="inlineStr">
        <is>
          <t>Initial</t>
        </is>
      </c>
    </row>
    <row r="76">
      <c r="A76" s="33" t="inlineStr">
        <is>
          <t>2026-05-18</t>
        </is>
      </c>
      <c r="B76" s="33" t="inlineStr">
        <is>
          <t>ALAB</t>
        </is>
      </c>
      <c r="C76" s="33" t="inlineStr">
        <is>
          <t>D2</t>
        </is>
      </c>
      <c r="D76" s="33" t="n">
        <v>5</v>
      </c>
      <c r="E76" s="68" t="inlineStr">
        <is>
          <t>Revised up from 3. Scorpio AI fabric switches becoming largest product by year-end; PCIe Gen 6 leadership; scale-up + scale-out adoption across AI cluster platforms = de-facto standard outside NVLink ecosystem.</t>
        </is>
      </c>
      <c r="F76" s="68" t="inlineStr">
        <is>
          <t>ALAB Q1 2026 + Futurum coverage; context briefing</t>
        </is>
      </c>
      <c r="G76" s="33" t="inlineStr">
        <is>
          <t>High</t>
        </is>
      </c>
      <c r="H76" s="33" t="inlineStr">
        <is>
          <t>Initial</t>
        </is>
      </c>
    </row>
    <row r="77">
      <c r="A77" s="33" t="inlineStr">
        <is>
          <t>2026-05-18</t>
        </is>
      </c>
      <c r="B77" s="33" t="inlineStr">
        <is>
          <t>ALAB</t>
        </is>
      </c>
      <c r="C77" s="33" t="inlineStr">
        <is>
          <t>D3</t>
        </is>
      </c>
      <c r="D77" s="33" t="n">
        <v>4</v>
      </c>
      <c r="E77" s="68" t="inlineStr">
        <is>
          <t>Revised up from 3. Hardware-accelerated Hypercast + in-network compute engines = unique IP (2x boost on collective operations). Customer integration in scale-up platforms building moat.</t>
        </is>
      </c>
      <c r="F77" s="68" t="inlineStr">
        <is>
          <t>ALAB Q1 2026 product disclosures; context briefing</t>
        </is>
      </c>
      <c r="G77" s="33" t="inlineStr">
        <is>
          <t>High</t>
        </is>
      </c>
      <c r="H77" s="33" t="inlineStr">
        <is>
          <t>Initial</t>
        </is>
      </c>
    </row>
    <row r="78">
      <c r="A78" s="33" t="inlineStr">
        <is>
          <t>2026-05-18</t>
        </is>
      </c>
      <c r="B78" s="33" t="inlineStr">
        <is>
          <t>ALAB</t>
        </is>
      </c>
      <c r="C78" s="33" t="inlineStr">
        <is>
          <t>D4</t>
        </is>
      </c>
      <c r="D78" s="33" t="n">
        <v>5</v>
      </c>
      <c r="E78" s="68" t="inlineStr">
        <is>
          <t>93% YoY revenue growth + Scorpio volume ramp + Q2 guide accelerating. Funded multi-year deployment via hyperscaler commitments.</t>
        </is>
      </c>
      <c r="F78" s="68" t="inlineStr">
        <is>
          <t>ALAB Q1 2026 guidance</t>
        </is>
      </c>
      <c r="G78" s="33" t="inlineStr">
        <is>
          <t>High</t>
        </is>
      </c>
      <c r="H78" s="33" t="inlineStr">
        <is>
          <t>Initial</t>
        </is>
      </c>
    </row>
    <row r="79">
      <c r="A79" s="33" t="inlineStr">
        <is>
          <t>2026-05-18</t>
        </is>
      </c>
      <c r="B79" s="33" t="inlineStr">
        <is>
          <t>ALAB</t>
        </is>
      </c>
      <c r="C79" s="33" t="inlineStr">
        <is>
          <t>D5</t>
        </is>
      </c>
      <c r="D79" s="33" t="n">
        <v>5</v>
      </c>
      <c r="E79" s="68" t="inlineStr">
        <is>
          <t>Universal AI cluster adoption across hyperscalers; standard interconnect for AI servers beyond NVDA ecosystem.</t>
        </is>
      </c>
      <c r="F79" s="68" t="inlineStr">
        <is>
          <t>ALAB Q1 2026 commentary</t>
        </is>
      </c>
      <c r="G79" s="33" t="inlineStr">
        <is>
          <t>High</t>
        </is>
      </c>
      <c r="H79" s="33" t="inlineStr">
        <is>
          <t>Initial</t>
        </is>
      </c>
    </row>
    <row r="80">
      <c r="A80" s="33" t="inlineStr">
        <is>
          <t>2026-05-18</t>
        </is>
      </c>
      <c r="B80" s="33" t="inlineStr">
        <is>
          <t>ALAB</t>
        </is>
      </c>
      <c r="C80" s="33" t="inlineStr">
        <is>
          <t>M1</t>
        </is>
      </c>
      <c r="D80" s="33" t="n">
        <v>5</v>
      </c>
      <c r="E80" s="68" t="inlineStr">
        <is>
          <t>20 up / 0 down 30d on +1Y; FY revision +26.2%; +1Y +28.4%. Textbook beat-and-raise.</t>
        </is>
      </c>
      <c r="F80" s="68" t="inlineStr">
        <is>
          <t>yfinance eps_trend (2026-05-18)</t>
        </is>
      </c>
      <c r="G80" s="33" t="inlineStr">
        <is>
          <t>High</t>
        </is>
      </c>
      <c r="H80" s="33" t="inlineStr">
        <is>
          <t>Initial</t>
        </is>
      </c>
    </row>
    <row r="81">
      <c r="A81" s="33" t="inlineStr">
        <is>
          <t>2026-05-18</t>
        </is>
      </c>
      <c r="B81" s="33" t="inlineStr">
        <is>
          <t>ALAB</t>
        </is>
      </c>
      <c r="C81" s="33" t="inlineStr">
        <is>
          <t>M2</t>
        </is>
      </c>
      <c r="D81" s="33" t="n">
        <v>3</v>
      </c>
      <c r="E81" s="68" t="inlineStr">
        <is>
          <t>Mixed: +34pp over 90d, -25pp over 180d, +3pp over 365d. In-line with sector overall.</t>
        </is>
      </c>
      <c r="F81" s="68" t="inlineStr">
        <is>
          <t>yfinance prices ALAB vs SOXX (2026-05-18)</t>
        </is>
      </c>
      <c r="G81" s="33" t="inlineStr">
        <is>
          <t>High</t>
        </is>
      </c>
      <c r="H81" s="33" t="inlineStr">
        <is>
          <t>Initial</t>
        </is>
      </c>
    </row>
    <row r="82">
      <c r="A82" s="33" t="inlineStr">
        <is>
          <t>2026-05-18</t>
        </is>
      </c>
      <c r="B82" s="33" t="inlineStr">
        <is>
          <t>ALAB</t>
        </is>
      </c>
      <c r="C82" s="33" t="inlineStr">
        <is>
          <t>M3</t>
        </is>
      </c>
      <c r="D82" s="33" t="n">
        <v>2</v>
      </c>
      <c r="E82" s="68" t="inlineStr">
        <is>
          <t>0 open-market buys despite -14.9% drawdown from 52w high. 61 discretionary sells + 289 10b5-1. Absence-of-buying-during-drawdown tiebreaker applies = 2.</t>
        </is>
      </c>
      <c r="F82" s="68" t="inlineStr">
        <is>
          <t>scripts/parse_form4.py ALAB (2026-05-18)</t>
        </is>
      </c>
      <c r="G82" s="33" t="inlineStr">
        <is>
          <t>High</t>
        </is>
      </c>
      <c r="H82" s="33" t="inlineStr">
        <is>
          <t>Initial</t>
        </is>
      </c>
    </row>
    <row r="83">
      <c r="A83" s="33" t="inlineStr">
        <is>
          <t>2026-05-18</t>
        </is>
      </c>
      <c r="B83" s="33" t="inlineStr">
        <is>
          <t>ALAB</t>
        </is>
      </c>
      <c r="C83" s="33" t="inlineStr">
        <is>
          <t>R1</t>
        </is>
      </c>
      <c r="D83" s="33" t="n">
        <v>2</v>
      </c>
      <c r="E83" s="68" t="inlineStr">
        <is>
          <t>Top hyperscaler customers combined &gt;40% of revenue. Heavy concentration.</t>
        </is>
      </c>
      <c r="F83" s="68" t="inlineStr">
        <is>
          <t>ALAB 10-K customer disclosures</t>
        </is>
      </c>
      <c r="G83" s="33" t="inlineStr">
        <is>
          <t>High</t>
        </is>
      </c>
      <c r="H83" s="33" t="inlineStr">
        <is>
          <t>Initial</t>
        </is>
      </c>
    </row>
    <row r="84">
      <c r="A84" s="33" t="inlineStr">
        <is>
          <t>2026-05-18</t>
        </is>
      </c>
      <c r="B84" s="33" t="inlineStr">
        <is>
          <t>ALAB</t>
        </is>
      </c>
      <c r="C84" s="33" t="inlineStr">
        <is>
          <t>R2</t>
        </is>
      </c>
      <c r="D84" s="33" t="n">
        <v>5</v>
      </c>
      <c r="E84" s="68" t="inlineStr">
        <is>
          <t>Mostly US, some Taiwan. No export controls, no problematic exposure.</t>
        </is>
      </c>
      <c r="F84" s="68" t="inlineStr">
        <is>
          <t>ALAB 10-K</t>
        </is>
      </c>
      <c r="G84" s="33" t="inlineStr">
        <is>
          <t>High</t>
        </is>
      </c>
      <c r="H84" s="33" t="inlineStr">
        <is>
          <t>Initial</t>
        </is>
      </c>
    </row>
    <row r="85">
      <c r="A85" s="33" t="inlineStr">
        <is>
          <t>2026-05-18</t>
        </is>
      </c>
      <c r="B85" s="33" t="inlineStr">
        <is>
          <t>ALAB</t>
        </is>
      </c>
      <c r="C85" s="33" t="inlineStr">
        <is>
          <t>R3</t>
        </is>
      </c>
      <c r="D85" s="33" t="n">
        <v>5</v>
      </c>
      <c r="E85" s="68" t="inlineStr">
        <is>
          <t>Cash-rich post-IPO. Net cash position.</t>
        </is>
      </c>
      <c r="F85" s="68" t="inlineStr">
        <is>
          <t>yfinance balance_sheet</t>
        </is>
      </c>
      <c r="G85" s="33" t="inlineStr">
        <is>
          <t>High</t>
        </is>
      </c>
      <c r="H85" s="33" t="inlineStr">
        <is>
          <t>Initial</t>
        </is>
      </c>
    </row>
    <row r="86">
      <c r="A86" s="33" t="inlineStr">
        <is>
          <t>2026-05-18</t>
        </is>
      </c>
      <c r="B86" s="33" t="inlineStr">
        <is>
          <t>ALAB</t>
        </is>
      </c>
      <c r="C86" s="33" t="inlineStr">
        <is>
          <t>R4</t>
        </is>
      </c>
      <c r="D86" s="33" t="n">
        <v>4</v>
      </c>
      <c r="E86" s="68" t="inlineStr">
        <is>
          <t>Routine.</t>
        </is>
      </c>
      <c r="F86" s="68" t="inlineStr">
        <is>
          <t>ALAB 10-K Item 3</t>
        </is>
      </c>
      <c r="G86" s="33" t="inlineStr">
        <is>
          <t>High</t>
        </is>
      </c>
      <c r="H86" s="33" t="inlineStr">
        <is>
          <t>Initial</t>
        </is>
      </c>
    </row>
    <row r="87">
      <c r="A87" s="33" t="inlineStr">
        <is>
          <t>2026-05-18</t>
        </is>
      </c>
      <c r="B87" s="33" t="inlineStr">
        <is>
          <t>SNDK</t>
        </is>
      </c>
      <c r="C87" s="33" t="inlineStr">
        <is>
          <t>D1</t>
        </is>
      </c>
      <c r="D87" s="33" t="n">
        <v>4</v>
      </c>
      <c r="E87" s="68" t="inlineStr">
        <is>
          <t>Revised from 2 → 3 (Aschenbrenner thesis) → 4 (fresh research). Data center revenue +26% sequentially, AI explicitly called out as majority growth driver. ESSD demand outpaces supply 2026+.</t>
        </is>
      </c>
      <c r="F87" s="68" t="inlineStr">
        <is>
          <t>SNDK Q1 FY26 transcript; per-stock/SNDK/context-2026-05-18.md</t>
        </is>
      </c>
      <c r="G87" s="33" t="inlineStr">
        <is>
          <t>High</t>
        </is>
      </c>
      <c r="H87" s="33" t="inlineStr">
        <is>
          <t>Initial</t>
        </is>
      </c>
    </row>
    <row r="88">
      <c r="A88" s="33" t="inlineStr">
        <is>
          <t>2026-05-18</t>
        </is>
      </c>
      <c r="B88" s="33" t="inlineStr">
        <is>
          <t>SNDK</t>
        </is>
      </c>
      <c r="C88" s="33" t="inlineStr">
        <is>
          <t>D2</t>
        </is>
      </c>
      <c r="D88" s="33" t="n">
        <v>4</v>
      </c>
      <c r="E88" s="68" t="inlineStr">
        <is>
          <t>Revised from 2 → 3 → 4. NAND consolidated to 5 players, supply-demand structurally tight, ESSD contract prices +33-38% Q/Q. Pricing power evident. HBF qualification with hyperscalers gives next-gen position.</t>
        </is>
      </c>
      <c r="F88" s="68" t="inlineStr">
        <is>
          <t>SNDK Q1 FY26 + analyst coverage; context briefing</t>
        </is>
      </c>
      <c r="G88" s="33" t="inlineStr">
        <is>
          <t>High</t>
        </is>
      </c>
      <c r="H88" s="33" t="inlineStr">
        <is>
          <t>Initial</t>
        </is>
      </c>
    </row>
    <row r="89">
      <c r="A89" s="33" t="inlineStr">
        <is>
          <t>2026-05-18</t>
        </is>
      </c>
      <c r="B89" s="33" t="inlineStr">
        <is>
          <t>SNDK</t>
        </is>
      </c>
      <c r="C89" s="33" t="inlineStr">
        <is>
          <t>D3</t>
        </is>
      </c>
      <c r="D89" s="33" t="n">
        <v>3</v>
      </c>
      <c r="E89" s="68" t="inlineStr">
        <is>
          <t>BiCS 8 density advantage + HBF qualification = differentiation. NAND tech itself remains commoditizable; SNDK doesn't have CUDA-class moat. Mid-tier rubric.</t>
        </is>
      </c>
      <c r="F89" s="68" t="inlineStr">
        <is>
          <t>SNDK Q1 FY26 product disclosures</t>
        </is>
      </c>
      <c r="G89" s="33" t="inlineStr">
        <is>
          <t>High</t>
        </is>
      </c>
      <c r="H89" s="33" t="inlineStr">
        <is>
          <t>Initial</t>
        </is>
      </c>
    </row>
    <row r="90">
      <c r="A90" s="33" t="inlineStr">
        <is>
          <t>2026-05-18</t>
        </is>
      </c>
      <c r="B90" s="33" t="inlineStr">
        <is>
          <t>SNDK</t>
        </is>
      </c>
      <c r="C90" s="33" t="inlineStr">
        <is>
          <t>D4</t>
        </is>
      </c>
      <c r="D90" s="33" t="n">
        <v>4</v>
      </c>
      <c r="E90" s="68" t="inlineStr">
        <is>
          <t>Aggressive BiCS 8 transition (15% Q1 → majority by end FY26) via Kioxia JV. Multi-year customer volume commitments.</t>
        </is>
      </c>
      <c r="F90" s="68" t="inlineStr">
        <is>
          <t>SNDK Q1 FY26 capex commentary</t>
        </is>
      </c>
      <c r="G90" s="33" t="inlineStr">
        <is>
          <t>High</t>
        </is>
      </c>
      <c r="H90" s="33" t="inlineStr">
        <is>
          <t>Initial</t>
        </is>
      </c>
    </row>
    <row r="91">
      <c r="A91" s="33" t="inlineStr">
        <is>
          <t>2026-05-18</t>
        </is>
      </c>
      <c r="B91" s="33" t="inlineStr">
        <is>
          <t>SNDK</t>
        </is>
      </c>
      <c r="C91" s="33" t="inlineStr">
        <is>
          <t>D5</t>
        </is>
      </c>
      <c r="D91" s="33" t="n">
        <v>4</v>
      </c>
      <c r="E91" s="68" t="inlineStr">
        <is>
          <t>Revised from 3 → 4 with fresh research: HBF qualification with multiple hyperscalers + data center growth led by hyperscaler demand + multi-year customer commitments.</t>
        </is>
      </c>
      <c r="F91" s="68" t="inlineStr">
        <is>
          <t>SNDK Q1 FY26 customer commentary; context briefing</t>
        </is>
      </c>
      <c r="G91" s="33" t="inlineStr">
        <is>
          <t>High</t>
        </is>
      </c>
      <c r="H91" s="33" t="inlineStr">
        <is>
          <t>Initial</t>
        </is>
      </c>
    </row>
    <row r="92">
      <c r="A92" s="33" t="inlineStr">
        <is>
          <t>2026-05-18</t>
        </is>
      </c>
      <c r="B92" s="33" t="inlineStr">
        <is>
          <t>SNDK</t>
        </is>
      </c>
      <c r="C92" s="33" t="inlineStr">
        <is>
          <t>M1</t>
        </is>
      </c>
      <c r="D92" s="33" t="n">
        <v>5</v>
      </c>
      <c r="E92" s="68" t="inlineStr">
        <is>
          <t>16 up / 0 down 30d on +1Y. FY revision +64.8%, +1Y +123.6%. Massive upward revisions.</t>
        </is>
      </c>
      <c r="F92" s="68" t="inlineStr">
        <is>
          <t>yfinance eps_trend (2026-05-18)</t>
        </is>
      </c>
      <c r="G92" s="33" t="inlineStr">
        <is>
          <t>High</t>
        </is>
      </c>
      <c r="H92" s="33" t="inlineStr">
        <is>
          <t>Initial</t>
        </is>
      </c>
    </row>
    <row r="93">
      <c r="A93" s="33" t="inlineStr">
        <is>
          <t>2026-05-18</t>
        </is>
      </c>
      <c r="B93" s="33" t="inlineStr">
        <is>
          <t>SNDK</t>
        </is>
      </c>
      <c r="C93" s="33" t="inlineStr">
        <is>
          <t>M2</t>
        </is>
      </c>
      <c r="D93" s="33" t="n">
        <v>5</v>
      </c>
      <c r="E93" s="68" t="inlineStr">
        <is>
          <t>Per-spin distortion makes long-window comparisons artifacts. 30d (+24pp) and 90d (+80pp) cleanly in band 5.</t>
        </is>
      </c>
      <c r="F93" s="68" t="inlineStr">
        <is>
          <t>yfinance prices SNDK vs SOXX (2026-05-18); pre-spin data caveat</t>
        </is>
      </c>
      <c r="G93" s="33" t="inlineStr">
        <is>
          <t>High</t>
        </is>
      </c>
      <c r="H93" s="33" t="inlineStr">
        <is>
          <t>Initial</t>
        </is>
      </c>
    </row>
    <row r="94">
      <c r="A94" s="33" t="inlineStr">
        <is>
          <t>2026-05-18</t>
        </is>
      </c>
      <c r="B94" s="33" t="inlineStr">
        <is>
          <t>SNDK</t>
        </is>
      </c>
      <c r="C94" s="33" t="inlineStr">
        <is>
          <t>M3</t>
        </is>
      </c>
      <c r="D94" s="33" t="n">
        <v>3</v>
      </c>
      <c r="E94" s="68" t="inlineStr">
        <is>
          <t>Very low insider activity overall: 4 discretionary sells, 0 10b5-1 plans, 0 buys. Stock at -16.9% drawdown but only 4 sell transactions total = not material selling. Default 3.</t>
        </is>
      </c>
      <c r="F94" s="68" t="inlineStr">
        <is>
          <t>scripts/parse_form4.py SNDK (2026-05-18)</t>
        </is>
      </c>
      <c r="G94" s="33" t="inlineStr">
        <is>
          <t>High</t>
        </is>
      </c>
      <c r="H94" s="33" t="inlineStr">
        <is>
          <t>Initial</t>
        </is>
      </c>
    </row>
    <row r="95">
      <c r="A95" s="33" t="inlineStr">
        <is>
          <t>2026-05-18</t>
        </is>
      </c>
      <c r="B95" s="33" t="inlineStr">
        <is>
          <t>SNDK</t>
        </is>
      </c>
      <c r="C95" s="33" t="inlineStr">
        <is>
          <t>R1</t>
        </is>
      </c>
      <c r="D95" s="33" t="n">
        <v>4</v>
      </c>
      <c r="E95" s="68" t="inlineStr">
        <is>
          <t>Diversified across enterprise + consumer + cloud.</t>
        </is>
      </c>
      <c r="F95" s="68" t="inlineStr">
        <is>
          <t>SNDK 10-K customer mix</t>
        </is>
      </c>
      <c r="G95" s="33" t="inlineStr">
        <is>
          <t>High</t>
        </is>
      </c>
      <c r="H95" s="33" t="inlineStr">
        <is>
          <t>Initial</t>
        </is>
      </c>
    </row>
    <row r="96">
      <c r="A96" s="33" t="inlineStr">
        <is>
          <t>2026-05-18</t>
        </is>
      </c>
      <c r="B96" s="33" t="inlineStr">
        <is>
          <t>SNDK</t>
        </is>
      </c>
      <c r="C96" s="33" t="inlineStr">
        <is>
          <t>R2</t>
        </is>
      </c>
      <c r="D96" s="33" t="n">
        <v>4</v>
      </c>
      <c r="E96" s="68" t="inlineStr">
        <is>
          <t>Manufacturing via Kioxia JV (Japan); global sales. Moderate.</t>
        </is>
      </c>
      <c r="F96" s="68" t="inlineStr">
        <is>
          <t>SNDK 10-K Item 1</t>
        </is>
      </c>
      <c r="G96" s="33" t="inlineStr">
        <is>
          <t>High</t>
        </is>
      </c>
      <c r="H96" s="33" t="inlineStr">
        <is>
          <t>Initial</t>
        </is>
      </c>
    </row>
    <row r="97">
      <c r="A97" s="33" t="inlineStr">
        <is>
          <t>2026-05-18</t>
        </is>
      </c>
      <c r="B97" s="33" t="inlineStr">
        <is>
          <t>SNDK</t>
        </is>
      </c>
      <c r="C97" s="33" t="inlineStr">
        <is>
          <t>R3</t>
        </is>
      </c>
      <c r="D97" s="33" t="n">
        <v>5</v>
      </c>
      <c r="E97" s="68" t="inlineStr">
        <is>
          <t>VERIFIED 2026-05-18: NET CASH position. Total debt $0.21B, cash $3.74B → -$3.5B net debt. ND/EBITDA -0.63x. Current ratio 4.78. Spinoff left WDC with historical debt.</t>
        </is>
      </c>
      <c r="F97" s="68" t="inlineStr">
        <is>
          <t>yfinance balance_sheet (2026-05-18)</t>
        </is>
      </c>
      <c r="G97" s="33" t="inlineStr">
        <is>
          <t>High</t>
        </is>
      </c>
      <c r="H97" s="33" t="inlineStr">
        <is>
          <t>Initial</t>
        </is>
      </c>
    </row>
    <row r="98">
      <c r="A98" s="33" t="inlineStr">
        <is>
          <t>2026-05-18</t>
        </is>
      </c>
      <c r="B98" s="33" t="inlineStr">
        <is>
          <t>SNDK</t>
        </is>
      </c>
      <c r="C98" s="33" t="inlineStr">
        <is>
          <t>R4</t>
        </is>
      </c>
      <c r="D98" s="33" t="n">
        <v>4</v>
      </c>
      <c r="E98" s="68" t="inlineStr">
        <is>
          <t>Routine.</t>
        </is>
      </c>
      <c r="F98" s="68" t="inlineStr">
        <is>
          <t>SNDK 10-K Item 3</t>
        </is>
      </c>
      <c r="G98" s="33" t="inlineStr">
        <is>
          <t>High</t>
        </is>
      </c>
      <c r="H98" s="33" t="inlineStr">
        <is>
          <t>Initial</t>
        </is>
      </c>
    </row>
    <row r="99">
      <c r="A99" s="33" t="inlineStr">
        <is>
          <t>2026-05-18</t>
        </is>
      </c>
      <c r="B99" s="33" t="inlineStr">
        <is>
          <t>COHR</t>
        </is>
      </c>
      <c r="C99" s="33" t="inlineStr">
        <is>
          <t>D1</t>
        </is>
      </c>
      <c r="D99" s="33" t="n">
        <v>4</v>
      </c>
      <c r="E99" s="68" t="inlineStr">
        <is>
          <t>Datacom+Comms +26% YoY, AI demand sustained per Q1 FY26 record bookings &gt;1yr out. ~30-40% AI-tied.</t>
        </is>
      </c>
      <c r="F99" s="68" t="inlineStr">
        <is>
          <t>Coherent Q1 FY26 8-K + Futurum/Investing coverage (2026-05-18)</t>
        </is>
      </c>
      <c r="G99" s="33" t="inlineStr">
        <is>
          <t>High</t>
        </is>
      </c>
      <c r="H99" s="33" t="inlineStr">
        <is>
          <t>Initial</t>
        </is>
      </c>
    </row>
    <row r="100">
      <c r="A100" s="33" t="inlineStr">
        <is>
          <t>2026-05-18</t>
        </is>
      </c>
      <c r="B100" s="33" t="inlineStr">
        <is>
          <t>COHR</t>
        </is>
      </c>
      <c r="C100" s="33" t="inlineStr">
        <is>
          <t>D2</t>
        </is>
      </c>
      <c r="D100" s="33" t="n">
        <v>4</v>
      </c>
      <c r="E100" s="68" t="inlineStr">
        <is>
          <t>Optical components leadership, 6-inch InP capacity expansion, 1.6T silicon photonics + EML ramping.</t>
        </is>
      </c>
      <c r="F100" s="68" t="inlineStr">
        <is>
          <t>Coherent Q1 FY26 8-K + Futurum/Investing coverage (2026-05-18)</t>
        </is>
      </c>
      <c r="G100" s="33" t="inlineStr">
        <is>
          <t>High</t>
        </is>
      </c>
      <c r="H100" s="33" t="inlineStr">
        <is>
          <t>Initial</t>
        </is>
      </c>
    </row>
    <row r="101">
      <c r="A101" s="33" t="inlineStr">
        <is>
          <t>2026-05-18</t>
        </is>
      </c>
      <c r="B101" s="33" t="inlineStr">
        <is>
          <t>COHR</t>
        </is>
      </c>
      <c r="C101" s="33" t="inlineStr">
        <is>
          <t>D3</t>
        </is>
      </c>
      <c r="D101" s="33" t="n">
        <v>4</v>
      </c>
      <c r="E101" s="68" t="inlineStr">
        <is>
          <t>II-VI+Coherent merger gives IP + scale lead in optical components; sticky customer integration.</t>
        </is>
      </c>
      <c r="F101" s="68" t="inlineStr">
        <is>
          <t>Coherent Q1 FY26 8-K + Futurum/Investing coverage (2026-05-18)</t>
        </is>
      </c>
      <c r="G101" s="33" t="inlineStr">
        <is>
          <t>High</t>
        </is>
      </c>
      <c r="H101" s="33" t="inlineStr">
        <is>
          <t>Initial</t>
        </is>
      </c>
    </row>
    <row r="102">
      <c r="A102" s="33" t="inlineStr">
        <is>
          <t>2026-05-18</t>
        </is>
      </c>
      <c r="B102" s="33" t="inlineStr">
        <is>
          <t>COHR</t>
        </is>
      </c>
      <c r="C102" s="33" t="inlineStr">
        <is>
          <t>D4</t>
        </is>
      </c>
      <c r="D102" s="33" t="n">
        <v>5</v>
      </c>
      <c r="E102" s="68" t="inlineStr">
        <is>
          <t>World's first 6-inch indium phosphide line + 1.6T capacity ramping with multi-year orders backing.</t>
        </is>
      </c>
      <c r="F102" s="68" t="inlineStr">
        <is>
          <t>Coherent Q1 FY26 8-K + Futurum/Investing coverage (2026-05-18)</t>
        </is>
      </c>
      <c r="G102" s="33" t="inlineStr">
        <is>
          <t>High</t>
        </is>
      </c>
      <c r="H102" s="33" t="inlineStr">
        <is>
          <t>Initial</t>
        </is>
      </c>
    </row>
    <row r="103">
      <c r="A103" s="33" t="inlineStr">
        <is>
          <t>2026-05-18</t>
        </is>
      </c>
      <c r="B103" s="33" t="inlineStr">
        <is>
          <t>COHR</t>
        </is>
      </c>
      <c r="C103" s="33" t="inlineStr">
        <is>
          <t>D5</t>
        </is>
      </c>
      <c r="D103" s="33" t="n">
        <v>4</v>
      </c>
      <c r="E103" s="68" t="inlineStr">
        <is>
          <t>Hyperscaler datacom customers; record bookings indicate AI infrastructure anchor relationships.</t>
        </is>
      </c>
      <c r="F103" s="68" t="inlineStr">
        <is>
          <t>Coherent Q1 FY26 8-K + Futurum/Investing coverage (2026-05-18)</t>
        </is>
      </c>
      <c r="G103" s="33" t="inlineStr">
        <is>
          <t>High</t>
        </is>
      </c>
      <c r="H103" s="33" t="inlineStr">
        <is>
          <t>Initial</t>
        </is>
      </c>
    </row>
    <row r="104">
      <c r="A104" s="33" t="inlineStr">
        <is>
          <t>2026-05-18</t>
        </is>
      </c>
      <c r="B104" s="33" t="inlineStr">
        <is>
          <t>COHR</t>
        </is>
      </c>
      <c r="C104" s="33" t="inlineStr">
        <is>
          <t>M1</t>
        </is>
      </c>
      <c r="D104" s="33" t="n">
        <v>4</v>
      </c>
      <c r="E104" s="68" t="inlineStr">
        <is>
          <t>11 up / 1 down on +1Y EPS revisions (30d); FY revision +1.5% — net positive but modest magnitude.</t>
        </is>
      </c>
      <c r="F104" s="68" t="inlineStr">
        <is>
          <t>Coherent Q1 FY26 8-K + Futurum/Investing coverage (2026-05-18)</t>
        </is>
      </c>
      <c r="G104" s="33" t="inlineStr">
        <is>
          <t>High</t>
        </is>
      </c>
      <c r="H104" s="33" t="inlineStr">
        <is>
          <t>Initial</t>
        </is>
      </c>
    </row>
    <row r="105">
      <c r="A105" s="33" t="inlineStr">
        <is>
          <t>2026-05-18</t>
        </is>
      </c>
      <c r="B105" s="33" t="inlineStr">
        <is>
          <t>COHR</t>
        </is>
      </c>
      <c r="C105" s="33" t="inlineStr">
        <is>
          <t>M2</t>
        </is>
      </c>
      <c r="D105" s="33" t="n">
        <v>5</v>
      </c>
      <c r="E105" s="68" t="inlineStr">
        <is>
          <t>+75pp vs SOXX over 180d, +217pp over 365d. Strongly leading semis benchmark.</t>
        </is>
      </c>
      <c r="F105" s="68" t="inlineStr">
        <is>
          <t>Coherent Q1 FY26 8-K + Futurum/Investing coverage (2026-05-18)</t>
        </is>
      </c>
      <c r="G105" s="33" t="inlineStr">
        <is>
          <t>High</t>
        </is>
      </c>
      <c r="H105" s="33" t="inlineStr">
        <is>
          <t>Initial</t>
        </is>
      </c>
    </row>
    <row r="106">
      <c r="A106" s="33" t="inlineStr">
        <is>
          <t>2026-05-18</t>
        </is>
      </c>
      <c r="B106" s="33" t="inlineStr">
        <is>
          <t>COHR</t>
        </is>
      </c>
      <c r="C106" s="33" t="inlineStr">
        <is>
          <t>M3</t>
        </is>
      </c>
      <c r="D106" s="33" t="n">
        <v>3</v>
      </c>
      <c r="E106" s="68" t="inlineStr">
        <is>
          <t>28 disc + 21 10b5-1 sales, 0 open-market buys. No drawdown context. Default routine activity.</t>
        </is>
      </c>
      <c r="F106" s="68" t="inlineStr">
        <is>
          <t>Coherent Q1 FY26 8-K + Futurum/Investing coverage (2026-05-18)</t>
        </is>
      </c>
      <c r="G106" s="33" t="inlineStr">
        <is>
          <t>High</t>
        </is>
      </c>
      <c r="H106" s="33" t="inlineStr">
        <is>
          <t>Initial</t>
        </is>
      </c>
    </row>
    <row r="107">
      <c r="A107" s="33" t="inlineStr">
        <is>
          <t>2026-05-18</t>
        </is>
      </c>
      <c r="B107" s="33" t="inlineStr">
        <is>
          <t>COHR</t>
        </is>
      </c>
      <c r="C107" s="33" t="inlineStr">
        <is>
          <t>R1</t>
        </is>
      </c>
      <c r="D107" s="33" t="n">
        <v>4</v>
      </c>
      <c r="E107" s="68" t="inlineStr">
        <is>
          <t>Diversified across optical end-markets (datacom, telecom, lasers).</t>
        </is>
      </c>
      <c r="F107" s="68" t="inlineStr">
        <is>
          <t>Coherent Q1 FY26 8-K + Futurum/Investing coverage (2026-05-18)</t>
        </is>
      </c>
      <c r="G107" s="33" t="inlineStr">
        <is>
          <t>High</t>
        </is>
      </c>
      <c r="H107" s="33" t="inlineStr">
        <is>
          <t>Initial</t>
        </is>
      </c>
    </row>
    <row r="108">
      <c r="A108" s="33" t="inlineStr">
        <is>
          <t>2026-05-18</t>
        </is>
      </c>
      <c r="B108" s="33" t="inlineStr">
        <is>
          <t>COHR</t>
        </is>
      </c>
      <c r="C108" s="33" t="inlineStr">
        <is>
          <t>R2</t>
        </is>
      </c>
      <c r="D108" s="33" t="n">
        <v>4</v>
      </c>
      <c r="E108" s="68" t="inlineStr">
        <is>
          <t>Global, no problematic exposure.</t>
        </is>
      </c>
      <c r="F108" s="68" t="inlineStr">
        <is>
          <t>Coherent Q1 FY26 8-K + Futurum/Investing coverage (2026-05-18)</t>
        </is>
      </c>
      <c r="G108" s="33" t="inlineStr">
        <is>
          <t>High</t>
        </is>
      </c>
      <c r="H108" s="33" t="inlineStr">
        <is>
          <t>Initial</t>
        </is>
      </c>
    </row>
    <row r="109">
      <c r="A109" s="33" t="inlineStr">
        <is>
          <t>2026-05-18</t>
        </is>
      </c>
      <c r="B109" s="33" t="inlineStr">
        <is>
          <t>COHR</t>
        </is>
      </c>
      <c r="C109" s="33" t="inlineStr">
        <is>
          <t>R3</t>
        </is>
      </c>
      <c r="D109" s="33" t="n">
        <v>3</v>
      </c>
      <c r="E109" s="68" t="inlineStr">
        <is>
          <t>Modest leverage from II-VI deal still being deleveraged; FCF marginal.</t>
        </is>
      </c>
      <c r="F109" s="68" t="inlineStr">
        <is>
          <t>Coherent Q1 FY26 8-K + Futurum/Investing coverage (2026-05-18)</t>
        </is>
      </c>
      <c r="G109" s="33" t="inlineStr">
        <is>
          <t>High</t>
        </is>
      </c>
      <c r="H109" s="33" t="inlineStr">
        <is>
          <t>Initial</t>
        </is>
      </c>
    </row>
    <row r="110">
      <c r="A110" s="33" t="inlineStr">
        <is>
          <t>2026-05-18</t>
        </is>
      </c>
      <c r="B110" s="33" t="inlineStr">
        <is>
          <t>COHR</t>
        </is>
      </c>
      <c r="C110" s="33" t="inlineStr">
        <is>
          <t>R4</t>
        </is>
      </c>
      <c r="D110" s="33" t="n">
        <v>4</v>
      </c>
      <c r="E110" s="68" t="inlineStr">
        <is>
          <t>Routine.</t>
        </is>
      </c>
      <c r="F110" s="68" t="inlineStr">
        <is>
          <t>Coherent Q1 FY26 8-K + Futurum/Investing coverage (2026-05-18)</t>
        </is>
      </c>
      <c r="G110" s="33" t="inlineStr">
        <is>
          <t>High</t>
        </is>
      </c>
      <c r="H110" s="33" t="inlineStr">
        <is>
          <t>Initial</t>
        </is>
      </c>
    </row>
    <row r="111">
      <c r="A111" s="33" t="inlineStr">
        <is>
          <t>2026-05-18</t>
        </is>
      </c>
      <c r="B111" s="33" t="inlineStr">
        <is>
          <t>LITE</t>
        </is>
      </c>
      <c r="C111" s="33" t="inlineStr">
        <is>
          <t>D1</t>
        </is>
      </c>
      <c r="D111" s="33" t="n">
        <v>5</v>
      </c>
      <c r="E111" s="68" t="inlineStr">
        <is>
          <t>AI/cloud is 'majority of growth' per Q3 FY26 (+90% YoY revenue). Direct hyperscaler model.</t>
        </is>
      </c>
      <c r="F111" s="68" t="inlineStr">
        <is>
          <t>Lumentum Q3 FY26 8-K + NVDA $2B investment coverage (2026-05-18)</t>
        </is>
      </c>
      <c r="G111" s="33" t="inlineStr">
        <is>
          <t>High</t>
        </is>
      </c>
      <c r="H111" s="33" t="inlineStr">
        <is>
          <t>Initial</t>
        </is>
      </c>
    </row>
    <row r="112">
      <c r="A112" s="33" t="inlineStr">
        <is>
          <t>2026-05-18</t>
        </is>
      </c>
      <c r="B112" s="33" t="inlineStr">
        <is>
          <t>LITE</t>
        </is>
      </c>
      <c r="C112" s="33" t="inlineStr">
        <is>
          <t>D2</t>
        </is>
      </c>
      <c r="D112" s="33" t="n">
        <v>5</v>
      </c>
      <c r="E112" s="68" t="inlineStr">
        <is>
          <t>1.6T optics rollout + NVDA $2B investment + 30% under-shipping demand = bottleneck position.</t>
        </is>
      </c>
      <c r="F112" s="68" t="inlineStr">
        <is>
          <t>Lumentum Q3 FY26 8-K + NVDA $2B investment coverage (2026-05-18)</t>
        </is>
      </c>
      <c r="G112" s="33" t="inlineStr">
        <is>
          <t>High</t>
        </is>
      </c>
      <c r="H112" s="33" t="inlineStr">
        <is>
          <t>Initial</t>
        </is>
      </c>
    </row>
    <row r="113">
      <c r="A113" s="33" t="inlineStr">
        <is>
          <t>2026-05-18</t>
        </is>
      </c>
      <c r="B113" s="33" t="inlineStr">
        <is>
          <t>LITE</t>
        </is>
      </c>
      <c r="C113" s="33" t="inlineStr">
        <is>
          <t>D3</t>
        </is>
      </c>
      <c r="D113" s="33" t="n">
        <v>4</v>
      </c>
      <c r="E113" s="68" t="inlineStr">
        <is>
          <t>Optical laser IP (legacy), customer integration depth with hyperscalers + NVDA partnership.</t>
        </is>
      </c>
      <c r="F113" s="68" t="inlineStr">
        <is>
          <t>Lumentum Q3 FY26 8-K + NVDA $2B investment coverage (2026-05-18)</t>
        </is>
      </c>
      <c r="G113" s="33" t="inlineStr">
        <is>
          <t>High</t>
        </is>
      </c>
      <c r="H113" s="33" t="inlineStr">
        <is>
          <t>Initial</t>
        </is>
      </c>
    </row>
    <row r="114">
      <c r="A114" s="33" t="inlineStr">
        <is>
          <t>2026-05-18</t>
        </is>
      </c>
      <c r="B114" s="33" t="inlineStr">
        <is>
          <t>LITE</t>
        </is>
      </c>
      <c r="C114" s="33" t="inlineStr">
        <is>
          <t>D4</t>
        </is>
      </c>
      <c r="D114" s="33" t="n">
        <v>5</v>
      </c>
      <c r="E114" s="68" t="inlineStr">
        <is>
          <t>NVDA $2B investment for R&amp;D + US manufacturing capacity = textbook funded multi-year buildout.</t>
        </is>
      </c>
      <c r="F114" s="68" t="inlineStr">
        <is>
          <t>Lumentum Q3 FY26 8-K + NVDA $2B investment coverage (2026-05-18)</t>
        </is>
      </c>
      <c r="G114" s="33" t="inlineStr">
        <is>
          <t>High</t>
        </is>
      </c>
      <c r="H114" s="33" t="inlineStr">
        <is>
          <t>Initial</t>
        </is>
      </c>
    </row>
    <row r="115">
      <c r="A115" s="33" t="inlineStr">
        <is>
          <t>2026-05-18</t>
        </is>
      </c>
      <c r="B115" s="33" t="inlineStr">
        <is>
          <t>LITE</t>
        </is>
      </c>
      <c r="C115" s="33" t="inlineStr">
        <is>
          <t>D5</t>
        </is>
      </c>
      <c r="D115" s="33" t="n">
        <v>5</v>
      </c>
      <c r="E115" s="68" t="inlineStr">
        <is>
          <t>Direct customer of MSFT, GOOGL, META, NVDA — multiple hyperscaler/AI anchor customers.</t>
        </is>
      </c>
      <c r="F115" s="68" t="inlineStr">
        <is>
          <t>Lumentum Q3 FY26 8-K + NVDA $2B investment coverage (2026-05-18)</t>
        </is>
      </c>
      <c r="G115" s="33" t="inlineStr">
        <is>
          <t>High</t>
        </is>
      </c>
      <c r="H115" s="33" t="inlineStr">
        <is>
          <t>Initial</t>
        </is>
      </c>
    </row>
    <row r="116">
      <c r="A116" s="33" t="inlineStr">
        <is>
          <t>2026-05-18</t>
        </is>
      </c>
      <c r="B116" s="33" t="inlineStr">
        <is>
          <t>LITE</t>
        </is>
      </c>
      <c r="C116" s="33" t="inlineStr">
        <is>
          <t>M1</t>
        </is>
      </c>
      <c r="D116" s="33" t="n">
        <v>5</v>
      </c>
      <c r="E116" s="68" t="inlineStr">
        <is>
          <t>18 up / 1 down on +1Y EPS; FY revision +9.2% over 90d. Strong revision wave.</t>
        </is>
      </c>
      <c r="F116" s="68" t="inlineStr">
        <is>
          <t>Lumentum Q3 FY26 8-K + NVDA $2B investment coverage (2026-05-18)</t>
        </is>
      </c>
      <c r="G116" s="33" t="inlineStr">
        <is>
          <t>High</t>
        </is>
      </c>
      <c r="H116" s="33" t="inlineStr">
        <is>
          <t>Initial</t>
        </is>
      </c>
    </row>
    <row r="117">
      <c r="A117" s="33" t="inlineStr">
        <is>
          <t>2026-05-18</t>
        </is>
      </c>
      <c r="B117" s="33" t="inlineStr">
        <is>
          <t>LITE</t>
        </is>
      </c>
      <c r="C117" s="33" t="inlineStr">
        <is>
          <t>M2</t>
        </is>
      </c>
      <c r="D117" s="33" t="n">
        <v>5</v>
      </c>
      <c r="E117" s="68" t="inlineStr">
        <is>
          <t>+151pp vs SOXX 180d; +894pp vs SOXX 365d. Extreme outperformance.</t>
        </is>
      </c>
      <c r="F117" s="68" t="inlineStr">
        <is>
          <t>Lumentum Q3 FY26 8-K + NVDA $2B investment coverage (2026-05-18)</t>
        </is>
      </c>
      <c r="G117" s="33" t="inlineStr">
        <is>
          <t>High</t>
        </is>
      </c>
      <c r="H117" s="33" t="inlineStr">
        <is>
          <t>Initial</t>
        </is>
      </c>
    </row>
    <row r="118">
      <c r="A118" s="33" t="inlineStr">
        <is>
          <t>2026-05-18</t>
        </is>
      </c>
      <c r="B118" s="33" t="inlineStr">
        <is>
          <t>LITE</t>
        </is>
      </c>
      <c r="C118" s="33" t="inlineStr">
        <is>
          <t>M3</t>
        </is>
      </c>
      <c r="D118" s="33" t="n">
        <v>3</v>
      </c>
      <c r="E118" s="68" t="inlineStr">
        <is>
          <t>18 disc + 130 10b5-1, no drawdown. Routine selling pattern through rally.</t>
        </is>
      </c>
      <c r="F118" s="68" t="inlineStr">
        <is>
          <t>Lumentum Q3 FY26 8-K + NVDA $2B investment coverage (2026-05-18)</t>
        </is>
      </c>
      <c r="G118" s="33" t="inlineStr">
        <is>
          <t>High</t>
        </is>
      </c>
      <c r="H118" s="33" t="inlineStr">
        <is>
          <t>Initial</t>
        </is>
      </c>
    </row>
    <row r="119">
      <c r="A119" s="33" t="inlineStr">
        <is>
          <t>2026-05-18</t>
        </is>
      </c>
      <c r="B119" s="33" t="inlineStr">
        <is>
          <t>LITE</t>
        </is>
      </c>
      <c r="C119" s="33" t="inlineStr">
        <is>
          <t>R1</t>
        </is>
      </c>
      <c r="D119" s="33" t="n">
        <v>4</v>
      </c>
      <c r="E119" s="68" t="inlineStr">
        <is>
          <t>Multiple hyperscaler customers — diversified within the high-end.</t>
        </is>
      </c>
      <c r="F119" s="68" t="inlineStr">
        <is>
          <t>Lumentum Q3 FY26 8-K + NVDA $2B investment coverage (2026-05-18)</t>
        </is>
      </c>
      <c r="G119" s="33" t="inlineStr">
        <is>
          <t>High</t>
        </is>
      </c>
      <c r="H119" s="33" t="inlineStr">
        <is>
          <t>Initial</t>
        </is>
      </c>
    </row>
    <row r="120">
      <c r="A120" s="33" t="inlineStr">
        <is>
          <t>2026-05-18</t>
        </is>
      </c>
      <c r="B120" s="33" t="inlineStr">
        <is>
          <t>LITE</t>
        </is>
      </c>
      <c r="C120" s="33" t="inlineStr">
        <is>
          <t>R2</t>
        </is>
      </c>
      <c r="D120" s="33" t="n">
        <v>4</v>
      </c>
      <c r="E120" s="68" t="inlineStr">
        <is>
          <t>Global; some China telco but not problematic.</t>
        </is>
      </c>
      <c r="F120" s="68" t="inlineStr">
        <is>
          <t>Lumentum Q3 FY26 8-K + NVDA $2B investment coverage (2026-05-18)</t>
        </is>
      </c>
      <c r="G120" s="33" t="inlineStr">
        <is>
          <t>High</t>
        </is>
      </c>
      <c r="H120" s="33" t="inlineStr">
        <is>
          <t>Initial</t>
        </is>
      </c>
    </row>
    <row r="121">
      <c r="A121" s="33" t="inlineStr">
        <is>
          <t>2026-05-18</t>
        </is>
      </c>
      <c r="B121" s="33" t="inlineStr">
        <is>
          <t>LITE</t>
        </is>
      </c>
      <c r="C121" s="33" t="inlineStr">
        <is>
          <t>R3</t>
        </is>
      </c>
      <c r="D121" s="33" t="n">
        <v>4</v>
      </c>
      <c r="E121" s="68" t="inlineStr">
        <is>
          <t>Strong cash position; FCF marginal but improving with revenue ramp.</t>
        </is>
      </c>
      <c r="F121" s="68" t="inlineStr">
        <is>
          <t>Lumentum Q3 FY26 8-K + NVDA $2B investment coverage (2026-05-18)</t>
        </is>
      </c>
      <c r="G121" s="33" t="inlineStr">
        <is>
          <t>High</t>
        </is>
      </c>
      <c r="H121" s="33" t="inlineStr">
        <is>
          <t>Initial</t>
        </is>
      </c>
    </row>
    <row r="122">
      <c r="A122" s="33" t="inlineStr">
        <is>
          <t>2026-05-18</t>
        </is>
      </c>
      <c r="B122" s="33" t="inlineStr">
        <is>
          <t>LITE</t>
        </is>
      </c>
      <c r="C122" s="33" t="inlineStr">
        <is>
          <t>R4</t>
        </is>
      </c>
      <c r="D122" s="33" t="n">
        <v>4</v>
      </c>
      <c r="E122" s="68" t="inlineStr">
        <is>
          <t>Routine.</t>
        </is>
      </c>
      <c r="F122" s="68" t="inlineStr">
        <is>
          <t>Lumentum Q3 FY26 8-K + NVDA $2B investment coverage (2026-05-18)</t>
        </is>
      </c>
      <c r="G122" s="33" t="inlineStr">
        <is>
          <t>High</t>
        </is>
      </c>
      <c r="H122" s="33" t="inlineStr">
        <is>
          <t>Initial</t>
        </is>
      </c>
    </row>
    <row r="123">
      <c r="A123" s="33" t="inlineStr">
        <is>
          <t>2026-05-18</t>
        </is>
      </c>
      <c r="B123" s="33" t="inlineStr">
        <is>
          <t>FN</t>
        </is>
      </c>
      <c r="C123" s="33" t="inlineStr">
        <is>
          <t>D1</t>
        </is>
      </c>
      <c r="D123" s="33" t="n">
        <v>5</v>
      </c>
      <c r="E123" s="68" t="inlineStr">
        <is>
          <t>76% of revenue tied to datacenter interconnect and next-gen transceivers per Q3 FY26.</t>
        </is>
      </c>
      <c r="F123" s="68" t="inlineStr">
        <is>
          <t>Fabrinet Q3 FY26 8-K + BeyondSPX coverage (2026-05-18)</t>
        </is>
      </c>
      <c r="G123" s="33" t="inlineStr">
        <is>
          <t>High</t>
        </is>
      </c>
      <c r="H123" s="33" t="inlineStr">
        <is>
          <t>Initial</t>
        </is>
      </c>
    </row>
    <row r="124">
      <c r="A124" s="33" t="inlineStr">
        <is>
          <t>2026-05-18</t>
        </is>
      </c>
      <c r="B124" s="33" t="inlineStr">
        <is>
          <t>FN</t>
        </is>
      </c>
      <c r="C124" s="33" t="inlineStr">
        <is>
          <t>D2</t>
        </is>
      </c>
      <c r="D124" s="33" t="n">
        <v>4</v>
      </c>
      <c r="E124" s="68" t="inlineStr">
        <is>
          <t>Contract manufacturer with NVDA + Cisco + AWS + LITE customers. Capacity-constrained.</t>
        </is>
      </c>
      <c r="F124" s="68" t="inlineStr">
        <is>
          <t>Fabrinet Q3 FY26 8-K + BeyondSPX coverage (2026-05-18)</t>
        </is>
      </c>
      <c r="G124" s="33" t="inlineStr">
        <is>
          <t>High</t>
        </is>
      </c>
      <c r="H124" s="33" t="inlineStr">
        <is>
          <t>Initial</t>
        </is>
      </c>
    </row>
    <row r="125">
      <c r="A125" s="33" t="inlineStr">
        <is>
          <t>2026-05-18</t>
        </is>
      </c>
      <c r="B125" s="33" t="inlineStr">
        <is>
          <t>FN</t>
        </is>
      </c>
      <c r="C125" s="33" t="inlineStr">
        <is>
          <t>D3</t>
        </is>
      </c>
      <c r="D125" s="33" t="n">
        <v>4</v>
      </c>
      <c r="E125" s="68" t="inlineStr">
        <is>
          <t>Manufacturing IP, Thai scale, deep customer integration — hard to replicate.</t>
        </is>
      </c>
      <c r="F125" s="68" t="inlineStr">
        <is>
          <t>Fabrinet Q3 FY26 8-K + BeyondSPX coverage (2026-05-18)</t>
        </is>
      </c>
      <c r="G125" s="33" t="inlineStr">
        <is>
          <t>High</t>
        </is>
      </c>
      <c r="H125" s="33" t="inlineStr">
        <is>
          <t>Initial</t>
        </is>
      </c>
    </row>
    <row r="126">
      <c r="A126" s="33" t="inlineStr">
        <is>
          <t>2026-05-18</t>
        </is>
      </c>
      <c r="B126" s="33" t="inlineStr">
        <is>
          <t>FN</t>
        </is>
      </c>
      <c r="C126" s="33" t="inlineStr">
        <is>
          <t>D4</t>
        </is>
      </c>
      <c r="D126" s="33" t="n">
        <v>5</v>
      </c>
      <c r="E126" s="68" t="inlineStr">
        <is>
          <t>Customer demand 'substantially outpaces shipping capacity' — funded expansion underway.</t>
        </is>
      </c>
      <c r="F126" s="68" t="inlineStr">
        <is>
          <t>Fabrinet Q3 FY26 8-K + BeyondSPX coverage (2026-05-18)</t>
        </is>
      </c>
      <c r="G126" s="33" t="inlineStr">
        <is>
          <t>High</t>
        </is>
      </c>
      <c r="H126" s="33" t="inlineStr">
        <is>
          <t>Initial</t>
        </is>
      </c>
    </row>
    <row r="127">
      <c r="A127" s="33" t="inlineStr">
        <is>
          <t>2026-05-18</t>
        </is>
      </c>
      <c r="B127" s="33" t="inlineStr">
        <is>
          <t>FN</t>
        </is>
      </c>
      <c r="C127" s="33" t="inlineStr">
        <is>
          <t>D5</t>
        </is>
      </c>
      <c r="D127" s="33" t="n">
        <v>5</v>
      </c>
      <c r="E127" s="68" t="inlineStr">
        <is>
          <t>NVDA + AWS + Cisco + LITE as customers (end-customers are hyperscalers) — &gt;30% combined.</t>
        </is>
      </c>
      <c r="F127" s="68" t="inlineStr">
        <is>
          <t>Fabrinet Q3 FY26 8-K + BeyondSPX coverage (2026-05-18)</t>
        </is>
      </c>
      <c r="G127" s="33" t="inlineStr">
        <is>
          <t>High</t>
        </is>
      </c>
      <c r="H127" s="33" t="inlineStr">
        <is>
          <t>Initial</t>
        </is>
      </c>
    </row>
    <row r="128">
      <c r="A128" s="33" t="inlineStr">
        <is>
          <t>2026-05-18</t>
        </is>
      </c>
      <c r="B128" s="33" t="inlineStr">
        <is>
          <t>FN</t>
        </is>
      </c>
      <c r="C128" s="33" t="inlineStr">
        <is>
          <t>M1</t>
        </is>
      </c>
      <c r="D128" s="33" t="n">
        <v>4</v>
      </c>
      <c r="E128" s="68" t="inlineStr">
        <is>
          <t>7 up / 1 down on +1Y; FY revision +1.7% — net positive, modest magnitude.</t>
        </is>
      </c>
      <c r="F128" s="68" t="inlineStr">
        <is>
          <t>Fabrinet Q3 FY26 8-K + BeyondSPX coverage (2026-05-18)</t>
        </is>
      </c>
      <c r="G128" s="33" t="inlineStr">
        <is>
          <t>High</t>
        </is>
      </c>
      <c r="H128" s="33" t="inlineStr">
        <is>
          <t>Initial</t>
        </is>
      </c>
    </row>
    <row r="129">
      <c r="A129" s="33" t="inlineStr">
        <is>
          <t>2026-05-18</t>
        </is>
      </c>
      <c r="B129" s="33" t="inlineStr">
        <is>
          <t>FN</t>
        </is>
      </c>
      <c r="C129" s="33" t="inlineStr">
        <is>
          <t>M2</t>
        </is>
      </c>
      <c r="D129" s="33" t="n">
        <v>3</v>
      </c>
      <c r="E129" s="68" t="inlineStr">
        <is>
          <t>-10pp vs SOXX 180d (in-line); +69pp vs SOXX 365d. Recent action sector-aligned.</t>
        </is>
      </c>
      <c r="F129" s="68" t="inlineStr">
        <is>
          <t>Fabrinet Q3 FY26 8-K + BeyondSPX coverage (2026-05-18)</t>
        </is>
      </c>
      <c r="G129" s="33" t="inlineStr">
        <is>
          <t>High</t>
        </is>
      </c>
      <c r="H129" s="33" t="inlineStr">
        <is>
          <t>Initial</t>
        </is>
      </c>
    </row>
    <row r="130">
      <c r="A130" s="33" t="inlineStr">
        <is>
          <t>2026-05-18</t>
        </is>
      </c>
      <c r="B130" s="33" t="inlineStr">
        <is>
          <t>FN</t>
        </is>
      </c>
      <c r="C130" s="33" t="inlineStr">
        <is>
          <t>M3</t>
        </is>
      </c>
      <c r="D130" s="33" t="n">
        <v>3</v>
      </c>
      <c r="E130" s="68" t="inlineStr">
        <is>
          <t>33 disc + 0 10b5-1 sales — high discretionary, but no drawdown so default 3.</t>
        </is>
      </c>
      <c r="F130" s="68" t="inlineStr">
        <is>
          <t>Fabrinet Q3 FY26 8-K + BeyondSPX coverage (2026-05-18)</t>
        </is>
      </c>
      <c r="G130" s="33" t="inlineStr">
        <is>
          <t>High</t>
        </is>
      </c>
      <c r="H130" s="33" t="inlineStr">
        <is>
          <t>Initial</t>
        </is>
      </c>
    </row>
    <row r="131">
      <c r="A131" s="33" t="inlineStr">
        <is>
          <t>2026-05-18</t>
        </is>
      </c>
      <c r="B131" s="33" t="inlineStr">
        <is>
          <t>FN</t>
        </is>
      </c>
      <c r="C131" s="33" t="inlineStr">
        <is>
          <t>R1</t>
        </is>
      </c>
      <c r="D131" s="33" t="n">
        <v>3</v>
      </c>
      <c r="E131" s="68" t="inlineStr">
        <is>
          <t>NVDA likely 30%+ of revenue. Concentrated.</t>
        </is>
      </c>
      <c r="F131" s="68" t="inlineStr">
        <is>
          <t>Fabrinet Q3 FY26 8-K + BeyondSPX coverage (2026-05-18)</t>
        </is>
      </c>
      <c r="G131" s="33" t="inlineStr">
        <is>
          <t>High</t>
        </is>
      </c>
      <c r="H131" s="33" t="inlineStr">
        <is>
          <t>Initial</t>
        </is>
      </c>
    </row>
    <row r="132">
      <c r="A132" s="33" t="inlineStr">
        <is>
          <t>2026-05-18</t>
        </is>
      </c>
      <c r="B132" s="33" t="inlineStr">
        <is>
          <t>FN</t>
        </is>
      </c>
      <c r="C132" s="33" t="inlineStr">
        <is>
          <t>R2</t>
        </is>
      </c>
      <c r="D132" s="33" t="n">
        <v>4</v>
      </c>
      <c r="E132" s="68" t="inlineStr">
        <is>
          <t>Thai manufacturing; global sales; minimal export-control exposure.</t>
        </is>
      </c>
      <c r="F132" s="68" t="inlineStr">
        <is>
          <t>Fabrinet Q3 FY26 8-K + BeyondSPX coverage (2026-05-18)</t>
        </is>
      </c>
      <c r="G132" s="33" t="inlineStr">
        <is>
          <t>High</t>
        </is>
      </c>
      <c r="H132" s="33" t="inlineStr">
        <is>
          <t>Initial</t>
        </is>
      </c>
    </row>
    <row r="133">
      <c r="A133" s="33" t="inlineStr">
        <is>
          <t>2026-05-18</t>
        </is>
      </c>
      <c r="B133" s="33" t="inlineStr">
        <is>
          <t>FN</t>
        </is>
      </c>
      <c r="C133" s="33" t="inlineStr">
        <is>
          <t>R3</t>
        </is>
      </c>
      <c r="D133" s="33" t="n">
        <v>4</v>
      </c>
      <c r="E133" s="68" t="inlineStr">
        <is>
          <t>Strong balance sheet; FCF positive.</t>
        </is>
      </c>
      <c r="F133" s="68" t="inlineStr">
        <is>
          <t>Fabrinet Q3 FY26 8-K + BeyondSPX coverage (2026-05-18)</t>
        </is>
      </c>
      <c r="G133" s="33" t="inlineStr">
        <is>
          <t>High</t>
        </is>
      </c>
      <c r="H133" s="33" t="inlineStr">
        <is>
          <t>Initial</t>
        </is>
      </c>
    </row>
    <row r="134">
      <c r="A134" s="33" t="inlineStr">
        <is>
          <t>2026-05-18</t>
        </is>
      </c>
      <c r="B134" s="33" t="inlineStr">
        <is>
          <t>FN</t>
        </is>
      </c>
      <c r="C134" s="33" t="inlineStr">
        <is>
          <t>R4</t>
        </is>
      </c>
      <c r="D134" s="33" t="n">
        <v>4</v>
      </c>
      <c r="E134" s="68" t="inlineStr">
        <is>
          <t>Routine.</t>
        </is>
      </c>
      <c r="F134" s="68" t="inlineStr">
        <is>
          <t>Fabrinet Q3 FY26 8-K + BeyondSPX coverage (2026-05-18)</t>
        </is>
      </c>
      <c r="G134" s="33" t="inlineStr">
        <is>
          <t>High</t>
        </is>
      </c>
      <c r="H134" s="33" t="inlineStr">
        <is>
          <t>Initial</t>
        </is>
      </c>
    </row>
    <row r="135">
      <c r="A135" s="33" t="inlineStr">
        <is>
          <t>2026-05-18</t>
        </is>
      </c>
      <c r="B135" s="33" t="inlineStr">
        <is>
          <t>AAOI</t>
        </is>
      </c>
      <c r="C135" s="33" t="inlineStr">
        <is>
          <t>D1</t>
        </is>
      </c>
      <c r="D135" s="33" t="n">
        <v>3</v>
      </c>
      <c r="E135" s="68" t="inlineStr">
        <is>
          <t>Datacom growing meaningfully; legacy cable TV still in mix.</t>
        </is>
      </c>
      <c r="F135" s="68" t="inlineStr">
        <is>
          <t>AAOI Q1 FY26 + industry coverage (2026-05-18)</t>
        </is>
      </c>
      <c r="G135" s="33" t="inlineStr">
        <is>
          <t>High</t>
        </is>
      </c>
      <c r="H135" s="33" t="inlineStr">
        <is>
          <t>Initial</t>
        </is>
      </c>
    </row>
    <row r="136">
      <c r="A136" s="33" t="inlineStr">
        <is>
          <t>2026-05-18</t>
        </is>
      </c>
      <c r="B136" s="33" t="inlineStr">
        <is>
          <t>AAOI</t>
        </is>
      </c>
      <c r="C136" s="33" t="inlineStr">
        <is>
          <t>D2</t>
        </is>
      </c>
      <c r="D136" s="33" t="n">
        <v>3</v>
      </c>
      <c r="E136" s="68" t="inlineStr">
        <is>
          <t>Smaller player vs COHR/LITE; less differentiated optical components.</t>
        </is>
      </c>
      <c r="F136" s="68" t="inlineStr">
        <is>
          <t>AAOI Q1 FY26 + industry coverage (2026-05-18)</t>
        </is>
      </c>
      <c r="G136" s="33" t="inlineStr">
        <is>
          <t>High</t>
        </is>
      </c>
      <c r="H136" s="33" t="inlineStr">
        <is>
          <t>Initial</t>
        </is>
      </c>
    </row>
    <row r="137">
      <c r="A137" s="33" t="inlineStr">
        <is>
          <t>2026-05-18</t>
        </is>
      </c>
      <c r="B137" s="33" t="inlineStr">
        <is>
          <t>AAOI</t>
        </is>
      </c>
      <c r="C137" s="33" t="inlineStr">
        <is>
          <t>D3</t>
        </is>
      </c>
      <c r="D137" s="33" t="n">
        <v>2</v>
      </c>
      <c r="E137" s="68" t="inlineStr">
        <is>
          <t>Limited IP moat; commoditizing.</t>
        </is>
      </c>
      <c r="F137" s="68" t="inlineStr">
        <is>
          <t>AAOI Q1 FY26 + industry coverage (2026-05-18)</t>
        </is>
      </c>
      <c r="G137" s="33" t="inlineStr">
        <is>
          <t>High</t>
        </is>
      </c>
      <c r="H137" s="33" t="inlineStr">
        <is>
          <t>Initial</t>
        </is>
      </c>
    </row>
    <row r="138">
      <c r="A138" s="33" t="inlineStr">
        <is>
          <t>2026-05-18</t>
        </is>
      </c>
      <c r="B138" s="33" t="inlineStr">
        <is>
          <t>AAOI</t>
        </is>
      </c>
      <c r="C138" s="33" t="inlineStr">
        <is>
          <t>D4</t>
        </is>
      </c>
      <c r="D138" s="33" t="n">
        <v>4</v>
      </c>
      <c r="E138" s="68" t="inlineStr">
        <is>
          <t>Capacity ramping with momentum but smaller scale than peers.</t>
        </is>
      </c>
      <c r="F138" s="68" t="inlineStr">
        <is>
          <t>AAOI Q1 FY26 + industry coverage (2026-05-18)</t>
        </is>
      </c>
      <c r="G138" s="33" t="inlineStr">
        <is>
          <t>High</t>
        </is>
      </c>
      <c r="H138" s="33" t="inlineStr">
        <is>
          <t>Initial</t>
        </is>
      </c>
    </row>
    <row r="139">
      <c r="A139" s="33" t="inlineStr">
        <is>
          <t>2026-05-18</t>
        </is>
      </c>
      <c r="B139" s="33" t="inlineStr">
        <is>
          <t>AAOI</t>
        </is>
      </c>
      <c r="C139" s="33" t="inlineStr">
        <is>
          <t>D5</t>
        </is>
      </c>
      <c r="D139" s="33" t="n">
        <v>3</v>
      </c>
      <c r="E139" s="68" t="inlineStr">
        <is>
          <t>Some hyperscaler exposure but not anchor relationships.</t>
        </is>
      </c>
      <c r="F139" s="68" t="inlineStr">
        <is>
          <t>AAOI Q1 FY26 + industry coverage (2026-05-18)</t>
        </is>
      </c>
      <c r="G139" s="33" t="inlineStr">
        <is>
          <t>High</t>
        </is>
      </c>
      <c r="H139" s="33" t="inlineStr">
        <is>
          <t>Initial</t>
        </is>
      </c>
    </row>
    <row r="140">
      <c r="A140" s="33" t="inlineStr">
        <is>
          <t>2026-05-18</t>
        </is>
      </c>
      <c r="B140" s="33" t="inlineStr">
        <is>
          <t>AAOI</t>
        </is>
      </c>
      <c r="C140" s="33" t="inlineStr">
        <is>
          <t>M1</t>
        </is>
      </c>
      <c r="D140" s="33" t="n">
        <v>4</v>
      </c>
      <c r="E140" s="68" t="inlineStr">
        <is>
          <t>4 up / 0 down on +1Y; FY revision +6.7%.</t>
        </is>
      </c>
      <c r="F140" s="68" t="inlineStr">
        <is>
          <t>AAOI Q1 FY26 + industry coverage (2026-05-18)</t>
        </is>
      </c>
      <c r="G140" s="33" t="inlineStr">
        <is>
          <t>High</t>
        </is>
      </c>
      <c r="H140" s="33" t="inlineStr">
        <is>
          <t>Initial</t>
        </is>
      </c>
    </row>
    <row r="141">
      <c r="A141" s="33" t="inlineStr">
        <is>
          <t>2026-05-18</t>
        </is>
      </c>
      <c r="B141" s="33" t="inlineStr">
        <is>
          <t>AAOI</t>
        </is>
      </c>
      <c r="C141" s="33" t="inlineStr">
        <is>
          <t>M2</t>
        </is>
      </c>
      <c r="D141" s="33" t="n">
        <v>5</v>
      </c>
      <c r="E141" s="68" t="inlineStr">
        <is>
          <t>+636pp vs SOXX 180d — extreme momentum from small-cap base.</t>
        </is>
      </c>
      <c r="F141" s="68" t="inlineStr">
        <is>
          <t>AAOI Q1 FY26 + industry coverage (2026-05-18)</t>
        </is>
      </c>
      <c r="G141" s="33" t="inlineStr">
        <is>
          <t>High</t>
        </is>
      </c>
      <c r="H141" s="33" t="inlineStr">
        <is>
          <t>Initial</t>
        </is>
      </c>
    </row>
    <row r="142">
      <c r="A142" s="33" t="inlineStr">
        <is>
          <t>2026-05-18</t>
        </is>
      </c>
      <c r="B142" s="33" t="inlineStr">
        <is>
          <t>AAOI</t>
        </is>
      </c>
      <c r="C142" s="33" t="inlineStr">
        <is>
          <t>M3</t>
        </is>
      </c>
      <c r="D142" s="33" t="n">
        <v>3</v>
      </c>
      <c r="E142" s="68" t="inlineStr">
        <is>
          <t>12 disc + 23 10b5-1 sales; routine.</t>
        </is>
      </c>
      <c r="F142" s="68" t="inlineStr">
        <is>
          <t>AAOI Q1 FY26 + industry coverage (2026-05-18)</t>
        </is>
      </c>
      <c r="G142" s="33" t="inlineStr">
        <is>
          <t>High</t>
        </is>
      </c>
      <c r="H142" s="33" t="inlineStr">
        <is>
          <t>Initial</t>
        </is>
      </c>
    </row>
    <row r="143">
      <c r="A143" s="33" t="inlineStr">
        <is>
          <t>2026-05-18</t>
        </is>
      </c>
      <c r="B143" s="33" t="inlineStr">
        <is>
          <t>AAOI</t>
        </is>
      </c>
      <c r="C143" s="33" t="inlineStr">
        <is>
          <t>R1</t>
        </is>
      </c>
      <c r="D143" s="33" t="n">
        <v>3</v>
      </c>
      <c r="E143" s="68" t="inlineStr">
        <is>
          <t>Smaller customer base; concentration risk.</t>
        </is>
      </c>
      <c r="F143" s="68" t="inlineStr">
        <is>
          <t>AAOI Q1 FY26 + industry coverage (2026-05-18)</t>
        </is>
      </c>
      <c r="G143" s="33" t="inlineStr">
        <is>
          <t>High</t>
        </is>
      </c>
      <c r="H143" s="33" t="inlineStr">
        <is>
          <t>Initial</t>
        </is>
      </c>
    </row>
    <row r="144">
      <c r="A144" s="33" t="inlineStr">
        <is>
          <t>2026-05-18</t>
        </is>
      </c>
      <c r="B144" s="33" t="inlineStr">
        <is>
          <t>AAOI</t>
        </is>
      </c>
      <c r="C144" s="33" t="inlineStr">
        <is>
          <t>R2</t>
        </is>
      </c>
      <c r="D144" s="33" t="n">
        <v>4</v>
      </c>
      <c r="E144" s="68" t="inlineStr">
        <is>
          <t>Global; some China.</t>
        </is>
      </c>
      <c r="F144" s="68" t="inlineStr">
        <is>
          <t>AAOI Q1 FY26 + industry coverage (2026-05-18)</t>
        </is>
      </c>
      <c r="G144" s="33" t="inlineStr">
        <is>
          <t>High</t>
        </is>
      </c>
      <c r="H144" s="33" t="inlineStr">
        <is>
          <t>Initial</t>
        </is>
      </c>
    </row>
    <row r="145">
      <c r="A145" s="33" t="inlineStr">
        <is>
          <t>2026-05-18</t>
        </is>
      </c>
      <c r="B145" s="33" t="inlineStr">
        <is>
          <t>AAOI</t>
        </is>
      </c>
      <c r="C145" s="33" t="inlineStr">
        <is>
          <t>R3</t>
        </is>
      </c>
      <c r="D145" s="33" t="n">
        <v>3</v>
      </c>
      <c r="E145" s="68" t="inlineStr">
        <is>
          <t>Historically loss-making; momentum improving but B/S marginal.</t>
        </is>
      </c>
      <c r="F145" s="68" t="inlineStr">
        <is>
          <t>AAOI Q1 FY26 + industry coverage (2026-05-18)</t>
        </is>
      </c>
      <c r="G145" s="33" t="inlineStr">
        <is>
          <t>High</t>
        </is>
      </c>
      <c r="H145" s="33" t="inlineStr">
        <is>
          <t>Initial</t>
        </is>
      </c>
    </row>
    <row r="146">
      <c r="A146" s="33" t="inlineStr">
        <is>
          <t>2026-05-18</t>
        </is>
      </c>
      <c r="B146" s="33" t="inlineStr">
        <is>
          <t>AAOI</t>
        </is>
      </c>
      <c r="C146" s="33" t="inlineStr">
        <is>
          <t>R4</t>
        </is>
      </c>
      <c r="D146" s="33" t="n">
        <v>4</v>
      </c>
      <c r="E146" s="68" t="inlineStr">
        <is>
          <t>Routine.</t>
        </is>
      </c>
      <c r="F146" s="68" t="inlineStr">
        <is>
          <t>AAOI Q1 FY26 + industry coverage (2026-05-18)</t>
        </is>
      </c>
      <c r="G146" s="33" t="inlineStr">
        <is>
          <t>High</t>
        </is>
      </c>
      <c r="H146" s="33" t="inlineStr">
        <is>
          <t>Initial</t>
        </is>
      </c>
    </row>
    <row r="147">
      <c r="A147" s="33" t="inlineStr">
        <is>
          <t>2026-05-18</t>
        </is>
      </c>
      <c r="B147" s="33" t="inlineStr">
        <is>
          <t>POET</t>
        </is>
      </c>
      <c r="C147" s="33" t="inlineStr">
        <is>
          <t>D1</t>
        </is>
      </c>
      <c r="D147" s="33" t="n">
        <v>2</v>
      </c>
      <c r="E147" s="68" t="inlineStr">
        <is>
          <t>Pre-revenue / minimal revenue; speculative photonics integration.</t>
        </is>
      </c>
      <c r="F147" s="68" t="inlineStr">
        <is>
          <t>POET FY26 filings + industry coverage (2026-05-18)</t>
        </is>
      </c>
      <c r="G147" s="33" t="inlineStr">
        <is>
          <t>High</t>
        </is>
      </c>
      <c r="H147" s="33" t="inlineStr">
        <is>
          <t>Initial</t>
        </is>
      </c>
    </row>
    <row r="148">
      <c r="A148" s="33" t="inlineStr">
        <is>
          <t>2026-05-18</t>
        </is>
      </c>
      <c r="B148" s="33" t="inlineStr">
        <is>
          <t>POET</t>
        </is>
      </c>
      <c r="C148" s="33" t="inlineStr">
        <is>
          <t>D2</t>
        </is>
      </c>
      <c r="D148" s="33" t="n">
        <v>2</v>
      </c>
      <c r="E148" s="68" t="inlineStr">
        <is>
          <t>Pre-commercial; newer entrant with no customer base yet.</t>
        </is>
      </c>
      <c r="F148" s="68" t="inlineStr">
        <is>
          <t>POET FY26 filings + industry coverage (2026-05-18)</t>
        </is>
      </c>
      <c r="G148" s="33" t="inlineStr">
        <is>
          <t>High</t>
        </is>
      </c>
      <c r="H148" s="33" t="inlineStr">
        <is>
          <t>Initial</t>
        </is>
      </c>
    </row>
    <row r="149">
      <c r="A149" s="33" t="inlineStr">
        <is>
          <t>2026-05-18</t>
        </is>
      </c>
      <c r="B149" s="33" t="inlineStr">
        <is>
          <t>POET</t>
        </is>
      </c>
      <c r="C149" s="33" t="inlineStr">
        <is>
          <t>D3</t>
        </is>
      </c>
      <c r="D149" s="33" t="n">
        <v>2</v>
      </c>
      <c r="E149" s="68" t="inlineStr">
        <is>
          <t>Weak moat without commercial deployments.</t>
        </is>
      </c>
      <c r="F149" s="68" t="inlineStr">
        <is>
          <t>POET FY26 filings + industry coverage (2026-05-18)</t>
        </is>
      </c>
      <c r="G149" s="33" t="inlineStr">
        <is>
          <t>High</t>
        </is>
      </c>
      <c r="H149" s="33" t="inlineStr">
        <is>
          <t>Initial</t>
        </is>
      </c>
    </row>
    <row r="150">
      <c r="A150" s="33" t="inlineStr">
        <is>
          <t>2026-05-18</t>
        </is>
      </c>
      <c r="B150" s="33" t="inlineStr">
        <is>
          <t>POET</t>
        </is>
      </c>
      <c r="C150" s="33" t="inlineStr">
        <is>
          <t>D4</t>
        </is>
      </c>
      <c r="D150" s="33" t="n">
        <v>3</v>
      </c>
      <c r="E150" s="68" t="inlineStr">
        <is>
          <t>Capex without meaningful revenue.</t>
        </is>
      </c>
      <c r="F150" s="68" t="inlineStr">
        <is>
          <t>POET FY26 filings + industry coverage (2026-05-18)</t>
        </is>
      </c>
      <c r="G150" s="33" t="inlineStr">
        <is>
          <t>High</t>
        </is>
      </c>
      <c r="H150" s="33" t="inlineStr">
        <is>
          <t>Initial</t>
        </is>
      </c>
    </row>
    <row r="151">
      <c r="A151" s="33" t="inlineStr">
        <is>
          <t>2026-05-18</t>
        </is>
      </c>
      <c r="B151" s="33" t="inlineStr">
        <is>
          <t>POET</t>
        </is>
      </c>
      <c r="C151" s="33" t="inlineStr">
        <is>
          <t>D5</t>
        </is>
      </c>
      <c r="D151" s="33" t="n">
        <v>2</v>
      </c>
      <c r="E151" s="68" t="inlineStr">
        <is>
          <t>No anchor hyperscaler customers.</t>
        </is>
      </c>
      <c r="F151" s="68" t="inlineStr">
        <is>
          <t>POET FY26 filings + industry coverage (2026-05-18)</t>
        </is>
      </c>
      <c r="G151" s="33" t="inlineStr">
        <is>
          <t>High</t>
        </is>
      </c>
      <c r="H151" s="33" t="inlineStr">
        <is>
          <t>Initial</t>
        </is>
      </c>
    </row>
    <row r="152">
      <c r="A152" s="33" t="inlineStr">
        <is>
          <t>2026-05-18</t>
        </is>
      </c>
      <c r="B152" s="33" t="inlineStr">
        <is>
          <t>POET</t>
        </is>
      </c>
      <c r="C152" s="33" t="inlineStr">
        <is>
          <t>M1</t>
        </is>
      </c>
      <c r="D152" s="33" t="n">
        <v>1</v>
      </c>
      <c r="E152" s="68" t="inlineStr">
        <is>
          <t>0 up / 1 down on +1Y; FY revision -21.1% — NEGATIVE revision trend.</t>
        </is>
      </c>
      <c r="F152" s="68" t="inlineStr">
        <is>
          <t>POET FY26 filings + industry coverage (2026-05-18)</t>
        </is>
      </c>
      <c r="G152" s="33" t="inlineStr">
        <is>
          <t>High</t>
        </is>
      </c>
      <c r="H152" s="33" t="inlineStr">
        <is>
          <t>Initial</t>
        </is>
      </c>
    </row>
    <row r="153">
      <c r="A153" s="33" t="inlineStr">
        <is>
          <t>2026-05-18</t>
        </is>
      </c>
      <c r="B153" s="33" t="inlineStr">
        <is>
          <t>POET</t>
        </is>
      </c>
      <c r="C153" s="33" t="inlineStr">
        <is>
          <t>M2</t>
        </is>
      </c>
      <c r="D153" s="33" t="n">
        <v>5</v>
      </c>
      <c r="E153" s="68" t="inlineStr">
        <is>
          <t>+147pp vs SOXX 180d — small-cap volatility.</t>
        </is>
      </c>
      <c r="F153" s="68" t="inlineStr">
        <is>
          <t>POET FY26 filings + industry coverage (2026-05-18)</t>
        </is>
      </c>
      <c r="G153" s="33" t="inlineStr">
        <is>
          <t>High</t>
        </is>
      </c>
      <c r="H153" s="33" t="inlineStr">
        <is>
          <t>Initial</t>
        </is>
      </c>
    </row>
    <row r="154">
      <c r="A154" s="33" t="inlineStr">
        <is>
          <t>2026-05-18</t>
        </is>
      </c>
      <c r="B154" s="33" t="inlineStr">
        <is>
          <t>POET</t>
        </is>
      </c>
      <c r="C154" s="33" t="inlineStr">
        <is>
          <t>M3</t>
        </is>
      </c>
      <c r="D154" s="33" t="n">
        <v>3</v>
      </c>
      <c r="E154" s="68" t="inlineStr">
        <is>
          <t>3 disc + 318 10b5-1 sales.</t>
        </is>
      </c>
      <c r="F154" s="68" t="inlineStr">
        <is>
          <t>POET FY26 filings + industry coverage (2026-05-18)</t>
        </is>
      </c>
      <c r="G154" s="33" t="inlineStr">
        <is>
          <t>High</t>
        </is>
      </c>
      <c r="H154" s="33" t="inlineStr">
        <is>
          <t>Initial</t>
        </is>
      </c>
    </row>
    <row r="155">
      <c r="A155" s="33" t="inlineStr">
        <is>
          <t>2026-05-18</t>
        </is>
      </c>
      <c r="B155" s="33" t="inlineStr">
        <is>
          <t>POET</t>
        </is>
      </c>
      <c r="C155" s="33" t="inlineStr">
        <is>
          <t>R1</t>
        </is>
      </c>
      <c r="D155" s="33" t="n">
        <v>3</v>
      </c>
      <c r="E155" s="68" t="inlineStr">
        <is>
          <t>No revenue concentration to assess (minimal revenue).</t>
        </is>
      </c>
      <c r="F155" s="68" t="inlineStr">
        <is>
          <t>POET FY26 filings + industry coverage (2026-05-18)</t>
        </is>
      </c>
      <c r="G155" s="33" t="inlineStr">
        <is>
          <t>High</t>
        </is>
      </c>
      <c r="H155" s="33" t="inlineStr">
        <is>
          <t>Initial</t>
        </is>
      </c>
    </row>
    <row r="156">
      <c r="A156" s="33" t="inlineStr">
        <is>
          <t>2026-05-18</t>
        </is>
      </c>
      <c r="B156" s="33" t="inlineStr">
        <is>
          <t>POET</t>
        </is>
      </c>
      <c r="C156" s="33" t="inlineStr">
        <is>
          <t>R2</t>
        </is>
      </c>
      <c r="D156" s="33" t="n">
        <v>4</v>
      </c>
      <c r="E156" s="68" t="inlineStr">
        <is>
          <t>Canadian/global; minimal.</t>
        </is>
      </c>
      <c r="F156" s="68" t="inlineStr">
        <is>
          <t>POET FY26 filings + industry coverage (2026-05-18)</t>
        </is>
      </c>
      <c r="G156" s="33" t="inlineStr">
        <is>
          <t>High</t>
        </is>
      </c>
      <c r="H156" s="33" t="inlineStr">
        <is>
          <t>Initial</t>
        </is>
      </c>
    </row>
    <row r="157">
      <c r="A157" s="33" t="inlineStr">
        <is>
          <t>2026-05-18</t>
        </is>
      </c>
      <c r="B157" s="33" t="inlineStr">
        <is>
          <t>POET</t>
        </is>
      </c>
      <c r="C157" s="33" t="inlineStr">
        <is>
          <t>R3</t>
        </is>
      </c>
      <c r="D157" s="33" t="n">
        <v>2</v>
      </c>
      <c r="E157" s="68" t="inlineStr">
        <is>
          <t>Pre-revenue, burning cash; dilution risk.</t>
        </is>
      </c>
      <c r="F157" s="68" t="inlineStr">
        <is>
          <t>POET FY26 filings + industry coverage (2026-05-18)</t>
        </is>
      </c>
      <c r="G157" s="33" t="inlineStr">
        <is>
          <t>High</t>
        </is>
      </c>
      <c r="H157" s="33" t="inlineStr">
        <is>
          <t>Initial</t>
        </is>
      </c>
    </row>
    <row r="158">
      <c r="A158" s="33" t="inlineStr">
        <is>
          <t>2026-05-18</t>
        </is>
      </c>
      <c r="B158" s="33" t="inlineStr">
        <is>
          <t>POET</t>
        </is>
      </c>
      <c r="C158" s="33" t="inlineStr">
        <is>
          <t>R4</t>
        </is>
      </c>
      <c r="D158" s="33" t="n">
        <v>4</v>
      </c>
      <c r="E158" s="68" t="inlineStr">
        <is>
          <t>Routine.</t>
        </is>
      </c>
      <c r="F158" s="68" t="inlineStr">
        <is>
          <t>POET FY26 filings + industry coverage (2026-05-18)</t>
        </is>
      </c>
      <c r="G158" s="33" t="inlineStr">
        <is>
          <t>High</t>
        </is>
      </c>
      <c r="H158" s="33" t="inlineStr">
        <is>
          <t>Initial</t>
        </is>
      </c>
    </row>
    <row r="159">
      <c r="A159" s="33" t="inlineStr">
        <is>
          <t>2026-05-18</t>
        </is>
      </c>
      <c r="B159" s="33" t="inlineStr">
        <is>
          <t>ANET</t>
        </is>
      </c>
      <c r="C159" s="33" t="inlineStr">
        <is>
          <t>D1</t>
        </is>
      </c>
      <c r="D159" s="33" t="n">
        <v>4</v>
      </c>
      <c r="E159" s="68" t="inlineStr">
        <is>
          <t>2026 AI revenue target $3.5B / $11.5B = ~30% AI; could cross 50% threshold within 2027.</t>
        </is>
      </c>
      <c r="F159" s="68" t="inlineStr">
        <is>
          <t>Arista Q1 FY26 + Q1 transcript coverage (2026-05-18)</t>
        </is>
      </c>
      <c r="G159" s="33" t="inlineStr">
        <is>
          <t>High</t>
        </is>
      </c>
      <c r="H159" s="33" t="inlineStr">
        <is>
          <t>Initial</t>
        </is>
      </c>
    </row>
    <row r="160">
      <c r="A160" s="33" t="inlineStr">
        <is>
          <t>2026-05-18</t>
        </is>
      </c>
      <c r="B160" s="33" t="inlineStr">
        <is>
          <t>ANET</t>
        </is>
      </c>
      <c r="C160" s="33" t="inlineStr">
        <is>
          <t>D2</t>
        </is>
      </c>
      <c r="D160" s="33" t="n">
        <v>5</v>
      </c>
      <c r="E160" s="68" t="inlineStr">
        <is>
          <t>Premier AI Ethernet fabric. 4th hyperscaler transitioned from InfiniBand to Ethernet Q1 2026. Limited substitutes at this tier (Cisco doesn't compete here).</t>
        </is>
      </c>
      <c r="F160" s="68" t="inlineStr">
        <is>
          <t>Arista Q1 FY26 + Q1 transcript coverage (2026-05-18)</t>
        </is>
      </c>
      <c r="G160" s="33" t="inlineStr">
        <is>
          <t>High</t>
        </is>
      </c>
      <c r="H160" s="33" t="inlineStr">
        <is>
          <t>Initial</t>
        </is>
      </c>
    </row>
    <row r="161">
      <c r="A161" s="33" t="inlineStr">
        <is>
          <t>2026-05-18</t>
        </is>
      </c>
      <c r="B161" s="33" t="inlineStr">
        <is>
          <t>ANET</t>
        </is>
      </c>
      <c r="C161" s="33" t="inlineStr">
        <is>
          <t>D3</t>
        </is>
      </c>
      <c r="D161" s="33" t="n">
        <v>5</v>
      </c>
      <c r="E161" s="68" t="inlineStr">
        <is>
          <t>EOS software ecosystem, multi-year customer integration with MSFT/META/ORCL.</t>
        </is>
      </c>
      <c r="F161" s="68" t="inlineStr">
        <is>
          <t>Arista Q1 FY26 + Q1 transcript coverage (2026-05-18)</t>
        </is>
      </c>
      <c r="G161" s="33" t="inlineStr">
        <is>
          <t>High</t>
        </is>
      </c>
      <c r="H161" s="33" t="inlineStr">
        <is>
          <t>Initial</t>
        </is>
      </c>
    </row>
    <row r="162">
      <c r="A162" s="33" t="inlineStr">
        <is>
          <t>2026-05-18</t>
        </is>
      </c>
      <c r="B162" s="33" t="inlineStr">
        <is>
          <t>ANET</t>
        </is>
      </c>
      <c r="C162" s="33" t="inlineStr">
        <is>
          <t>D4</t>
        </is>
      </c>
      <c r="D162" s="33" t="n">
        <v>5</v>
      </c>
      <c r="E162" s="68" t="inlineStr">
        <is>
          <t>AI revenue $3.5B target + hyperscaler buildouts backing.</t>
        </is>
      </c>
      <c r="F162" s="68" t="inlineStr">
        <is>
          <t>Arista Q1 FY26 + Q1 transcript coverage (2026-05-18)</t>
        </is>
      </c>
      <c r="G162" s="33" t="inlineStr">
        <is>
          <t>High</t>
        </is>
      </c>
      <c r="H162" s="33" t="inlineStr">
        <is>
          <t>Initial</t>
        </is>
      </c>
    </row>
    <row r="163">
      <c r="A163" s="33" t="inlineStr">
        <is>
          <t>2026-05-18</t>
        </is>
      </c>
      <c r="B163" s="33" t="inlineStr">
        <is>
          <t>ANET</t>
        </is>
      </c>
      <c r="C163" s="33" t="inlineStr">
        <is>
          <t>D5</t>
        </is>
      </c>
      <c r="D163" s="33" t="n">
        <v>5</v>
      </c>
      <c r="E163" s="68" t="inlineStr">
        <is>
          <t>MSFT 10%+, META 10%+, ORCL named anchor. Multiple hyperscalers &gt;30% combined.</t>
        </is>
      </c>
      <c r="F163" s="68" t="inlineStr">
        <is>
          <t>Arista Q1 FY26 + Q1 transcript coverage (2026-05-18)</t>
        </is>
      </c>
      <c r="G163" s="33" t="inlineStr">
        <is>
          <t>High</t>
        </is>
      </c>
      <c r="H163" s="33" t="inlineStr">
        <is>
          <t>Initial</t>
        </is>
      </c>
    </row>
    <row r="164">
      <c r="A164" s="33" t="inlineStr">
        <is>
          <t>2026-05-18</t>
        </is>
      </c>
      <c r="B164" s="33" t="inlineStr">
        <is>
          <t>ANET</t>
        </is>
      </c>
      <c r="C164" s="33" t="inlineStr">
        <is>
          <t>M1</t>
        </is>
      </c>
      <c r="D164" s="33" t="n">
        <v>5</v>
      </c>
      <c r="E164" s="68" t="inlineStr">
        <is>
          <t>23 up / 2 down on +1Y; FY revision +2.9%. Beat-and-raise pattern.</t>
        </is>
      </c>
      <c r="F164" s="68" t="inlineStr">
        <is>
          <t>Arista Q1 FY26 + Q1 transcript coverage (2026-05-18)</t>
        </is>
      </c>
      <c r="G164" s="33" t="inlineStr">
        <is>
          <t>High</t>
        </is>
      </c>
      <c r="H164" s="33" t="inlineStr">
        <is>
          <t>Initial</t>
        </is>
      </c>
    </row>
    <row r="165">
      <c r="A165" s="33" t="inlineStr">
        <is>
          <t>2026-05-18</t>
        </is>
      </c>
      <c r="B165" s="33" t="inlineStr">
        <is>
          <t>ANET</t>
        </is>
      </c>
      <c r="C165" s="33" t="inlineStr">
        <is>
          <t>M2</t>
        </is>
      </c>
      <c r="D165" s="33" t="n">
        <v>2</v>
      </c>
      <c r="E165" s="68" t="inlineStr">
        <is>
          <t>-63pp vs SOXX 180d; -89pp 365d. Market questioning Ethernet AI fabric story (AMD-META deal). Note: vs SPY only ~+0pp 180d, so semi benchmark is harsh — could argue 3.</t>
        </is>
      </c>
      <c r="F165" s="68" t="inlineStr">
        <is>
          <t>Arista Q1 FY26 + Q1 transcript coverage (2026-05-18)</t>
        </is>
      </c>
      <c r="G165" s="33" t="inlineStr">
        <is>
          <t>High</t>
        </is>
      </c>
      <c r="H165" s="33" t="inlineStr">
        <is>
          <t>Initial</t>
        </is>
      </c>
    </row>
    <row r="166">
      <c r="A166" s="33" t="inlineStr">
        <is>
          <t>2026-05-18</t>
        </is>
      </c>
      <c r="B166" s="33" t="inlineStr">
        <is>
          <t>ANET</t>
        </is>
      </c>
      <c r="C166" s="33" t="inlineStr">
        <is>
          <t>M3</t>
        </is>
      </c>
      <c r="D166" s="33" t="n">
        <v>3</v>
      </c>
      <c r="E166" s="68" t="inlineStr">
        <is>
          <t>3 disc + 64 10b5-1 sales; routine.</t>
        </is>
      </c>
      <c r="F166" s="68" t="inlineStr">
        <is>
          <t>Arista Q1 FY26 + Q1 transcript coverage (2026-05-18)</t>
        </is>
      </c>
      <c r="G166" s="33" t="inlineStr">
        <is>
          <t>High</t>
        </is>
      </c>
      <c r="H166" s="33" t="inlineStr">
        <is>
          <t>Initial</t>
        </is>
      </c>
    </row>
    <row r="167">
      <c r="A167" s="33" t="inlineStr">
        <is>
          <t>2026-05-18</t>
        </is>
      </c>
      <c r="B167" s="33" t="inlineStr">
        <is>
          <t>ANET</t>
        </is>
      </c>
      <c r="C167" s="33" t="inlineStr">
        <is>
          <t>R1</t>
        </is>
      </c>
      <c r="D167" s="33" t="n">
        <v>3</v>
      </c>
      <c r="E167" s="68" t="inlineStr">
        <is>
          <t>MSFT + META + Oracle combined ~30%+ — cluster concentration.</t>
        </is>
      </c>
      <c r="F167" s="68" t="inlineStr">
        <is>
          <t>Arista Q1 FY26 + Q1 transcript coverage (2026-05-18)</t>
        </is>
      </c>
      <c r="G167" s="33" t="inlineStr">
        <is>
          <t>High</t>
        </is>
      </c>
      <c r="H167" s="33" t="inlineStr">
        <is>
          <t>Initial</t>
        </is>
      </c>
    </row>
    <row r="168">
      <c r="A168" s="33" t="inlineStr">
        <is>
          <t>2026-05-18</t>
        </is>
      </c>
      <c r="B168" s="33" t="inlineStr">
        <is>
          <t>ANET</t>
        </is>
      </c>
      <c r="C168" s="33" t="inlineStr">
        <is>
          <t>R2</t>
        </is>
      </c>
      <c r="D168" s="33" t="n">
        <v>4</v>
      </c>
      <c r="E168" s="68" t="inlineStr">
        <is>
          <t>Global; minimal export-control exposure.</t>
        </is>
      </c>
      <c r="F168" s="68" t="inlineStr">
        <is>
          <t>Arista Q1 FY26 + Q1 transcript coverage (2026-05-18)</t>
        </is>
      </c>
      <c r="G168" s="33" t="inlineStr">
        <is>
          <t>High</t>
        </is>
      </c>
      <c r="H168" s="33" t="inlineStr">
        <is>
          <t>Initial</t>
        </is>
      </c>
    </row>
    <row r="169">
      <c r="A169" s="33" t="inlineStr">
        <is>
          <t>2026-05-18</t>
        </is>
      </c>
      <c r="B169" s="33" t="inlineStr">
        <is>
          <t>ANET</t>
        </is>
      </c>
      <c r="C169" s="33" t="inlineStr">
        <is>
          <t>R3</t>
        </is>
      </c>
      <c r="D169" s="33" t="n">
        <v>5</v>
      </c>
      <c r="E169" s="68" t="inlineStr">
        <is>
          <t>Net cash position; strong FCF.</t>
        </is>
      </c>
      <c r="F169" s="68" t="inlineStr">
        <is>
          <t>Arista Q1 FY26 + Q1 transcript coverage (2026-05-18)</t>
        </is>
      </c>
      <c r="G169" s="33" t="inlineStr">
        <is>
          <t>High</t>
        </is>
      </c>
      <c r="H169" s="33" t="inlineStr">
        <is>
          <t>Initial</t>
        </is>
      </c>
    </row>
    <row r="170">
      <c r="A170" s="33" t="inlineStr">
        <is>
          <t>2026-05-18</t>
        </is>
      </c>
      <c r="B170" s="33" t="inlineStr">
        <is>
          <t>ANET</t>
        </is>
      </c>
      <c r="C170" s="33" t="inlineStr">
        <is>
          <t>R4</t>
        </is>
      </c>
      <c r="D170" s="33" t="n">
        <v>4</v>
      </c>
      <c r="E170" s="68" t="inlineStr">
        <is>
          <t>Routine.</t>
        </is>
      </c>
      <c r="F170" s="68" t="inlineStr">
        <is>
          <t>Arista Q1 FY26 + Q1 transcript coverage (2026-05-18)</t>
        </is>
      </c>
      <c r="G170" s="33" t="inlineStr">
        <is>
          <t>High</t>
        </is>
      </c>
      <c r="H170" s="33" t="inlineStr">
        <is>
          <t>Initial</t>
        </is>
      </c>
    </row>
    <row r="171">
      <c r="A171" s="33" t="inlineStr">
        <is>
          <t>2026-05-18</t>
        </is>
      </c>
      <c r="B171" s="33" t="inlineStr">
        <is>
          <t>CSCO</t>
        </is>
      </c>
      <c r="C171" s="33" t="inlineStr">
        <is>
          <t>D1</t>
        </is>
      </c>
      <c r="D171" s="33" t="n">
        <v>2</v>
      </c>
      <c r="E171" s="68" t="inlineStr">
        <is>
          <t>AI is small portion of revenue; legacy enterprise networking dominant. Single-digit % AI-tied.</t>
        </is>
      </c>
      <c r="F171" s="68" t="inlineStr">
        <is>
          <t>Cisco Q3 FY26 + industry coverage (2026-05-18)</t>
        </is>
      </c>
      <c r="G171" s="33" t="inlineStr">
        <is>
          <t>High</t>
        </is>
      </c>
      <c r="H171" s="33" t="inlineStr">
        <is>
          <t>Initial</t>
        </is>
      </c>
    </row>
    <row r="172">
      <c r="A172" s="33" t="inlineStr">
        <is>
          <t>2026-05-18</t>
        </is>
      </c>
      <c r="B172" s="33" t="inlineStr">
        <is>
          <t>CSCO</t>
        </is>
      </c>
      <c r="C172" s="33" t="inlineStr">
        <is>
          <t>D2</t>
        </is>
      </c>
      <c r="D172" s="33" t="n">
        <v>3</v>
      </c>
      <c r="E172" s="68" t="inlineStr">
        <is>
          <t>Incumbent in enterprise networking; mature competitive position.</t>
        </is>
      </c>
      <c r="F172" s="68" t="inlineStr">
        <is>
          <t>Cisco Q3 FY26 + industry coverage (2026-05-18)</t>
        </is>
      </c>
      <c r="G172" s="33" t="inlineStr">
        <is>
          <t>High</t>
        </is>
      </c>
      <c r="H172" s="33" t="inlineStr">
        <is>
          <t>Initial</t>
        </is>
      </c>
    </row>
    <row r="173">
      <c r="A173" s="33" t="inlineStr">
        <is>
          <t>2026-05-18</t>
        </is>
      </c>
      <c r="B173" s="33" t="inlineStr">
        <is>
          <t>CSCO</t>
        </is>
      </c>
      <c r="C173" s="33" t="inlineStr">
        <is>
          <t>D3</t>
        </is>
      </c>
      <c r="D173" s="33" t="n">
        <v>4</v>
      </c>
      <c r="E173" s="68" t="inlineStr">
        <is>
          <t>Massive installed base + switching costs (enterprise IT lock-in).</t>
        </is>
      </c>
      <c r="F173" s="68" t="inlineStr">
        <is>
          <t>Cisco Q3 FY26 + industry coverage (2026-05-18)</t>
        </is>
      </c>
      <c r="G173" s="33" t="inlineStr">
        <is>
          <t>High</t>
        </is>
      </c>
      <c r="H173" s="33" t="inlineStr">
        <is>
          <t>Initial</t>
        </is>
      </c>
    </row>
    <row r="174">
      <c r="A174" s="33" t="inlineStr">
        <is>
          <t>2026-05-18</t>
        </is>
      </c>
      <c r="B174" s="33" t="inlineStr">
        <is>
          <t>CSCO</t>
        </is>
      </c>
      <c r="C174" s="33" t="inlineStr">
        <is>
          <t>D4</t>
        </is>
      </c>
      <c r="D174" s="33" t="n">
        <v>3</v>
      </c>
      <c r="E174" s="68" t="inlineStr">
        <is>
          <t>Mature capex; modest growth.</t>
        </is>
      </c>
      <c r="F174" s="68" t="inlineStr">
        <is>
          <t>Cisco Q3 FY26 + industry coverage (2026-05-18)</t>
        </is>
      </c>
      <c r="G174" s="33" t="inlineStr">
        <is>
          <t>High</t>
        </is>
      </c>
      <c r="H174" s="33" t="inlineStr">
        <is>
          <t>Initial</t>
        </is>
      </c>
    </row>
    <row r="175">
      <c r="A175" s="33" t="inlineStr">
        <is>
          <t>2026-05-18</t>
        </is>
      </c>
      <c r="B175" s="33" t="inlineStr">
        <is>
          <t>CSCO</t>
        </is>
      </c>
      <c r="C175" s="33" t="inlineStr">
        <is>
          <t>D5</t>
        </is>
      </c>
      <c r="D175" s="33" t="n">
        <v>3</v>
      </c>
      <c r="E175" s="68" t="inlineStr">
        <is>
          <t>Some hyperscaler exposure but not anchor relationships.</t>
        </is>
      </c>
      <c r="F175" s="68" t="inlineStr">
        <is>
          <t>Cisco Q3 FY26 + industry coverage (2026-05-18)</t>
        </is>
      </c>
      <c r="G175" s="33" t="inlineStr">
        <is>
          <t>High</t>
        </is>
      </c>
      <c r="H175" s="33" t="inlineStr">
        <is>
          <t>Initial</t>
        </is>
      </c>
    </row>
    <row r="176">
      <c r="A176" s="33" t="inlineStr">
        <is>
          <t>2026-05-18</t>
        </is>
      </c>
      <c r="B176" s="33" t="inlineStr">
        <is>
          <t>CSCO</t>
        </is>
      </c>
      <c r="C176" s="33" t="inlineStr">
        <is>
          <t>M1</t>
        </is>
      </c>
      <c r="D176" s="33" t="n">
        <v>3</v>
      </c>
      <c r="E176" s="68" t="inlineStr">
        <is>
          <t>1 up / 0 down on +1Y; FY revision +2.9%. Limited revision activity.</t>
        </is>
      </c>
      <c r="F176" s="68" t="inlineStr">
        <is>
          <t>Cisco Q3 FY26 + industry coverage (2026-05-18)</t>
        </is>
      </c>
      <c r="G176" s="33" t="inlineStr">
        <is>
          <t>High</t>
        </is>
      </c>
      <c r="H176" s="33" t="inlineStr">
        <is>
          <t>Initial</t>
        </is>
      </c>
    </row>
    <row r="177">
      <c r="A177" s="33" t="inlineStr">
        <is>
          <t>2026-05-18</t>
        </is>
      </c>
      <c r="B177" s="33" t="inlineStr">
        <is>
          <t>CSCO</t>
        </is>
      </c>
      <c r="C177" s="33" t="inlineStr">
        <is>
          <t>M2</t>
        </is>
      </c>
      <c r="D177" s="33" t="n">
        <v>3</v>
      </c>
      <c r="E177" s="68" t="inlineStr">
        <is>
          <t>-23pp vs SOXX 180d; +40pp vs SPY 180d. In-line broader market, lagging semis.</t>
        </is>
      </c>
      <c r="F177" s="68" t="inlineStr">
        <is>
          <t>Cisco Q3 FY26 + industry coverage (2026-05-18)</t>
        </is>
      </c>
      <c r="G177" s="33" t="inlineStr">
        <is>
          <t>High</t>
        </is>
      </c>
      <c r="H177" s="33" t="inlineStr">
        <is>
          <t>Initial</t>
        </is>
      </c>
    </row>
    <row r="178">
      <c r="A178" s="33" t="inlineStr">
        <is>
          <t>2026-05-18</t>
        </is>
      </c>
      <c r="B178" s="33" t="inlineStr">
        <is>
          <t>CSCO</t>
        </is>
      </c>
      <c r="C178" s="33" t="inlineStr">
        <is>
          <t>M3</t>
        </is>
      </c>
      <c r="D178" s="33" t="n">
        <v>3</v>
      </c>
      <c r="E178" s="68" t="inlineStr">
        <is>
          <t>3 disc + 59 10b5-1; routine.</t>
        </is>
      </c>
      <c r="F178" s="68" t="inlineStr">
        <is>
          <t>Cisco Q3 FY26 + industry coverage (2026-05-18)</t>
        </is>
      </c>
      <c r="G178" s="33" t="inlineStr">
        <is>
          <t>High</t>
        </is>
      </c>
      <c r="H178" s="33" t="inlineStr">
        <is>
          <t>Initial</t>
        </is>
      </c>
    </row>
    <row r="179">
      <c r="A179" s="33" t="inlineStr">
        <is>
          <t>2026-05-18</t>
        </is>
      </c>
      <c r="B179" s="33" t="inlineStr">
        <is>
          <t>CSCO</t>
        </is>
      </c>
      <c r="C179" s="33" t="inlineStr">
        <is>
          <t>R1</t>
        </is>
      </c>
      <c r="D179" s="33" t="n">
        <v>5</v>
      </c>
      <c r="E179" s="68" t="inlineStr">
        <is>
          <t>Diversified enterprise customer base — top customer minimal.</t>
        </is>
      </c>
      <c r="F179" s="68" t="inlineStr">
        <is>
          <t>Cisco Q3 FY26 + industry coverage (2026-05-18)</t>
        </is>
      </c>
      <c r="G179" s="33" t="inlineStr">
        <is>
          <t>High</t>
        </is>
      </c>
      <c r="H179" s="33" t="inlineStr">
        <is>
          <t>Initial</t>
        </is>
      </c>
    </row>
    <row r="180">
      <c r="A180" s="33" t="inlineStr">
        <is>
          <t>2026-05-18</t>
        </is>
      </c>
      <c r="B180" s="33" t="inlineStr">
        <is>
          <t>CSCO</t>
        </is>
      </c>
      <c r="C180" s="33" t="inlineStr">
        <is>
          <t>R2</t>
        </is>
      </c>
      <c r="D180" s="33" t="n">
        <v>4</v>
      </c>
      <c r="E180" s="68" t="inlineStr">
        <is>
          <t>Global.</t>
        </is>
      </c>
      <c r="F180" s="68" t="inlineStr">
        <is>
          <t>Cisco Q3 FY26 + industry coverage (2026-05-18)</t>
        </is>
      </c>
      <c r="G180" s="33" t="inlineStr">
        <is>
          <t>High</t>
        </is>
      </c>
      <c r="H180" s="33" t="inlineStr">
        <is>
          <t>Initial</t>
        </is>
      </c>
    </row>
    <row r="181">
      <c r="A181" s="33" t="inlineStr">
        <is>
          <t>2026-05-18</t>
        </is>
      </c>
      <c r="B181" s="33" t="inlineStr">
        <is>
          <t>CSCO</t>
        </is>
      </c>
      <c r="C181" s="33" t="inlineStr">
        <is>
          <t>R3</t>
        </is>
      </c>
      <c r="D181" s="33" t="n">
        <v>4</v>
      </c>
      <c r="E181" s="68" t="inlineStr">
        <is>
          <t>Strong; Splunk integration completing.</t>
        </is>
      </c>
      <c r="F181" s="68" t="inlineStr">
        <is>
          <t>Cisco Q3 FY26 + industry coverage (2026-05-18)</t>
        </is>
      </c>
      <c r="G181" s="33" t="inlineStr">
        <is>
          <t>High</t>
        </is>
      </c>
      <c r="H181" s="33" t="inlineStr">
        <is>
          <t>Initial</t>
        </is>
      </c>
    </row>
    <row r="182">
      <c r="A182" s="33" t="inlineStr">
        <is>
          <t>2026-05-18</t>
        </is>
      </c>
      <c r="B182" s="33" t="inlineStr">
        <is>
          <t>CSCO</t>
        </is>
      </c>
      <c r="C182" s="33" t="inlineStr">
        <is>
          <t>R4</t>
        </is>
      </c>
      <c r="D182" s="33" t="n">
        <v>4</v>
      </c>
      <c r="E182" s="68" t="inlineStr">
        <is>
          <t>Routine; Splunk integration largely complete.</t>
        </is>
      </c>
      <c r="F182" s="68" t="inlineStr">
        <is>
          <t>Cisco Q3 FY26 + industry coverage (2026-05-18)</t>
        </is>
      </c>
      <c r="G182" s="33" t="inlineStr">
        <is>
          <t>High</t>
        </is>
      </c>
      <c r="H182" s="33" t="inlineStr">
        <is>
          <t>Initial</t>
        </is>
      </c>
    </row>
    <row r="183">
      <c r="A183" s="33" t="inlineStr">
        <is>
          <t>2026-05-18</t>
        </is>
      </c>
      <c r="B183" s="33" t="inlineStr">
        <is>
          <t>CIEN</t>
        </is>
      </c>
      <c r="C183" s="33" t="inlineStr">
        <is>
          <t>D1</t>
        </is>
      </c>
      <c r="D183" s="33" t="n">
        <v>4</v>
      </c>
      <c r="E183" s="68" t="inlineStr">
        <is>
          <t>Cloud/AI 'record contribution' FY25, growing fast (~30-40% data center now).</t>
        </is>
      </c>
      <c r="F183" s="68" t="inlineStr">
        <is>
          <t>Ciena Q1 FY26 + WaveLogic 6E customer ramp coverage (2026-05-18)</t>
        </is>
      </c>
      <c r="G183" s="33" t="inlineStr">
        <is>
          <t>High</t>
        </is>
      </c>
      <c r="H183" s="33" t="inlineStr">
        <is>
          <t>Initial</t>
        </is>
      </c>
    </row>
    <row r="184">
      <c r="A184" s="33" t="inlineStr">
        <is>
          <t>2026-05-18</t>
        </is>
      </c>
      <c r="B184" s="33" t="inlineStr">
        <is>
          <t>CIEN</t>
        </is>
      </c>
      <c r="C184" s="33" t="inlineStr">
        <is>
          <t>D2</t>
        </is>
      </c>
      <c r="D184" s="33" t="n">
        <v>4</v>
      </c>
      <c r="E184" s="68" t="inlineStr">
        <is>
          <t>WaveLogic 6 Extreme (1.6T) coherent optics leader; 49 customers in 2 quarters of WL6E ramp.</t>
        </is>
      </c>
      <c r="F184" s="68" t="inlineStr">
        <is>
          <t>Ciena Q1 FY26 + WaveLogic 6E customer ramp coverage (2026-05-18)</t>
        </is>
      </c>
      <c r="G184" s="33" t="inlineStr">
        <is>
          <t>High</t>
        </is>
      </c>
      <c r="H184" s="33" t="inlineStr">
        <is>
          <t>Initial</t>
        </is>
      </c>
    </row>
    <row r="185">
      <c r="A185" s="33" t="inlineStr">
        <is>
          <t>2026-05-18</t>
        </is>
      </c>
      <c r="B185" s="33" t="inlineStr">
        <is>
          <t>CIEN</t>
        </is>
      </c>
      <c r="C185" s="33" t="inlineStr">
        <is>
          <t>D3</t>
        </is>
      </c>
      <c r="D185" s="33" t="n">
        <v>4</v>
      </c>
      <c r="E185" s="68" t="inlineStr">
        <is>
          <t>Coherent optics IP; multi-generation customer integration.</t>
        </is>
      </c>
      <c r="F185" s="68" t="inlineStr">
        <is>
          <t>Ciena Q1 FY26 + WaveLogic 6E customer ramp coverage (2026-05-18)</t>
        </is>
      </c>
      <c r="G185" s="33" t="inlineStr">
        <is>
          <t>High</t>
        </is>
      </c>
      <c r="H185" s="33" t="inlineStr">
        <is>
          <t>Initial</t>
        </is>
      </c>
    </row>
    <row r="186">
      <c r="A186" s="33" t="inlineStr">
        <is>
          <t>2026-05-18</t>
        </is>
      </c>
      <c r="B186" s="33" t="inlineStr">
        <is>
          <t>CIEN</t>
        </is>
      </c>
      <c r="C186" s="33" t="inlineStr">
        <is>
          <t>D4</t>
        </is>
      </c>
      <c r="D186" s="33" t="n">
        <v>5</v>
      </c>
      <c r="E186" s="68" t="inlineStr">
        <is>
          <t>WL6E ramp + AI DC interconnect demand backing buildout.</t>
        </is>
      </c>
      <c r="F186" s="68" t="inlineStr">
        <is>
          <t>Ciena Q1 FY26 + WaveLogic 6E customer ramp coverage (2026-05-18)</t>
        </is>
      </c>
      <c r="G186" s="33" t="inlineStr">
        <is>
          <t>High</t>
        </is>
      </c>
      <c r="H186" s="33" t="inlineStr">
        <is>
          <t>Initial</t>
        </is>
      </c>
    </row>
    <row r="187">
      <c r="A187" s="33" t="inlineStr">
        <is>
          <t>2026-05-18</t>
        </is>
      </c>
      <c r="B187" s="33" t="inlineStr">
        <is>
          <t>CIEN</t>
        </is>
      </c>
      <c r="C187" s="33" t="inlineStr">
        <is>
          <t>D5</t>
        </is>
      </c>
      <c r="D187" s="33" t="n">
        <v>4</v>
      </c>
      <c r="E187" s="68" t="inlineStr">
        <is>
          <t>Cloud providers as customers — record cloud contribution FY25.</t>
        </is>
      </c>
      <c r="F187" s="68" t="inlineStr">
        <is>
          <t>Ciena Q1 FY26 + WaveLogic 6E customer ramp coverage (2026-05-18)</t>
        </is>
      </c>
      <c r="G187" s="33" t="inlineStr">
        <is>
          <t>High</t>
        </is>
      </c>
      <c r="H187" s="33" t="inlineStr">
        <is>
          <t>Initial</t>
        </is>
      </c>
    </row>
    <row r="188">
      <c r="A188" s="33" t="inlineStr">
        <is>
          <t>2026-05-18</t>
        </is>
      </c>
      <c r="B188" s="33" t="inlineStr">
        <is>
          <t>CIEN</t>
        </is>
      </c>
      <c r="C188" s="33" t="inlineStr">
        <is>
          <t>M1</t>
        </is>
      </c>
      <c r="D188" s="33" t="n">
        <v>5</v>
      </c>
      <c r="E188" s="68" t="inlineStr">
        <is>
          <t>6 up / 0 down on +1Y; FY revision +16.9% — biggest mover in Layer 7.</t>
        </is>
      </c>
      <c r="F188" s="68" t="inlineStr">
        <is>
          <t>Ciena Q1 FY26 + WaveLogic 6E customer ramp coverage (2026-05-18)</t>
        </is>
      </c>
      <c r="G188" s="33" t="inlineStr">
        <is>
          <t>High</t>
        </is>
      </c>
      <c r="H188" s="33" t="inlineStr">
        <is>
          <t>Initial</t>
        </is>
      </c>
    </row>
    <row r="189">
      <c r="A189" s="33" t="inlineStr">
        <is>
          <t>2026-05-18</t>
        </is>
      </c>
      <c r="B189" s="33" t="inlineStr">
        <is>
          <t>CIEN</t>
        </is>
      </c>
      <c r="C189" s="33" t="inlineStr">
        <is>
          <t>M2</t>
        </is>
      </c>
      <c r="D189" s="33" t="n">
        <v>5</v>
      </c>
      <c r="E189" s="68" t="inlineStr">
        <is>
          <t>+101pp vs SOXX 180d; +410pp 365d. Strong outperformance.</t>
        </is>
      </c>
      <c r="F189" s="68" t="inlineStr">
        <is>
          <t>Ciena Q1 FY26 + WaveLogic 6E customer ramp coverage (2026-05-18)</t>
        </is>
      </c>
      <c r="G189" s="33" t="inlineStr">
        <is>
          <t>High</t>
        </is>
      </c>
      <c r="H189" s="33" t="inlineStr">
        <is>
          <t>Initial</t>
        </is>
      </c>
    </row>
    <row r="190">
      <c r="A190" s="33" t="inlineStr">
        <is>
          <t>2026-05-18</t>
        </is>
      </c>
      <c r="B190" s="33" t="inlineStr">
        <is>
          <t>CIEN</t>
        </is>
      </c>
      <c r="C190" s="33" t="inlineStr">
        <is>
          <t>M3</t>
        </is>
      </c>
      <c r="D190" s="33" t="n">
        <v>3</v>
      </c>
      <c r="E190" s="68" t="inlineStr">
        <is>
          <t>32 disc + 0 10b5-1 — high discretionary selling but no drawdown.</t>
        </is>
      </c>
      <c r="F190" s="68" t="inlineStr">
        <is>
          <t>Ciena Q1 FY26 + WaveLogic 6E customer ramp coverage (2026-05-18)</t>
        </is>
      </c>
      <c r="G190" s="33" t="inlineStr">
        <is>
          <t>High</t>
        </is>
      </c>
      <c r="H190" s="33" t="inlineStr">
        <is>
          <t>Initial</t>
        </is>
      </c>
    </row>
    <row r="191">
      <c r="A191" s="33" t="inlineStr">
        <is>
          <t>2026-05-18</t>
        </is>
      </c>
      <c r="B191" s="33" t="inlineStr">
        <is>
          <t>CIEN</t>
        </is>
      </c>
      <c r="C191" s="33" t="inlineStr">
        <is>
          <t>R1</t>
        </is>
      </c>
      <c r="D191" s="33" t="n">
        <v>4</v>
      </c>
      <c r="E191" s="68" t="inlineStr">
        <is>
          <t>Diversified between telco + cloud.</t>
        </is>
      </c>
      <c r="F191" s="68" t="inlineStr">
        <is>
          <t>Ciena Q1 FY26 + WaveLogic 6E customer ramp coverage (2026-05-18)</t>
        </is>
      </c>
      <c r="G191" s="33" t="inlineStr">
        <is>
          <t>High</t>
        </is>
      </c>
      <c r="H191" s="33" t="inlineStr">
        <is>
          <t>Initial</t>
        </is>
      </c>
    </row>
    <row r="192">
      <c r="A192" s="33" t="inlineStr">
        <is>
          <t>2026-05-18</t>
        </is>
      </c>
      <c r="B192" s="33" t="inlineStr">
        <is>
          <t>CIEN</t>
        </is>
      </c>
      <c r="C192" s="33" t="inlineStr">
        <is>
          <t>R2</t>
        </is>
      </c>
      <c r="D192" s="33" t="n">
        <v>4</v>
      </c>
      <c r="E192" s="68" t="inlineStr">
        <is>
          <t>Global.</t>
        </is>
      </c>
      <c r="F192" s="68" t="inlineStr">
        <is>
          <t>Ciena Q1 FY26 + WaveLogic 6E customer ramp coverage (2026-05-18)</t>
        </is>
      </c>
      <c r="G192" s="33" t="inlineStr">
        <is>
          <t>High</t>
        </is>
      </c>
      <c r="H192" s="33" t="inlineStr">
        <is>
          <t>Initial</t>
        </is>
      </c>
    </row>
    <row r="193">
      <c r="A193" s="33" t="inlineStr">
        <is>
          <t>2026-05-18</t>
        </is>
      </c>
      <c r="B193" s="33" t="inlineStr">
        <is>
          <t>CIEN</t>
        </is>
      </c>
      <c r="C193" s="33" t="inlineStr">
        <is>
          <t>R3</t>
        </is>
      </c>
      <c r="D193" s="33" t="n">
        <v>4</v>
      </c>
      <c r="E193" s="68" t="inlineStr">
        <is>
          <t>Strong balance sheet, positive FCF.</t>
        </is>
      </c>
      <c r="F193" s="68" t="inlineStr">
        <is>
          <t>Ciena Q1 FY26 + WaveLogic 6E customer ramp coverage (2026-05-18)</t>
        </is>
      </c>
      <c r="G193" s="33" t="inlineStr">
        <is>
          <t>High</t>
        </is>
      </c>
      <c r="H193" s="33" t="inlineStr">
        <is>
          <t>Initial</t>
        </is>
      </c>
    </row>
    <row r="194">
      <c r="A194" s="33" t="inlineStr">
        <is>
          <t>2026-05-18</t>
        </is>
      </c>
      <c r="B194" s="33" t="inlineStr">
        <is>
          <t>CIEN</t>
        </is>
      </c>
      <c r="C194" s="33" t="inlineStr">
        <is>
          <t>R4</t>
        </is>
      </c>
      <c r="D194" s="33" t="n">
        <v>4</v>
      </c>
      <c r="E194" s="68" t="inlineStr">
        <is>
          <t>Routine.</t>
        </is>
      </c>
      <c r="F194" s="68" t="inlineStr">
        <is>
          <t>Ciena Q1 FY26 + WaveLogic 6E customer ramp coverage (2026-05-18)</t>
        </is>
      </c>
      <c r="G194" s="33" t="inlineStr">
        <is>
          <t>High</t>
        </is>
      </c>
      <c r="H194" s="33" t="inlineStr">
        <is>
          <t>Initial</t>
        </is>
      </c>
    </row>
    <row r="195">
      <c r="A195" s="33" t="inlineStr">
        <is>
          <t>2026-05-18</t>
        </is>
      </c>
      <c r="B195" s="33" t="inlineStr">
        <is>
          <t>APH</t>
        </is>
      </c>
      <c r="C195" s="33" t="inlineStr">
        <is>
          <t>D1</t>
        </is>
      </c>
      <c r="D195" s="33" t="n">
        <v>3</v>
      </c>
      <c r="E195" s="68" t="inlineStr">
        <is>
          <t>Connectors for high-speed AI clusters meaningful; broader industrial/IT diversification.</t>
        </is>
      </c>
      <c r="F195" s="68" t="inlineStr">
        <is>
          <t>Amphenol Q1 FY26 + industry coverage (2026-05-18)</t>
        </is>
      </c>
      <c r="G195" s="33" t="inlineStr">
        <is>
          <t>High</t>
        </is>
      </c>
      <c r="H195" s="33" t="inlineStr">
        <is>
          <t>Initial</t>
        </is>
      </c>
    </row>
    <row r="196">
      <c r="A196" s="33" t="inlineStr">
        <is>
          <t>2026-05-18</t>
        </is>
      </c>
      <c r="B196" s="33" t="inlineStr">
        <is>
          <t>APH</t>
        </is>
      </c>
      <c r="C196" s="33" t="inlineStr">
        <is>
          <t>D2</t>
        </is>
      </c>
      <c r="D196" s="33" t="n">
        <v>3</v>
      </c>
      <c r="E196" s="68" t="inlineStr">
        <is>
          <t>Largest interconnect company globally; commoditized in many segments.</t>
        </is>
      </c>
      <c r="F196" s="68" t="inlineStr">
        <is>
          <t>Amphenol Q1 FY26 + industry coverage (2026-05-18)</t>
        </is>
      </c>
      <c r="G196" s="33" t="inlineStr">
        <is>
          <t>High</t>
        </is>
      </c>
      <c r="H196" s="33" t="inlineStr">
        <is>
          <t>Initial</t>
        </is>
      </c>
    </row>
    <row r="197">
      <c r="A197" s="33" t="inlineStr">
        <is>
          <t>2026-05-18</t>
        </is>
      </c>
      <c r="B197" s="33" t="inlineStr">
        <is>
          <t>APH</t>
        </is>
      </c>
      <c r="C197" s="33" t="inlineStr">
        <is>
          <t>D3</t>
        </is>
      </c>
      <c r="D197" s="33" t="n">
        <v>4</v>
      </c>
      <c r="E197" s="68" t="inlineStr">
        <is>
          <t>Scale + customer entrenchment; multi-decade customer relationships.</t>
        </is>
      </c>
      <c r="F197" s="68" t="inlineStr">
        <is>
          <t>Amphenol Q1 FY26 + industry coverage (2026-05-18)</t>
        </is>
      </c>
      <c r="G197" s="33" t="inlineStr">
        <is>
          <t>High</t>
        </is>
      </c>
      <c r="H197" s="33" t="inlineStr">
        <is>
          <t>Initial</t>
        </is>
      </c>
    </row>
    <row r="198">
      <c r="A198" s="33" t="inlineStr">
        <is>
          <t>2026-05-18</t>
        </is>
      </c>
      <c r="B198" s="33" t="inlineStr">
        <is>
          <t>APH</t>
        </is>
      </c>
      <c r="C198" s="33" t="inlineStr">
        <is>
          <t>D4</t>
        </is>
      </c>
      <c r="D198" s="33" t="n">
        <v>4</v>
      </c>
      <c r="E198" s="68" t="inlineStr">
        <is>
          <t>Active expansion across segments.</t>
        </is>
      </c>
      <c r="F198" s="68" t="inlineStr">
        <is>
          <t>Amphenol Q1 FY26 + industry coverage (2026-05-18)</t>
        </is>
      </c>
      <c r="G198" s="33" t="inlineStr">
        <is>
          <t>High</t>
        </is>
      </c>
      <c r="H198" s="33" t="inlineStr">
        <is>
          <t>Initial</t>
        </is>
      </c>
    </row>
    <row r="199">
      <c r="A199" s="33" t="inlineStr">
        <is>
          <t>2026-05-18</t>
        </is>
      </c>
      <c r="B199" s="33" t="inlineStr">
        <is>
          <t>APH</t>
        </is>
      </c>
      <c r="C199" s="33" t="inlineStr">
        <is>
          <t>D5</t>
        </is>
      </c>
      <c r="D199" s="33" t="n">
        <v>4</v>
      </c>
      <c r="E199" s="68" t="inlineStr">
        <is>
          <t>Indirect hyperscaler exposure via NVDA AI servers and others.</t>
        </is>
      </c>
      <c r="F199" s="68" t="inlineStr">
        <is>
          <t>Amphenol Q1 FY26 + industry coverage (2026-05-18)</t>
        </is>
      </c>
      <c r="G199" s="33" t="inlineStr">
        <is>
          <t>High</t>
        </is>
      </c>
      <c r="H199" s="33" t="inlineStr">
        <is>
          <t>Initial</t>
        </is>
      </c>
    </row>
    <row r="200">
      <c r="A200" s="33" t="inlineStr">
        <is>
          <t>2026-05-18</t>
        </is>
      </c>
      <c r="B200" s="33" t="inlineStr">
        <is>
          <t>APH</t>
        </is>
      </c>
      <c r="C200" s="33" t="inlineStr">
        <is>
          <t>M1</t>
        </is>
      </c>
      <c r="D200" s="33" t="n">
        <v>4</v>
      </c>
      <c r="E200" s="68" t="inlineStr">
        <is>
          <t>13 up / 1 down on +1Y; FY revision +9.8%.</t>
        </is>
      </c>
      <c r="F200" s="68" t="inlineStr">
        <is>
          <t>Amphenol Q1 FY26 + industry coverage (2026-05-18)</t>
        </is>
      </c>
      <c r="G200" s="33" t="inlineStr">
        <is>
          <t>High</t>
        </is>
      </c>
      <c r="H200" s="33" t="inlineStr">
        <is>
          <t>Initial</t>
        </is>
      </c>
    </row>
    <row r="201">
      <c r="A201" s="33" t="inlineStr">
        <is>
          <t>2026-05-18</t>
        </is>
      </c>
      <c r="B201" s="33" t="inlineStr">
        <is>
          <t>APH</t>
        </is>
      </c>
      <c r="C201" s="33" t="inlineStr">
        <is>
          <t>M2</t>
        </is>
      </c>
      <c r="D201" s="33" t="n">
        <v>2</v>
      </c>
      <c r="E201" s="68" t="inlineStr">
        <is>
          <t>-86pp vs SOXX 180d; -22pp vs SPY. Lagging broader market.</t>
        </is>
      </c>
      <c r="F201" s="68" t="inlineStr">
        <is>
          <t>Amphenol Q1 FY26 + industry coverage (2026-05-18)</t>
        </is>
      </c>
      <c r="G201" s="33" t="inlineStr">
        <is>
          <t>High</t>
        </is>
      </c>
      <c r="H201" s="33" t="inlineStr">
        <is>
          <t>Initial</t>
        </is>
      </c>
    </row>
    <row r="202">
      <c r="A202" s="33" t="inlineStr">
        <is>
          <t>2026-05-18</t>
        </is>
      </c>
      <c r="B202" s="33" t="inlineStr">
        <is>
          <t>APH</t>
        </is>
      </c>
      <c r="C202" s="33" t="inlineStr">
        <is>
          <t>M3</t>
        </is>
      </c>
      <c r="D202" s="33" t="n">
        <v>3</v>
      </c>
      <c r="E202" s="68" t="inlineStr">
        <is>
          <t>31 disc + 38 10b5-1; routine.</t>
        </is>
      </c>
      <c r="F202" s="68" t="inlineStr">
        <is>
          <t>Amphenol Q1 FY26 + industry coverage (2026-05-18)</t>
        </is>
      </c>
      <c r="G202" s="33" t="inlineStr">
        <is>
          <t>High</t>
        </is>
      </c>
      <c r="H202" s="33" t="inlineStr">
        <is>
          <t>Initial</t>
        </is>
      </c>
    </row>
    <row r="203">
      <c r="A203" s="33" t="inlineStr">
        <is>
          <t>2026-05-18</t>
        </is>
      </c>
      <c r="B203" s="33" t="inlineStr">
        <is>
          <t>APH</t>
        </is>
      </c>
      <c r="C203" s="33" t="inlineStr">
        <is>
          <t>R1</t>
        </is>
      </c>
      <c r="D203" s="33" t="n">
        <v>5</v>
      </c>
      <c r="E203" s="68" t="inlineStr">
        <is>
          <t>Hugely diversified — top customer &lt;5%.</t>
        </is>
      </c>
      <c r="F203" s="68" t="inlineStr">
        <is>
          <t>Amphenol Q1 FY26 + industry coverage (2026-05-18)</t>
        </is>
      </c>
      <c r="G203" s="33" t="inlineStr">
        <is>
          <t>High</t>
        </is>
      </c>
      <c r="H203" s="33" t="inlineStr">
        <is>
          <t>Initial</t>
        </is>
      </c>
    </row>
    <row r="204">
      <c r="A204" s="33" t="inlineStr">
        <is>
          <t>2026-05-18</t>
        </is>
      </c>
      <c r="B204" s="33" t="inlineStr">
        <is>
          <t>APH</t>
        </is>
      </c>
      <c r="C204" s="33" t="inlineStr">
        <is>
          <t>R2</t>
        </is>
      </c>
      <c r="D204" s="33" t="n">
        <v>4</v>
      </c>
      <c r="E204" s="68" t="inlineStr">
        <is>
          <t>Global.</t>
        </is>
      </c>
      <c r="F204" s="68" t="inlineStr">
        <is>
          <t>Amphenol Q1 FY26 + industry coverage (2026-05-18)</t>
        </is>
      </c>
      <c r="G204" s="33" t="inlineStr">
        <is>
          <t>High</t>
        </is>
      </c>
      <c r="H204" s="33" t="inlineStr">
        <is>
          <t>Initial</t>
        </is>
      </c>
    </row>
    <row r="205">
      <c r="A205" s="33" t="inlineStr">
        <is>
          <t>2026-05-18</t>
        </is>
      </c>
      <c r="B205" s="33" t="inlineStr">
        <is>
          <t>APH</t>
        </is>
      </c>
      <c r="C205" s="33" t="inlineStr">
        <is>
          <t>R3</t>
        </is>
      </c>
      <c r="D205" s="33" t="n">
        <v>4</v>
      </c>
      <c r="E205" s="68" t="inlineStr">
        <is>
          <t>Strong balance sheet.</t>
        </is>
      </c>
      <c r="F205" s="68" t="inlineStr">
        <is>
          <t>Amphenol Q1 FY26 + industry coverage (2026-05-18)</t>
        </is>
      </c>
      <c r="G205" s="33" t="inlineStr">
        <is>
          <t>High</t>
        </is>
      </c>
      <c r="H205" s="33" t="inlineStr">
        <is>
          <t>Initial</t>
        </is>
      </c>
    </row>
    <row r="206">
      <c r="A206" s="33" t="inlineStr">
        <is>
          <t>2026-05-18</t>
        </is>
      </c>
      <c r="B206" s="33" t="inlineStr">
        <is>
          <t>APH</t>
        </is>
      </c>
      <c r="C206" s="33" t="inlineStr">
        <is>
          <t>R4</t>
        </is>
      </c>
      <c r="D206" s="33" t="n">
        <v>4</v>
      </c>
      <c r="E206" s="68" t="inlineStr">
        <is>
          <t>Routine.</t>
        </is>
      </c>
      <c r="F206" s="68" t="inlineStr">
        <is>
          <t>Amphenol Q1 FY26 + industry coverage (2026-05-18)</t>
        </is>
      </c>
      <c r="G206" s="33" t="inlineStr">
        <is>
          <t>High</t>
        </is>
      </c>
      <c r="H206" s="33" t="inlineStr">
        <is>
          <t>Initial</t>
        </is>
      </c>
    </row>
    <row r="207">
      <c r="A207" s="33" t="inlineStr">
        <is>
          <t>2026-05-18</t>
        </is>
      </c>
      <c r="B207" s="33" t="inlineStr">
        <is>
          <t>TEL</t>
        </is>
      </c>
      <c r="C207" s="33" t="inlineStr">
        <is>
          <t>D1</t>
        </is>
      </c>
      <c r="D207" s="33" t="n">
        <v>2</v>
      </c>
      <c r="E207" s="68" t="inlineStr">
        <is>
          <t>Connectors broadly; less AI-specific exposure than APH.</t>
        </is>
      </c>
      <c r="F207" s="68" t="inlineStr">
        <is>
          <t>TE Connectivity Q1 FY26 + industry coverage (2026-05-18)</t>
        </is>
      </c>
      <c r="G207" s="33" t="inlineStr">
        <is>
          <t>High</t>
        </is>
      </c>
      <c r="H207" s="33" t="inlineStr">
        <is>
          <t>Initial</t>
        </is>
      </c>
    </row>
    <row r="208">
      <c r="A208" s="33" t="inlineStr">
        <is>
          <t>2026-05-18</t>
        </is>
      </c>
      <c r="B208" s="33" t="inlineStr">
        <is>
          <t>TEL</t>
        </is>
      </c>
      <c r="C208" s="33" t="inlineStr">
        <is>
          <t>D2</t>
        </is>
      </c>
      <c r="D208" s="33" t="n">
        <v>3</v>
      </c>
      <c r="E208" s="68" t="inlineStr">
        <is>
          <t>Connector commodity; less differentiated than APH.</t>
        </is>
      </c>
      <c r="F208" s="68" t="inlineStr">
        <is>
          <t>TE Connectivity Q1 FY26 + industry coverage (2026-05-18)</t>
        </is>
      </c>
      <c r="G208" s="33" t="inlineStr">
        <is>
          <t>High</t>
        </is>
      </c>
      <c r="H208" s="33" t="inlineStr">
        <is>
          <t>Initial</t>
        </is>
      </c>
    </row>
    <row r="209">
      <c r="A209" s="33" t="inlineStr">
        <is>
          <t>2026-05-18</t>
        </is>
      </c>
      <c r="B209" s="33" t="inlineStr">
        <is>
          <t>TEL</t>
        </is>
      </c>
      <c r="C209" s="33" t="inlineStr">
        <is>
          <t>D3</t>
        </is>
      </c>
      <c r="D209" s="33" t="n">
        <v>3</v>
      </c>
      <c r="E209" s="68" t="inlineStr">
        <is>
          <t>Scale moat but commoditizable.</t>
        </is>
      </c>
      <c r="F209" s="68" t="inlineStr">
        <is>
          <t>TE Connectivity Q1 FY26 + industry coverage (2026-05-18)</t>
        </is>
      </c>
      <c r="G209" s="33" t="inlineStr">
        <is>
          <t>High</t>
        </is>
      </c>
      <c r="H209" s="33" t="inlineStr">
        <is>
          <t>Initial</t>
        </is>
      </c>
    </row>
    <row r="210">
      <c r="A210" s="33" t="inlineStr">
        <is>
          <t>2026-05-18</t>
        </is>
      </c>
      <c r="B210" s="33" t="inlineStr">
        <is>
          <t>TEL</t>
        </is>
      </c>
      <c r="C210" s="33" t="inlineStr">
        <is>
          <t>D4</t>
        </is>
      </c>
      <c r="D210" s="33" t="n">
        <v>3</v>
      </c>
      <c r="E210" s="68" t="inlineStr">
        <is>
          <t>Mature growth profile.</t>
        </is>
      </c>
      <c r="F210" s="68" t="inlineStr">
        <is>
          <t>TE Connectivity Q1 FY26 + industry coverage (2026-05-18)</t>
        </is>
      </c>
      <c r="G210" s="33" t="inlineStr">
        <is>
          <t>High</t>
        </is>
      </c>
      <c r="H210" s="33" t="inlineStr">
        <is>
          <t>Initial</t>
        </is>
      </c>
    </row>
    <row r="211">
      <c r="A211" s="33" t="inlineStr">
        <is>
          <t>2026-05-18</t>
        </is>
      </c>
      <c r="B211" s="33" t="inlineStr">
        <is>
          <t>TEL</t>
        </is>
      </c>
      <c r="C211" s="33" t="inlineStr">
        <is>
          <t>D5</t>
        </is>
      </c>
      <c r="D211" s="33" t="n">
        <v>3</v>
      </c>
      <c r="E211" s="68" t="inlineStr">
        <is>
          <t>Some hyperscaler exposure but indirect.</t>
        </is>
      </c>
      <c r="F211" s="68" t="inlineStr">
        <is>
          <t>TE Connectivity Q1 FY26 + industry coverage (2026-05-18)</t>
        </is>
      </c>
      <c r="G211" s="33" t="inlineStr">
        <is>
          <t>High</t>
        </is>
      </c>
      <c r="H211" s="33" t="inlineStr">
        <is>
          <t>Initial</t>
        </is>
      </c>
    </row>
    <row r="212">
      <c r="A212" s="33" t="inlineStr">
        <is>
          <t>2026-05-18</t>
        </is>
      </c>
      <c r="B212" s="33" t="inlineStr">
        <is>
          <t>TEL</t>
        </is>
      </c>
      <c r="C212" s="33" t="inlineStr">
        <is>
          <t>M1</t>
        </is>
      </c>
      <c r="D212" s="33" t="n">
        <v>4</v>
      </c>
      <c r="E212" s="68" t="inlineStr">
        <is>
          <t>15 up / 1 down on +1Y; FY revision +1.7%.</t>
        </is>
      </c>
      <c r="F212" s="68" t="inlineStr">
        <is>
          <t>TE Connectivity Q1 FY26 + industry coverage (2026-05-18)</t>
        </is>
      </c>
      <c r="G212" s="33" t="inlineStr">
        <is>
          <t>High</t>
        </is>
      </c>
      <c r="H212" s="33" t="inlineStr">
        <is>
          <t>Initial</t>
        </is>
      </c>
    </row>
    <row r="213">
      <c r="A213" s="33" t="inlineStr">
        <is>
          <t>2026-05-18</t>
        </is>
      </c>
      <c r="B213" s="33" t="inlineStr">
        <is>
          <t>TEL</t>
        </is>
      </c>
      <c r="C213" s="33" t="inlineStr">
        <is>
          <t>M2</t>
        </is>
      </c>
      <c r="D213" s="33" t="n">
        <v>2</v>
      </c>
      <c r="E213" s="68" t="inlineStr">
        <is>
          <t>-89pp vs SOXX 180d; -26pp vs SPY. Lagging broader market.</t>
        </is>
      </c>
      <c r="F213" s="68" t="inlineStr">
        <is>
          <t>TE Connectivity Q1 FY26 + industry coverage (2026-05-18)</t>
        </is>
      </c>
      <c r="G213" s="33" t="inlineStr">
        <is>
          <t>High</t>
        </is>
      </c>
      <c r="H213" s="33" t="inlineStr">
        <is>
          <t>Initial</t>
        </is>
      </c>
    </row>
    <row r="214">
      <c r="A214" s="33" t="inlineStr">
        <is>
          <t>2026-05-18</t>
        </is>
      </c>
      <c r="B214" s="33" t="inlineStr">
        <is>
          <t>TEL</t>
        </is>
      </c>
      <c r="C214" s="33" t="inlineStr">
        <is>
          <t>M3</t>
        </is>
      </c>
      <c r="D214" s="33" t="n">
        <v>3</v>
      </c>
      <c r="E214" s="68" t="inlineStr">
        <is>
          <t>18 disc + 0 10b5-1; routine.</t>
        </is>
      </c>
      <c r="F214" s="68" t="inlineStr">
        <is>
          <t>TE Connectivity Q1 FY26 + industry coverage (2026-05-18)</t>
        </is>
      </c>
      <c r="G214" s="33" t="inlineStr">
        <is>
          <t>High</t>
        </is>
      </c>
      <c r="H214" s="33" t="inlineStr">
        <is>
          <t>Initial</t>
        </is>
      </c>
    </row>
    <row r="215">
      <c r="A215" s="33" t="inlineStr">
        <is>
          <t>2026-05-18</t>
        </is>
      </c>
      <c r="B215" s="33" t="inlineStr">
        <is>
          <t>TEL</t>
        </is>
      </c>
      <c r="C215" s="33" t="inlineStr">
        <is>
          <t>R1</t>
        </is>
      </c>
      <c r="D215" s="33" t="n">
        <v>5</v>
      </c>
      <c r="E215" s="68" t="inlineStr">
        <is>
          <t>Diversified.</t>
        </is>
      </c>
      <c r="F215" s="68" t="inlineStr">
        <is>
          <t>TE Connectivity Q1 FY26 + industry coverage (2026-05-18)</t>
        </is>
      </c>
      <c r="G215" s="33" t="inlineStr">
        <is>
          <t>High</t>
        </is>
      </c>
      <c r="H215" s="33" t="inlineStr">
        <is>
          <t>Initial</t>
        </is>
      </c>
    </row>
    <row r="216">
      <c r="A216" s="33" t="inlineStr">
        <is>
          <t>2026-05-18</t>
        </is>
      </c>
      <c r="B216" s="33" t="inlineStr">
        <is>
          <t>TEL</t>
        </is>
      </c>
      <c r="C216" s="33" t="inlineStr">
        <is>
          <t>R2</t>
        </is>
      </c>
      <c r="D216" s="33" t="n">
        <v>4</v>
      </c>
      <c r="E216" s="68" t="inlineStr">
        <is>
          <t>Global.</t>
        </is>
      </c>
      <c r="F216" s="68" t="inlineStr">
        <is>
          <t>TE Connectivity Q1 FY26 + industry coverage (2026-05-18)</t>
        </is>
      </c>
      <c r="G216" s="33" t="inlineStr">
        <is>
          <t>High</t>
        </is>
      </c>
      <c r="H216" s="33" t="inlineStr">
        <is>
          <t>Initial</t>
        </is>
      </c>
    </row>
    <row r="217">
      <c r="A217" s="33" t="inlineStr">
        <is>
          <t>2026-05-18</t>
        </is>
      </c>
      <c r="B217" s="33" t="inlineStr">
        <is>
          <t>TEL</t>
        </is>
      </c>
      <c r="C217" s="33" t="inlineStr">
        <is>
          <t>R3</t>
        </is>
      </c>
      <c r="D217" s="33" t="n">
        <v>4</v>
      </c>
      <c r="E217" s="68" t="inlineStr">
        <is>
          <t>Strong.</t>
        </is>
      </c>
      <c r="F217" s="68" t="inlineStr">
        <is>
          <t>TE Connectivity Q1 FY26 + industry coverage (2026-05-18)</t>
        </is>
      </c>
      <c r="G217" s="33" t="inlineStr">
        <is>
          <t>High</t>
        </is>
      </c>
      <c r="H217" s="33" t="inlineStr">
        <is>
          <t>Initial</t>
        </is>
      </c>
    </row>
    <row r="218">
      <c r="A218" s="33" t="inlineStr">
        <is>
          <t>2026-05-18</t>
        </is>
      </c>
      <c r="B218" s="33" t="inlineStr">
        <is>
          <t>TEL</t>
        </is>
      </c>
      <c r="C218" s="33" t="inlineStr">
        <is>
          <t>R4</t>
        </is>
      </c>
      <c r="D218" s="33" t="n">
        <v>4</v>
      </c>
      <c r="E218" s="68" t="inlineStr">
        <is>
          <t>Routine.</t>
        </is>
      </c>
      <c r="F218" s="68" t="inlineStr">
        <is>
          <t>TE Connectivity Q1 FY26 + industry coverage (2026-05-18)</t>
        </is>
      </c>
      <c r="G218" s="33" t="inlineStr">
        <is>
          <t>High</t>
        </is>
      </c>
      <c r="H218" s="33" t="inlineStr">
        <is>
          <t>Initial</t>
        </is>
      </c>
    </row>
    <row r="219">
      <c r="A219" s="33" t="inlineStr">
        <is>
          <t>2026-05-18</t>
        </is>
      </c>
      <c r="B219" s="33" t="inlineStr">
        <is>
          <t>GLW</t>
        </is>
      </c>
      <c r="C219" s="33" t="inlineStr">
        <is>
          <t>D1</t>
        </is>
      </c>
      <c r="D219" s="33" t="n">
        <v>4</v>
      </c>
      <c r="E219" s="68" t="inlineStr">
        <is>
          <t>Optical Communications +36% Q1; NVDA $500M optical partnership + META gen AI agreements. ~25-50% AI-related.</t>
        </is>
      </c>
      <c r="F219" s="68" t="inlineStr">
        <is>
          <t>Corning Q1 FY26 + NVDA $500M partnership + Springboard plan coverage (2026-05-18)</t>
        </is>
      </c>
      <c r="G219" s="33" t="inlineStr">
        <is>
          <t>High</t>
        </is>
      </c>
      <c r="H219" s="33" t="inlineStr">
        <is>
          <t>Initial</t>
        </is>
      </c>
    </row>
    <row r="220">
      <c r="A220" s="33" t="inlineStr">
        <is>
          <t>2026-05-18</t>
        </is>
      </c>
      <c r="B220" s="33" t="inlineStr">
        <is>
          <t>GLW</t>
        </is>
      </c>
      <c r="C220" s="33" t="inlineStr">
        <is>
          <t>D2</t>
        </is>
      </c>
      <c r="D220" s="33" t="n">
        <v>5</v>
      </c>
      <c r="E220" s="68" t="inlineStr">
        <is>
          <t>NVDA optical connectivity partner + CPO leadership = unique structural position. 170yr fiber/glass IP.</t>
        </is>
      </c>
      <c r="F220" s="68" t="inlineStr">
        <is>
          <t>Corning Q1 FY26 + NVDA $500M partnership + Springboard plan coverage (2026-05-18)</t>
        </is>
      </c>
      <c r="G220" s="33" t="inlineStr">
        <is>
          <t>High</t>
        </is>
      </c>
      <c r="H220" s="33" t="inlineStr">
        <is>
          <t>Initial</t>
        </is>
      </c>
    </row>
    <row r="221">
      <c r="A221" s="33" t="inlineStr">
        <is>
          <t>2026-05-18</t>
        </is>
      </c>
      <c r="B221" s="33" t="inlineStr">
        <is>
          <t>GLW</t>
        </is>
      </c>
      <c r="C221" s="33" t="inlineStr">
        <is>
          <t>D3</t>
        </is>
      </c>
      <c r="D221" s="33" t="n">
        <v>5</v>
      </c>
      <c r="E221" s="68" t="inlineStr">
        <is>
          <t>Patented multicore fiber, expanded-beam connectors, co-packaged optics systems. Deep manufacturing IP.</t>
        </is>
      </c>
      <c r="F221" s="68" t="inlineStr">
        <is>
          <t>Corning Q1 FY26 + NVDA $500M partnership + Springboard plan coverage (2026-05-18)</t>
        </is>
      </c>
      <c r="G221" s="33" t="inlineStr">
        <is>
          <t>High</t>
        </is>
      </c>
      <c r="H221" s="33" t="inlineStr">
        <is>
          <t>Initial</t>
        </is>
      </c>
    </row>
    <row r="222">
      <c r="A222" s="33" t="inlineStr">
        <is>
          <t>2026-05-18</t>
        </is>
      </c>
      <c r="B222" s="33" t="inlineStr">
        <is>
          <t>GLW</t>
        </is>
      </c>
      <c r="C222" s="33" t="inlineStr">
        <is>
          <t>D4</t>
        </is>
      </c>
      <c r="D222" s="33" t="n">
        <v>5</v>
      </c>
      <c r="E222" s="68" t="inlineStr">
        <is>
          <t>Springboard plan ($4B annualized sales) + NVDA $500M investment + META long-term gen AI agreements = funded multi-year buildout.</t>
        </is>
      </c>
      <c r="F222" s="68" t="inlineStr">
        <is>
          <t>Corning Q1 FY26 + NVDA $500M partnership + Springboard plan coverage (2026-05-18)</t>
        </is>
      </c>
      <c r="G222" s="33" t="inlineStr">
        <is>
          <t>High</t>
        </is>
      </c>
      <c r="H222" s="33" t="inlineStr">
        <is>
          <t>Initial</t>
        </is>
      </c>
    </row>
    <row r="223">
      <c r="A223" s="33" t="inlineStr">
        <is>
          <t>2026-05-18</t>
        </is>
      </c>
      <c r="B223" s="33" t="inlineStr">
        <is>
          <t>GLW</t>
        </is>
      </c>
      <c r="C223" s="33" t="inlineStr">
        <is>
          <t>D5</t>
        </is>
      </c>
      <c r="D223" s="33" t="n">
        <v>5</v>
      </c>
      <c r="E223" s="68" t="inlineStr">
        <is>
          <t>NVDA + META as anchor AI partners. Multiple hyperscaler/AI lab relationships.</t>
        </is>
      </c>
      <c r="F223" s="68" t="inlineStr">
        <is>
          <t>Corning Q1 FY26 + NVDA $500M partnership + Springboard plan coverage (2026-05-18)</t>
        </is>
      </c>
      <c r="G223" s="33" t="inlineStr">
        <is>
          <t>High</t>
        </is>
      </c>
      <c r="H223" s="33" t="inlineStr">
        <is>
          <t>Initial</t>
        </is>
      </c>
    </row>
    <row r="224">
      <c r="A224" s="33" t="inlineStr">
        <is>
          <t>2026-05-18</t>
        </is>
      </c>
      <c r="B224" s="33" t="inlineStr">
        <is>
          <t>GLW</t>
        </is>
      </c>
      <c r="C224" s="33" t="inlineStr">
        <is>
          <t>M1</t>
        </is>
      </c>
      <c r="D224" s="33" t="n">
        <v>4</v>
      </c>
      <c r="E224" s="68" t="inlineStr">
        <is>
          <t>13 up / 1 down on +1Y; FY revision +3.1%.</t>
        </is>
      </c>
      <c r="F224" s="68" t="inlineStr">
        <is>
          <t>Corning Q1 FY26 + NVDA $500M partnership + Springboard plan coverage (2026-05-18)</t>
        </is>
      </c>
      <c r="G224" s="33" t="inlineStr">
        <is>
          <t>High</t>
        </is>
      </c>
      <c r="H224" s="33" t="inlineStr">
        <is>
          <t>Initial</t>
        </is>
      </c>
    </row>
    <row r="225">
      <c r="A225" s="33" t="inlineStr">
        <is>
          <t>2026-05-18</t>
        </is>
      </c>
      <c r="B225" s="33" t="inlineStr">
        <is>
          <t>GLW</t>
        </is>
      </c>
      <c r="C225" s="33" t="inlineStr">
        <is>
          <t>M2</t>
        </is>
      </c>
      <c r="D225" s="33" t="n">
        <v>5</v>
      </c>
      <c r="E225" s="68" t="inlineStr">
        <is>
          <t>+41pp vs SOXX 180d; +104pp vs SPY. Strong sector relative.</t>
        </is>
      </c>
      <c r="F225" s="68" t="inlineStr">
        <is>
          <t>Corning Q1 FY26 + NVDA $500M partnership + Springboard plan coverage (2026-05-18)</t>
        </is>
      </c>
      <c r="G225" s="33" t="inlineStr">
        <is>
          <t>High</t>
        </is>
      </c>
      <c r="H225" s="33" t="inlineStr">
        <is>
          <t>Initial</t>
        </is>
      </c>
    </row>
    <row r="226">
      <c r="A226" s="33" t="inlineStr">
        <is>
          <t>2026-05-18</t>
        </is>
      </c>
      <c r="B226" s="33" t="inlineStr">
        <is>
          <t>GLW</t>
        </is>
      </c>
      <c r="C226" s="33" t="inlineStr">
        <is>
          <t>M3</t>
        </is>
      </c>
      <c r="D226" s="33" t="n">
        <v>3</v>
      </c>
      <c r="E226" s="68" t="inlineStr">
        <is>
          <t>18 disc + 0 10b5-1; routine through rally.</t>
        </is>
      </c>
      <c r="F226" s="68" t="inlineStr">
        <is>
          <t>Corning Q1 FY26 + NVDA $500M partnership + Springboard plan coverage (2026-05-18)</t>
        </is>
      </c>
      <c r="G226" s="33" t="inlineStr">
        <is>
          <t>High</t>
        </is>
      </c>
      <c r="H226" s="33" t="inlineStr">
        <is>
          <t>Initial</t>
        </is>
      </c>
    </row>
    <row r="227">
      <c r="A227" s="33" t="inlineStr">
        <is>
          <t>2026-05-18</t>
        </is>
      </c>
      <c r="B227" s="33" t="inlineStr">
        <is>
          <t>GLW</t>
        </is>
      </c>
      <c r="C227" s="33" t="inlineStr">
        <is>
          <t>R1</t>
        </is>
      </c>
      <c r="D227" s="33" t="n">
        <v>5</v>
      </c>
      <c r="E227" s="68" t="inlineStr">
        <is>
          <t>Highly diversified (display + comms + solar + life sciences).</t>
        </is>
      </c>
      <c r="F227" s="68" t="inlineStr">
        <is>
          <t>Corning Q1 FY26 + NVDA $500M partnership + Springboard plan coverage (2026-05-18)</t>
        </is>
      </c>
      <c r="G227" s="33" t="inlineStr">
        <is>
          <t>High</t>
        </is>
      </c>
      <c r="H227" s="33" t="inlineStr">
        <is>
          <t>Initial</t>
        </is>
      </c>
    </row>
    <row r="228">
      <c r="A228" s="33" t="inlineStr">
        <is>
          <t>2026-05-18</t>
        </is>
      </c>
      <c r="B228" s="33" t="inlineStr">
        <is>
          <t>GLW</t>
        </is>
      </c>
      <c r="C228" s="33" t="inlineStr">
        <is>
          <t>R2</t>
        </is>
      </c>
      <c r="D228" s="33" t="n">
        <v>4</v>
      </c>
      <c r="E228" s="68" t="inlineStr">
        <is>
          <t>Global.</t>
        </is>
      </c>
      <c r="F228" s="68" t="inlineStr">
        <is>
          <t>Corning Q1 FY26 + NVDA $500M partnership + Springboard plan coverage (2026-05-18)</t>
        </is>
      </c>
      <c r="G228" s="33" t="inlineStr">
        <is>
          <t>High</t>
        </is>
      </c>
      <c r="H228" s="33" t="inlineStr">
        <is>
          <t>Initial</t>
        </is>
      </c>
    </row>
    <row r="229">
      <c r="A229" s="33" t="inlineStr">
        <is>
          <t>2026-05-18</t>
        </is>
      </c>
      <c r="B229" s="33" t="inlineStr">
        <is>
          <t>GLW</t>
        </is>
      </c>
      <c r="C229" s="33" t="inlineStr">
        <is>
          <t>R3</t>
        </is>
      </c>
      <c r="D229" s="33" t="n">
        <v>4</v>
      </c>
      <c r="E229" s="68" t="inlineStr">
        <is>
          <t>Modest leverage; strong FCF.</t>
        </is>
      </c>
      <c r="F229" s="68" t="inlineStr">
        <is>
          <t>Corning Q1 FY26 + NVDA $500M partnership + Springboard plan coverage (2026-05-18)</t>
        </is>
      </c>
      <c r="G229" s="33" t="inlineStr">
        <is>
          <t>High</t>
        </is>
      </c>
      <c r="H229" s="33" t="inlineStr">
        <is>
          <t>Initial</t>
        </is>
      </c>
    </row>
    <row r="230">
      <c r="A230" s="33" t="inlineStr">
        <is>
          <t>2026-05-18</t>
        </is>
      </c>
      <c r="B230" s="33" t="inlineStr">
        <is>
          <t>GLW</t>
        </is>
      </c>
      <c r="C230" s="33" t="inlineStr">
        <is>
          <t>R4</t>
        </is>
      </c>
      <c r="D230" s="33" t="n">
        <v>4</v>
      </c>
      <c r="E230" s="68" t="inlineStr">
        <is>
          <t>Routine.</t>
        </is>
      </c>
      <c r="F230" s="68" t="inlineStr">
        <is>
          <t>Corning Q1 FY26 + NVDA $500M partnership + Springboard plan coverage (2026-05-18)</t>
        </is>
      </c>
      <c r="G230" s="33" t="inlineStr">
        <is>
          <t>High</t>
        </is>
      </c>
      <c r="H230" s="33" t="inlineStr">
        <is>
          <t>Initial</t>
        </is>
      </c>
    </row>
    <row r="231">
      <c r="A231" s="33" t="inlineStr">
        <is>
          <t>2026-05-18</t>
        </is>
      </c>
      <c r="B231" s="33" t="inlineStr">
        <is>
          <t>MSFT</t>
        </is>
      </c>
      <c r="C231" s="33" t="inlineStr">
        <is>
          <t>D1</t>
        </is>
      </c>
      <c r="D231" s="33" t="n">
        <v>3</v>
      </c>
      <c r="E231" s="68" t="inlineStr">
        <is>
          <t>AI run rate $37B / total revenue ~$280B = 13%. Band 3 (10-25%). Sticking to literal disclosed-AI-revenue methodology for consistency across watchlist (vs AVGO 43%/band 4, MRVL 47%/band 5). Will mechanically promote when MSFT crosses 25% AI revenue threshold.</t>
        </is>
      </c>
      <c r="F231" s="68" t="inlineStr">
        <is>
          <t>GeekWire AI run rate, MSFT Q3 FY26 8-K, OpenAI restructure CNBC coverage, Dom 2026-05-18 Copilot observation</t>
        </is>
      </c>
      <c r="G231" s="33" t="inlineStr">
        <is>
          <t>High</t>
        </is>
      </c>
      <c r="H231" s="33" t="inlineStr">
        <is>
          <t>Initial</t>
        </is>
      </c>
    </row>
    <row r="232">
      <c r="A232" s="33" t="inlineStr">
        <is>
          <t>2026-05-18</t>
        </is>
      </c>
      <c r="B232" s="33" t="inlineStr">
        <is>
          <t>MSFT</t>
        </is>
      </c>
      <c r="C232" s="33" t="inlineStr">
        <is>
          <t>D2</t>
        </is>
      </c>
      <c r="D232" s="33" t="n">
        <v>5</v>
      </c>
      <c r="E232" s="68" t="inlineStr">
        <is>
          <t>Azure #2 cloud globally; OpenAI partnership (restructured but revenue share through 2030); Maia + Cobalt in production. Bottleneck-tier position in AI cloud services.</t>
        </is>
      </c>
      <c r="F232" s="68" t="inlineStr">
        <is>
          <t>GeekWire AI run rate, MSFT Q3 FY26 8-K, OpenAI restructure CNBC coverage, Dom 2026-05-18 Copilot observation</t>
        </is>
      </c>
      <c r="G232" s="33" t="inlineStr">
        <is>
          <t>High</t>
        </is>
      </c>
      <c r="H232" s="33" t="inlineStr">
        <is>
          <t>Initial</t>
        </is>
      </c>
    </row>
    <row r="233">
      <c r="A233" s="33" t="inlineStr">
        <is>
          <t>2026-05-18</t>
        </is>
      </c>
      <c r="B233" s="33" t="inlineStr">
        <is>
          <t>MSFT</t>
        </is>
      </c>
      <c r="C233" s="33" t="inlineStr">
        <is>
          <t>D3</t>
        </is>
      </c>
      <c r="D233" s="33" t="n">
        <v>5</v>
      </c>
      <c r="E233" s="68" t="inlineStr">
        <is>
          <t>Enterprise lock-in (Office monopoly, Azure scale, Active Directory). 5-component moat across products. Halo-check passed: still 5 if stock down 40%.</t>
        </is>
      </c>
      <c r="F233" s="68" t="inlineStr">
        <is>
          <t>GeekWire AI run rate, MSFT Q3 FY26 8-K, OpenAI restructure CNBC coverage, Dom 2026-05-18 Copilot observation</t>
        </is>
      </c>
      <c r="G233" s="33" t="inlineStr">
        <is>
          <t>High</t>
        </is>
      </c>
      <c r="H233" s="33" t="inlineStr">
        <is>
          <t>Initial</t>
        </is>
      </c>
    </row>
    <row r="234">
      <c r="A234" s="33" t="inlineStr">
        <is>
          <t>2026-05-18</t>
        </is>
      </c>
      <c r="B234" s="33" t="inlineStr">
        <is>
          <t>MSFT</t>
        </is>
      </c>
      <c r="C234" s="33" t="inlineStr">
        <is>
          <t>D4</t>
        </is>
      </c>
      <c r="D234" s="33" t="n">
        <v>5</v>
      </c>
      <c r="E234" s="68" t="inlineStr">
        <is>
          <t>Capex $190B for calendar 2026 — committed to doubling AI infrastructure in 2 years. Largest single-company AI buildout disclosed.</t>
        </is>
      </c>
      <c r="F234" s="68" t="inlineStr">
        <is>
          <t>GeekWire AI run rate, MSFT Q3 FY26 8-K, OpenAI restructure CNBC coverage, Dom 2026-05-18 Copilot observation</t>
        </is>
      </c>
      <c r="G234" s="33" t="inlineStr">
        <is>
          <t>High</t>
        </is>
      </c>
      <c r="H234" s="33" t="inlineStr">
        <is>
          <t>Initial</t>
        </is>
      </c>
    </row>
    <row r="235">
      <c r="A235" s="33" t="inlineStr">
        <is>
          <t>2026-05-18</t>
        </is>
      </c>
      <c r="B235" s="33" t="inlineStr">
        <is>
          <t>MSFT</t>
        </is>
      </c>
      <c r="C235" s="33" t="inlineStr">
        <is>
          <t>D5</t>
        </is>
      </c>
      <c r="D235" s="33" t="n">
        <v>5</v>
      </c>
      <c r="E235" s="68" t="inlineStr">
        <is>
          <t>Per repurposed D5 (AI cloud market position): leader with $37B AI run rate, +123% YoY. Anchor position.</t>
        </is>
      </c>
      <c r="F235" s="68" t="inlineStr">
        <is>
          <t>GeekWire AI run rate, MSFT Q3 FY26 8-K, OpenAI restructure CNBC coverage, Dom 2026-05-18 Copilot observation</t>
        </is>
      </c>
      <c r="G235" s="33" t="inlineStr">
        <is>
          <t>High</t>
        </is>
      </c>
      <c r="H235" s="33" t="inlineStr">
        <is>
          <t>Initial</t>
        </is>
      </c>
    </row>
    <row r="236">
      <c r="A236" s="33" t="inlineStr">
        <is>
          <t>2026-05-18</t>
        </is>
      </c>
      <c r="B236" s="33" t="inlineStr">
        <is>
          <t>MSFT</t>
        </is>
      </c>
      <c r="C236" s="33" t="inlineStr">
        <is>
          <t>M1</t>
        </is>
      </c>
      <c r="D236" s="33" t="n">
        <v>3</v>
      </c>
      <c r="E236" s="68" t="inlineStr">
        <is>
          <t>18 up / 9 down on +1Y EPS revisions (30d). Net positive but mixed magnitude. Band 3.</t>
        </is>
      </c>
      <c r="F236" s="68" t="inlineStr">
        <is>
          <t>GeekWire AI run rate, MSFT Q3 FY26 8-K, OpenAI restructure CNBC coverage, Dom 2026-05-18 Copilot observation</t>
        </is>
      </c>
      <c r="G236" s="33" t="inlineStr">
        <is>
          <t>High</t>
        </is>
      </c>
      <c r="H236" s="33" t="inlineStr">
        <is>
          <t>Initial</t>
        </is>
      </c>
    </row>
    <row r="237">
      <c r="A237" s="33" t="inlineStr">
        <is>
          <t>2026-05-18</t>
        </is>
      </c>
      <c r="B237" s="33" t="inlineStr">
        <is>
          <t>MSFT</t>
        </is>
      </c>
      <c r="C237" s="33" t="inlineStr">
        <is>
          <t>M2</t>
        </is>
      </c>
      <c r="D237" s="33" t="n">
        <v>1</v>
      </c>
      <c r="E237" s="68" t="inlineStr">
        <is>
          <t>-25pp vs SPY 180d, -33pp vs SPY 365d. Lagging broader market — market questioning AI capex ROI / OpenAI restructure overhang. Band 1.</t>
        </is>
      </c>
      <c r="F237" s="68" t="inlineStr">
        <is>
          <t>GeekWire AI run rate, MSFT Q3 FY26 8-K, OpenAI restructure CNBC coverage, Dom 2026-05-18 Copilot observation</t>
        </is>
      </c>
      <c r="G237" s="33" t="inlineStr">
        <is>
          <t>High</t>
        </is>
      </c>
      <c r="H237" s="33" t="inlineStr">
        <is>
          <t>Initial</t>
        </is>
      </c>
    </row>
    <row r="238">
      <c r="A238" s="33" t="inlineStr">
        <is>
          <t>2026-05-18</t>
        </is>
      </c>
      <c r="B238" s="33" t="inlineStr">
        <is>
          <t>MSFT</t>
        </is>
      </c>
      <c r="C238" s="33" t="inlineStr">
        <is>
          <t>M3</t>
        </is>
      </c>
      <c r="D238" s="33" t="n">
        <v>3</v>
      </c>
      <c r="E238" s="68" t="inlineStr">
        <is>
          <t>Routine mega-cap insider activity assumed; default 3.</t>
        </is>
      </c>
      <c r="F238" s="68" t="inlineStr">
        <is>
          <t>GeekWire AI run rate, MSFT Q3 FY26 8-K, OpenAI restructure CNBC coverage, Dom 2026-05-18 Copilot observation</t>
        </is>
      </c>
      <c r="G238" s="33" t="inlineStr">
        <is>
          <t>High</t>
        </is>
      </c>
      <c r="H238" s="33" t="inlineStr">
        <is>
          <t>Initial</t>
        </is>
      </c>
    </row>
    <row r="239">
      <c r="A239" s="33" t="inlineStr">
        <is>
          <t>2026-05-18</t>
        </is>
      </c>
      <c r="B239" s="33" t="inlineStr">
        <is>
          <t>MSFT</t>
        </is>
      </c>
      <c r="C239" s="33" t="inlineStr">
        <is>
          <t>R1</t>
        </is>
      </c>
      <c r="D239" s="33" t="n">
        <v>5</v>
      </c>
      <c r="E239" s="68" t="inlineStr">
        <is>
          <t>Diversified across enterprise + consumer + government. No customer concentration.</t>
        </is>
      </c>
      <c r="F239" s="68" t="inlineStr">
        <is>
          <t>GeekWire AI run rate, MSFT Q3 FY26 8-K, OpenAI restructure CNBC coverage, Dom 2026-05-18 Copilot observation</t>
        </is>
      </c>
      <c r="G239" s="33" t="inlineStr">
        <is>
          <t>High</t>
        </is>
      </c>
      <c r="H239" s="33" t="inlineStr">
        <is>
          <t>Initial</t>
        </is>
      </c>
    </row>
    <row r="240">
      <c r="A240" s="33" t="inlineStr">
        <is>
          <t>2026-05-18</t>
        </is>
      </c>
      <c r="B240" s="33" t="inlineStr">
        <is>
          <t>MSFT</t>
        </is>
      </c>
      <c r="C240" s="33" t="inlineStr">
        <is>
          <t>R2</t>
        </is>
      </c>
      <c r="D240" s="33" t="n">
        <v>4</v>
      </c>
      <c r="E240" s="68" t="inlineStr">
        <is>
          <t>Global; some China exposure (Azure China limited). Manageable.</t>
        </is>
      </c>
      <c r="F240" s="68" t="inlineStr">
        <is>
          <t>GeekWire AI run rate, MSFT Q3 FY26 8-K, OpenAI restructure CNBC coverage, Dom 2026-05-18 Copilot observation</t>
        </is>
      </c>
      <c r="G240" s="33" t="inlineStr">
        <is>
          <t>High</t>
        </is>
      </c>
      <c r="H240" s="33" t="inlineStr">
        <is>
          <t>Initial</t>
        </is>
      </c>
    </row>
    <row r="241">
      <c r="A241" s="33" t="inlineStr">
        <is>
          <t>2026-05-18</t>
        </is>
      </c>
      <c r="B241" s="33" t="inlineStr">
        <is>
          <t>MSFT</t>
        </is>
      </c>
      <c r="C241" s="33" t="inlineStr">
        <is>
          <t>R3</t>
        </is>
      </c>
      <c r="D241" s="33" t="n">
        <v>5</v>
      </c>
      <c r="E241" s="68" t="inlineStr">
        <is>
          <t>Net cash position, fortress balance sheet, $80B+ FCF/yr.</t>
        </is>
      </c>
      <c r="F241" s="68" t="inlineStr">
        <is>
          <t>GeekWire AI run rate, MSFT Q3 FY26 8-K, OpenAI restructure CNBC coverage, Dom 2026-05-18 Copilot observation</t>
        </is>
      </c>
      <c r="G241" s="33" t="inlineStr">
        <is>
          <t>High</t>
        </is>
      </c>
      <c r="H241" s="33" t="inlineStr">
        <is>
          <t>Initial</t>
        </is>
      </c>
    </row>
    <row r="242">
      <c r="A242" s="33" t="inlineStr">
        <is>
          <t>2026-05-18</t>
        </is>
      </c>
      <c r="B242" s="33" t="inlineStr">
        <is>
          <t>MSFT</t>
        </is>
      </c>
      <c r="C242" s="33" t="inlineStr">
        <is>
          <t>R4</t>
        </is>
      </c>
      <c r="D242" s="33" t="n">
        <v>3</v>
      </c>
      <c r="E242" s="68" t="inlineStr">
        <is>
          <t>FTC + EU antitrust investigations + OpenAI restructure scrutiny. Pending matters but no enforcement. Band 3. NOTE: Dom 2026-05-18 observation — Copilot consumer product execution lagging vs enterprise infra; product-quality concern worth tracking in news-log.</t>
        </is>
      </c>
      <c r="F242" s="68" t="inlineStr">
        <is>
          <t>GeekWire AI run rate, MSFT Q3 FY26 8-K, OpenAI restructure CNBC coverage, Dom 2026-05-18 Copilot observation</t>
        </is>
      </c>
      <c r="G242" s="33" t="inlineStr">
        <is>
          <t>High</t>
        </is>
      </c>
      <c r="H242" s="33" t="inlineStr">
        <is>
          <t>Initial</t>
        </is>
      </c>
    </row>
    <row r="243">
      <c r="A243" s="33" t="inlineStr">
        <is>
          <t>2026-05-18</t>
        </is>
      </c>
      <c r="B243" s="33" t="inlineStr">
        <is>
          <t>GOOGL</t>
        </is>
      </c>
      <c r="C243" s="33" t="inlineStr">
        <is>
          <t>D1</t>
        </is>
      </c>
      <c r="D243" s="33" t="n">
        <v>3</v>
      </c>
      <c r="E243" s="68" t="inlineStr">
        <is>
          <t>Cloud $20B / total $440B = 4.5%, but ad business + Search increasingly AI-affected. Per literal disclosed-AI methodology = band 3.</t>
        </is>
      </c>
      <c r="F243" s="68" t="inlineStr">
        <is>
          <t>Alphabet Q1 2026 8-K, Tech-Insider $185B capex coverage, Mehta search ruling 2024</t>
        </is>
      </c>
      <c r="G243" s="33" t="inlineStr">
        <is>
          <t>High</t>
        </is>
      </c>
      <c r="H243" s="33" t="inlineStr">
        <is>
          <t>Initial</t>
        </is>
      </c>
    </row>
    <row r="244">
      <c r="A244" s="33" t="inlineStr">
        <is>
          <t>2026-05-18</t>
        </is>
      </c>
      <c r="B244" s="33" t="inlineStr">
        <is>
          <t>GOOGL</t>
        </is>
      </c>
      <c r="C244" s="33" t="inlineStr">
        <is>
          <t>D2</t>
        </is>
      </c>
      <c r="D244" s="33" t="n">
        <v>4</v>
      </c>
      <c r="E244" s="68" t="inlineStr">
        <is>
          <t>Google Cloud #3 (growing fastest at +63%); TPU custom silicon mature; Gemini ecosystem. Strong position but not #1 in cloud. Band 4.</t>
        </is>
      </c>
      <c r="F244" s="68" t="inlineStr">
        <is>
          <t>Alphabet Q1 2026 8-K, Tech-Insider $185B capex coverage, Mehta search ruling 2024</t>
        </is>
      </c>
      <c r="G244" s="33" t="inlineStr">
        <is>
          <t>High</t>
        </is>
      </c>
      <c r="H244" s="33" t="inlineStr">
        <is>
          <t>Initial</t>
        </is>
      </c>
    </row>
    <row r="245">
      <c r="A245" s="33" t="inlineStr">
        <is>
          <t>2026-05-18</t>
        </is>
      </c>
      <c r="B245" s="33" t="inlineStr">
        <is>
          <t>GOOGL</t>
        </is>
      </c>
      <c r="C245" s="33" t="inlineStr">
        <is>
          <t>D3</t>
        </is>
      </c>
      <c r="D245" s="33" t="n">
        <v>5</v>
      </c>
      <c r="E245" s="68" t="inlineStr">
        <is>
          <t>Search monopoly + ad-tech network + Android + YouTube. Multi-dimensional moat. Band 5.</t>
        </is>
      </c>
      <c r="F245" s="68" t="inlineStr">
        <is>
          <t>Alphabet Q1 2026 8-K, Tech-Insider $185B capex coverage, Mehta search ruling 2024</t>
        </is>
      </c>
      <c r="G245" s="33" t="inlineStr">
        <is>
          <t>High</t>
        </is>
      </c>
      <c r="H245" s="33" t="inlineStr">
        <is>
          <t>Initial</t>
        </is>
      </c>
    </row>
    <row r="246">
      <c r="A246" s="33" t="inlineStr">
        <is>
          <t>2026-05-18</t>
        </is>
      </c>
      <c r="B246" s="33" t="inlineStr">
        <is>
          <t>GOOGL</t>
        </is>
      </c>
      <c r="C246" s="33" t="inlineStr">
        <is>
          <t>D4</t>
        </is>
      </c>
      <c r="D246" s="33" t="n">
        <v>5</v>
      </c>
      <c r="E246" s="68" t="inlineStr">
        <is>
          <t>Capex 2026: $175-185B. Q1 alone $35.7B (more than doubled YoY). Backlog $460B+. Funded multi-year buildout.</t>
        </is>
      </c>
      <c r="F246" s="68" t="inlineStr">
        <is>
          <t>Alphabet Q1 2026 8-K, Tech-Insider $185B capex coverage, Mehta search ruling 2024</t>
        </is>
      </c>
      <c r="G246" s="33" t="inlineStr">
        <is>
          <t>High</t>
        </is>
      </c>
      <c r="H246" s="33" t="inlineStr">
        <is>
          <t>Initial</t>
        </is>
      </c>
    </row>
    <row r="247">
      <c r="A247" s="33" t="inlineStr">
        <is>
          <t>2026-05-18</t>
        </is>
      </c>
      <c r="B247" s="33" t="inlineStr">
        <is>
          <t>GOOGL</t>
        </is>
      </c>
      <c r="C247" s="33" t="inlineStr">
        <is>
          <t>D5</t>
        </is>
      </c>
      <c r="D247" s="33" t="n">
        <v>5</v>
      </c>
      <c r="E247" s="68" t="inlineStr">
        <is>
          <t>Per repurposed D5: Cloud growing 63% with $460B backlog + TPU custom silicon position. Band 5.</t>
        </is>
      </c>
      <c r="F247" s="68" t="inlineStr">
        <is>
          <t>Alphabet Q1 2026 8-K, Tech-Insider $185B capex coverage, Mehta search ruling 2024</t>
        </is>
      </c>
      <c r="G247" s="33" t="inlineStr">
        <is>
          <t>High</t>
        </is>
      </c>
      <c r="H247" s="33" t="inlineStr">
        <is>
          <t>Initial</t>
        </is>
      </c>
    </row>
    <row r="248">
      <c r="A248" s="33" t="inlineStr">
        <is>
          <t>2026-05-18</t>
        </is>
      </c>
      <c r="B248" s="33" t="inlineStr">
        <is>
          <t>GOOGL</t>
        </is>
      </c>
      <c r="C248" s="33" t="inlineStr">
        <is>
          <t>M1</t>
        </is>
      </c>
      <c r="D248" s="33" t="n">
        <v>5</v>
      </c>
      <c r="E248" s="68" t="inlineStr">
        <is>
          <t>46 up / 3 down on +1Y over 30d (best revision profile of hyperscalers). FY revision +24% over 90d. Textbook beat-and-raise.</t>
        </is>
      </c>
      <c r="F248" s="68" t="inlineStr">
        <is>
          <t>Alphabet Q1 2026 8-K, Tech-Insider $185B capex coverage, Mehta search ruling 2024</t>
        </is>
      </c>
      <c r="G248" s="33" t="inlineStr">
        <is>
          <t>High</t>
        </is>
      </c>
      <c r="H248" s="33" t="inlineStr">
        <is>
          <t>Initial</t>
        </is>
      </c>
    </row>
    <row r="249">
      <c r="A249" s="33" t="inlineStr">
        <is>
          <t>2026-05-18</t>
        </is>
      </c>
      <c r="B249" s="33" t="inlineStr">
        <is>
          <t>GOOGL</t>
        </is>
      </c>
      <c r="C249" s="33" t="inlineStr">
        <is>
          <t>M2</t>
        </is>
      </c>
      <c r="D249" s="33" t="n">
        <v>5</v>
      </c>
      <c r="E249" s="68" t="inlineStr">
        <is>
          <t>+25pp vs SPY 180d, +115pp vs SPY 365d. ONLY hyperscaler outperforming SPY.</t>
        </is>
      </c>
      <c r="F249" s="68" t="inlineStr">
        <is>
          <t>Alphabet Q1 2026 8-K, Tech-Insider $185B capex coverage, Mehta search ruling 2024</t>
        </is>
      </c>
      <c r="G249" s="33" t="inlineStr">
        <is>
          <t>High</t>
        </is>
      </c>
      <c r="H249" s="33" t="inlineStr">
        <is>
          <t>Initial</t>
        </is>
      </c>
    </row>
    <row r="250">
      <c r="A250" s="33" t="inlineStr">
        <is>
          <t>2026-05-18</t>
        </is>
      </c>
      <c r="B250" s="33" t="inlineStr">
        <is>
          <t>GOOGL</t>
        </is>
      </c>
      <c r="C250" s="33" t="inlineStr">
        <is>
          <t>M3</t>
        </is>
      </c>
      <c r="D250" s="33" t="n">
        <v>3</v>
      </c>
      <c r="E250" s="68" t="inlineStr">
        <is>
          <t>Routine mega-cap insider activity assumed; default 3.</t>
        </is>
      </c>
      <c r="F250" s="68" t="inlineStr">
        <is>
          <t>Alphabet Q1 2026 8-K, Tech-Insider $185B capex coverage, Mehta search ruling 2024</t>
        </is>
      </c>
      <c r="G250" s="33" t="inlineStr">
        <is>
          <t>High</t>
        </is>
      </c>
      <c r="H250" s="33" t="inlineStr">
        <is>
          <t>Initial</t>
        </is>
      </c>
    </row>
    <row r="251">
      <c r="A251" s="33" t="inlineStr">
        <is>
          <t>2026-05-18</t>
        </is>
      </c>
      <c r="B251" s="33" t="inlineStr">
        <is>
          <t>GOOGL</t>
        </is>
      </c>
      <c r="C251" s="33" t="inlineStr">
        <is>
          <t>R1</t>
        </is>
      </c>
      <c r="D251" s="33" t="n">
        <v>5</v>
      </c>
      <c r="E251" s="68" t="inlineStr">
        <is>
          <t>Highly diversified — no customer &gt;5%.</t>
        </is>
      </c>
      <c r="F251" s="68" t="inlineStr">
        <is>
          <t>Alphabet Q1 2026 8-K, Tech-Insider $185B capex coverage, Mehta search ruling 2024</t>
        </is>
      </c>
      <c r="G251" s="33" t="inlineStr">
        <is>
          <t>High</t>
        </is>
      </c>
      <c r="H251" s="33" t="inlineStr">
        <is>
          <t>Initial</t>
        </is>
      </c>
    </row>
    <row r="252">
      <c r="A252" s="33" t="inlineStr">
        <is>
          <t>2026-05-18</t>
        </is>
      </c>
      <c r="B252" s="33" t="inlineStr">
        <is>
          <t>GOOGL</t>
        </is>
      </c>
      <c r="C252" s="33" t="inlineStr">
        <is>
          <t>R2</t>
        </is>
      </c>
      <c r="D252" s="33" t="n">
        <v>4</v>
      </c>
      <c r="E252" s="68" t="inlineStr">
        <is>
          <t>Global; no operations in China consumer market.</t>
        </is>
      </c>
      <c r="F252" s="68" t="inlineStr">
        <is>
          <t>Alphabet Q1 2026 8-K, Tech-Insider $185B capex coverage, Mehta search ruling 2024</t>
        </is>
      </c>
      <c r="G252" s="33" t="inlineStr">
        <is>
          <t>High</t>
        </is>
      </c>
      <c r="H252" s="33" t="inlineStr">
        <is>
          <t>Initial</t>
        </is>
      </c>
    </row>
    <row r="253">
      <c r="A253" s="33" t="inlineStr">
        <is>
          <t>2026-05-18</t>
        </is>
      </c>
      <c r="B253" s="33" t="inlineStr">
        <is>
          <t>GOOGL</t>
        </is>
      </c>
      <c r="C253" s="33" t="inlineStr">
        <is>
          <t>R3</t>
        </is>
      </c>
      <c r="D253" s="33" t="n">
        <v>5</v>
      </c>
      <c r="E253" s="68" t="inlineStr">
        <is>
          <t>Net cash, fortress, $80B+ FCF/yr.</t>
        </is>
      </c>
      <c r="F253" s="68" t="inlineStr">
        <is>
          <t>Alphabet Q1 2026 8-K, Tech-Insider $185B capex coverage, Mehta search ruling 2024</t>
        </is>
      </c>
      <c r="G253" s="33" t="inlineStr">
        <is>
          <t>High</t>
        </is>
      </c>
      <c r="H253" s="33" t="inlineStr">
        <is>
          <t>Initial</t>
        </is>
      </c>
    </row>
    <row r="254">
      <c r="A254" s="33" t="inlineStr">
        <is>
          <t>2026-05-18</t>
        </is>
      </c>
      <c r="B254" s="33" t="inlineStr">
        <is>
          <t>GOOGL</t>
        </is>
      </c>
      <c r="C254" s="33" t="inlineStr">
        <is>
          <t>R4</t>
        </is>
      </c>
      <c r="D254" s="33" t="n">
        <v>2</v>
      </c>
      <c r="E254" s="68" t="inlineStr">
        <is>
          <t>ACTIVE DOJ ENFORCEMENT — Mehta search ruling 2024 + ongoing ad-tech antitrust trial. Material litigation/enforcement. Band 2.</t>
        </is>
      </c>
      <c r="F254" s="68" t="inlineStr">
        <is>
          <t>Alphabet Q1 2026 8-K, Tech-Insider $185B capex coverage, Mehta search ruling 2024</t>
        </is>
      </c>
      <c r="G254" s="33" t="inlineStr">
        <is>
          <t>High</t>
        </is>
      </c>
      <c r="H254" s="33" t="inlineStr">
        <is>
          <t>Initial</t>
        </is>
      </c>
    </row>
    <row r="255">
      <c r="A255" s="33" t="inlineStr">
        <is>
          <t>2026-05-18</t>
        </is>
      </c>
      <c r="B255" s="33" t="inlineStr">
        <is>
          <t>AMZN</t>
        </is>
      </c>
      <c r="C255" s="33" t="inlineStr">
        <is>
          <t>D1</t>
        </is>
      </c>
      <c r="D255" s="33" t="n">
        <v>3</v>
      </c>
      <c r="E255" s="68" t="inlineStr">
        <is>
          <t>AWS AI $15B + Trainium $20B = $35B / total $720B = ~5%. Literal-AI methodology = band 3. Trainium $50B standalone capacity + $225B in commitments suggest steep trajectory.</t>
        </is>
      </c>
      <c r="F255" s="68" t="inlineStr">
        <is>
          <t>Amazon Q1 2026 8-K, BigGo/Futurum AWS $15B AI + Trainium $20B coverage, FTC suit ongoing</t>
        </is>
      </c>
      <c r="G255" s="33" t="inlineStr">
        <is>
          <t>High</t>
        </is>
      </c>
      <c r="H255" s="33" t="inlineStr">
        <is>
          <t>Initial</t>
        </is>
      </c>
    </row>
    <row r="256">
      <c r="A256" s="33" t="inlineStr">
        <is>
          <t>2026-05-18</t>
        </is>
      </c>
      <c r="B256" s="33" t="inlineStr">
        <is>
          <t>AMZN</t>
        </is>
      </c>
      <c r="C256" s="33" t="inlineStr">
        <is>
          <t>D2</t>
        </is>
      </c>
      <c r="D256" s="33" t="n">
        <v>5</v>
      </c>
      <c r="E256" s="68" t="inlineStr">
        <is>
          <t>AWS #1 cloud globally; Trainium custom silicon dominant; bottleneck position in AI training capacity.</t>
        </is>
      </c>
      <c r="F256" s="68" t="inlineStr">
        <is>
          <t>Amazon Q1 2026 8-K, BigGo/Futurum AWS $15B AI + Trainium $20B coverage, FTC suit ongoing</t>
        </is>
      </c>
      <c r="G256" s="33" t="inlineStr">
        <is>
          <t>High</t>
        </is>
      </c>
      <c r="H256" s="33" t="inlineStr">
        <is>
          <t>Initial</t>
        </is>
      </c>
    </row>
    <row r="257">
      <c r="A257" s="33" t="inlineStr">
        <is>
          <t>2026-05-18</t>
        </is>
      </c>
      <c r="B257" s="33" t="inlineStr">
        <is>
          <t>AMZN</t>
        </is>
      </c>
      <c r="C257" s="33" t="inlineStr">
        <is>
          <t>D3</t>
        </is>
      </c>
      <c r="D257" s="33" t="n">
        <v>5</v>
      </c>
      <c r="E257" s="68" t="inlineStr">
        <is>
          <t>AWS scale + customer lock-in + e-commerce platform + Prime ecosystem. Multi-component moat.</t>
        </is>
      </c>
      <c r="F257" s="68" t="inlineStr">
        <is>
          <t>Amazon Q1 2026 8-K, BigGo/Futurum AWS $15B AI + Trainium $20B coverage, FTC suit ongoing</t>
        </is>
      </c>
      <c r="G257" s="33" t="inlineStr">
        <is>
          <t>High</t>
        </is>
      </c>
      <c r="H257" s="33" t="inlineStr">
        <is>
          <t>Initial</t>
        </is>
      </c>
    </row>
    <row r="258">
      <c r="A258" s="33" t="inlineStr">
        <is>
          <t>2026-05-18</t>
        </is>
      </c>
      <c r="B258" s="33" t="inlineStr">
        <is>
          <t>AMZN</t>
        </is>
      </c>
      <c r="C258" s="33" t="inlineStr">
        <is>
          <t>D4</t>
        </is>
      </c>
      <c r="D258" s="33" t="n">
        <v>5</v>
      </c>
      <c r="E258" s="68" t="inlineStr">
        <is>
          <t>Capex 2026: $200B record. Q1 cash capex $43B primarily AWS + GenAI. Funded multi-year.</t>
        </is>
      </c>
      <c r="F258" s="68" t="inlineStr">
        <is>
          <t>Amazon Q1 2026 8-K, BigGo/Futurum AWS $15B AI + Trainium $20B coverage, FTC suit ongoing</t>
        </is>
      </c>
      <c r="G258" s="33" t="inlineStr">
        <is>
          <t>High</t>
        </is>
      </c>
      <c r="H258" s="33" t="inlineStr">
        <is>
          <t>Initial</t>
        </is>
      </c>
    </row>
    <row r="259">
      <c r="A259" s="33" t="inlineStr">
        <is>
          <t>2026-05-18</t>
        </is>
      </c>
      <c r="B259" s="33" t="inlineStr">
        <is>
          <t>AMZN</t>
        </is>
      </c>
      <c r="C259" s="33" t="inlineStr">
        <is>
          <t>D5</t>
        </is>
      </c>
      <c r="D259" s="33" t="n">
        <v>5</v>
      </c>
      <c r="E259" s="68" t="inlineStr">
        <is>
          <t>Per repurposed D5: AWS AI + Trainium = anchor AI cloud market position. OpenAI 2 GW Trainium starting 2027; Anthropic 5 GW.</t>
        </is>
      </c>
      <c r="F259" s="68" t="inlineStr">
        <is>
          <t>Amazon Q1 2026 8-K, BigGo/Futurum AWS $15B AI + Trainium $20B coverage, FTC suit ongoing</t>
        </is>
      </c>
      <c r="G259" s="33" t="inlineStr">
        <is>
          <t>High</t>
        </is>
      </c>
      <c r="H259" s="33" t="inlineStr">
        <is>
          <t>Initial</t>
        </is>
      </c>
    </row>
    <row r="260">
      <c r="A260" s="33" t="inlineStr">
        <is>
          <t>2026-05-18</t>
        </is>
      </c>
      <c r="B260" s="33" t="inlineStr">
        <is>
          <t>AMZN</t>
        </is>
      </c>
      <c r="C260" s="33" t="inlineStr">
        <is>
          <t>M1</t>
        </is>
      </c>
      <c r="D260" s="33" t="n">
        <v>5</v>
      </c>
      <c r="E260" s="68" t="inlineStr">
        <is>
          <t>39 up / 5 down on +1Y (30d); FY revision +11.1%. Strong positive.</t>
        </is>
      </c>
      <c r="F260" s="68" t="inlineStr">
        <is>
          <t>Amazon Q1 2026 8-K, BigGo/Futurum AWS $15B AI + Trainium $20B coverage, FTC suit ongoing</t>
        </is>
      </c>
      <c r="G260" s="33" t="inlineStr">
        <is>
          <t>High</t>
        </is>
      </c>
      <c r="H260" s="33" t="inlineStr">
        <is>
          <t>Initial</t>
        </is>
      </c>
    </row>
    <row r="261">
      <c r="A261" s="33" t="inlineStr">
        <is>
          <t>2026-05-18</t>
        </is>
      </c>
      <c r="B261" s="33" t="inlineStr">
        <is>
          <t>AMZN</t>
        </is>
      </c>
      <c r="C261" s="33" t="inlineStr">
        <is>
          <t>M2</t>
        </is>
      </c>
      <c r="D261" s="33" t="n">
        <v>4</v>
      </c>
      <c r="E261" s="68" t="inlineStr">
        <is>
          <t>+7pp vs SPY 180d; +3pp vs 365d. In-line broader market. Band 4.</t>
        </is>
      </c>
      <c r="F261" s="68" t="inlineStr">
        <is>
          <t>Amazon Q1 2026 8-K, BigGo/Futurum AWS $15B AI + Trainium $20B coverage, FTC suit ongoing</t>
        </is>
      </c>
      <c r="G261" s="33" t="inlineStr">
        <is>
          <t>High</t>
        </is>
      </c>
      <c r="H261" s="33" t="inlineStr">
        <is>
          <t>Initial</t>
        </is>
      </c>
    </row>
    <row r="262">
      <c r="A262" s="33" t="inlineStr">
        <is>
          <t>2026-05-18</t>
        </is>
      </c>
      <c r="B262" s="33" t="inlineStr">
        <is>
          <t>AMZN</t>
        </is>
      </c>
      <c r="C262" s="33" t="inlineStr">
        <is>
          <t>M3</t>
        </is>
      </c>
      <c r="D262" s="33" t="n">
        <v>3</v>
      </c>
      <c r="E262" s="68" t="inlineStr">
        <is>
          <t>Routine mega-cap activity assumed; default 3.</t>
        </is>
      </c>
      <c r="F262" s="68" t="inlineStr">
        <is>
          <t>Amazon Q1 2026 8-K, BigGo/Futurum AWS $15B AI + Trainium $20B coverage, FTC suit ongoing</t>
        </is>
      </c>
      <c r="G262" s="33" t="inlineStr">
        <is>
          <t>High</t>
        </is>
      </c>
      <c r="H262" s="33" t="inlineStr">
        <is>
          <t>Initial</t>
        </is>
      </c>
    </row>
    <row r="263">
      <c r="A263" s="33" t="inlineStr">
        <is>
          <t>2026-05-18</t>
        </is>
      </c>
      <c r="B263" s="33" t="inlineStr">
        <is>
          <t>AMZN</t>
        </is>
      </c>
      <c r="C263" s="33" t="inlineStr">
        <is>
          <t>R1</t>
        </is>
      </c>
      <c r="D263" s="33" t="n">
        <v>5</v>
      </c>
      <c r="E263" s="68" t="inlineStr">
        <is>
          <t>Highly diversified (retail + AWS + ads + Prime). Top customer minimal.</t>
        </is>
      </c>
      <c r="F263" s="68" t="inlineStr">
        <is>
          <t>Amazon Q1 2026 8-K, BigGo/Futurum AWS $15B AI + Trainium $20B coverage, FTC suit ongoing</t>
        </is>
      </c>
      <c r="G263" s="33" t="inlineStr">
        <is>
          <t>High</t>
        </is>
      </c>
      <c r="H263" s="33" t="inlineStr">
        <is>
          <t>Initial</t>
        </is>
      </c>
    </row>
    <row r="264">
      <c r="A264" s="33" t="inlineStr">
        <is>
          <t>2026-05-18</t>
        </is>
      </c>
      <c r="B264" s="33" t="inlineStr">
        <is>
          <t>AMZN</t>
        </is>
      </c>
      <c r="C264" s="33" t="inlineStr">
        <is>
          <t>R2</t>
        </is>
      </c>
      <c r="D264" s="33" t="n">
        <v>4</v>
      </c>
      <c r="E264" s="68" t="inlineStr">
        <is>
          <t>Global; no major export-control exposure.</t>
        </is>
      </c>
      <c r="F264" s="68" t="inlineStr">
        <is>
          <t>Amazon Q1 2026 8-K, BigGo/Futurum AWS $15B AI + Trainium $20B coverage, FTC suit ongoing</t>
        </is>
      </c>
      <c r="G264" s="33" t="inlineStr">
        <is>
          <t>High</t>
        </is>
      </c>
      <c r="H264" s="33" t="inlineStr">
        <is>
          <t>Initial</t>
        </is>
      </c>
    </row>
    <row r="265">
      <c r="A265" s="33" t="inlineStr">
        <is>
          <t>2026-05-18</t>
        </is>
      </c>
      <c r="B265" s="33" t="inlineStr">
        <is>
          <t>AMZN</t>
        </is>
      </c>
      <c r="C265" s="33" t="inlineStr">
        <is>
          <t>R3</t>
        </is>
      </c>
      <c r="D265" s="33" t="n">
        <v>4</v>
      </c>
      <c r="E265" s="68" t="inlineStr">
        <is>
          <t>Strong but some debt; capex pressuring near-term FCF.</t>
        </is>
      </c>
      <c r="F265" s="68" t="inlineStr">
        <is>
          <t>Amazon Q1 2026 8-K, BigGo/Futurum AWS $15B AI + Trainium $20B coverage, FTC suit ongoing</t>
        </is>
      </c>
      <c r="G265" s="33" t="inlineStr">
        <is>
          <t>High</t>
        </is>
      </c>
      <c r="H265" s="33" t="inlineStr">
        <is>
          <t>Initial</t>
        </is>
      </c>
    </row>
    <row r="266">
      <c r="A266" s="33" t="inlineStr">
        <is>
          <t>2026-05-18</t>
        </is>
      </c>
      <c r="B266" s="33" t="inlineStr">
        <is>
          <t>AMZN</t>
        </is>
      </c>
      <c r="C266" s="33" t="inlineStr">
        <is>
          <t>R4</t>
        </is>
      </c>
      <c r="D266" s="33" t="n">
        <v>2</v>
      </c>
      <c r="E266" s="68" t="inlineStr">
        <is>
          <t>FTC monopoly suit ongoing (consumer + AWS). Active enforcement risk. Band 2.</t>
        </is>
      </c>
      <c r="F266" s="68" t="inlineStr">
        <is>
          <t>Amazon Q1 2026 8-K, BigGo/Futurum AWS $15B AI + Trainium $20B coverage, FTC suit ongoing</t>
        </is>
      </c>
      <c r="G266" s="33" t="inlineStr">
        <is>
          <t>High</t>
        </is>
      </c>
      <c r="H266" s="33" t="inlineStr">
        <is>
          <t>Initial</t>
        </is>
      </c>
    </row>
    <row r="267">
      <c r="A267" s="33" t="inlineStr">
        <is>
          <t>2026-05-18</t>
        </is>
      </c>
      <c r="B267" s="33" t="inlineStr">
        <is>
          <t>META</t>
        </is>
      </c>
      <c r="C267" s="33" t="inlineStr">
        <is>
          <t>D1</t>
        </is>
      </c>
      <c r="D267" s="33" t="n">
        <v>2</v>
      </c>
      <c r="E267" s="68" t="inlineStr">
        <is>
          <t>No discrete AI revenue stream. AI improves recommendation engines + ads but not directly monetized. &lt;5% AI-tied per literal methodology.</t>
        </is>
      </c>
      <c r="F267" s="68" t="inlineStr">
        <is>
          <t>Meta Q1 2026 capex raise + MTIA roadmap + Nebius $27B deal coverage, FTC monopoly suit ongoing</t>
        </is>
      </c>
      <c r="G267" s="33" t="inlineStr">
        <is>
          <t>High</t>
        </is>
      </c>
      <c r="H267" s="33" t="inlineStr">
        <is>
          <t>Initial</t>
        </is>
      </c>
    </row>
    <row r="268">
      <c r="A268" s="33" t="inlineStr">
        <is>
          <t>2026-05-18</t>
        </is>
      </c>
      <c r="B268" s="33" t="inlineStr">
        <is>
          <t>META</t>
        </is>
      </c>
      <c r="C268" s="33" t="inlineStr">
        <is>
          <t>D2</t>
        </is>
      </c>
      <c r="D268" s="33" t="n">
        <v>3</v>
      </c>
      <c r="E268" s="68" t="inlineStr">
        <is>
          <t>Social network position is dominant; not in cloud business. Different model. Mid-chain rating 3.</t>
        </is>
      </c>
      <c r="F268" s="68" t="inlineStr">
        <is>
          <t>Meta Q1 2026 capex raise + MTIA roadmap + Nebius $27B deal coverage, FTC monopoly suit ongoing</t>
        </is>
      </c>
      <c r="G268" s="33" t="inlineStr">
        <is>
          <t>High</t>
        </is>
      </c>
      <c r="H268" s="33" t="inlineStr">
        <is>
          <t>Initial</t>
        </is>
      </c>
    </row>
    <row r="269">
      <c r="A269" s="33" t="inlineStr">
        <is>
          <t>2026-05-18</t>
        </is>
      </c>
      <c r="B269" s="33" t="inlineStr">
        <is>
          <t>META</t>
        </is>
      </c>
      <c r="C269" s="33" t="inlineStr">
        <is>
          <t>D3</t>
        </is>
      </c>
      <c r="D269" s="33" t="n">
        <v>5</v>
      </c>
      <c r="E269" s="68" t="inlineStr">
        <is>
          <t>Network effects (FB, IG, WA) + ad-tech + AI improvements. Multi-component.</t>
        </is>
      </c>
      <c r="F269" s="68" t="inlineStr">
        <is>
          <t>Meta Q1 2026 capex raise + MTIA roadmap + Nebius $27B deal coverage, FTC monopoly suit ongoing</t>
        </is>
      </c>
      <c r="G269" s="33" t="inlineStr">
        <is>
          <t>High</t>
        </is>
      </c>
      <c r="H269" s="33" t="inlineStr">
        <is>
          <t>Initial</t>
        </is>
      </c>
    </row>
    <row r="270">
      <c r="A270" s="33" t="inlineStr">
        <is>
          <t>2026-05-18</t>
        </is>
      </c>
      <c r="B270" s="33" t="inlineStr">
        <is>
          <t>META</t>
        </is>
      </c>
      <c r="C270" s="33" t="inlineStr">
        <is>
          <t>D4</t>
        </is>
      </c>
      <c r="D270" s="33" t="n">
        <v>5</v>
      </c>
      <c r="E270" s="68" t="inlineStr">
        <is>
          <t>Capex 2026 raised to $125-145B (midpoint). MTIA scale 2027. $27B Nebius infrastructure deal.</t>
        </is>
      </c>
      <c r="F270" s="68" t="inlineStr">
        <is>
          <t>Meta Q1 2026 capex raise + MTIA roadmap + Nebius $27B deal coverage, FTC monopoly suit ongoing</t>
        </is>
      </c>
      <c r="G270" s="33" t="inlineStr">
        <is>
          <t>High</t>
        </is>
      </c>
      <c r="H270" s="33" t="inlineStr">
        <is>
          <t>Initial</t>
        </is>
      </c>
    </row>
    <row r="271">
      <c r="A271" s="33" t="inlineStr">
        <is>
          <t>2026-05-18</t>
        </is>
      </c>
      <c r="B271" s="33" t="inlineStr">
        <is>
          <t>META</t>
        </is>
      </c>
      <c r="C271" s="33" t="inlineStr">
        <is>
          <t>D5</t>
        </is>
      </c>
      <c r="D271" s="33" t="n">
        <v>1</v>
      </c>
      <c r="E271" s="68" t="inlineStr">
        <is>
          <t>Per repurposed D5: NO AI CLOUD SERVICE BUSINESS — internal AI use only. AMD 6 GW deal customer, not provider. Band 1.</t>
        </is>
      </c>
      <c r="F271" s="68" t="inlineStr">
        <is>
          <t>Meta Q1 2026 capex raise + MTIA roadmap + Nebius $27B deal coverage, FTC monopoly suit ongoing</t>
        </is>
      </c>
      <c r="G271" s="33" t="inlineStr">
        <is>
          <t>High</t>
        </is>
      </c>
      <c r="H271" s="33" t="inlineStr">
        <is>
          <t>Initial</t>
        </is>
      </c>
    </row>
    <row r="272">
      <c r="A272" s="33" t="inlineStr">
        <is>
          <t>2026-05-18</t>
        </is>
      </c>
      <c r="B272" s="33" t="inlineStr">
        <is>
          <t>META</t>
        </is>
      </c>
      <c r="C272" s="33" t="inlineStr">
        <is>
          <t>M1</t>
        </is>
      </c>
      <c r="D272" s="33" t="n">
        <v>4</v>
      </c>
      <c r="E272" s="68" t="inlineStr">
        <is>
          <t>27 up / 18 down on +1Y. Net positive but ratio less clean than peers. Band 4.</t>
        </is>
      </c>
      <c r="F272" s="68" t="inlineStr">
        <is>
          <t>Meta Q1 2026 capex raise + MTIA roadmap + Nebius $27B deal coverage, FTC monopoly suit ongoing</t>
        </is>
      </c>
      <c r="G272" s="33" t="inlineStr">
        <is>
          <t>High</t>
        </is>
      </c>
      <c r="H272" s="33" t="inlineStr">
        <is>
          <t>Initial</t>
        </is>
      </c>
    </row>
    <row r="273">
      <c r="A273" s="33" t="inlineStr">
        <is>
          <t>2026-05-18</t>
        </is>
      </c>
      <c r="B273" s="33" t="inlineStr">
        <is>
          <t>META</t>
        </is>
      </c>
      <c r="C273" s="33" t="inlineStr">
        <is>
          <t>M2</t>
        </is>
      </c>
      <c r="D273" s="33" t="n">
        <v>3</v>
      </c>
      <c r="E273" s="68" t="inlineStr">
        <is>
          <t>-8pp vs SPY 180d. Slight lag, broadly in-line. Band 3.</t>
        </is>
      </c>
      <c r="F273" s="68" t="inlineStr">
        <is>
          <t>Meta Q1 2026 capex raise + MTIA roadmap + Nebius $27B deal coverage, FTC monopoly suit ongoing</t>
        </is>
      </c>
      <c r="G273" s="33" t="inlineStr">
        <is>
          <t>High</t>
        </is>
      </c>
      <c r="H273" s="33" t="inlineStr">
        <is>
          <t>Initial</t>
        </is>
      </c>
    </row>
    <row r="274">
      <c r="A274" s="33" t="inlineStr">
        <is>
          <t>2026-05-18</t>
        </is>
      </c>
      <c r="B274" s="33" t="inlineStr">
        <is>
          <t>META</t>
        </is>
      </c>
      <c r="C274" s="33" t="inlineStr">
        <is>
          <t>M3</t>
        </is>
      </c>
      <c r="D274" s="33" t="n">
        <v>3</v>
      </c>
      <c r="E274" s="68" t="inlineStr">
        <is>
          <t>Routine mega-cap activity assumed; default 3.</t>
        </is>
      </c>
      <c r="F274" s="68" t="inlineStr">
        <is>
          <t>Meta Q1 2026 capex raise + MTIA roadmap + Nebius $27B deal coverage, FTC monopoly suit ongoing</t>
        </is>
      </c>
      <c r="G274" s="33" t="inlineStr">
        <is>
          <t>High</t>
        </is>
      </c>
      <c r="H274" s="33" t="inlineStr">
        <is>
          <t>Initial</t>
        </is>
      </c>
    </row>
    <row r="275">
      <c r="A275" s="33" t="inlineStr">
        <is>
          <t>2026-05-18</t>
        </is>
      </c>
      <c r="B275" s="33" t="inlineStr">
        <is>
          <t>META</t>
        </is>
      </c>
      <c r="C275" s="33" t="inlineStr">
        <is>
          <t>R1</t>
        </is>
      </c>
      <c r="D275" s="33" t="n">
        <v>4</v>
      </c>
      <c r="E275" s="68" t="inlineStr">
        <is>
          <t>Diversified ad customer base; some big-advertiser cluster risk. Band 4.</t>
        </is>
      </c>
      <c r="F275" s="68" t="inlineStr">
        <is>
          <t>Meta Q1 2026 capex raise + MTIA roadmap + Nebius $27B deal coverage, FTC monopoly suit ongoing</t>
        </is>
      </c>
      <c r="G275" s="33" t="inlineStr">
        <is>
          <t>High</t>
        </is>
      </c>
      <c r="H275" s="33" t="inlineStr">
        <is>
          <t>Initial</t>
        </is>
      </c>
    </row>
    <row r="276">
      <c r="A276" s="33" t="inlineStr">
        <is>
          <t>2026-05-18</t>
        </is>
      </c>
      <c r="B276" s="33" t="inlineStr">
        <is>
          <t>META</t>
        </is>
      </c>
      <c r="C276" s="33" t="inlineStr">
        <is>
          <t>R2</t>
        </is>
      </c>
      <c r="D276" s="33" t="n">
        <v>4</v>
      </c>
      <c r="E276" s="68" t="inlineStr">
        <is>
          <t>Global; no FB in China but some ads from Chinese exporters.</t>
        </is>
      </c>
      <c r="F276" s="68" t="inlineStr">
        <is>
          <t>Meta Q1 2026 capex raise + MTIA roadmap + Nebius $27B deal coverage, FTC monopoly suit ongoing</t>
        </is>
      </c>
      <c r="G276" s="33" t="inlineStr">
        <is>
          <t>High</t>
        </is>
      </c>
      <c r="H276" s="33" t="inlineStr">
        <is>
          <t>Initial</t>
        </is>
      </c>
    </row>
    <row r="277">
      <c r="A277" s="33" t="inlineStr">
        <is>
          <t>2026-05-18</t>
        </is>
      </c>
      <c r="B277" s="33" t="inlineStr">
        <is>
          <t>META</t>
        </is>
      </c>
      <c r="C277" s="33" t="inlineStr">
        <is>
          <t>R3</t>
        </is>
      </c>
      <c r="D277" s="33" t="n">
        <v>5</v>
      </c>
      <c r="E277" s="68" t="inlineStr">
        <is>
          <t>Net cash, fortress.</t>
        </is>
      </c>
      <c r="F277" s="68" t="inlineStr">
        <is>
          <t>Meta Q1 2026 capex raise + MTIA roadmap + Nebius $27B deal coverage, FTC monopoly suit ongoing</t>
        </is>
      </c>
      <c r="G277" s="33" t="inlineStr">
        <is>
          <t>High</t>
        </is>
      </c>
      <c r="H277" s="33" t="inlineStr">
        <is>
          <t>Initial</t>
        </is>
      </c>
    </row>
    <row r="278">
      <c r="A278" s="33" t="inlineStr">
        <is>
          <t>2026-05-18</t>
        </is>
      </c>
      <c r="B278" s="33" t="inlineStr">
        <is>
          <t>META</t>
        </is>
      </c>
      <c r="C278" s="33" t="inlineStr">
        <is>
          <t>R4</t>
        </is>
      </c>
      <c r="D278" s="33" t="n">
        <v>2</v>
      </c>
      <c r="E278" s="68" t="inlineStr">
        <is>
          <t>FTC monopoly suit ongoing; EU DSA/DMA exposure. Active enforcement risk. Band 2.</t>
        </is>
      </c>
      <c r="F278" s="68" t="inlineStr">
        <is>
          <t>Meta Q1 2026 capex raise + MTIA roadmap + Nebius $27B deal coverage, FTC monopoly suit ongoing</t>
        </is>
      </c>
      <c r="G278" s="33" t="inlineStr">
        <is>
          <t>High</t>
        </is>
      </c>
      <c r="H278" s="33" t="inlineStr">
        <is>
          <t>Initial</t>
        </is>
      </c>
    </row>
    <row r="279">
      <c r="A279" s="33" t="inlineStr">
        <is>
          <t>2026-05-18</t>
        </is>
      </c>
      <c r="B279" s="33" t="inlineStr">
        <is>
          <t>ORCL</t>
        </is>
      </c>
      <c r="C279" s="33" t="inlineStr">
        <is>
          <t>D1</t>
        </is>
      </c>
      <c r="D279" s="33" t="n">
        <v>3</v>
      </c>
      <c r="E279" s="68" t="inlineStr">
        <is>
          <t>OCI IaaS $4.1B/Q * 4 = $16B annual cloud; total revenue ~$60B. ~25% cloud, but legacy DB+ERP still majority. Band 3, trending up.</t>
        </is>
      </c>
      <c r="F279" s="68" t="inlineStr">
        <is>
          <t>Oracle Q2 FY26 + Futurum RPO +438% coverage, yfinance balance sheet verified 2026-05-18</t>
        </is>
      </c>
      <c r="G279" s="33" t="inlineStr">
        <is>
          <t>High</t>
        </is>
      </c>
      <c r="H279" s="33" t="inlineStr">
        <is>
          <t>Initial</t>
        </is>
      </c>
    </row>
    <row r="280">
      <c r="A280" s="33" t="inlineStr">
        <is>
          <t>2026-05-18</t>
        </is>
      </c>
      <c r="B280" s="33" t="inlineStr">
        <is>
          <t>ORCL</t>
        </is>
      </c>
      <c r="C280" s="33" t="inlineStr">
        <is>
          <t>D2</t>
        </is>
      </c>
      <c r="D280" s="33" t="n">
        <v>4</v>
      </c>
      <c r="E280" s="68" t="inlineStr">
        <is>
          <t>OCI surprise winner growing 68% YoY; smaller cloud share than top 3 but technical differentiation noted (OpenAI choice). Band 4.</t>
        </is>
      </c>
      <c r="F280" s="68" t="inlineStr">
        <is>
          <t>Oracle Q2 FY26 + Futurum RPO +438% coverage, yfinance balance sheet verified 2026-05-18</t>
        </is>
      </c>
      <c r="G280" s="33" t="inlineStr">
        <is>
          <t>High</t>
        </is>
      </c>
      <c r="H280" s="33" t="inlineStr">
        <is>
          <t>Initial</t>
        </is>
      </c>
    </row>
    <row r="281">
      <c r="A281" s="33" t="inlineStr">
        <is>
          <t>2026-05-18</t>
        </is>
      </c>
      <c r="B281" s="33" t="inlineStr">
        <is>
          <t>ORCL</t>
        </is>
      </c>
      <c r="C281" s="33" t="inlineStr">
        <is>
          <t>D3</t>
        </is>
      </c>
      <c r="D281" s="33" t="n">
        <v>4</v>
      </c>
      <c r="E281" s="68" t="inlineStr">
        <is>
          <t>Enterprise database + ERP lock-in (decades of customer integration). Cloud moat less deep. Band 4.</t>
        </is>
      </c>
      <c r="F281" s="68" t="inlineStr">
        <is>
          <t>Oracle Q2 FY26 + Futurum RPO +438% coverage, yfinance balance sheet verified 2026-05-18</t>
        </is>
      </c>
      <c r="G281" s="33" t="inlineStr">
        <is>
          <t>High</t>
        </is>
      </c>
      <c r="H281" s="33" t="inlineStr">
        <is>
          <t>Initial</t>
        </is>
      </c>
    </row>
    <row r="282">
      <c r="A282" s="33" t="inlineStr">
        <is>
          <t>2026-05-18</t>
        </is>
      </c>
      <c r="B282" s="33" t="inlineStr">
        <is>
          <t>ORCL</t>
        </is>
      </c>
      <c r="C282" s="33" t="inlineStr">
        <is>
          <t>D4</t>
        </is>
      </c>
      <c r="D282" s="33" t="n">
        <v>5</v>
      </c>
      <c r="E282" s="68" t="inlineStr">
        <is>
          <t>Capex FY26: $50B (smaller than peers but appropriate to size). 400 MW data center capacity delivered Q2; +50% GPU QoQ.</t>
        </is>
      </c>
      <c r="F282" s="68" t="inlineStr">
        <is>
          <t>Oracle Q2 FY26 + Futurum RPO +438% coverage, yfinance balance sheet verified 2026-05-18</t>
        </is>
      </c>
      <c r="G282" s="33" t="inlineStr">
        <is>
          <t>High</t>
        </is>
      </c>
      <c r="H282" s="33" t="inlineStr">
        <is>
          <t>Initial</t>
        </is>
      </c>
    </row>
    <row r="283">
      <c r="A283" s="33" t="inlineStr">
        <is>
          <t>2026-05-18</t>
        </is>
      </c>
      <c r="B283" s="33" t="inlineStr">
        <is>
          <t>ORCL</t>
        </is>
      </c>
      <c r="C283" s="33" t="inlineStr">
        <is>
          <t>D5</t>
        </is>
      </c>
      <c r="D283" s="33" t="n">
        <v>5</v>
      </c>
      <c r="E283" s="68" t="inlineStr">
        <is>
          <t>Per repurposed D5: RPO +438% YoY to $523B; customers OpenAI, Meta, NVIDIA, xAI. Premier AI training cloud win.</t>
        </is>
      </c>
      <c r="F283" s="68" t="inlineStr">
        <is>
          <t>Oracle Q2 FY26 + Futurum RPO +438% coverage, yfinance balance sheet verified 2026-05-18</t>
        </is>
      </c>
      <c r="G283" s="33" t="inlineStr">
        <is>
          <t>High</t>
        </is>
      </c>
      <c r="H283" s="33" t="inlineStr">
        <is>
          <t>Initial</t>
        </is>
      </c>
    </row>
    <row r="284">
      <c r="A284" s="33" t="inlineStr">
        <is>
          <t>2026-05-18</t>
        </is>
      </c>
      <c r="B284" s="33" t="inlineStr">
        <is>
          <t>ORCL</t>
        </is>
      </c>
      <c r="C284" s="33" t="inlineStr">
        <is>
          <t>M1</t>
        </is>
      </c>
      <c r="D284" s="33" t="n">
        <v>3</v>
      </c>
      <c r="E284" s="68" t="inlineStr">
        <is>
          <t>2 up / 2 down on +1Y. Neutral / low signal. Band 3.</t>
        </is>
      </c>
      <c r="F284" s="68" t="inlineStr">
        <is>
          <t>Oracle Q2 FY26 + Futurum RPO +438% coverage, yfinance balance sheet verified 2026-05-18</t>
        </is>
      </c>
      <c r="G284" s="33" t="inlineStr">
        <is>
          <t>High</t>
        </is>
      </c>
      <c r="H284" s="33" t="inlineStr">
        <is>
          <t>Initial</t>
        </is>
      </c>
    </row>
    <row r="285">
      <c r="A285" s="33" t="inlineStr">
        <is>
          <t>2026-05-18</t>
        </is>
      </c>
      <c r="B285" s="33" t="inlineStr">
        <is>
          <t>ORCL</t>
        </is>
      </c>
      <c r="C285" s="33" t="inlineStr">
        <is>
          <t>M2</t>
        </is>
      </c>
      <c r="D285" s="33" t="n">
        <v>1</v>
      </c>
      <c r="E285" s="68" t="inlineStr">
        <is>
          <t>-29pp vs SPY 180d; -9pp vs 365d. Market not pricing the RPO growth. Band 1.</t>
        </is>
      </c>
      <c r="F285" s="68" t="inlineStr">
        <is>
          <t>Oracle Q2 FY26 + Futurum RPO +438% coverage, yfinance balance sheet verified 2026-05-18</t>
        </is>
      </c>
      <c r="G285" s="33" t="inlineStr">
        <is>
          <t>High</t>
        </is>
      </c>
      <c r="H285" s="33" t="inlineStr">
        <is>
          <t>Initial</t>
        </is>
      </c>
    </row>
    <row r="286">
      <c r="A286" s="33" t="inlineStr">
        <is>
          <t>2026-05-18</t>
        </is>
      </c>
      <c r="B286" s="33" t="inlineStr">
        <is>
          <t>ORCL</t>
        </is>
      </c>
      <c r="C286" s="33" t="inlineStr">
        <is>
          <t>M3</t>
        </is>
      </c>
      <c r="D286" s="33" t="n">
        <v>3</v>
      </c>
      <c r="E286" s="68" t="inlineStr">
        <is>
          <t>Routine mega-cap activity assumed; default 3.</t>
        </is>
      </c>
      <c r="F286" s="68" t="inlineStr">
        <is>
          <t>Oracle Q2 FY26 + Futurum RPO +438% coverage, yfinance balance sheet verified 2026-05-18</t>
        </is>
      </c>
      <c r="G286" s="33" t="inlineStr">
        <is>
          <t>High</t>
        </is>
      </c>
      <c r="H286" s="33" t="inlineStr">
        <is>
          <t>Initial</t>
        </is>
      </c>
    </row>
    <row r="287">
      <c r="A287" s="33" t="inlineStr">
        <is>
          <t>2026-05-18</t>
        </is>
      </c>
      <c r="B287" s="33" t="inlineStr">
        <is>
          <t>ORCL</t>
        </is>
      </c>
      <c r="C287" s="33" t="inlineStr">
        <is>
          <t>R1</t>
        </is>
      </c>
      <c r="D287" s="33" t="n">
        <v>4</v>
      </c>
      <c r="E287" s="68" t="inlineStr">
        <is>
          <t>Top customers concentrated (OpenAI, Meta etc.) but diversified across legacy + cloud. Band 4.</t>
        </is>
      </c>
      <c r="F287" s="68" t="inlineStr">
        <is>
          <t>Oracle Q2 FY26 + Futurum RPO +438% coverage, yfinance balance sheet verified 2026-05-18</t>
        </is>
      </c>
      <c r="G287" s="33" t="inlineStr">
        <is>
          <t>High</t>
        </is>
      </c>
      <c r="H287" s="33" t="inlineStr">
        <is>
          <t>Initial</t>
        </is>
      </c>
    </row>
    <row r="288">
      <c r="A288" s="33" t="inlineStr">
        <is>
          <t>2026-05-18</t>
        </is>
      </c>
      <c r="B288" s="33" t="inlineStr">
        <is>
          <t>ORCL</t>
        </is>
      </c>
      <c r="C288" s="33" t="inlineStr">
        <is>
          <t>R2</t>
        </is>
      </c>
      <c r="D288" s="33" t="n">
        <v>4</v>
      </c>
      <c r="E288" s="68" t="inlineStr">
        <is>
          <t>Global; minimal China.</t>
        </is>
      </c>
      <c r="F288" s="68" t="inlineStr">
        <is>
          <t>Oracle Q2 FY26 + Futurum RPO +438% coverage, yfinance balance sheet verified 2026-05-18</t>
        </is>
      </c>
      <c r="G288" s="33" t="inlineStr">
        <is>
          <t>High</t>
        </is>
      </c>
      <c r="H288" s="33" t="inlineStr">
        <is>
          <t>Initial</t>
        </is>
      </c>
    </row>
    <row r="289">
      <c r="A289" s="33" t="inlineStr">
        <is>
          <t>2026-05-18</t>
        </is>
      </c>
      <c r="B289" s="33" t="inlineStr">
        <is>
          <t>ORCL</t>
        </is>
      </c>
      <c r="C289" s="33" t="inlineStr">
        <is>
          <t>R3</t>
        </is>
      </c>
      <c r="D289" s="33" t="n">
        <v>2</v>
      </c>
      <c r="E289" s="68" t="inlineStr">
        <is>
          <t>VERIFIED 2026-05-18: ND/EBITDA 4.48x ($123B net debt / $27B EBITDA); FCF -$22B (capex-driven). Distinct from CEG (R3=3) where ND/EBITDA was 2.71x. Elevated leverage band per rubric.</t>
        </is>
      </c>
      <c r="F289" s="68" t="inlineStr">
        <is>
          <t>Oracle Q2 FY26 + Futurum RPO +438% coverage, yfinance balance sheet verified 2026-05-18</t>
        </is>
      </c>
      <c r="G289" s="33" t="inlineStr">
        <is>
          <t>High</t>
        </is>
      </c>
      <c r="H289" s="33" t="inlineStr">
        <is>
          <t>Initial</t>
        </is>
      </c>
    </row>
    <row r="290">
      <c r="A290" s="33" t="inlineStr">
        <is>
          <t>2026-05-18</t>
        </is>
      </c>
      <c r="B290" s="33" t="inlineStr">
        <is>
          <t>ORCL</t>
        </is>
      </c>
      <c r="C290" s="33" t="inlineStr">
        <is>
          <t>R4</t>
        </is>
      </c>
      <c r="D290" s="33" t="n">
        <v>4</v>
      </c>
      <c r="E290" s="68" t="inlineStr">
        <is>
          <t>Less regulatory pressure than peers. Routine.</t>
        </is>
      </c>
      <c r="F290" s="68" t="inlineStr">
        <is>
          <t>Oracle Q2 FY26 + Futurum RPO +438% coverage, yfinance balance sheet verified 2026-05-18</t>
        </is>
      </c>
      <c r="G290" s="33" t="inlineStr">
        <is>
          <t>High</t>
        </is>
      </c>
      <c r="H290" s="33" t="inlineStr">
        <is>
          <t>Initial</t>
        </is>
      </c>
    </row>
    <row r="291">
      <c r="A291" s="33" t="inlineStr">
        <is>
          <t>2026-05-18</t>
        </is>
      </c>
      <c r="B291" s="33" t="inlineStr">
        <is>
          <t>D</t>
        </is>
      </c>
      <c r="C291" s="33" t="inlineStr">
        <is>
          <t>D1</t>
        </is>
      </c>
      <c r="D291" s="33" t="n">
        <v>3</v>
      </c>
      <c r="E291" s="68" t="inlineStr">
        <is>
          <t>Data center load growth ~28% of demand growth in service territory; not yet AI revenue per se. Per literal AI-rev methodology = band 4.</t>
        </is>
      </c>
      <c r="F291" s="68" t="inlineStr">
        <is>
          <t>Dominion Q1 FY26 + PJM 2046 forecast + EIA Virginia commercial sales coverage (2026-05-18)</t>
        </is>
      </c>
      <c r="G291" s="33" t="inlineStr">
        <is>
          <t>High</t>
        </is>
      </c>
      <c r="H291" s="33" t="inlineStr">
        <is>
          <t>Initial</t>
        </is>
      </c>
    </row>
    <row r="292">
      <c r="A292" s="33" t="inlineStr">
        <is>
          <t>2026-05-18</t>
        </is>
      </c>
      <c r="B292" s="33" t="inlineStr">
        <is>
          <t>D</t>
        </is>
      </c>
      <c r="C292" s="33" t="inlineStr">
        <is>
          <t>D2</t>
        </is>
      </c>
      <c r="D292" s="33" t="n">
        <v>4</v>
      </c>
      <c r="E292" s="68" t="inlineStr">
        <is>
          <t>Regulated geographic monopoly; data center concentration in Virginia/Loudoun's service area. Loudoun County densest data center market globally. $50.1B capex plan.</t>
        </is>
      </c>
      <c r="F292" s="68" t="inlineStr">
        <is>
          <t>Dominion Q1 FY26 + PJM 2046 forecast + EIA Virginia commercial sales coverage (2026-05-18)</t>
        </is>
      </c>
      <c r="G292" s="33" t="inlineStr">
        <is>
          <t>High</t>
        </is>
      </c>
      <c r="H292" s="33" t="inlineStr">
        <is>
          <t>Initial</t>
        </is>
      </c>
    </row>
    <row r="293">
      <c r="A293" s="33" t="inlineStr">
        <is>
          <t>2026-05-18</t>
        </is>
      </c>
      <c r="B293" s="33" t="inlineStr">
        <is>
          <t>D</t>
        </is>
      </c>
      <c r="C293" s="33" t="inlineStr">
        <is>
          <t>D3</t>
        </is>
      </c>
      <c r="D293" s="33" t="n">
        <v>4</v>
      </c>
      <c r="E293" s="68" t="inlineStr">
        <is>
          <t>Regulated monopoly moat (operating rights, infrastructure). 100yr+ business protections.</t>
        </is>
      </c>
      <c r="F293" s="68" t="inlineStr">
        <is>
          <t>Dominion Q1 FY26 + PJM 2046 forecast + EIA Virginia commercial sales coverage (2026-05-18)</t>
        </is>
      </c>
      <c r="G293" s="33" t="inlineStr">
        <is>
          <t>High</t>
        </is>
      </c>
      <c r="H293" s="33" t="inlineStr">
        <is>
          <t>Initial</t>
        </is>
      </c>
    </row>
    <row r="294">
      <c r="A294" s="33" t="inlineStr">
        <is>
          <t>2026-05-18</t>
        </is>
      </c>
      <c r="B294" s="33" t="inlineStr">
        <is>
          <t>D</t>
        </is>
      </c>
      <c r="C294" s="33" t="inlineStr">
        <is>
          <t>D4</t>
        </is>
      </c>
      <c r="D294" s="33" t="n">
        <v>5</v>
      </c>
      <c r="E294" s="68" t="inlineStr">
        <is>
          <t>Multi-year capex plan driven by data center load growth. Loudoun County densest data center market globally. $50.1B capex plan.</t>
        </is>
      </c>
      <c r="F294" s="68" t="inlineStr">
        <is>
          <t>Dominion Q1 FY26 + PJM 2046 forecast + EIA Virginia commercial sales coverage (2026-05-18)</t>
        </is>
      </c>
      <c r="G294" s="33" t="inlineStr">
        <is>
          <t>High</t>
        </is>
      </c>
      <c r="H294" s="33" t="inlineStr">
        <is>
          <t>Initial</t>
        </is>
      </c>
    </row>
    <row r="295">
      <c r="A295" s="33" t="inlineStr">
        <is>
          <t>2026-05-18</t>
        </is>
      </c>
      <c r="B295" s="33" t="inlineStr">
        <is>
          <t>D</t>
        </is>
      </c>
      <c r="C295" s="33" t="inlineStr">
        <is>
          <t>D5</t>
        </is>
      </c>
      <c r="D295" s="33" t="n">
        <v>3</v>
      </c>
      <c r="E295" s="68" t="inlineStr">
        <is>
          <t>Indirect hyperscaler exposure via grid sales — not anchor PPA partner.</t>
        </is>
      </c>
      <c r="F295" s="68" t="inlineStr">
        <is>
          <t>Dominion Q1 FY26 + PJM 2046 forecast + EIA Virginia commercial sales coverage (2026-05-18)</t>
        </is>
      </c>
      <c r="G295" s="33" t="inlineStr">
        <is>
          <t>High</t>
        </is>
      </c>
      <c r="H295" s="33" t="inlineStr">
        <is>
          <t>Initial</t>
        </is>
      </c>
    </row>
    <row r="296">
      <c r="A296" s="33" t="inlineStr">
        <is>
          <t>2026-05-18</t>
        </is>
      </c>
      <c r="B296" s="33" t="inlineStr">
        <is>
          <t>D</t>
        </is>
      </c>
      <c r="C296" s="33" t="inlineStr">
        <is>
          <t>M1</t>
        </is>
      </c>
      <c r="D296" s="33" t="n">
        <v>2</v>
      </c>
      <c r="E296" s="68" t="inlineStr">
        <is>
          <t>See EPS revisions data pulled 2026-05-18.</t>
        </is>
      </c>
      <c r="F296" s="68" t="inlineStr">
        <is>
          <t>Dominion Q1 FY26 + PJM 2046 forecast + EIA Virginia commercial sales coverage (2026-05-18)</t>
        </is>
      </c>
      <c r="G296" s="33" t="inlineStr">
        <is>
          <t>High</t>
        </is>
      </c>
      <c r="H296" s="33" t="inlineStr">
        <is>
          <t>Initial</t>
        </is>
      </c>
    </row>
    <row r="297">
      <c r="A297" s="33" t="inlineStr">
        <is>
          <t>2026-05-18</t>
        </is>
      </c>
      <c r="B297" s="33" t="inlineStr">
        <is>
          <t>D</t>
        </is>
      </c>
      <c r="C297" s="33" t="inlineStr">
        <is>
          <t>M2</t>
        </is>
      </c>
      <c r="D297" s="33" t="n">
        <v>4</v>
      </c>
      <c r="E297" s="68" t="inlineStr">
        <is>
          <t>Sector benchmark = XLU.</t>
        </is>
      </c>
      <c r="F297" s="68" t="inlineStr">
        <is>
          <t>Dominion Q1 FY26 + PJM 2046 forecast + EIA Virginia commercial sales coverage (2026-05-18)</t>
        </is>
      </c>
      <c r="G297" s="33" t="inlineStr">
        <is>
          <t>High</t>
        </is>
      </c>
      <c r="H297" s="33" t="inlineStr">
        <is>
          <t>Initial</t>
        </is>
      </c>
    </row>
    <row r="298">
      <c r="A298" s="33" t="inlineStr">
        <is>
          <t>2026-05-18</t>
        </is>
      </c>
      <c r="B298" s="33" t="inlineStr">
        <is>
          <t>D</t>
        </is>
      </c>
      <c r="C298" s="33" t="inlineStr">
        <is>
          <t>M3</t>
        </is>
      </c>
      <c r="D298" s="33" t="n">
        <v>3</v>
      </c>
      <c r="E298" s="68" t="inlineStr">
        <is>
          <t>Routine activity assumed; default 3.</t>
        </is>
      </c>
      <c r="F298" s="68" t="inlineStr">
        <is>
          <t>Dominion Q1 FY26 + PJM 2046 forecast + EIA Virginia commercial sales coverage (2026-05-18)</t>
        </is>
      </c>
      <c r="G298" s="33" t="inlineStr">
        <is>
          <t>High</t>
        </is>
      </c>
      <c r="H298" s="33" t="inlineStr">
        <is>
          <t>Initial</t>
        </is>
      </c>
    </row>
    <row r="299">
      <c r="A299" s="33" t="inlineStr">
        <is>
          <t>2026-05-18</t>
        </is>
      </c>
      <c r="B299" s="33" t="inlineStr">
        <is>
          <t>D</t>
        </is>
      </c>
      <c r="C299" s="33" t="inlineStr">
        <is>
          <t>R1</t>
        </is>
      </c>
      <c r="D299" s="33" t="n">
        <v>5</v>
      </c>
      <c r="E299" s="68" t="inlineStr">
        <is>
          <t>Regulated diversified rate base; no concentration.</t>
        </is>
      </c>
      <c r="F299" s="68" t="inlineStr">
        <is>
          <t>Dominion Q1 FY26 + PJM 2046 forecast + EIA Virginia commercial sales coverage (2026-05-18)</t>
        </is>
      </c>
      <c r="G299" s="33" t="inlineStr">
        <is>
          <t>High</t>
        </is>
      </c>
      <c r="H299" s="33" t="inlineStr">
        <is>
          <t>Initial</t>
        </is>
      </c>
    </row>
    <row r="300">
      <c r="A300" s="33" t="inlineStr">
        <is>
          <t>2026-05-18</t>
        </is>
      </c>
      <c r="B300" s="33" t="inlineStr">
        <is>
          <t>D</t>
        </is>
      </c>
      <c r="C300" s="33" t="inlineStr">
        <is>
          <t>R2</t>
        </is>
      </c>
      <c r="D300" s="33" t="n">
        <v>5</v>
      </c>
      <c r="E300" s="68" t="inlineStr">
        <is>
          <t>100% US operations; no export-control exposure.</t>
        </is>
      </c>
      <c r="F300" s="68" t="inlineStr">
        <is>
          <t>Dominion Q1 FY26 + PJM 2046 forecast + EIA Virginia commercial sales coverage (2026-05-18)</t>
        </is>
      </c>
      <c r="G300" s="33" t="inlineStr">
        <is>
          <t>High</t>
        </is>
      </c>
      <c r="H300" s="33" t="inlineStr">
        <is>
          <t>Initial</t>
        </is>
      </c>
    </row>
    <row r="301">
      <c r="A301" s="33" t="inlineStr">
        <is>
          <t>2026-05-18</t>
        </is>
      </c>
      <c r="B301" s="33" t="inlineStr">
        <is>
          <t>D</t>
        </is>
      </c>
      <c r="C301" s="33" t="inlineStr">
        <is>
          <t>R3</t>
        </is>
      </c>
      <c r="D301" s="33" t="n">
        <v>3</v>
      </c>
      <c r="E301" s="68" t="inlineStr">
        <is>
          <t>Standard utility leverage (high but stable structure).</t>
        </is>
      </c>
      <c r="F301" s="68" t="inlineStr">
        <is>
          <t>Dominion Q1 FY26 + PJM 2046 forecast + EIA Virginia commercial sales coverage (2026-05-18)</t>
        </is>
      </c>
      <c r="G301" s="33" t="inlineStr">
        <is>
          <t>High</t>
        </is>
      </c>
      <c r="H301" s="33" t="inlineStr">
        <is>
          <t>Initial</t>
        </is>
      </c>
    </row>
    <row r="302">
      <c r="A302" s="33" t="inlineStr">
        <is>
          <t>2026-05-18</t>
        </is>
      </c>
      <c r="B302" s="33" t="inlineStr">
        <is>
          <t>D</t>
        </is>
      </c>
      <c r="C302" s="33" t="inlineStr">
        <is>
          <t>R4</t>
        </is>
      </c>
      <c r="D302" s="33" t="n">
        <v>4</v>
      </c>
      <c r="E302" s="68" t="inlineStr">
        <is>
          <t>Regulated routine; no enforcement.</t>
        </is>
      </c>
      <c r="F302" s="68" t="inlineStr">
        <is>
          <t>Dominion Q1 FY26 + PJM 2046 forecast + EIA Virginia commercial sales coverage (2026-05-18)</t>
        </is>
      </c>
      <c r="G302" s="33" t="inlineStr">
        <is>
          <t>High</t>
        </is>
      </c>
      <c r="H302" s="33" t="inlineStr">
        <is>
          <t>Initial</t>
        </is>
      </c>
    </row>
    <row r="303">
      <c r="A303" s="33" t="inlineStr">
        <is>
          <t>2026-05-18</t>
        </is>
      </c>
      <c r="B303" s="33" t="inlineStr">
        <is>
          <t>AEP</t>
        </is>
      </c>
      <c r="C303" s="33" t="inlineStr">
        <is>
          <t>D1</t>
        </is>
      </c>
      <c r="D303" s="33" t="n">
        <v>3</v>
      </c>
      <c r="E303" s="68" t="inlineStr">
        <is>
          <t>Data center load growth ~21% of demand growth in service territory; not yet AI revenue per se. Per literal AI-rev methodology = band 3.</t>
        </is>
      </c>
      <c r="F303" s="68" t="inlineStr">
        <is>
          <t>AEP Q1 FY26 + PJM growth top-3 (5.3% 10yr) coverage (2026-05-18)</t>
        </is>
      </c>
      <c r="G303" s="33" t="inlineStr">
        <is>
          <t>High</t>
        </is>
      </c>
      <c r="H303" s="33" t="inlineStr">
        <is>
          <t>Initial</t>
        </is>
      </c>
    </row>
    <row r="304">
      <c r="A304" s="33" t="inlineStr">
        <is>
          <t>2026-05-18</t>
        </is>
      </c>
      <c r="B304" s="33" t="inlineStr">
        <is>
          <t>AEP</t>
        </is>
      </c>
      <c r="C304" s="33" t="inlineStr">
        <is>
          <t>D2</t>
        </is>
      </c>
      <c r="D304" s="33" t="n">
        <v>4</v>
      </c>
      <c r="E304" s="68" t="inlineStr">
        <is>
          <t>Regulated geographic monopoly; data center concentration in Ohio/Texas/mid-Atlantic's service area. Ohio data center corridor; PJM top-3 10yr growth (5.3%).</t>
        </is>
      </c>
      <c r="F304" s="68" t="inlineStr">
        <is>
          <t>AEP Q1 FY26 + PJM growth top-3 (5.3% 10yr) coverage (2026-05-18)</t>
        </is>
      </c>
      <c r="G304" s="33" t="inlineStr">
        <is>
          <t>High</t>
        </is>
      </c>
      <c r="H304" s="33" t="inlineStr">
        <is>
          <t>Initial</t>
        </is>
      </c>
    </row>
    <row r="305">
      <c r="A305" s="33" t="inlineStr">
        <is>
          <t>2026-05-18</t>
        </is>
      </c>
      <c r="B305" s="33" t="inlineStr">
        <is>
          <t>AEP</t>
        </is>
      </c>
      <c r="C305" s="33" t="inlineStr">
        <is>
          <t>D3</t>
        </is>
      </c>
      <c r="D305" s="33" t="n">
        <v>4</v>
      </c>
      <c r="E305" s="68" t="inlineStr">
        <is>
          <t>Regulated monopoly moat (operating rights, infrastructure). 100yr+ business protections.</t>
        </is>
      </c>
      <c r="F305" s="68" t="inlineStr">
        <is>
          <t>AEP Q1 FY26 + PJM growth top-3 (5.3% 10yr) coverage (2026-05-18)</t>
        </is>
      </c>
      <c r="G305" s="33" t="inlineStr">
        <is>
          <t>High</t>
        </is>
      </c>
      <c r="H305" s="33" t="inlineStr">
        <is>
          <t>Initial</t>
        </is>
      </c>
    </row>
    <row r="306">
      <c r="A306" s="33" t="inlineStr">
        <is>
          <t>2026-05-18</t>
        </is>
      </c>
      <c r="B306" s="33" t="inlineStr">
        <is>
          <t>AEP</t>
        </is>
      </c>
      <c r="C306" s="33" t="inlineStr">
        <is>
          <t>D4</t>
        </is>
      </c>
      <c r="D306" s="33" t="n">
        <v>4</v>
      </c>
      <c r="E306" s="68" t="inlineStr">
        <is>
          <t>Multi-year capex plan driven by data center load growth. Ohio data center corridor; PJM top-3 10yr growth (5.3%).</t>
        </is>
      </c>
      <c r="F306" s="68" t="inlineStr">
        <is>
          <t>AEP Q1 FY26 + PJM growth top-3 (5.3% 10yr) coverage (2026-05-18)</t>
        </is>
      </c>
      <c r="G306" s="33" t="inlineStr">
        <is>
          <t>High</t>
        </is>
      </c>
      <c r="H306" s="33" t="inlineStr">
        <is>
          <t>Initial</t>
        </is>
      </c>
    </row>
    <row r="307">
      <c r="A307" s="33" t="inlineStr">
        <is>
          <t>2026-05-18</t>
        </is>
      </c>
      <c r="B307" s="33" t="inlineStr">
        <is>
          <t>AEP</t>
        </is>
      </c>
      <c r="C307" s="33" t="inlineStr">
        <is>
          <t>D5</t>
        </is>
      </c>
      <c r="D307" s="33" t="n">
        <v>3</v>
      </c>
      <c r="E307" s="68" t="inlineStr">
        <is>
          <t>Indirect hyperscaler exposure via grid sales — not anchor PPA partner.</t>
        </is>
      </c>
      <c r="F307" s="68" t="inlineStr">
        <is>
          <t>AEP Q1 FY26 + PJM growth top-3 (5.3% 10yr) coverage (2026-05-18)</t>
        </is>
      </c>
      <c r="G307" s="33" t="inlineStr">
        <is>
          <t>High</t>
        </is>
      </c>
      <c r="H307" s="33" t="inlineStr">
        <is>
          <t>Initial</t>
        </is>
      </c>
    </row>
    <row r="308">
      <c r="A308" s="33" t="inlineStr">
        <is>
          <t>2026-05-18</t>
        </is>
      </c>
      <c r="B308" s="33" t="inlineStr">
        <is>
          <t>AEP</t>
        </is>
      </c>
      <c r="C308" s="33" t="inlineStr">
        <is>
          <t>M1</t>
        </is>
      </c>
      <c r="D308" s="33" t="n">
        <v>5</v>
      </c>
      <c r="E308" s="68" t="inlineStr">
        <is>
          <t>See EPS revisions data pulled 2026-05-18.</t>
        </is>
      </c>
      <c r="F308" s="68" t="inlineStr">
        <is>
          <t>AEP Q1 FY26 + PJM growth top-3 (5.3% 10yr) coverage (2026-05-18)</t>
        </is>
      </c>
      <c r="G308" s="33" t="inlineStr">
        <is>
          <t>High</t>
        </is>
      </c>
      <c r="H308" s="33" t="inlineStr">
        <is>
          <t>Initial</t>
        </is>
      </c>
    </row>
    <row r="309">
      <c r="A309" s="33" t="inlineStr">
        <is>
          <t>2026-05-18</t>
        </is>
      </c>
      <c r="B309" s="33" t="inlineStr">
        <is>
          <t>AEP</t>
        </is>
      </c>
      <c r="C309" s="33" t="inlineStr">
        <is>
          <t>M2</t>
        </is>
      </c>
      <c r="D309" s="33" t="n">
        <v>4</v>
      </c>
      <c r="E309" s="68" t="inlineStr">
        <is>
          <t>Sector benchmark = XLU.</t>
        </is>
      </c>
      <c r="F309" s="68" t="inlineStr">
        <is>
          <t>AEP Q1 FY26 + PJM growth top-3 (5.3% 10yr) coverage (2026-05-18)</t>
        </is>
      </c>
      <c r="G309" s="33" t="inlineStr">
        <is>
          <t>High</t>
        </is>
      </c>
      <c r="H309" s="33" t="inlineStr">
        <is>
          <t>Initial</t>
        </is>
      </c>
    </row>
    <row r="310">
      <c r="A310" s="33" t="inlineStr">
        <is>
          <t>2026-05-18</t>
        </is>
      </c>
      <c r="B310" s="33" t="inlineStr">
        <is>
          <t>AEP</t>
        </is>
      </c>
      <c r="C310" s="33" t="inlineStr">
        <is>
          <t>M3</t>
        </is>
      </c>
      <c r="D310" s="33" t="n">
        <v>3</v>
      </c>
      <c r="E310" s="68" t="inlineStr">
        <is>
          <t>Routine activity assumed; default 3.</t>
        </is>
      </c>
      <c r="F310" s="68" t="inlineStr">
        <is>
          <t>AEP Q1 FY26 + PJM growth top-3 (5.3% 10yr) coverage (2026-05-18)</t>
        </is>
      </c>
      <c r="G310" s="33" t="inlineStr">
        <is>
          <t>High</t>
        </is>
      </c>
      <c r="H310" s="33" t="inlineStr">
        <is>
          <t>Initial</t>
        </is>
      </c>
    </row>
    <row r="311">
      <c r="A311" s="33" t="inlineStr">
        <is>
          <t>2026-05-18</t>
        </is>
      </c>
      <c r="B311" s="33" t="inlineStr">
        <is>
          <t>AEP</t>
        </is>
      </c>
      <c r="C311" s="33" t="inlineStr">
        <is>
          <t>R1</t>
        </is>
      </c>
      <c r="D311" s="33" t="n">
        <v>5</v>
      </c>
      <c r="E311" s="68" t="inlineStr">
        <is>
          <t>Regulated diversified rate base; no concentration.</t>
        </is>
      </c>
      <c r="F311" s="68" t="inlineStr">
        <is>
          <t>AEP Q1 FY26 + PJM growth top-3 (5.3% 10yr) coverage (2026-05-18)</t>
        </is>
      </c>
      <c r="G311" s="33" t="inlineStr">
        <is>
          <t>High</t>
        </is>
      </c>
      <c r="H311" s="33" t="inlineStr">
        <is>
          <t>Initial</t>
        </is>
      </c>
    </row>
    <row r="312">
      <c r="A312" s="33" t="inlineStr">
        <is>
          <t>2026-05-18</t>
        </is>
      </c>
      <c r="B312" s="33" t="inlineStr">
        <is>
          <t>AEP</t>
        </is>
      </c>
      <c r="C312" s="33" t="inlineStr">
        <is>
          <t>R2</t>
        </is>
      </c>
      <c r="D312" s="33" t="n">
        <v>5</v>
      </c>
      <c r="E312" s="68" t="inlineStr">
        <is>
          <t>100% US operations; no export-control exposure.</t>
        </is>
      </c>
      <c r="F312" s="68" t="inlineStr">
        <is>
          <t>AEP Q1 FY26 + PJM growth top-3 (5.3% 10yr) coverage (2026-05-18)</t>
        </is>
      </c>
      <c r="G312" s="33" t="inlineStr">
        <is>
          <t>High</t>
        </is>
      </c>
      <c r="H312" s="33" t="inlineStr">
        <is>
          <t>Initial</t>
        </is>
      </c>
    </row>
    <row r="313">
      <c r="A313" s="33" t="inlineStr">
        <is>
          <t>2026-05-18</t>
        </is>
      </c>
      <c r="B313" s="33" t="inlineStr">
        <is>
          <t>AEP</t>
        </is>
      </c>
      <c r="C313" s="33" t="inlineStr">
        <is>
          <t>R3</t>
        </is>
      </c>
      <c r="D313" s="33" t="n">
        <v>3</v>
      </c>
      <c r="E313" s="68" t="inlineStr">
        <is>
          <t>Standard utility leverage (high but stable structure).</t>
        </is>
      </c>
      <c r="F313" s="68" t="inlineStr">
        <is>
          <t>AEP Q1 FY26 + PJM growth top-3 (5.3% 10yr) coverage (2026-05-18)</t>
        </is>
      </c>
      <c r="G313" s="33" t="inlineStr">
        <is>
          <t>High</t>
        </is>
      </c>
      <c r="H313" s="33" t="inlineStr">
        <is>
          <t>Initial</t>
        </is>
      </c>
    </row>
    <row r="314">
      <c r="A314" s="33" t="inlineStr">
        <is>
          <t>2026-05-18</t>
        </is>
      </c>
      <c r="B314" s="33" t="inlineStr">
        <is>
          <t>AEP</t>
        </is>
      </c>
      <c r="C314" s="33" t="inlineStr">
        <is>
          <t>R4</t>
        </is>
      </c>
      <c r="D314" s="33" t="n">
        <v>4</v>
      </c>
      <c r="E314" s="68" t="inlineStr">
        <is>
          <t>Regulated routine; no enforcement.</t>
        </is>
      </c>
      <c r="F314" s="68" t="inlineStr">
        <is>
          <t>AEP Q1 FY26 + PJM growth top-3 (5.3% 10yr) coverage (2026-05-18)</t>
        </is>
      </c>
      <c r="G314" s="33" t="inlineStr">
        <is>
          <t>High</t>
        </is>
      </c>
      <c r="H314" s="33" t="inlineStr">
        <is>
          <t>Initial</t>
        </is>
      </c>
    </row>
    <row r="315">
      <c r="A315" s="33" t="inlineStr">
        <is>
          <t>2026-05-18</t>
        </is>
      </c>
      <c r="B315" s="33" t="inlineStr">
        <is>
          <t>DUK</t>
        </is>
      </c>
      <c r="C315" s="33" t="inlineStr">
        <is>
          <t>D1</t>
        </is>
      </c>
      <c r="D315" s="33" t="n">
        <v>2</v>
      </c>
      <c r="E315" s="68" t="inlineStr">
        <is>
          <t>Data center load growth ~14% of demand growth in service territory; not yet AI revenue per se. Per literal AI-rev methodology = band 2.</t>
        </is>
      </c>
      <c r="F315" s="68" t="inlineStr">
        <is>
          <t>Duke FY26 + Carolinas/Florida DC pipeline coverage (2026-05-18)</t>
        </is>
      </c>
      <c r="G315" s="33" t="inlineStr">
        <is>
          <t>High</t>
        </is>
      </c>
      <c r="H315" s="33" t="inlineStr">
        <is>
          <t>Initial</t>
        </is>
      </c>
    </row>
    <row r="316">
      <c r="A316" s="33" t="inlineStr">
        <is>
          <t>2026-05-18</t>
        </is>
      </c>
      <c r="B316" s="33" t="inlineStr">
        <is>
          <t>DUK</t>
        </is>
      </c>
      <c r="C316" s="33" t="inlineStr">
        <is>
          <t>D2</t>
        </is>
      </c>
      <c r="D316" s="33" t="n">
        <v>4</v>
      </c>
      <c r="E316" s="68" t="inlineStr">
        <is>
          <t>Regulated geographic monopoly; data center concentration in Carolinas/Florida's service area. Less concentrated than D/AEP but growing DC pipeline.</t>
        </is>
      </c>
      <c r="F316" s="68" t="inlineStr">
        <is>
          <t>Duke FY26 + Carolinas/Florida DC pipeline coverage (2026-05-18)</t>
        </is>
      </c>
      <c r="G316" s="33" t="inlineStr">
        <is>
          <t>High</t>
        </is>
      </c>
      <c r="H316" s="33" t="inlineStr">
        <is>
          <t>Initial</t>
        </is>
      </c>
    </row>
    <row r="317">
      <c r="A317" s="33" t="inlineStr">
        <is>
          <t>2026-05-18</t>
        </is>
      </c>
      <c r="B317" s="33" t="inlineStr">
        <is>
          <t>DUK</t>
        </is>
      </c>
      <c r="C317" s="33" t="inlineStr">
        <is>
          <t>D3</t>
        </is>
      </c>
      <c r="D317" s="33" t="n">
        <v>4</v>
      </c>
      <c r="E317" s="68" t="inlineStr">
        <is>
          <t>Regulated monopoly moat (operating rights, infrastructure). 100yr+ business protections.</t>
        </is>
      </c>
      <c r="F317" s="68" t="inlineStr">
        <is>
          <t>Duke FY26 + Carolinas/Florida DC pipeline coverage (2026-05-18)</t>
        </is>
      </c>
      <c r="G317" s="33" t="inlineStr">
        <is>
          <t>High</t>
        </is>
      </c>
      <c r="H317" s="33" t="inlineStr">
        <is>
          <t>Initial</t>
        </is>
      </c>
    </row>
    <row r="318">
      <c r="A318" s="33" t="inlineStr">
        <is>
          <t>2026-05-18</t>
        </is>
      </c>
      <c r="B318" s="33" t="inlineStr">
        <is>
          <t>DUK</t>
        </is>
      </c>
      <c r="C318" s="33" t="inlineStr">
        <is>
          <t>D4</t>
        </is>
      </c>
      <c r="D318" s="33" t="n">
        <v>4</v>
      </c>
      <c r="E318" s="68" t="inlineStr">
        <is>
          <t>Multi-year capex plan driven by data center load growth. Less concentrated than D/AEP but growing DC pipeline.</t>
        </is>
      </c>
      <c r="F318" s="68" t="inlineStr">
        <is>
          <t>Duke FY26 + Carolinas/Florida DC pipeline coverage (2026-05-18)</t>
        </is>
      </c>
      <c r="G318" s="33" t="inlineStr">
        <is>
          <t>High</t>
        </is>
      </c>
      <c r="H318" s="33" t="inlineStr">
        <is>
          <t>Initial</t>
        </is>
      </c>
    </row>
    <row r="319">
      <c r="A319" s="33" t="inlineStr">
        <is>
          <t>2026-05-18</t>
        </is>
      </c>
      <c r="B319" s="33" t="inlineStr">
        <is>
          <t>DUK</t>
        </is>
      </c>
      <c r="C319" s="33" t="inlineStr">
        <is>
          <t>D5</t>
        </is>
      </c>
      <c r="D319" s="33" t="n">
        <v>3</v>
      </c>
      <c r="E319" s="68" t="inlineStr">
        <is>
          <t>Indirect hyperscaler exposure via grid sales — not anchor PPA partner.</t>
        </is>
      </c>
      <c r="F319" s="68" t="inlineStr">
        <is>
          <t>Duke FY26 + Carolinas/Florida DC pipeline coverage (2026-05-18)</t>
        </is>
      </c>
      <c r="G319" s="33" t="inlineStr">
        <is>
          <t>High</t>
        </is>
      </c>
      <c r="H319" s="33" t="inlineStr">
        <is>
          <t>Initial</t>
        </is>
      </c>
    </row>
    <row r="320">
      <c r="A320" s="33" t="inlineStr">
        <is>
          <t>2026-05-18</t>
        </is>
      </c>
      <c r="B320" s="33" t="inlineStr">
        <is>
          <t>DUK</t>
        </is>
      </c>
      <c r="C320" s="33" t="inlineStr">
        <is>
          <t>M1</t>
        </is>
      </c>
      <c r="D320" s="33" t="n">
        <v>4</v>
      </c>
      <c r="E320" s="68" t="inlineStr">
        <is>
          <t>See EPS revisions data pulled 2026-05-18.</t>
        </is>
      </c>
      <c r="F320" s="68" t="inlineStr">
        <is>
          <t>Duke FY26 + Carolinas/Florida DC pipeline coverage (2026-05-18)</t>
        </is>
      </c>
      <c r="G320" s="33" t="inlineStr">
        <is>
          <t>High</t>
        </is>
      </c>
      <c r="H320" s="33" t="inlineStr">
        <is>
          <t>Initial</t>
        </is>
      </c>
    </row>
    <row r="321">
      <c r="A321" s="33" t="inlineStr">
        <is>
          <t>2026-05-18</t>
        </is>
      </c>
      <c r="B321" s="33" t="inlineStr">
        <is>
          <t>DUK</t>
        </is>
      </c>
      <c r="C321" s="33" t="inlineStr">
        <is>
          <t>M2</t>
        </is>
      </c>
      <c r="D321" s="33" t="n">
        <v>3</v>
      </c>
      <c r="E321" s="68" t="inlineStr">
        <is>
          <t>Sector benchmark = XLU.</t>
        </is>
      </c>
      <c r="F321" s="68" t="inlineStr">
        <is>
          <t>Duke FY26 + Carolinas/Florida DC pipeline coverage (2026-05-18)</t>
        </is>
      </c>
      <c r="G321" s="33" t="inlineStr">
        <is>
          <t>High</t>
        </is>
      </c>
      <c r="H321" s="33" t="inlineStr">
        <is>
          <t>Initial</t>
        </is>
      </c>
    </row>
    <row r="322">
      <c r="A322" s="33" t="inlineStr">
        <is>
          <t>2026-05-18</t>
        </is>
      </c>
      <c r="B322" s="33" t="inlineStr">
        <is>
          <t>DUK</t>
        </is>
      </c>
      <c r="C322" s="33" t="inlineStr">
        <is>
          <t>M3</t>
        </is>
      </c>
      <c r="D322" s="33" t="n">
        <v>3</v>
      </c>
      <c r="E322" s="68" t="inlineStr">
        <is>
          <t>Routine activity assumed; default 3.</t>
        </is>
      </c>
      <c r="F322" s="68" t="inlineStr">
        <is>
          <t>Duke FY26 + Carolinas/Florida DC pipeline coverage (2026-05-18)</t>
        </is>
      </c>
      <c r="G322" s="33" t="inlineStr">
        <is>
          <t>High</t>
        </is>
      </c>
      <c r="H322" s="33" t="inlineStr">
        <is>
          <t>Initial</t>
        </is>
      </c>
    </row>
    <row r="323">
      <c r="A323" s="33" t="inlineStr">
        <is>
          <t>2026-05-18</t>
        </is>
      </c>
      <c r="B323" s="33" t="inlineStr">
        <is>
          <t>DUK</t>
        </is>
      </c>
      <c r="C323" s="33" t="inlineStr">
        <is>
          <t>R1</t>
        </is>
      </c>
      <c r="D323" s="33" t="n">
        <v>5</v>
      </c>
      <c r="E323" s="68" t="inlineStr">
        <is>
          <t>Regulated diversified rate base; no concentration.</t>
        </is>
      </c>
      <c r="F323" s="68" t="inlineStr">
        <is>
          <t>Duke FY26 + Carolinas/Florida DC pipeline coverage (2026-05-18)</t>
        </is>
      </c>
      <c r="G323" s="33" t="inlineStr">
        <is>
          <t>High</t>
        </is>
      </c>
      <c r="H323" s="33" t="inlineStr">
        <is>
          <t>Initial</t>
        </is>
      </c>
    </row>
    <row r="324">
      <c r="A324" s="33" t="inlineStr">
        <is>
          <t>2026-05-18</t>
        </is>
      </c>
      <c r="B324" s="33" t="inlineStr">
        <is>
          <t>DUK</t>
        </is>
      </c>
      <c r="C324" s="33" t="inlineStr">
        <is>
          <t>R2</t>
        </is>
      </c>
      <c r="D324" s="33" t="n">
        <v>5</v>
      </c>
      <c r="E324" s="68" t="inlineStr">
        <is>
          <t>100% US operations; no export-control exposure.</t>
        </is>
      </c>
      <c r="F324" s="68" t="inlineStr">
        <is>
          <t>Duke FY26 + Carolinas/Florida DC pipeline coverage (2026-05-18)</t>
        </is>
      </c>
      <c r="G324" s="33" t="inlineStr">
        <is>
          <t>High</t>
        </is>
      </c>
      <c r="H324" s="33" t="inlineStr">
        <is>
          <t>Initial</t>
        </is>
      </c>
    </row>
    <row r="325">
      <c r="A325" s="33" t="inlineStr">
        <is>
          <t>2026-05-18</t>
        </is>
      </c>
      <c r="B325" s="33" t="inlineStr">
        <is>
          <t>DUK</t>
        </is>
      </c>
      <c r="C325" s="33" t="inlineStr">
        <is>
          <t>R3</t>
        </is>
      </c>
      <c r="D325" s="33" t="n">
        <v>3</v>
      </c>
      <c r="E325" s="68" t="inlineStr">
        <is>
          <t>Standard utility leverage (high but stable structure).</t>
        </is>
      </c>
      <c r="F325" s="68" t="inlineStr">
        <is>
          <t>Duke FY26 + Carolinas/Florida DC pipeline coverage (2026-05-18)</t>
        </is>
      </c>
      <c r="G325" s="33" t="inlineStr">
        <is>
          <t>High</t>
        </is>
      </c>
      <c r="H325" s="33" t="inlineStr">
        <is>
          <t>Initial</t>
        </is>
      </c>
    </row>
    <row r="326">
      <c r="A326" s="33" t="inlineStr">
        <is>
          <t>2026-05-18</t>
        </is>
      </c>
      <c r="B326" s="33" t="inlineStr">
        <is>
          <t>DUK</t>
        </is>
      </c>
      <c r="C326" s="33" t="inlineStr">
        <is>
          <t>R4</t>
        </is>
      </c>
      <c r="D326" s="33" t="n">
        <v>4</v>
      </c>
      <c r="E326" s="68" t="inlineStr">
        <is>
          <t>Regulated routine; no enforcement.</t>
        </is>
      </c>
      <c r="F326" s="68" t="inlineStr">
        <is>
          <t>Duke FY26 + Carolinas/Florida DC pipeline coverage (2026-05-18)</t>
        </is>
      </c>
      <c r="G326" s="33" t="inlineStr">
        <is>
          <t>High</t>
        </is>
      </c>
      <c r="H326" s="33" t="inlineStr">
        <is>
          <t>Initial</t>
        </is>
      </c>
    </row>
    <row r="327">
      <c r="A327" s="33" t="inlineStr">
        <is>
          <t>2026-05-18</t>
        </is>
      </c>
      <c r="B327" s="33" t="inlineStr">
        <is>
          <t>SO</t>
        </is>
      </c>
      <c r="C327" s="33" t="inlineStr">
        <is>
          <t>D1</t>
        </is>
      </c>
      <c r="D327" s="33" t="n">
        <v>3</v>
      </c>
      <c r="E327" s="68" t="inlineStr">
        <is>
          <t>Data center load growth ~21% of demand growth in service territory; not yet AI revenue per se. Per literal AI-rev methodology = band 3.</t>
        </is>
      </c>
      <c r="F327" s="68" t="inlineStr">
        <is>
          <t>Southern FY26 + Vogtle nuclear + Georgia DC coverage (2026-05-18)</t>
        </is>
      </c>
      <c r="G327" s="33" t="inlineStr">
        <is>
          <t>High</t>
        </is>
      </c>
      <c r="H327" s="33" t="inlineStr">
        <is>
          <t>Initial</t>
        </is>
      </c>
    </row>
    <row r="328">
      <c r="A328" s="33" t="inlineStr">
        <is>
          <t>2026-05-18</t>
        </is>
      </c>
      <c r="B328" s="33" t="inlineStr">
        <is>
          <t>SO</t>
        </is>
      </c>
      <c r="C328" s="33" t="inlineStr">
        <is>
          <t>D2</t>
        </is>
      </c>
      <c r="D328" s="33" t="n">
        <v>4</v>
      </c>
      <c r="E328" s="68" t="inlineStr">
        <is>
          <t>Regulated geographic monopoly; data center concentration in Georgia's service area. Vogtle nuclear gives clean-baseload advantage.</t>
        </is>
      </c>
      <c r="F328" s="68" t="inlineStr">
        <is>
          <t>Southern FY26 + Vogtle nuclear + Georgia DC coverage (2026-05-18)</t>
        </is>
      </c>
      <c r="G328" s="33" t="inlineStr">
        <is>
          <t>High</t>
        </is>
      </c>
      <c r="H328" s="33" t="inlineStr">
        <is>
          <t>Initial</t>
        </is>
      </c>
    </row>
    <row r="329">
      <c r="A329" s="33" t="inlineStr">
        <is>
          <t>2026-05-18</t>
        </is>
      </c>
      <c r="B329" s="33" t="inlineStr">
        <is>
          <t>SO</t>
        </is>
      </c>
      <c r="C329" s="33" t="inlineStr">
        <is>
          <t>D3</t>
        </is>
      </c>
      <c r="D329" s="33" t="n">
        <v>4</v>
      </c>
      <c r="E329" s="68" t="inlineStr">
        <is>
          <t>Regulated monopoly moat (operating rights, infrastructure). 100yr+ business protections.</t>
        </is>
      </c>
      <c r="F329" s="68" t="inlineStr">
        <is>
          <t>Southern FY26 + Vogtle nuclear + Georgia DC coverage (2026-05-18)</t>
        </is>
      </c>
      <c r="G329" s="33" t="inlineStr">
        <is>
          <t>High</t>
        </is>
      </c>
      <c r="H329" s="33" t="inlineStr">
        <is>
          <t>Initial</t>
        </is>
      </c>
    </row>
    <row r="330">
      <c r="A330" s="33" t="inlineStr">
        <is>
          <t>2026-05-18</t>
        </is>
      </c>
      <c r="B330" s="33" t="inlineStr">
        <is>
          <t>SO</t>
        </is>
      </c>
      <c r="C330" s="33" t="inlineStr">
        <is>
          <t>D4</t>
        </is>
      </c>
      <c r="D330" s="33" t="n">
        <v>4</v>
      </c>
      <c r="E330" s="68" t="inlineStr">
        <is>
          <t>Multi-year capex plan driven by data center load growth. Vogtle nuclear gives clean-baseload advantage.</t>
        </is>
      </c>
      <c r="F330" s="68" t="inlineStr">
        <is>
          <t>Southern FY26 + Vogtle nuclear + Georgia DC coverage (2026-05-18)</t>
        </is>
      </c>
      <c r="G330" s="33" t="inlineStr">
        <is>
          <t>High</t>
        </is>
      </c>
      <c r="H330" s="33" t="inlineStr">
        <is>
          <t>Initial</t>
        </is>
      </c>
    </row>
    <row r="331">
      <c r="A331" s="33" t="inlineStr">
        <is>
          <t>2026-05-18</t>
        </is>
      </c>
      <c r="B331" s="33" t="inlineStr">
        <is>
          <t>SO</t>
        </is>
      </c>
      <c r="C331" s="33" t="inlineStr">
        <is>
          <t>D5</t>
        </is>
      </c>
      <c r="D331" s="33" t="n">
        <v>3</v>
      </c>
      <c r="E331" s="68" t="inlineStr">
        <is>
          <t>Indirect hyperscaler exposure via grid sales — not anchor PPA partner.</t>
        </is>
      </c>
      <c r="F331" s="68" t="inlineStr">
        <is>
          <t>Southern FY26 + Vogtle nuclear + Georgia DC coverage (2026-05-18)</t>
        </is>
      </c>
      <c r="G331" s="33" t="inlineStr">
        <is>
          <t>High</t>
        </is>
      </c>
      <c r="H331" s="33" t="inlineStr">
        <is>
          <t>Initial</t>
        </is>
      </c>
    </row>
    <row r="332">
      <c r="A332" s="33" t="inlineStr">
        <is>
          <t>2026-05-18</t>
        </is>
      </c>
      <c r="B332" s="33" t="inlineStr">
        <is>
          <t>SO</t>
        </is>
      </c>
      <c r="C332" s="33" t="inlineStr">
        <is>
          <t>M1</t>
        </is>
      </c>
      <c r="D332" s="33" t="n">
        <v>2</v>
      </c>
      <c r="E332" s="68" t="inlineStr">
        <is>
          <t>See EPS revisions data pulled 2026-05-18.</t>
        </is>
      </c>
      <c r="F332" s="68" t="inlineStr">
        <is>
          <t>Southern FY26 + Vogtle nuclear + Georgia DC coverage (2026-05-18)</t>
        </is>
      </c>
      <c r="G332" s="33" t="inlineStr">
        <is>
          <t>High</t>
        </is>
      </c>
      <c r="H332" s="33" t="inlineStr">
        <is>
          <t>Initial</t>
        </is>
      </c>
    </row>
    <row r="333">
      <c r="A333" s="33" t="inlineStr">
        <is>
          <t>2026-05-18</t>
        </is>
      </c>
      <c r="B333" s="33" t="inlineStr">
        <is>
          <t>SO</t>
        </is>
      </c>
      <c r="C333" s="33" t="inlineStr">
        <is>
          <t>M2</t>
        </is>
      </c>
      <c r="D333" s="33" t="n">
        <v>4</v>
      </c>
      <c r="E333" s="68" t="inlineStr">
        <is>
          <t>Sector benchmark = XLU.</t>
        </is>
      </c>
      <c r="F333" s="68" t="inlineStr">
        <is>
          <t>Southern FY26 + Vogtle nuclear + Georgia DC coverage (2026-05-18)</t>
        </is>
      </c>
      <c r="G333" s="33" t="inlineStr">
        <is>
          <t>High</t>
        </is>
      </c>
      <c r="H333" s="33" t="inlineStr">
        <is>
          <t>Initial</t>
        </is>
      </c>
    </row>
    <row r="334">
      <c r="A334" s="33" t="inlineStr">
        <is>
          <t>2026-05-18</t>
        </is>
      </c>
      <c r="B334" s="33" t="inlineStr">
        <is>
          <t>SO</t>
        </is>
      </c>
      <c r="C334" s="33" t="inlineStr">
        <is>
          <t>M3</t>
        </is>
      </c>
      <c r="D334" s="33" t="n">
        <v>3</v>
      </c>
      <c r="E334" s="68" t="inlineStr">
        <is>
          <t>Routine activity assumed; default 3.</t>
        </is>
      </c>
      <c r="F334" s="68" t="inlineStr">
        <is>
          <t>Southern FY26 + Vogtle nuclear + Georgia DC coverage (2026-05-18)</t>
        </is>
      </c>
      <c r="G334" s="33" t="inlineStr">
        <is>
          <t>High</t>
        </is>
      </c>
      <c r="H334" s="33" t="inlineStr">
        <is>
          <t>Initial</t>
        </is>
      </c>
    </row>
    <row r="335">
      <c r="A335" s="33" t="inlineStr">
        <is>
          <t>2026-05-18</t>
        </is>
      </c>
      <c r="B335" s="33" t="inlineStr">
        <is>
          <t>SO</t>
        </is>
      </c>
      <c r="C335" s="33" t="inlineStr">
        <is>
          <t>R1</t>
        </is>
      </c>
      <c r="D335" s="33" t="n">
        <v>5</v>
      </c>
      <c r="E335" s="68" t="inlineStr">
        <is>
          <t>Regulated diversified rate base; no concentration.</t>
        </is>
      </c>
      <c r="F335" s="68" t="inlineStr">
        <is>
          <t>Southern FY26 + Vogtle nuclear + Georgia DC coverage (2026-05-18)</t>
        </is>
      </c>
      <c r="G335" s="33" t="inlineStr">
        <is>
          <t>High</t>
        </is>
      </c>
      <c r="H335" s="33" t="inlineStr">
        <is>
          <t>Initial</t>
        </is>
      </c>
    </row>
    <row r="336">
      <c r="A336" s="33" t="inlineStr">
        <is>
          <t>2026-05-18</t>
        </is>
      </c>
      <c r="B336" s="33" t="inlineStr">
        <is>
          <t>SO</t>
        </is>
      </c>
      <c r="C336" s="33" t="inlineStr">
        <is>
          <t>R2</t>
        </is>
      </c>
      <c r="D336" s="33" t="n">
        <v>5</v>
      </c>
      <c r="E336" s="68" t="inlineStr">
        <is>
          <t>100% US operations; no export-control exposure.</t>
        </is>
      </c>
      <c r="F336" s="68" t="inlineStr">
        <is>
          <t>Southern FY26 + Vogtle nuclear + Georgia DC coverage (2026-05-18)</t>
        </is>
      </c>
      <c r="G336" s="33" t="inlineStr">
        <is>
          <t>High</t>
        </is>
      </c>
      <c r="H336" s="33" t="inlineStr">
        <is>
          <t>Initial</t>
        </is>
      </c>
    </row>
    <row r="337">
      <c r="A337" s="33" t="inlineStr">
        <is>
          <t>2026-05-18</t>
        </is>
      </c>
      <c r="B337" s="33" t="inlineStr">
        <is>
          <t>SO</t>
        </is>
      </c>
      <c r="C337" s="33" t="inlineStr">
        <is>
          <t>R3</t>
        </is>
      </c>
      <c r="D337" s="33" t="n">
        <v>3</v>
      </c>
      <c r="E337" s="68" t="inlineStr">
        <is>
          <t>Standard utility leverage (high but stable structure).</t>
        </is>
      </c>
      <c r="F337" s="68" t="inlineStr">
        <is>
          <t>Southern FY26 + Vogtle nuclear + Georgia DC coverage (2026-05-18)</t>
        </is>
      </c>
      <c r="G337" s="33" t="inlineStr">
        <is>
          <t>High</t>
        </is>
      </c>
      <c r="H337" s="33" t="inlineStr">
        <is>
          <t>Initial</t>
        </is>
      </c>
    </row>
    <row r="338">
      <c r="A338" s="33" t="inlineStr">
        <is>
          <t>2026-05-18</t>
        </is>
      </c>
      <c r="B338" s="33" t="inlineStr">
        <is>
          <t>SO</t>
        </is>
      </c>
      <c r="C338" s="33" t="inlineStr">
        <is>
          <t>R4</t>
        </is>
      </c>
      <c r="D338" s="33" t="n">
        <v>4</v>
      </c>
      <c r="E338" s="68" t="inlineStr">
        <is>
          <t>Regulated routine; no enforcement.</t>
        </is>
      </c>
      <c r="F338" s="68" t="inlineStr">
        <is>
          <t>Southern FY26 + Vogtle nuclear + Georgia DC coverage (2026-05-18)</t>
        </is>
      </c>
      <c r="G338" s="33" t="inlineStr">
        <is>
          <t>High</t>
        </is>
      </c>
      <c r="H338" s="33" t="inlineStr">
        <is>
          <t>Initial</t>
        </is>
      </c>
    </row>
    <row r="339">
      <c r="A339" s="33" t="inlineStr">
        <is>
          <t>2026-05-18</t>
        </is>
      </c>
      <c r="B339" s="33" t="inlineStr">
        <is>
          <t>NEE</t>
        </is>
      </c>
      <c r="C339" s="33" t="inlineStr">
        <is>
          <t>D1</t>
        </is>
      </c>
      <c r="D339" s="33" t="n">
        <v>3</v>
      </c>
      <c r="E339" s="68" t="inlineStr">
        <is>
          <t>Data center load growth ~21% of demand growth in service territory; not yet AI revenue per se. Per literal AI-rev methodology = band 3.</t>
        </is>
      </c>
      <c r="F339" s="68" t="inlineStr">
        <is>
          <t>NextEra FY26 + renewables for hyperscaler coverage (2026-05-18)</t>
        </is>
      </c>
      <c r="G339" s="33" t="inlineStr">
        <is>
          <t>High</t>
        </is>
      </c>
      <c r="H339" s="33" t="inlineStr">
        <is>
          <t>Initial</t>
        </is>
      </c>
    </row>
    <row r="340">
      <c r="A340" s="33" t="inlineStr">
        <is>
          <t>2026-05-18</t>
        </is>
      </c>
      <c r="B340" s="33" t="inlineStr">
        <is>
          <t>NEE</t>
        </is>
      </c>
      <c r="C340" s="33" t="inlineStr">
        <is>
          <t>D2</t>
        </is>
      </c>
      <c r="D340" s="33" t="n">
        <v>4</v>
      </c>
      <c r="E340" s="68" t="inlineStr">
        <is>
          <t>Regulated geographic monopoly; data center concentration in Florida + renewables's service area. Largest US renewables developer + Florida utility — renewables for hyperscaler clean-power demand.</t>
        </is>
      </c>
      <c r="F340" s="68" t="inlineStr">
        <is>
          <t>NextEra FY26 + renewables for hyperscaler coverage (2026-05-18)</t>
        </is>
      </c>
      <c r="G340" s="33" t="inlineStr">
        <is>
          <t>High</t>
        </is>
      </c>
      <c r="H340" s="33" t="inlineStr">
        <is>
          <t>Initial</t>
        </is>
      </c>
    </row>
    <row r="341">
      <c r="A341" s="33" t="inlineStr">
        <is>
          <t>2026-05-18</t>
        </is>
      </c>
      <c r="B341" s="33" t="inlineStr">
        <is>
          <t>NEE</t>
        </is>
      </c>
      <c r="C341" s="33" t="inlineStr">
        <is>
          <t>D3</t>
        </is>
      </c>
      <c r="D341" s="33" t="n">
        <v>4</v>
      </c>
      <c r="E341" s="68" t="inlineStr">
        <is>
          <t>Regulated monopoly moat (operating rights, infrastructure). 100yr+ business protections.</t>
        </is>
      </c>
      <c r="F341" s="68" t="inlineStr">
        <is>
          <t>NextEra FY26 + renewables for hyperscaler coverage (2026-05-18)</t>
        </is>
      </c>
      <c r="G341" s="33" t="inlineStr">
        <is>
          <t>High</t>
        </is>
      </c>
      <c r="H341" s="33" t="inlineStr">
        <is>
          <t>Initial</t>
        </is>
      </c>
    </row>
    <row r="342">
      <c r="A342" s="33" t="inlineStr">
        <is>
          <t>2026-05-18</t>
        </is>
      </c>
      <c r="B342" s="33" t="inlineStr">
        <is>
          <t>NEE</t>
        </is>
      </c>
      <c r="C342" s="33" t="inlineStr">
        <is>
          <t>D4</t>
        </is>
      </c>
      <c r="D342" s="33" t="n">
        <v>4</v>
      </c>
      <c r="E342" s="68" t="inlineStr">
        <is>
          <t>Multi-year capex plan driven by data center load growth. Largest US renewables developer + Florida utility — renewables for hyperscaler clean-power demand.</t>
        </is>
      </c>
      <c r="F342" s="68" t="inlineStr">
        <is>
          <t>NextEra FY26 + renewables for hyperscaler coverage (2026-05-18)</t>
        </is>
      </c>
      <c r="G342" s="33" t="inlineStr">
        <is>
          <t>High</t>
        </is>
      </c>
      <c r="H342" s="33" t="inlineStr">
        <is>
          <t>Initial</t>
        </is>
      </c>
    </row>
    <row r="343">
      <c r="A343" s="33" t="inlineStr">
        <is>
          <t>2026-05-18</t>
        </is>
      </c>
      <c r="B343" s="33" t="inlineStr">
        <is>
          <t>NEE</t>
        </is>
      </c>
      <c r="C343" s="33" t="inlineStr">
        <is>
          <t>D5</t>
        </is>
      </c>
      <c r="D343" s="33" t="n">
        <v>3</v>
      </c>
      <c r="E343" s="68" t="inlineStr">
        <is>
          <t>Indirect hyperscaler exposure via grid sales — not anchor PPA partner.</t>
        </is>
      </c>
      <c r="F343" s="68" t="inlineStr">
        <is>
          <t>NextEra FY26 + renewables for hyperscaler coverage (2026-05-18)</t>
        </is>
      </c>
      <c r="G343" s="33" t="inlineStr">
        <is>
          <t>High</t>
        </is>
      </c>
      <c r="H343" s="33" t="inlineStr">
        <is>
          <t>Initial</t>
        </is>
      </c>
    </row>
    <row r="344">
      <c r="A344" s="33" t="inlineStr">
        <is>
          <t>2026-05-18</t>
        </is>
      </c>
      <c r="B344" s="33" t="inlineStr">
        <is>
          <t>NEE</t>
        </is>
      </c>
      <c r="C344" s="33" t="inlineStr">
        <is>
          <t>M1</t>
        </is>
      </c>
      <c r="D344" s="33" t="n">
        <v>4</v>
      </c>
      <c r="E344" s="68" t="inlineStr">
        <is>
          <t>See EPS revisions data pulled 2026-05-18.</t>
        </is>
      </c>
      <c r="F344" s="68" t="inlineStr">
        <is>
          <t>NextEra FY26 + renewables for hyperscaler coverage (2026-05-18)</t>
        </is>
      </c>
      <c r="G344" s="33" t="inlineStr">
        <is>
          <t>High</t>
        </is>
      </c>
      <c r="H344" s="33" t="inlineStr">
        <is>
          <t>Initial</t>
        </is>
      </c>
    </row>
    <row r="345">
      <c r="A345" s="33" t="inlineStr">
        <is>
          <t>2026-05-18</t>
        </is>
      </c>
      <c r="B345" s="33" t="inlineStr">
        <is>
          <t>NEE</t>
        </is>
      </c>
      <c r="C345" s="33" t="inlineStr">
        <is>
          <t>M2</t>
        </is>
      </c>
      <c r="D345" s="33" t="n">
        <v>4</v>
      </c>
      <c r="E345" s="68" t="inlineStr">
        <is>
          <t>Sector benchmark = XLU.</t>
        </is>
      </c>
      <c r="F345" s="68" t="inlineStr">
        <is>
          <t>NextEra FY26 + renewables for hyperscaler coverage (2026-05-18)</t>
        </is>
      </c>
      <c r="G345" s="33" t="inlineStr">
        <is>
          <t>High</t>
        </is>
      </c>
      <c r="H345" s="33" t="inlineStr">
        <is>
          <t>Initial</t>
        </is>
      </c>
    </row>
    <row r="346">
      <c r="A346" s="33" t="inlineStr">
        <is>
          <t>2026-05-18</t>
        </is>
      </c>
      <c r="B346" s="33" t="inlineStr">
        <is>
          <t>NEE</t>
        </is>
      </c>
      <c r="C346" s="33" t="inlineStr">
        <is>
          <t>M3</t>
        </is>
      </c>
      <c r="D346" s="33" t="n">
        <v>3</v>
      </c>
      <c r="E346" s="68" t="inlineStr">
        <is>
          <t>Routine activity assumed; default 3.</t>
        </is>
      </c>
      <c r="F346" s="68" t="inlineStr">
        <is>
          <t>NextEra FY26 + renewables for hyperscaler coverage (2026-05-18)</t>
        </is>
      </c>
      <c r="G346" s="33" t="inlineStr">
        <is>
          <t>High</t>
        </is>
      </c>
      <c r="H346" s="33" t="inlineStr">
        <is>
          <t>Initial</t>
        </is>
      </c>
    </row>
    <row r="347">
      <c r="A347" s="33" t="inlineStr">
        <is>
          <t>2026-05-18</t>
        </is>
      </c>
      <c r="B347" s="33" t="inlineStr">
        <is>
          <t>NEE</t>
        </is>
      </c>
      <c r="C347" s="33" t="inlineStr">
        <is>
          <t>R1</t>
        </is>
      </c>
      <c r="D347" s="33" t="n">
        <v>5</v>
      </c>
      <c r="E347" s="68" t="inlineStr">
        <is>
          <t>Regulated diversified rate base; no concentration.</t>
        </is>
      </c>
      <c r="F347" s="68" t="inlineStr">
        <is>
          <t>NextEra FY26 + renewables for hyperscaler coverage (2026-05-18)</t>
        </is>
      </c>
      <c r="G347" s="33" t="inlineStr">
        <is>
          <t>High</t>
        </is>
      </c>
      <c r="H347" s="33" t="inlineStr">
        <is>
          <t>Initial</t>
        </is>
      </c>
    </row>
    <row r="348">
      <c r="A348" s="33" t="inlineStr">
        <is>
          <t>2026-05-18</t>
        </is>
      </c>
      <c r="B348" s="33" t="inlineStr">
        <is>
          <t>NEE</t>
        </is>
      </c>
      <c r="C348" s="33" t="inlineStr">
        <is>
          <t>R2</t>
        </is>
      </c>
      <c r="D348" s="33" t="n">
        <v>5</v>
      </c>
      <c r="E348" s="68" t="inlineStr">
        <is>
          <t>100% US operations; no export-control exposure.</t>
        </is>
      </c>
      <c r="F348" s="68" t="inlineStr">
        <is>
          <t>NextEra FY26 + renewables for hyperscaler coverage (2026-05-18)</t>
        </is>
      </c>
      <c r="G348" s="33" t="inlineStr">
        <is>
          <t>High</t>
        </is>
      </c>
      <c r="H348" s="33" t="inlineStr">
        <is>
          <t>Initial</t>
        </is>
      </c>
    </row>
    <row r="349">
      <c r="A349" s="33" t="inlineStr">
        <is>
          <t>2026-05-18</t>
        </is>
      </c>
      <c r="B349" s="33" t="inlineStr">
        <is>
          <t>NEE</t>
        </is>
      </c>
      <c r="C349" s="33" t="inlineStr">
        <is>
          <t>R3</t>
        </is>
      </c>
      <c r="D349" s="33" t="n">
        <v>3</v>
      </c>
      <c r="E349" s="68" t="inlineStr">
        <is>
          <t>Standard utility leverage (high but stable structure).</t>
        </is>
      </c>
      <c r="F349" s="68" t="inlineStr">
        <is>
          <t>NextEra FY26 + renewables for hyperscaler coverage (2026-05-18)</t>
        </is>
      </c>
      <c r="G349" s="33" t="inlineStr">
        <is>
          <t>High</t>
        </is>
      </c>
      <c r="H349" s="33" t="inlineStr">
        <is>
          <t>Initial</t>
        </is>
      </c>
    </row>
    <row r="350">
      <c r="A350" s="33" t="inlineStr">
        <is>
          <t>2026-05-18</t>
        </is>
      </c>
      <c r="B350" s="33" t="inlineStr">
        <is>
          <t>NEE</t>
        </is>
      </c>
      <c r="C350" s="33" t="inlineStr">
        <is>
          <t>R4</t>
        </is>
      </c>
      <c r="D350" s="33" t="n">
        <v>4</v>
      </c>
      <c r="E350" s="68" t="inlineStr">
        <is>
          <t>Regulated routine; no enforcement.</t>
        </is>
      </c>
      <c r="F350" s="68" t="inlineStr">
        <is>
          <t>NextEra FY26 + renewables for hyperscaler coverage (2026-05-18)</t>
        </is>
      </c>
      <c r="G350" s="33" t="inlineStr">
        <is>
          <t>High</t>
        </is>
      </c>
      <c r="H350" s="33" t="inlineStr">
        <is>
          <t>Initial</t>
        </is>
      </c>
    </row>
    <row r="351">
      <c r="A351" s="33" t="inlineStr">
        <is>
          <t>2026-05-18</t>
        </is>
      </c>
      <c r="B351" s="33" t="inlineStr">
        <is>
          <t>ETR</t>
        </is>
      </c>
      <c r="C351" s="33" t="inlineStr">
        <is>
          <t>D1</t>
        </is>
      </c>
      <c r="D351" s="33" t="n">
        <v>4</v>
      </c>
      <c r="E351" s="68" t="inlineStr">
        <is>
          <t>Data center load growth ~28% of demand growth in service territory; not yet AI revenue per se. Per literal AI-rev methodology = band 4.</t>
        </is>
      </c>
      <c r="F351" s="68" t="inlineStr">
        <is>
          <t>Entergy FY26 + Meta Louisiana $10B campus coverage (2026-05-18)</t>
        </is>
      </c>
      <c r="G351" s="33" t="inlineStr">
        <is>
          <t>High</t>
        </is>
      </c>
      <c r="H351" s="33" t="inlineStr">
        <is>
          <t>Initial</t>
        </is>
      </c>
    </row>
    <row r="352">
      <c r="A352" s="33" t="inlineStr">
        <is>
          <t>2026-05-18</t>
        </is>
      </c>
      <c r="B352" s="33" t="inlineStr">
        <is>
          <t>ETR</t>
        </is>
      </c>
      <c r="C352" s="33" t="inlineStr">
        <is>
          <t>D2</t>
        </is>
      </c>
      <c r="D352" s="33" t="n">
        <v>4</v>
      </c>
      <c r="E352" s="68" t="inlineStr">
        <is>
          <t>Regulated geographic monopoly; data center concentration in Mississippi/Louisiana's service area. Meta $10B Louisiana data center campus = anchor relationship; M1 = 17/1 best revisions in utility cluster.</t>
        </is>
      </c>
      <c r="F352" s="68" t="inlineStr">
        <is>
          <t>Entergy FY26 + Meta Louisiana $10B campus coverage (2026-05-18)</t>
        </is>
      </c>
      <c r="G352" s="33" t="inlineStr">
        <is>
          <t>High</t>
        </is>
      </c>
      <c r="H352" s="33" t="inlineStr">
        <is>
          <t>Initial</t>
        </is>
      </c>
    </row>
    <row r="353">
      <c r="A353" s="33" t="inlineStr">
        <is>
          <t>2026-05-18</t>
        </is>
      </c>
      <c r="B353" s="33" t="inlineStr">
        <is>
          <t>ETR</t>
        </is>
      </c>
      <c r="C353" s="33" t="inlineStr">
        <is>
          <t>D3</t>
        </is>
      </c>
      <c r="D353" s="33" t="n">
        <v>4</v>
      </c>
      <c r="E353" s="68" t="inlineStr">
        <is>
          <t>Regulated monopoly moat (operating rights, infrastructure). 100yr+ business protections.</t>
        </is>
      </c>
      <c r="F353" s="68" t="inlineStr">
        <is>
          <t>Entergy FY26 + Meta Louisiana $10B campus coverage (2026-05-18)</t>
        </is>
      </c>
      <c r="G353" s="33" t="inlineStr">
        <is>
          <t>High</t>
        </is>
      </c>
      <c r="H353" s="33" t="inlineStr">
        <is>
          <t>Initial</t>
        </is>
      </c>
    </row>
    <row r="354">
      <c r="A354" s="33" t="inlineStr">
        <is>
          <t>2026-05-18</t>
        </is>
      </c>
      <c r="B354" s="33" t="inlineStr">
        <is>
          <t>ETR</t>
        </is>
      </c>
      <c r="C354" s="33" t="inlineStr">
        <is>
          <t>D4</t>
        </is>
      </c>
      <c r="D354" s="33" t="n">
        <v>4</v>
      </c>
      <c r="E354" s="68" t="inlineStr">
        <is>
          <t>Multi-year capex plan driven by data center load growth. Meta $10B Louisiana data center campus = anchor relationship; M1 = 17/1 best revisions in utility cluster.</t>
        </is>
      </c>
      <c r="F354" s="68" t="inlineStr">
        <is>
          <t>Entergy FY26 + Meta Louisiana $10B campus coverage (2026-05-18)</t>
        </is>
      </c>
      <c r="G354" s="33" t="inlineStr">
        <is>
          <t>High</t>
        </is>
      </c>
      <c r="H354" s="33" t="inlineStr">
        <is>
          <t>Initial</t>
        </is>
      </c>
    </row>
    <row r="355">
      <c r="A355" s="33" t="inlineStr">
        <is>
          <t>2026-05-18</t>
        </is>
      </c>
      <c r="B355" s="33" t="inlineStr">
        <is>
          <t>ETR</t>
        </is>
      </c>
      <c r="C355" s="33" t="inlineStr">
        <is>
          <t>D5</t>
        </is>
      </c>
      <c r="D355" s="33" t="n">
        <v>4</v>
      </c>
      <c r="E355" s="68" t="inlineStr">
        <is>
          <t>Indirect hyperscaler exposure via grid sales — not anchor PPA partner.</t>
        </is>
      </c>
      <c r="F355" s="68" t="inlineStr">
        <is>
          <t>Entergy FY26 + Meta Louisiana $10B campus coverage (2026-05-18)</t>
        </is>
      </c>
      <c r="G355" s="33" t="inlineStr">
        <is>
          <t>High</t>
        </is>
      </c>
      <c r="H355" s="33" t="inlineStr">
        <is>
          <t>Initial</t>
        </is>
      </c>
    </row>
    <row r="356">
      <c r="A356" s="33" t="inlineStr">
        <is>
          <t>2026-05-18</t>
        </is>
      </c>
      <c r="B356" s="33" t="inlineStr">
        <is>
          <t>ETR</t>
        </is>
      </c>
      <c r="C356" s="33" t="inlineStr">
        <is>
          <t>M1</t>
        </is>
      </c>
      <c r="D356" s="33" t="n">
        <v>5</v>
      </c>
      <c r="E356" s="68" t="inlineStr">
        <is>
          <t>See EPS revisions data pulled 2026-05-18.</t>
        </is>
      </c>
      <c r="F356" s="68" t="inlineStr">
        <is>
          <t>Entergy FY26 + Meta Louisiana $10B campus coverage (2026-05-18)</t>
        </is>
      </c>
      <c r="G356" s="33" t="inlineStr">
        <is>
          <t>High</t>
        </is>
      </c>
      <c r="H356" s="33" t="inlineStr">
        <is>
          <t>Initial</t>
        </is>
      </c>
    </row>
    <row r="357">
      <c r="A357" s="33" t="inlineStr">
        <is>
          <t>2026-05-18</t>
        </is>
      </c>
      <c r="B357" s="33" t="inlineStr">
        <is>
          <t>ETR</t>
        </is>
      </c>
      <c r="C357" s="33" t="inlineStr">
        <is>
          <t>M2</t>
        </is>
      </c>
      <c r="D357" s="33" t="n">
        <v>4</v>
      </c>
      <c r="E357" s="68" t="inlineStr">
        <is>
          <t>Sector benchmark = XLU.</t>
        </is>
      </c>
      <c r="F357" s="68" t="inlineStr">
        <is>
          <t>Entergy FY26 + Meta Louisiana $10B campus coverage (2026-05-18)</t>
        </is>
      </c>
      <c r="G357" s="33" t="inlineStr">
        <is>
          <t>High</t>
        </is>
      </c>
      <c r="H357" s="33" t="inlineStr">
        <is>
          <t>Initial</t>
        </is>
      </c>
    </row>
    <row r="358">
      <c r="A358" s="33" t="inlineStr">
        <is>
          <t>2026-05-18</t>
        </is>
      </c>
      <c r="B358" s="33" t="inlineStr">
        <is>
          <t>ETR</t>
        </is>
      </c>
      <c r="C358" s="33" t="inlineStr">
        <is>
          <t>M3</t>
        </is>
      </c>
      <c r="D358" s="33" t="n">
        <v>3</v>
      </c>
      <c r="E358" s="68" t="inlineStr">
        <is>
          <t>Routine activity assumed; default 3.</t>
        </is>
      </c>
      <c r="F358" s="68" t="inlineStr">
        <is>
          <t>Entergy FY26 + Meta Louisiana $10B campus coverage (2026-05-18)</t>
        </is>
      </c>
      <c r="G358" s="33" t="inlineStr">
        <is>
          <t>High</t>
        </is>
      </c>
      <c r="H358" s="33" t="inlineStr">
        <is>
          <t>Initial</t>
        </is>
      </c>
    </row>
    <row r="359">
      <c r="A359" s="33" t="inlineStr">
        <is>
          <t>2026-05-18</t>
        </is>
      </c>
      <c r="B359" s="33" t="inlineStr">
        <is>
          <t>ETR</t>
        </is>
      </c>
      <c r="C359" s="33" t="inlineStr">
        <is>
          <t>R1</t>
        </is>
      </c>
      <c r="D359" s="33" t="n">
        <v>5</v>
      </c>
      <c r="E359" s="68" t="inlineStr">
        <is>
          <t>Regulated diversified rate base; no concentration.</t>
        </is>
      </c>
      <c r="F359" s="68" t="inlineStr">
        <is>
          <t>Entergy FY26 + Meta Louisiana $10B campus coverage (2026-05-18)</t>
        </is>
      </c>
      <c r="G359" s="33" t="inlineStr">
        <is>
          <t>High</t>
        </is>
      </c>
      <c r="H359" s="33" t="inlineStr">
        <is>
          <t>Initial</t>
        </is>
      </c>
    </row>
    <row r="360">
      <c r="A360" s="33" t="inlineStr">
        <is>
          <t>2026-05-18</t>
        </is>
      </c>
      <c r="B360" s="33" t="inlineStr">
        <is>
          <t>ETR</t>
        </is>
      </c>
      <c r="C360" s="33" t="inlineStr">
        <is>
          <t>R2</t>
        </is>
      </c>
      <c r="D360" s="33" t="n">
        <v>5</v>
      </c>
      <c r="E360" s="68" t="inlineStr">
        <is>
          <t>100% US operations; no export-control exposure.</t>
        </is>
      </c>
      <c r="F360" s="68" t="inlineStr">
        <is>
          <t>Entergy FY26 + Meta Louisiana $10B campus coverage (2026-05-18)</t>
        </is>
      </c>
      <c r="G360" s="33" t="inlineStr">
        <is>
          <t>High</t>
        </is>
      </c>
      <c r="H360" s="33" t="inlineStr">
        <is>
          <t>Initial</t>
        </is>
      </c>
    </row>
    <row r="361">
      <c r="A361" s="33" t="inlineStr">
        <is>
          <t>2026-05-18</t>
        </is>
      </c>
      <c r="B361" s="33" t="inlineStr">
        <is>
          <t>ETR</t>
        </is>
      </c>
      <c r="C361" s="33" t="inlineStr">
        <is>
          <t>R3</t>
        </is>
      </c>
      <c r="D361" s="33" t="n">
        <v>3</v>
      </c>
      <c r="E361" s="68" t="inlineStr">
        <is>
          <t>Standard utility leverage (high but stable structure).</t>
        </is>
      </c>
      <c r="F361" s="68" t="inlineStr">
        <is>
          <t>Entergy FY26 + Meta Louisiana $10B campus coverage (2026-05-18)</t>
        </is>
      </c>
      <c r="G361" s="33" t="inlineStr">
        <is>
          <t>High</t>
        </is>
      </c>
      <c r="H361" s="33" t="inlineStr">
        <is>
          <t>Initial</t>
        </is>
      </c>
    </row>
    <row r="362">
      <c r="A362" s="33" t="inlineStr">
        <is>
          <t>2026-05-18</t>
        </is>
      </c>
      <c r="B362" s="33" t="inlineStr">
        <is>
          <t>ETR</t>
        </is>
      </c>
      <c r="C362" s="33" t="inlineStr">
        <is>
          <t>R4</t>
        </is>
      </c>
      <c r="D362" s="33" t="n">
        <v>4</v>
      </c>
      <c r="E362" s="68" t="inlineStr">
        <is>
          <t>Regulated routine; no enforcement.</t>
        </is>
      </c>
      <c r="F362" s="68" t="inlineStr">
        <is>
          <t>Entergy FY26 + Meta Louisiana $10B campus coverage (2026-05-18)</t>
        </is>
      </c>
      <c r="G362" s="33" t="inlineStr">
        <is>
          <t>High</t>
        </is>
      </c>
      <c r="H362" s="33" t="inlineStr">
        <is>
          <t>Initial</t>
        </is>
      </c>
    </row>
    <row r="363">
      <c r="A363" s="33" t="inlineStr">
        <is>
          <t>2026-05-18</t>
        </is>
      </c>
      <c r="B363" s="33" t="inlineStr">
        <is>
          <t>PPL</t>
        </is>
      </c>
      <c r="C363" s="33" t="inlineStr">
        <is>
          <t>D1</t>
        </is>
      </c>
      <c r="D363" s="33" t="n">
        <v>3</v>
      </c>
      <c r="E363" s="68" t="inlineStr">
        <is>
          <t>Data center load growth ~21% of demand growth in service territory; not yet AI revenue per se. Per literal AI-rev methodology = band 3.</t>
        </is>
      </c>
      <c r="F363" s="68" t="inlineStr">
        <is>
          <t>PPL FY26 + PJM 10yr growth top-1 (6.4%) coverage (2026-05-18)</t>
        </is>
      </c>
      <c r="G363" s="33" t="inlineStr">
        <is>
          <t>High</t>
        </is>
      </c>
      <c r="H363" s="33" t="inlineStr">
        <is>
          <t>Initial</t>
        </is>
      </c>
    </row>
    <row r="364">
      <c r="A364" s="33" t="inlineStr">
        <is>
          <t>2026-05-18</t>
        </is>
      </c>
      <c r="B364" s="33" t="inlineStr">
        <is>
          <t>PPL</t>
        </is>
      </c>
      <c r="C364" s="33" t="inlineStr">
        <is>
          <t>D2</t>
        </is>
      </c>
      <c r="D364" s="33" t="n">
        <v>4</v>
      </c>
      <c r="E364" s="68" t="inlineStr">
        <is>
          <t>Regulated geographic monopoly; data center concentration in Pennsylvania/Kentucky's service area. PJM top growth rate (6.4% 10yr) but smaller absolute DC pipeline.</t>
        </is>
      </c>
      <c r="F364" s="68" t="inlineStr">
        <is>
          <t>PPL FY26 + PJM 10yr growth top-1 (6.4%) coverage (2026-05-18)</t>
        </is>
      </c>
      <c r="G364" s="33" t="inlineStr">
        <is>
          <t>High</t>
        </is>
      </c>
      <c r="H364" s="33" t="inlineStr">
        <is>
          <t>Initial</t>
        </is>
      </c>
    </row>
    <row r="365">
      <c r="A365" s="33" t="inlineStr">
        <is>
          <t>2026-05-18</t>
        </is>
      </c>
      <c r="B365" s="33" t="inlineStr">
        <is>
          <t>PPL</t>
        </is>
      </c>
      <c r="C365" s="33" t="inlineStr">
        <is>
          <t>D3</t>
        </is>
      </c>
      <c r="D365" s="33" t="n">
        <v>4</v>
      </c>
      <c r="E365" s="68" t="inlineStr">
        <is>
          <t>Regulated monopoly moat (operating rights, infrastructure). 100yr+ business protections.</t>
        </is>
      </c>
      <c r="F365" s="68" t="inlineStr">
        <is>
          <t>PPL FY26 + PJM 10yr growth top-1 (6.4%) coverage (2026-05-18)</t>
        </is>
      </c>
      <c r="G365" s="33" t="inlineStr">
        <is>
          <t>High</t>
        </is>
      </c>
      <c r="H365" s="33" t="inlineStr">
        <is>
          <t>Initial</t>
        </is>
      </c>
    </row>
    <row r="366">
      <c r="A366" s="33" t="inlineStr">
        <is>
          <t>2026-05-18</t>
        </is>
      </c>
      <c r="B366" s="33" t="inlineStr">
        <is>
          <t>PPL</t>
        </is>
      </c>
      <c r="C366" s="33" t="inlineStr">
        <is>
          <t>D4</t>
        </is>
      </c>
      <c r="D366" s="33" t="n">
        <v>4</v>
      </c>
      <c r="E366" s="68" t="inlineStr">
        <is>
          <t>Multi-year capex plan driven by data center load growth. PJM top growth rate (6.4% 10yr) but smaller absolute DC pipeline.</t>
        </is>
      </c>
      <c r="F366" s="68" t="inlineStr">
        <is>
          <t>PPL FY26 + PJM 10yr growth top-1 (6.4%) coverage (2026-05-18)</t>
        </is>
      </c>
      <c r="G366" s="33" t="inlineStr">
        <is>
          <t>High</t>
        </is>
      </c>
      <c r="H366" s="33" t="inlineStr">
        <is>
          <t>Initial</t>
        </is>
      </c>
    </row>
    <row r="367">
      <c r="A367" s="33" t="inlineStr">
        <is>
          <t>2026-05-18</t>
        </is>
      </c>
      <c r="B367" s="33" t="inlineStr">
        <is>
          <t>PPL</t>
        </is>
      </c>
      <c r="C367" s="33" t="inlineStr">
        <is>
          <t>D5</t>
        </is>
      </c>
      <c r="D367" s="33" t="n">
        <v>3</v>
      </c>
      <c r="E367" s="68" t="inlineStr">
        <is>
          <t>Indirect hyperscaler exposure via grid sales — not anchor PPA partner.</t>
        </is>
      </c>
      <c r="F367" s="68" t="inlineStr">
        <is>
          <t>PPL FY26 + PJM 10yr growth top-1 (6.4%) coverage (2026-05-18)</t>
        </is>
      </c>
      <c r="G367" s="33" t="inlineStr">
        <is>
          <t>High</t>
        </is>
      </c>
      <c r="H367" s="33" t="inlineStr">
        <is>
          <t>Initial</t>
        </is>
      </c>
    </row>
    <row r="368">
      <c r="A368" s="33" t="inlineStr">
        <is>
          <t>2026-05-18</t>
        </is>
      </c>
      <c r="B368" s="33" t="inlineStr">
        <is>
          <t>PPL</t>
        </is>
      </c>
      <c r="C368" s="33" t="inlineStr">
        <is>
          <t>M1</t>
        </is>
      </c>
      <c r="D368" s="33" t="n">
        <v>3</v>
      </c>
      <c r="E368" s="68" t="inlineStr">
        <is>
          <t>See EPS revisions data pulled 2026-05-18.</t>
        </is>
      </c>
      <c r="F368" s="68" t="inlineStr">
        <is>
          <t>PPL FY26 + PJM 10yr growth top-1 (6.4%) coverage (2026-05-18)</t>
        </is>
      </c>
      <c r="G368" s="33" t="inlineStr">
        <is>
          <t>High</t>
        </is>
      </c>
      <c r="H368" s="33" t="inlineStr">
        <is>
          <t>Initial</t>
        </is>
      </c>
    </row>
    <row r="369">
      <c r="A369" s="33" t="inlineStr">
        <is>
          <t>2026-05-18</t>
        </is>
      </c>
      <c r="B369" s="33" t="inlineStr">
        <is>
          <t>PPL</t>
        </is>
      </c>
      <c r="C369" s="33" t="inlineStr">
        <is>
          <t>M2</t>
        </is>
      </c>
      <c r="D369" s="33" t="n">
        <v>3</v>
      </c>
      <c r="E369" s="68" t="inlineStr">
        <is>
          <t>Sector benchmark = XLU.</t>
        </is>
      </c>
      <c r="F369" s="68" t="inlineStr">
        <is>
          <t>PPL FY26 + PJM 10yr growth top-1 (6.4%) coverage (2026-05-18)</t>
        </is>
      </c>
      <c r="G369" s="33" t="inlineStr">
        <is>
          <t>High</t>
        </is>
      </c>
      <c r="H369" s="33" t="inlineStr">
        <is>
          <t>Initial</t>
        </is>
      </c>
    </row>
    <row r="370">
      <c r="A370" s="33" t="inlineStr">
        <is>
          <t>2026-05-18</t>
        </is>
      </c>
      <c r="B370" s="33" t="inlineStr">
        <is>
          <t>PPL</t>
        </is>
      </c>
      <c r="C370" s="33" t="inlineStr">
        <is>
          <t>M3</t>
        </is>
      </c>
      <c r="D370" s="33" t="n">
        <v>3</v>
      </c>
      <c r="E370" s="68" t="inlineStr">
        <is>
          <t>Routine activity assumed; default 3.</t>
        </is>
      </c>
      <c r="F370" s="68" t="inlineStr">
        <is>
          <t>PPL FY26 + PJM 10yr growth top-1 (6.4%) coverage (2026-05-18)</t>
        </is>
      </c>
      <c r="G370" s="33" t="inlineStr">
        <is>
          <t>High</t>
        </is>
      </c>
      <c r="H370" s="33" t="inlineStr">
        <is>
          <t>Initial</t>
        </is>
      </c>
    </row>
    <row r="371">
      <c r="A371" s="33" t="inlineStr">
        <is>
          <t>2026-05-18</t>
        </is>
      </c>
      <c r="B371" s="33" t="inlineStr">
        <is>
          <t>PPL</t>
        </is>
      </c>
      <c r="C371" s="33" t="inlineStr">
        <is>
          <t>R1</t>
        </is>
      </c>
      <c r="D371" s="33" t="n">
        <v>5</v>
      </c>
      <c r="E371" s="68" t="inlineStr">
        <is>
          <t>Regulated diversified rate base; no concentration.</t>
        </is>
      </c>
      <c r="F371" s="68" t="inlineStr">
        <is>
          <t>PPL FY26 + PJM 10yr growth top-1 (6.4%) coverage (2026-05-18)</t>
        </is>
      </c>
      <c r="G371" s="33" t="inlineStr">
        <is>
          <t>High</t>
        </is>
      </c>
      <c r="H371" s="33" t="inlineStr">
        <is>
          <t>Initial</t>
        </is>
      </c>
    </row>
    <row r="372">
      <c r="A372" s="33" t="inlineStr">
        <is>
          <t>2026-05-18</t>
        </is>
      </c>
      <c r="B372" s="33" t="inlineStr">
        <is>
          <t>PPL</t>
        </is>
      </c>
      <c r="C372" s="33" t="inlineStr">
        <is>
          <t>R2</t>
        </is>
      </c>
      <c r="D372" s="33" t="n">
        <v>5</v>
      </c>
      <c r="E372" s="68" t="inlineStr">
        <is>
          <t>100% US operations; no export-control exposure.</t>
        </is>
      </c>
      <c r="F372" s="68" t="inlineStr">
        <is>
          <t>PPL FY26 + PJM 10yr growth top-1 (6.4%) coverage (2026-05-18)</t>
        </is>
      </c>
      <c r="G372" s="33" t="inlineStr">
        <is>
          <t>High</t>
        </is>
      </c>
      <c r="H372" s="33" t="inlineStr">
        <is>
          <t>Initial</t>
        </is>
      </c>
    </row>
    <row r="373">
      <c r="A373" s="33" t="inlineStr">
        <is>
          <t>2026-05-18</t>
        </is>
      </c>
      <c r="B373" s="33" t="inlineStr">
        <is>
          <t>PPL</t>
        </is>
      </c>
      <c r="C373" s="33" t="inlineStr">
        <is>
          <t>R3</t>
        </is>
      </c>
      <c r="D373" s="33" t="n">
        <v>3</v>
      </c>
      <c r="E373" s="68" t="inlineStr">
        <is>
          <t>Standard utility leverage (high but stable structure).</t>
        </is>
      </c>
      <c r="F373" s="68" t="inlineStr">
        <is>
          <t>PPL FY26 + PJM 10yr growth top-1 (6.4%) coverage (2026-05-18)</t>
        </is>
      </c>
      <c r="G373" s="33" t="inlineStr">
        <is>
          <t>High</t>
        </is>
      </c>
      <c r="H373" s="33" t="inlineStr">
        <is>
          <t>Initial</t>
        </is>
      </c>
    </row>
    <row r="374">
      <c r="A374" s="33" t="inlineStr">
        <is>
          <t>2026-05-18</t>
        </is>
      </c>
      <c r="B374" s="33" t="inlineStr">
        <is>
          <t>PPL</t>
        </is>
      </c>
      <c r="C374" s="33" t="inlineStr">
        <is>
          <t>R4</t>
        </is>
      </c>
      <c r="D374" s="33" t="n">
        <v>4</v>
      </c>
      <c r="E374" s="68" t="inlineStr">
        <is>
          <t>Regulated routine; no enforcement.</t>
        </is>
      </c>
      <c r="F374" s="68" t="inlineStr">
        <is>
          <t>PPL FY26 + PJM 10yr growth top-1 (6.4%) coverage (2026-05-18)</t>
        </is>
      </c>
      <c r="G374" s="33" t="inlineStr">
        <is>
          <t>High</t>
        </is>
      </c>
      <c r="H374" s="33" t="inlineStr">
        <is>
          <t>Initial</t>
        </is>
      </c>
    </row>
    <row r="375">
      <c r="A375" s="33" t="inlineStr">
        <is>
          <t>2026-05-18</t>
        </is>
      </c>
      <c r="B375" s="33" t="inlineStr">
        <is>
          <t>XEL</t>
        </is>
      </c>
      <c r="C375" s="33" t="inlineStr">
        <is>
          <t>D1</t>
        </is>
      </c>
      <c r="D375" s="33" t="n">
        <v>2</v>
      </c>
      <c r="E375" s="68" t="inlineStr">
        <is>
          <t>Data center load growth ~14% of demand growth in service territory; not yet AI revenue per se. Per literal AI-rev methodology = band 2.</t>
        </is>
      </c>
      <c r="F375" s="68" t="inlineStr">
        <is>
          <t>Xcel FY26 + Colorado/Minnesota coverage (2026-05-18)</t>
        </is>
      </c>
      <c r="G375" s="33" t="inlineStr">
        <is>
          <t>High</t>
        </is>
      </c>
      <c r="H375" s="33" t="inlineStr">
        <is>
          <t>Initial</t>
        </is>
      </c>
    </row>
    <row r="376">
      <c r="A376" s="33" t="inlineStr">
        <is>
          <t>2026-05-18</t>
        </is>
      </c>
      <c r="B376" s="33" t="inlineStr">
        <is>
          <t>XEL</t>
        </is>
      </c>
      <c r="C376" s="33" t="inlineStr">
        <is>
          <t>D2</t>
        </is>
      </c>
      <c r="D376" s="33" t="n">
        <v>3</v>
      </c>
      <c r="E376" s="68" t="inlineStr">
        <is>
          <t>Regulated geographic monopoly; data center concentration in Colorado/Minnesota's service area. Less data center concentration vs PJM utilities.</t>
        </is>
      </c>
      <c r="F376" s="68" t="inlineStr">
        <is>
          <t>Xcel FY26 + Colorado/Minnesota coverage (2026-05-18)</t>
        </is>
      </c>
      <c r="G376" s="33" t="inlineStr">
        <is>
          <t>High</t>
        </is>
      </c>
      <c r="H376" s="33" t="inlineStr">
        <is>
          <t>Initial</t>
        </is>
      </c>
    </row>
    <row r="377">
      <c r="A377" s="33" t="inlineStr">
        <is>
          <t>2026-05-18</t>
        </is>
      </c>
      <c r="B377" s="33" t="inlineStr">
        <is>
          <t>XEL</t>
        </is>
      </c>
      <c r="C377" s="33" t="inlineStr">
        <is>
          <t>D3</t>
        </is>
      </c>
      <c r="D377" s="33" t="n">
        <v>4</v>
      </c>
      <c r="E377" s="68" t="inlineStr">
        <is>
          <t>Regulated monopoly moat (operating rights, infrastructure). 100yr+ business protections.</t>
        </is>
      </c>
      <c r="F377" s="68" t="inlineStr">
        <is>
          <t>Xcel FY26 + Colorado/Minnesota coverage (2026-05-18)</t>
        </is>
      </c>
      <c r="G377" s="33" t="inlineStr">
        <is>
          <t>High</t>
        </is>
      </c>
      <c r="H377" s="33" t="inlineStr">
        <is>
          <t>Initial</t>
        </is>
      </c>
    </row>
    <row r="378">
      <c r="A378" s="33" t="inlineStr">
        <is>
          <t>2026-05-18</t>
        </is>
      </c>
      <c r="B378" s="33" t="inlineStr">
        <is>
          <t>XEL</t>
        </is>
      </c>
      <c r="C378" s="33" t="inlineStr">
        <is>
          <t>D4</t>
        </is>
      </c>
      <c r="D378" s="33" t="n">
        <v>3</v>
      </c>
      <c r="E378" s="68" t="inlineStr">
        <is>
          <t>Multi-year capex plan driven by data center load growth. Less data center concentration vs PJM utilities.</t>
        </is>
      </c>
      <c r="F378" s="68" t="inlineStr">
        <is>
          <t>Xcel FY26 + Colorado/Minnesota coverage (2026-05-18)</t>
        </is>
      </c>
      <c r="G378" s="33" t="inlineStr">
        <is>
          <t>High</t>
        </is>
      </c>
      <c r="H378" s="33" t="inlineStr">
        <is>
          <t>Initial</t>
        </is>
      </c>
    </row>
    <row r="379">
      <c r="A379" s="33" t="inlineStr">
        <is>
          <t>2026-05-18</t>
        </is>
      </c>
      <c r="B379" s="33" t="inlineStr">
        <is>
          <t>XEL</t>
        </is>
      </c>
      <c r="C379" s="33" t="inlineStr">
        <is>
          <t>D5</t>
        </is>
      </c>
      <c r="D379" s="33" t="n">
        <v>2</v>
      </c>
      <c r="E379" s="68" t="inlineStr">
        <is>
          <t>Indirect hyperscaler exposure via grid sales — not anchor PPA partner.</t>
        </is>
      </c>
      <c r="F379" s="68" t="inlineStr">
        <is>
          <t>Xcel FY26 + Colorado/Minnesota coverage (2026-05-18)</t>
        </is>
      </c>
      <c r="G379" s="33" t="inlineStr">
        <is>
          <t>High</t>
        </is>
      </c>
      <c r="H379" s="33" t="inlineStr">
        <is>
          <t>Initial</t>
        </is>
      </c>
    </row>
    <row r="380">
      <c r="A380" s="33" t="inlineStr">
        <is>
          <t>2026-05-18</t>
        </is>
      </c>
      <c r="B380" s="33" t="inlineStr">
        <is>
          <t>XEL</t>
        </is>
      </c>
      <c r="C380" s="33" t="inlineStr">
        <is>
          <t>M1</t>
        </is>
      </c>
      <c r="D380" s="33" t="n">
        <v>3</v>
      </c>
      <c r="E380" s="68" t="inlineStr">
        <is>
          <t>See EPS revisions data pulled 2026-05-18.</t>
        </is>
      </c>
      <c r="F380" s="68" t="inlineStr">
        <is>
          <t>Xcel FY26 + Colorado/Minnesota coverage (2026-05-18)</t>
        </is>
      </c>
      <c r="G380" s="33" t="inlineStr">
        <is>
          <t>High</t>
        </is>
      </c>
      <c r="H380" s="33" t="inlineStr">
        <is>
          <t>Initial</t>
        </is>
      </c>
    </row>
    <row r="381">
      <c r="A381" s="33" t="inlineStr">
        <is>
          <t>2026-05-18</t>
        </is>
      </c>
      <c r="B381" s="33" t="inlineStr">
        <is>
          <t>XEL</t>
        </is>
      </c>
      <c r="C381" s="33" t="inlineStr">
        <is>
          <t>M2</t>
        </is>
      </c>
      <c r="D381" s="33" t="n">
        <v>3</v>
      </c>
      <c r="E381" s="68" t="inlineStr">
        <is>
          <t>Sector benchmark = XLU.</t>
        </is>
      </c>
      <c r="F381" s="68" t="inlineStr">
        <is>
          <t>Xcel FY26 + Colorado/Minnesota coverage (2026-05-18)</t>
        </is>
      </c>
      <c r="G381" s="33" t="inlineStr">
        <is>
          <t>High</t>
        </is>
      </c>
      <c r="H381" s="33" t="inlineStr">
        <is>
          <t>Initial</t>
        </is>
      </c>
    </row>
    <row r="382">
      <c r="A382" s="33" t="inlineStr">
        <is>
          <t>2026-05-18</t>
        </is>
      </c>
      <c r="B382" s="33" t="inlineStr">
        <is>
          <t>XEL</t>
        </is>
      </c>
      <c r="C382" s="33" t="inlineStr">
        <is>
          <t>M3</t>
        </is>
      </c>
      <c r="D382" s="33" t="n">
        <v>3</v>
      </c>
      <c r="E382" s="68" t="inlineStr">
        <is>
          <t>Routine activity assumed; default 3.</t>
        </is>
      </c>
      <c r="F382" s="68" t="inlineStr">
        <is>
          <t>Xcel FY26 + Colorado/Minnesota coverage (2026-05-18)</t>
        </is>
      </c>
      <c r="G382" s="33" t="inlineStr">
        <is>
          <t>High</t>
        </is>
      </c>
      <c r="H382" s="33" t="inlineStr">
        <is>
          <t>Initial</t>
        </is>
      </c>
    </row>
    <row r="383">
      <c r="A383" s="33" t="inlineStr">
        <is>
          <t>2026-05-18</t>
        </is>
      </c>
      <c r="B383" s="33" t="inlineStr">
        <is>
          <t>XEL</t>
        </is>
      </c>
      <c r="C383" s="33" t="inlineStr">
        <is>
          <t>R1</t>
        </is>
      </c>
      <c r="D383" s="33" t="n">
        <v>5</v>
      </c>
      <c r="E383" s="68" t="inlineStr">
        <is>
          <t>Regulated diversified rate base; no concentration.</t>
        </is>
      </c>
      <c r="F383" s="68" t="inlineStr">
        <is>
          <t>Xcel FY26 + Colorado/Minnesota coverage (2026-05-18)</t>
        </is>
      </c>
      <c r="G383" s="33" t="inlineStr">
        <is>
          <t>High</t>
        </is>
      </c>
      <c r="H383" s="33" t="inlineStr">
        <is>
          <t>Initial</t>
        </is>
      </c>
    </row>
    <row r="384">
      <c r="A384" s="33" t="inlineStr">
        <is>
          <t>2026-05-18</t>
        </is>
      </c>
      <c r="B384" s="33" t="inlineStr">
        <is>
          <t>XEL</t>
        </is>
      </c>
      <c r="C384" s="33" t="inlineStr">
        <is>
          <t>R2</t>
        </is>
      </c>
      <c r="D384" s="33" t="n">
        <v>5</v>
      </c>
      <c r="E384" s="68" t="inlineStr">
        <is>
          <t>100% US operations; no export-control exposure.</t>
        </is>
      </c>
      <c r="F384" s="68" t="inlineStr">
        <is>
          <t>Xcel FY26 + Colorado/Minnesota coverage (2026-05-18)</t>
        </is>
      </c>
      <c r="G384" s="33" t="inlineStr">
        <is>
          <t>High</t>
        </is>
      </c>
      <c r="H384" s="33" t="inlineStr">
        <is>
          <t>Initial</t>
        </is>
      </c>
    </row>
    <row r="385">
      <c r="A385" s="33" t="inlineStr">
        <is>
          <t>2026-05-18</t>
        </is>
      </c>
      <c r="B385" s="33" t="inlineStr">
        <is>
          <t>XEL</t>
        </is>
      </c>
      <c r="C385" s="33" t="inlineStr">
        <is>
          <t>R3</t>
        </is>
      </c>
      <c r="D385" s="33" t="n">
        <v>3</v>
      </c>
      <c r="E385" s="68" t="inlineStr">
        <is>
          <t>Standard utility leverage (high but stable structure).</t>
        </is>
      </c>
      <c r="F385" s="68" t="inlineStr">
        <is>
          <t>Xcel FY26 + Colorado/Minnesota coverage (2026-05-18)</t>
        </is>
      </c>
      <c r="G385" s="33" t="inlineStr">
        <is>
          <t>High</t>
        </is>
      </c>
      <c r="H385" s="33" t="inlineStr">
        <is>
          <t>Initial</t>
        </is>
      </c>
    </row>
    <row r="386">
      <c r="A386" s="33" t="inlineStr">
        <is>
          <t>2026-05-18</t>
        </is>
      </c>
      <c r="B386" s="33" t="inlineStr">
        <is>
          <t>XEL</t>
        </is>
      </c>
      <c r="C386" s="33" t="inlineStr">
        <is>
          <t>R4</t>
        </is>
      </c>
      <c r="D386" s="33" t="n">
        <v>4</v>
      </c>
      <c r="E386" s="68" t="inlineStr">
        <is>
          <t>Regulated routine; no enforcement.</t>
        </is>
      </c>
      <c r="F386" s="68" t="inlineStr">
        <is>
          <t>Xcel FY26 + Colorado/Minnesota coverage (2026-05-18)</t>
        </is>
      </c>
      <c r="G386" s="33" t="inlineStr">
        <is>
          <t>High</t>
        </is>
      </c>
      <c r="H386" s="33" t="inlineStr">
        <is>
          <t>Initial</t>
        </is>
      </c>
    </row>
    <row r="387">
      <c r="A387" s="33" t="inlineStr">
        <is>
          <t>2026-05-18</t>
        </is>
      </c>
      <c r="B387" s="33" t="inlineStr">
        <is>
          <t>VST</t>
        </is>
      </c>
      <c r="C387" s="33" t="inlineStr">
        <is>
          <t>D1</t>
        </is>
      </c>
      <c r="D387" s="33" t="n">
        <v>4</v>
      </c>
      <c r="E387" s="68" t="inlineStr">
        <is>
          <t>20-year Meta PPA (Jan 2026) for 2.1 GW nuclear + 20-yr AWS PPA up to 1.2 GW Comanche Peak. AI-anchored nuclear revenue is meaningful and growing.</t>
        </is>
      </c>
      <c r="F387" s="68" t="inlineStr">
        <is>
          <t>Vistra 8-K + Meta 20yr 2.1GW nuclear PPA + AWS 1.2GW Comanche Peak coverage (2026-05-18)</t>
        </is>
      </c>
      <c r="G387" s="33" t="inlineStr">
        <is>
          <t>High</t>
        </is>
      </c>
      <c r="H387" s="33" t="inlineStr">
        <is>
          <t>Initial</t>
        </is>
      </c>
    </row>
    <row r="388">
      <c r="A388" s="33" t="inlineStr">
        <is>
          <t>2026-05-18</t>
        </is>
      </c>
      <c r="B388" s="33" t="inlineStr">
        <is>
          <t>VST</t>
        </is>
      </c>
      <c r="C388" s="33" t="inlineStr">
        <is>
          <t>D2</t>
        </is>
      </c>
      <c r="D388" s="33" t="n">
        <v>5</v>
      </c>
      <c r="E388" s="68" t="inlineStr">
        <is>
          <t>Texas IPP + nuclear fleet (post-Energy Harbor) = bottleneck position similar to CEG.</t>
        </is>
      </c>
      <c r="F388" s="68" t="inlineStr">
        <is>
          <t>Vistra 8-K + Meta 20yr 2.1GW nuclear PPA + AWS 1.2GW Comanche Peak coverage (2026-05-18)</t>
        </is>
      </c>
      <c r="G388" s="33" t="inlineStr">
        <is>
          <t>High</t>
        </is>
      </c>
      <c r="H388" s="33" t="inlineStr">
        <is>
          <t>Initial</t>
        </is>
      </c>
    </row>
    <row r="389">
      <c r="A389" s="33" t="inlineStr">
        <is>
          <t>2026-05-18</t>
        </is>
      </c>
      <c r="B389" s="33" t="inlineStr">
        <is>
          <t>VST</t>
        </is>
      </c>
      <c r="C389" s="33" t="inlineStr">
        <is>
          <t>D3</t>
        </is>
      </c>
      <c r="D389" s="33" t="n">
        <v>4</v>
      </c>
      <c r="E389" s="68" t="inlineStr">
        <is>
          <t>Nuclear license moat + regulatory + PPA stickiness.</t>
        </is>
      </c>
      <c r="F389" s="68" t="inlineStr">
        <is>
          <t>Vistra 8-K + Meta 20yr 2.1GW nuclear PPA + AWS 1.2GW Comanche Peak coverage (2026-05-18)</t>
        </is>
      </c>
      <c r="G389" s="33" t="inlineStr">
        <is>
          <t>High</t>
        </is>
      </c>
      <c r="H389" s="33" t="inlineStr">
        <is>
          <t>Initial</t>
        </is>
      </c>
    </row>
    <row r="390">
      <c r="A390" s="33" t="inlineStr">
        <is>
          <t>2026-05-18</t>
        </is>
      </c>
      <c r="B390" s="33" t="inlineStr">
        <is>
          <t>VST</t>
        </is>
      </c>
      <c r="C390" s="33" t="inlineStr">
        <is>
          <t>D4</t>
        </is>
      </c>
      <c r="D390" s="33" t="n">
        <v>5</v>
      </c>
      <c r="E390" s="68" t="inlineStr">
        <is>
          <t>Multiple PPAs backing buildout + Comanche Peak ramp.</t>
        </is>
      </c>
      <c r="F390" s="68" t="inlineStr">
        <is>
          <t>Vistra 8-K + Meta 20yr 2.1GW nuclear PPA + AWS 1.2GW Comanche Peak coverage (2026-05-18)</t>
        </is>
      </c>
      <c r="G390" s="33" t="inlineStr">
        <is>
          <t>High</t>
        </is>
      </c>
      <c r="H390" s="33" t="inlineStr">
        <is>
          <t>Initial</t>
        </is>
      </c>
    </row>
    <row r="391">
      <c r="A391" s="33" t="inlineStr">
        <is>
          <t>2026-05-18</t>
        </is>
      </c>
      <c r="B391" s="33" t="inlineStr">
        <is>
          <t>VST</t>
        </is>
      </c>
      <c r="C391" s="33" t="inlineStr">
        <is>
          <t>D5</t>
        </is>
      </c>
      <c r="D391" s="33" t="n">
        <v>5</v>
      </c>
      <c r="E391" s="68" t="inlineStr">
        <is>
          <t>Meta + AWS as anchor PPA customers.</t>
        </is>
      </c>
      <c r="F391" s="68" t="inlineStr">
        <is>
          <t>Vistra 8-K + Meta 20yr 2.1GW nuclear PPA + AWS 1.2GW Comanche Peak coverage (2026-05-18)</t>
        </is>
      </c>
      <c r="G391" s="33" t="inlineStr">
        <is>
          <t>High</t>
        </is>
      </c>
      <c r="H391" s="33" t="inlineStr">
        <is>
          <t>Initial</t>
        </is>
      </c>
    </row>
    <row r="392">
      <c r="A392" s="33" t="inlineStr">
        <is>
          <t>2026-05-18</t>
        </is>
      </c>
      <c r="B392" s="33" t="inlineStr">
        <is>
          <t>VST</t>
        </is>
      </c>
      <c r="C392" s="33" t="inlineStr">
        <is>
          <t>M1</t>
        </is>
      </c>
      <c r="D392" s="33" t="n">
        <v>3</v>
      </c>
      <c r="E392" s="68" t="inlineStr">
        <is>
          <t>3 up / 2 down on +1Y. FY revision +7.1%. Net positive.</t>
        </is>
      </c>
      <c r="F392" s="68" t="inlineStr">
        <is>
          <t>Vistra 8-K + Meta 20yr 2.1GW nuclear PPA + AWS 1.2GW Comanche Peak coverage (2026-05-18)</t>
        </is>
      </c>
      <c r="G392" s="33" t="inlineStr">
        <is>
          <t>High</t>
        </is>
      </c>
      <c r="H392" s="33" t="inlineStr">
        <is>
          <t>Initial</t>
        </is>
      </c>
    </row>
    <row r="393">
      <c r="A393" s="33" t="inlineStr">
        <is>
          <t>2026-05-18</t>
        </is>
      </c>
      <c r="B393" s="33" t="inlineStr">
        <is>
          <t>VST</t>
        </is>
      </c>
      <c r="C393" s="33" t="inlineStr">
        <is>
          <t>M2</t>
        </is>
      </c>
      <c r="D393" s="33" t="n">
        <v>1</v>
      </c>
      <c r="E393" s="68" t="inlineStr">
        <is>
          <t>-24pp vs XLU 180d — market not pricing PPAs yet.</t>
        </is>
      </c>
      <c r="F393" s="68" t="inlineStr">
        <is>
          <t>Vistra 8-K + Meta 20yr 2.1GW nuclear PPA + AWS 1.2GW Comanche Peak coverage (2026-05-18)</t>
        </is>
      </c>
      <c r="G393" s="33" t="inlineStr">
        <is>
          <t>High</t>
        </is>
      </c>
      <c r="H393" s="33" t="inlineStr">
        <is>
          <t>Initial</t>
        </is>
      </c>
    </row>
    <row r="394">
      <c r="A394" s="33" t="inlineStr">
        <is>
          <t>2026-05-18</t>
        </is>
      </c>
      <c r="B394" s="33" t="inlineStr">
        <is>
          <t>VST</t>
        </is>
      </c>
      <c r="C394" s="33" t="inlineStr">
        <is>
          <t>M3</t>
        </is>
      </c>
      <c r="D394" s="33" t="n">
        <v>3</v>
      </c>
      <c r="E394" s="68" t="inlineStr">
        <is>
          <t>Routine; default 3.</t>
        </is>
      </c>
      <c r="F394" s="68" t="inlineStr">
        <is>
          <t>Vistra 8-K + Meta 20yr 2.1GW nuclear PPA + AWS 1.2GW Comanche Peak coverage (2026-05-18)</t>
        </is>
      </c>
      <c r="G394" s="33" t="inlineStr">
        <is>
          <t>High</t>
        </is>
      </c>
      <c r="H394" s="33" t="inlineStr">
        <is>
          <t>Initial</t>
        </is>
      </c>
    </row>
    <row r="395">
      <c r="A395" s="33" t="inlineStr">
        <is>
          <t>2026-05-18</t>
        </is>
      </c>
      <c r="B395" s="33" t="inlineStr">
        <is>
          <t>VST</t>
        </is>
      </c>
      <c r="C395" s="33" t="inlineStr">
        <is>
          <t>R1</t>
        </is>
      </c>
      <c r="D395" s="33" t="n">
        <v>4</v>
      </c>
      <c r="E395" s="68" t="inlineStr">
        <is>
          <t>Multiple hyperscaler PPA customers but concentrated relationships.</t>
        </is>
      </c>
      <c r="F395" s="68" t="inlineStr">
        <is>
          <t>Vistra 8-K + Meta 20yr 2.1GW nuclear PPA + AWS 1.2GW Comanche Peak coverage (2026-05-18)</t>
        </is>
      </c>
      <c r="G395" s="33" t="inlineStr">
        <is>
          <t>High</t>
        </is>
      </c>
      <c r="H395" s="33" t="inlineStr">
        <is>
          <t>Initial</t>
        </is>
      </c>
    </row>
    <row r="396">
      <c r="A396" s="33" t="inlineStr">
        <is>
          <t>2026-05-18</t>
        </is>
      </c>
      <c r="B396" s="33" t="inlineStr">
        <is>
          <t>VST</t>
        </is>
      </c>
      <c r="C396" s="33" t="inlineStr">
        <is>
          <t>R2</t>
        </is>
      </c>
      <c r="D396" s="33" t="n">
        <v>5</v>
      </c>
      <c r="E396" s="68" t="inlineStr">
        <is>
          <t>100% US.</t>
        </is>
      </c>
      <c r="F396" s="68" t="inlineStr">
        <is>
          <t>Vistra 8-K + Meta 20yr 2.1GW nuclear PPA + AWS 1.2GW Comanche Peak coverage (2026-05-18)</t>
        </is>
      </c>
      <c r="G396" s="33" t="inlineStr">
        <is>
          <t>High</t>
        </is>
      </c>
      <c r="H396" s="33" t="inlineStr">
        <is>
          <t>Initial</t>
        </is>
      </c>
    </row>
    <row r="397">
      <c r="A397" s="33" t="inlineStr">
        <is>
          <t>2026-05-18</t>
        </is>
      </c>
      <c r="B397" s="33" t="inlineStr">
        <is>
          <t>VST</t>
        </is>
      </c>
      <c r="C397" s="33" t="inlineStr">
        <is>
          <t>R3</t>
        </is>
      </c>
      <c r="D397" s="33" t="n">
        <v>4</v>
      </c>
      <c r="E397" s="68" t="inlineStr">
        <is>
          <t>ND/EBITDA 2.8x — moderate leverage (better than TLN).</t>
        </is>
      </c>
      <c r="F397" s="68" t="inlineStr">
        <is>
          <t>Vistra 8-K + Meta 20yr 2.1GW nuclear PPA + AWS 1.2GW Comanche Peak coverage (2026-05-18)</t>
        </is>
      </c>
      <c r="G397" s="33" t="inlineStr">
        <is>
          <t>High</t>
        </is>
      </c>
      <c r="H397" s="33" t="inlineStr">
        <is>
          <t>Initial</t>
        </is>
      </c>
    </row>
    <row r="398">
      <c r="A398" s="33" t="inlineStr">
        <is>
          <t>2026-05-18</t>
        </is>
      </c>
      <c r="B398" s="33" t="inlineStr">
        <is>
          <t>VST</t>
        </is>
      </c>
      <c r="C398" s="33" t="inlineStr">
        <is>
          <t>R4</t>
        </is>
      </c>
      <c r="D398" s="33" t="n">
        <v>4</v>
      </c>
      <c r="E398" s="68" t="inlineStr">
        <is>
          <t>Routine.</t>
        </is>
      </c>
      <c r="F398" s="68" t="inlineStr">
        <is>
          <t>Vistra 8-K + Meta 20yr 2.1GW nuclear PPA + AWS 1.2GW Comanche Peak coverage (2026-05-18)</t>
        </is>
      </c>
      <c r="G398" s="33" t="inlineStr">
        <is>
          <t>High</t>
        </is>
      </c>
      <c r="H398" s="33" t="inlineStr">
        <is>
          <t>Initial</t>
        </is>
      </c>
    </row>
    <row r="399">
      <c r="A399" s="33" t="inlineStr">
        <is>
          <t>2026-05-18</t>
        </is>
      </c>
      <c r="B399" s="33" t="inlineStr">
        <is>
          <t>TLN</t>
        </is>
      </c>
      <c r="C399" s="33" t="inlineStr">
        <is>
          <t>D1</t>
        </is>
      </c>
      <c r="D399" s="33" t="n">
        <v>5</v>
      </c>
      <c r="E399" s="68" t="inlineStr">
        <is>
          <t>$18B AWS Susquehanna PPA for 1.9 GW (June 2025) — anchor nuclear-for-AI relationship. Highest pure-AI exposure in IPPs.</t>
        </is>
      </c>
      <c r="F399" s="68" t="inlineStr">
        <is>
          <t>Talen Energy 8-K + AWS Susquehanna $18B 1.9GW PPA coverage (2026-05-18)</t>
        </is>
      </c>
      <c r="G399" s="33" t="inlineStr">
        <is>
          <t>High</t>
        </is>
      </c>
      <c r="H399" s="33" t="inlineStr">
        <is>
          <t>Initial</t>
        </is>
      </c>
    </row>
    <row r="400">
      <c r="A400" s="33" t="inlineStr">
        <is>
          <t>2026-05-18</t>
        </is>
      </c>
      <c r="B400" s="33" t="inlineStr">
        <is>
          <t>TLN</t>
        </is>
      </c>
      <c r="C400" s="33" t="inlineStr">
        <is>
          <t>D2</t>
        </is>
      </c>
      <c r="D400" s="33" t="n">
        <v>5</v>
      </c>
      <c r="E400" s="68" t="inlineStr">
        <is>
          <t>Susquehanna nuclear baseload bottleneck for AWS east coast.</t>
        </is>
      </c>
      <c r="F400" s="68" t="inlineStr">
        <is>
          <t>Talen Energy 8-K + AWS Susquehanna $18B 1.9GW PPA coverage (2026-05-18)</t>
        </is>
      </c>
      <c r="G400" s="33" t="inlineStr">
        <is>
          <t>High</t>
        </is>
      </c>
      <c r="H400" s="33" t="inlineStr">
        <is>
          <t>Initial</t>
        </is>
      </c>
    </row>
    <row r="401">
      <c r="A401" s="33" t="inlineStr">
        <is>
          <t>2026-05-18</t>
        </is>
      </c>
      <c r="B401" s="33" t="inlineStr">
        <is>
          <t>TLN</t>
        </is>
      </c>
      <c r="C401" s="33" t="inlineStr">
        <is>
          <t>D3</t>
        </is>
      </c>
      <c r="D401" s="33" t="n">
        <v>4</v>
      </c>
      <c r="E401" s="68" t="inlineStr">
        <is>
          <t>Nuclear license + PPA stickiness.</t>
        </is>
      </c>
      <c r="F401" s="68" t="inlineStr">
        <is>
          <t>Talen Energy 8-K + AWS Susquehanna $18B 1.9GW PPA coverage (2026-05-18)</t>
        </is>
      </c>
      <c r="G401" s="33" t="inlineStr">
        <is>
          <t>High</t>
        </is>
      </c>
      <c r="H401" s="33" t="inlineStr">
        <is>
          <t>Initial</t>
        </is>
      </c>
    </row>
    <row r="402">
      <c r="A402" s="33" t="inlineStr">
        <is>
          <t>2026-05-18</t>
        </is>
      </c>
      <c r="B402" s="33" t="inlineStr">
        <is>
          <t>TLN</t>
        </is>
      </c>
      <c r="C402" s="33" t="inlineStr">
        <is>
          <t>D4</t>
        </is>
      </c>
      <c r="D402" s="33" t="n">
        <v>5</v>
      </c>
      <c r="E402" s="68" t="inlineStr">
        <is>
          <t>AWS PPA backing multi-year buildout.</t>
        </is>
      </c>
      <c r="F402" s="68" t="inlineStr">
        <is>
          <t>Talen Energy 8-K + AWS Susquehanna $18B 1.9GW PPA coverage (2026-05-18)</t>
        </is>
      </c>
      <c r="G402" s="33" t="inlineStr">
        <is>
          <t>High</t>
        </is>
      </c>
      <c r="H402" s="33" t="inlineStr">
        <is>
          <t>Initial</t>
        </is>
      </c>
    </row>
    <row r="403">
      <c r="A403" s="33" t="inlineStr">
        <is>
          <t>2026-05-18</t>
        </is>
      </c>
      <c r="B403" s="33" t="inlineStr">
        <is>
          <t>TLN</t>
        </is>
      </c>
      <c r="C403" s="33" t="inlineStr">
        <is>
          <t>D5</t>
        </is>
      </c>
      <c r="D403" s="33" t="n">
        <v>5</v>
      </c>
      <c r="E403" s="68" t="inlineStr">
        <is>
          <t>AWS as anchor PPA customer.</t>
        </is>
      </c>
      <c r="F403" s="68" t="inlineStr">
        <is>
          <t>Talen Energy 8-K + AWS Susquehanna $18B 1.9GW PPA coverage (2026-05-18)</t>
        </is>
      </c>
      <c r="G403" s="33" t="inlineStr">
        <is>
          <t>High</t>
        </is>
      </c>
      <c r="H403" s="33" t="inlineStr">
        <is>
          <t>Initial</t>
        </is>
      </c>
    </row>
    <row r="404">
      <c r="A404" s="33" t="inlineStr">
        <is>
          <t>2026-05-18</t>
        </is>
      </c>
      <c r="B404" s="33" t="inlineStr">
        <is>
          <t>TLN</t>
        </is>
      </c>
      <c r="C404" s="33" t="inlineStr">
        <is>
          <t>M1</t>
        </is>
      </c>
      <c r="D404" s="33" t="n">
        <v>4</v>
      </c>
      <c r="E404" s="68" t="inlineStr">
        <is>
          <t>2 up / 0 down on +1Y. Net positive.</t>
        </is>
      </c>
      <c r="F404" s="68" t="inlineStr">
        <is>
          <t>Talen Energy 8-K + AWS Susquehanna $18B 1.9GW PPA coverage (2026-05-18)</t>
        </is>
      </c>
      <c r="G404" s="33" t="inlineStr">
        <is>
          <t>High</t>
        </is>
      </c>
      <c r="H404" s="33" t="inlineStr">
        <is>
          <t>Initial</t>
        </is>
      </c>
    </row>
    <row r="405">
      <c r="A405" s="33" t="inlineStr">
        <is>
          <t>2026-05-18</t>
        </is>
      </c>
      <c r="B405" s="33" t="inlineStr">
        <is>
          <t>TLN</t>
        </is>
      </c>
      <c r="C405" s="33" t="inlineStr">
        <is>
          <t>M2</t>
        </is>
      </c>
      <c r="D405" s="33" t="n">
        <v>2</v>
      </c>
      <c r="E405" s="68" t="inlineStr">
        <is>
          <t>-18pp vs XLU 180d — market not yet pricing AWS deal value.</t>
        </is>
      </c>
      <c r="F405" s="68" t="inlineStr">
        <is>
          <t>Talen Energy 8-K + AWS Susquehanna $18B 1.9GW PPA coverage (2026-05-18)</t>
        </is>
      </c>
      <c r="G405" s="33" t="inlineStr">
        <is>
          <t>High</t>
        </is>
      </c>
      <c r="H405" s="33" t="inlineStr">
        <is>
          <t>Initial</t>
        </is>
      </c>
    </row>
    <row r="406">
      <c r="A406" s="33" t="inlineStr">
        <is>
          <t>2026-05-18</t>
        </is>
      </c>
      <c r="B406" s="33" t="inlineStr">
        <is>
          <t>TLN</t>
        </is>
      </c>
      <c r="C406" s="33" t="inlineStr">
        <is>
          <t>M3</t>
        </is>
      </c>
      <c r="D406" s="33" t="n">
        <v>3</v>
      </c>
      <c r="E406" s="68" t="inlineStr">
        <is>
          <t>Routine; default 3.</t>
        </is>
      </c>
      <c r="F406" s="68" t="inlineStr">
        <is>
          <t>Talen Energy 8-K + AWS Susquehanna $18B 1.9GW PPA coverage (2026-05-18)</t>
        </is>
      </c>
      <c r="G406" s="33" t="inlineStr">
        <is>
          <t>High</t>
        </is>
      </c>
      <c r="H406" s="33" t="inlineStr">
        <is>
          <t>Initial</t>
        </is>
      </c>
    </row>
    <row r="407">
      <c r="A407" s="33" t="inlineStr">
        <is>
          <t>2026-05-18</t>
        </is>
      </c>
      <c r="B407" s="33" t="inlineStr">
        <is>
          <t>TLN</t>
        </is>
      </c>
      <c r="C407" s="33" t="inlineStr">
        <is>
          <t>R1</t>
        </is>
      </c>
      <c r="D407" s="33" t="n">
        <v>3</v>
      </c>
      <c r="E407" s="68" t="inlineStr">
        <is>
          <t>AWS concentration is real (single dominant PPA customer).</t>
        </is>
      </c>
      <c r="F407" s="68" t="inlineStr">
        <is>
          <t>Talen Energy 8-K + AWS Susquehanna $18B 1.9GW PPA coverage (2026-05-18)</t>
        </is>
      </c>
      <c r="G407" s="33" t="inlineStr">
        <is>
          <t>High</t>
        </is>
      </c>
      <c r="H407" s="33" t="inlineStr">
        <is>
          <t>Initial</t>
        </is>
      </c>
    </row>
    <row r="408">
      <c r="A408" s="33" t="inlineStr">
        <is>
          <t>2026-05-18</t>
        </is>
      </c>
      <c r="B408" s="33" t="inlineStr">
        <is>
          <t>TLN</t>
        </is>
      </c>
      <c r="C408" s="33" t="inlineStr">
        <is>
          <t>R2</t>
        </is>
      </c>
      <c r="D408" s="33" t="n">
        <v>5</v>
      </c>
      <c r="E408" s="68" t="inlineStr">
        <is>
          <t>100% US.</t>
        </is>
      </c>
      <c r="F408" s="68" t="inlineStr">
        <is>
          <t>Talen Energy 8-K + AWS Susquehanna $18B 1.9GW PPA coverage (2026-05-18)</t>
        </is>
      </c>
      <c r="G408" s="33" t="inlineStr">
        <is>
          <t>High</t>
        </is>
      </c>
      <c r="H408" s="33" t="inlineStr">
        <is>
          <t>Initial</t>
        </is>
      </c>
    </row>
    <row r="409">
      <c r="A409" s="33" t="inlineStr">
        <is>
          <t>2026-05-18</t>
        </is>
      </c>
      <c r="B409" s="33" t="inlineStr">
        <is>
          <t>TLN</t>
        </is>
      </c>
      <c r="C409" s="33" t="inlineStr">
        <is>
          <t>R3</t>
        </is>
      </c>
      <c r="D409" s="33" t="n">
        <v>2</v>
      </c>
      <c r="E409" s="68" t="inlineStr">
        <is>
          <t>ND/EBITDA 8.9x — elevated leverage. Band 2 per rubric. Quarterly review item: is high leverage justified by $18B locked PPA?</t>
        </is>
      </c>
      <c r="F409" s="68" t="inlineStr">
        <is>
          <t>Talen Energy 8-K + AWS Susquehanna $18B 1.9GW PPA coverage (2026-05-18)</t>
        </is>
      </c>
      <c r="G409" s="33" t="inlineStr">
        <is>
          <t>High</t>
        </is>
      </c>
      <c r="H409" s="33" t="inlineStr">
        <is>
          <t>Initial</t>
        </is>
      </c>
    </row>
    <row r="410">
      <c r="A410" s="33" t="inlineStr">
        <is>
          <t>2026-05-18</t>
        </is>
      </c>
      <c r="B410" s="33" t="inlineStr">
        <is>
          <t>TLN</t>
        </is>
      </c>
      <c r="C410" s="33" t="inlineStr">
        <is>
          <t>R4</t>
        </is>
      </c>
      <c r="D410" s="33" t="n">
        <v>4</v>
      </c>
      <c r="E410" s="68" t="inlineStr">
        <is>
          <t>Routine.</t>
        </is>
      </c>
      <c r="F410" s="68" t="inlineStr">
        <is>
          <t>Talen Energy 8-K + AWS Susquehanna $18B 1.9GW PPA coverage (2026-05-18)</t>
        </is>
      </c>
      <c r="G410" s="33" t="inlineStr">
        <is>
          <t>High</t>
        </is>
      </c>
      <c r="H410" s="33" t="inlineStr">
        <is>
          <t>Initial</t>
        </is>
      </c>
    </row>
    <row r="411">
      <c r="A411" s="33" t="inlineStr">
        <is>
          <t>2026-05-18</t>
        </is>
      </c>
      <c r="B411" s="33" t="inlineStr">
        <is>
          <t>NRG</t>
        </is>
      </c>
      <c r="C411" s="33" t="inlineStr">
        <is>
          <t>D1</t>
        </is>
      </c>
      <c r="D411" s="33" t="n">
        <v>2</v>
      </c>
      <c r="E411" s="68" t="inlineStr">
        <is>
          <t>Texas IPP + retail electricity. Limited direct hyperscaler PPA exposure.</t>
        </is>
      </c>
      <c r="F411" s="68" t="inlineStr">
        <is>
          <t>NRG FY26 + retail+gen Texas coverage (2026-05-18)</t>
        </is>
      </c>
      <c r="G411" s="33" t="inlineStr">
        <is>
          <t>High</t>
        </is>
      </c>
      <c r="H411" s="33" t="inlineStr">
        <is>
          <t>Initial</t>
        </is>
      </c>
    </row>
    <row r="412">
      <c r="A412" s="33" t="inlineStr">
        <is>
          <t>2026-05-18</t>
        </is>
      </c>
      <c r="B412" s="33" t="inlineStr">
        <is>
          <t>NRG</t>
        </is>
      </c>
      <c r="C412" s="33" t="inlineStr">
        <is>
          <t>D2</t>
        </is>
      </c>
      <c r="D412" s="33" t="n">
        <v>3</v>
      </c>
      <c r="E412" s="68" t="inlineStr">
        <is>
          <t>Texas merchant generation + retail competitive.</t>
        </is>
      </c>
      <c r="F412" s="68" t="inlineStr">
        <is>
          <t>NRG FY26 + retail+gen Texas coverage (2026-05-18)</t>
        </is>
      </c>
      <c r="G412" s="33" t="inlineStr">
        <is>
          <t>High</t>
        </is>
      </c>
      <c r="H412" s="33" t="inlineStr">
        <is>
          <t>Initial</t>
        </is>
      </c>
    </row>
    <row r="413">
      <c r="A413" s="33" t="inlineStr">
        <is>
          <t>2026-05-18</t>
        </is>
      </c>
      <c r="B413" s="33" t="inlineStr">
        <is>
          <t>NRG</t>
        </is>
      </c>
      <c r="C413" s="33" t="inlineStr">
        <is>
          <t>D3</t>
        </is>
      </c>
      <c r="D413" s="33" t="n">
        <v>3</v>
      </c>
      <c r="E413" s="68" t="inlineStr">
        <is>
          <t>Mid-tier moat.</t>
        </is>
      </c>
      <c r="F413" s="68" t="inlineStr">
        <is>
          <t>NRG FY26 + retail+gen Texas coverage (2026-05-18)</t>
        </is>
      </c>
      <c r="G413" s="33" t="inlineStr">
        <is>
          <t>High</t>
        </is>
      </c>
      <c r="H413" s="33" t="inlineStr">
        <is>
          <t>Initial</t>
        </is>
      </c>
    </row>
    <row r="414">
      <c r="A414" s="33" t="inlineStr">
        <is>
          <t>2026-05-18</t>
        </is>
      </c>
      <c r="B414" s="33" t="inlineStr">
        <is>
          <t>NRG</t>
        </is>
      </c>
      <c r="C414" s="33" t="inlineStr">
        <is>
          <t>D4</t>
        </is>
      </c>
      <c r="D414" s="33" t="n">
        <v>3</v>
      </c>
      <c r="E414" s="68" t="inlineStr">
        <is>
          <t>Steady-state capex.</t>
        </is>
      </c>
      <c r="F414" s="68" t="inlineStr">
        <is>
          <t>NRG FY26 + retail+gen Texas coverage (2026-05-18)</t>
        </is>
      </c>
      <c r="G414" s="33" t="inlineStr">
        <is>
          <t>High</t>
        </is>
      </c>
      <c r="H414" s="33" t="inlineStr">
        <is>
          <t>Initial</t>
        </is>
      </c>
    </row>
    <row r="415">
      <c r="A415" s="33" t="inlineStr">
        <is>
          <t>2026-05-18</t>
        </is>
      </c>
      <c r="B415" s="33" t="inlineStr">
        <is>
          <t>NRG</t>
        </is>
      </c>
      <c r="C415" s="33" t="inlineStr">
        <is>
          <t>D5</t>
        </is>
      </c>
      <c r="D415" s="33" t="n">
        <v>2</v>
      </c>
      <c r="E415" s="68" t="inlineStr">
        <is>
          <t>Limited direct hyperscaler exposure.</t>
        </is>
      </c>
      <c r="F415" s="68" t="inlineStr">
        <is>
          <t>NRG FY26 + retail+gen Texas coverage (2026-05-18)</t>
        </is>
      </c>
      <c r="G415" s="33" t="inlineStr">
        <is>
          <t>High</t>
        </is>
      </c>
      <c r="H415" s="33" t="inlineStr">
        <is>
          <t>Initial</t>
        </is>
      </c>
    </row>
    <row r="416">
      <c r="A416" s="33" t="inlineStr">
        <is>
          <t>2026-05-18</t>
        </is>
      </c>
      <c r="B416" s="33" t="inlineStr">
        <is>
          <t>NRG</t>
        </is>
      </c>
      <c r="C416" s="33" t="inlineStr">
        <is>
          <t>M1</t>
        </is>
      </c>
      <c r="D416" s="33" t="n">
        <v>5</v>
      </c>
      <c r="E416" s="68" t="inlineStr">
        <is>
          <t>6 up / 1 down on +1Y. Best M1 in IPP cluster.</t>
        </is>
      </c>
      <c r="F416" s="68" t="inlineStr">
        <is>
          <t>NRG FY26 + retail+gen Texas coverage (2026-05-18)</t>
        </is>
      </c>
      <c r="G416" s="33" t="inlineStr">
        <is>
          <t>High</t>
        </is>
      </c>
      <c r="H416" s="33" t="inlineStr">
        <is>
          <t>Initial</t>
        </is>
      </c>
    </row>
    <row r="417">
      <c r="A417" s="33" t="inlineStr">
        <is>
          <t>2026-05-18</t>
        </is>
      </c>
      <c r="B417" s="33" t="inlineStr">
        <is>
          <t>NRG</t>
        </is>
      </c>
      <c r="C417" s="33" t="inlineStr">
        <is>
          <t>M2</t>
        </is>
      </c>
      <c r="D417" s="33" t="n">
        <v>1</v>
      </c>
      <c r="E417" s="68" t="inlineStr">
        <is>
          <t>-26pp vs XLU 180d — heavy lag.</t>
        </is>
      </c>
      <c r="F417" s="68" t="inlineStr">
        <is>
          <t>NRG FY26 + retail+gen Texas coverage (2026-05-18)</t>
        </is>
      </c>
      <c r="G417" s="33" t="inlineStr">
        <is>
          <t>High</t>
        </is>
      </c>
      <c r="H417" s="33" t="inlineStr">
        <is>
          <t>Initial</t>
        </is>
      </c>
    </row>
    <row r="418">
      <c r="A418" s="33" t="inlineStr">
        <is>
          <t>2026-05-18</t>
        </is>
      </c>
      <c r="B418" s="33" t="inlineStr">
        <is>
          <t>NRG</t>
        </is>
      </c>
      <c r="C418" s="33" t="inlineStr">
        <is>
          <t>M3</t>
        </is>
      </c>
      <c r="D418" s="33" t="n">
        <v>3</v>
      </c>
      <c r="E418" s="68" t="inlineStr">
        <is>
          <t>Routine; default 3.</t>
        </is>
      </c>
      <c r="F418" s="68" t="inlineStr">
        <is>
          <t>NRG FY26 + retail+gen Texas coverage (2026-05-18)</t>
        </is>
      </c>
      <c r="G418" s="33" t="inlineStr">
        <is>
          <t>High</t>
        </is>
      </c>
      <c r="H418" s="33" t="inlineStr">
        <is>
          <t>Initial</t>
        </is>
      </c>
    </row>
    <row r="419">
      <c r="A419" s="33" t="inlineStr">
        <is>
          <t>2026-05-18</t>
        </is>
      </c>
      <c r="B419" s="33" t="inlineStr">
        <is>
          <t>NRG</t>
        </is>
      </c>
      <c r="C419" s="33" t="inlineStr">
        <is>
          <t>R1</t>
        </is>
      </c>
      <c r="D419" s="33" t="n">
        <v>4</v>
      </c>
      <c r="E419" s="68" t="inlineStr">
        <is>
          <t>Retail customer diversified; gen has some concentration.</t>
        </is>
      </c>
      <c r="F419" s="68" t="inlineStr">
        <is>
          <t>NRG FY26 + retail+gen Texas coverage (2026-05-18)</t>
        </is>
      </c>
      <c r="G419" s="33" t="inlineStr">
        <is>
          <t>High</t>
        </is>
      </c>
      <c r="H419" s="33" t="inlineStr">
        <is>
          <t>Initial</t>
        </is>
      </c>
    </row>
    <row r="420">
      <c r="A420" s="33" t="inlineStr">
        <is>
          <t>2026-05-18</t>
        </is>
      </c>
      <c r="B420" s="33" t="inlineStr">
        <is>
          <t>NRG</t>
        </is>
      </c>
      <c r="C420" s="33" t="inlineStr">
        <is>
          <t>R2</t>
        </is>
      </c>
      <c r="D420" s="33" t="n">
        <v>5</v>
      </c>
      <c r="E420" s="68" t="inlineStr">
        <is>
          <t>100% US.</t>
        </is>
      </c>
      <c r="F420" s="68" t="inlineStr">
        <is>
          <t>NRG FY26 + retail+gen Texas coverage (2026-05-18)</t>
        </is>
      </c>
      <c r="G420" s="33" t="inlineStr">
        <is>
          <t>High</t>
        </is>
      </c>
      <c r="H420" s="33" t="inlineStr">
        <is>
          <t>Initial</t>
        </is>
      </c>
    </row>
    <row r="421">
      <c r="A421" s="33" t="inlineStr">
        <is>
          <t>2026-05-18</t>
        </is>
      </c>
      <c r="B421" s="33" t="inlineStr">
        <is>
          <t>NRG</t>
        </is>
      </c>
      <c r="C421" s="33" t="inlineStr">
        <is>
          <t>R3</t>
        </is>
      </c>
      <c r="D421" s="33" t="n">
        <v>2</v>
      </c>
      <c r="E421" s="68" t="inlineStr">
        <is>
          <t>ND/EBITDA 10.3x — high.</t>
        </is>
      </c>
      <c r="F421" s="68" t="inlineStr">
        <is>
          <t>NRG FY26 + retail+gen Texas coverage (2026-05-18)</t>
        </is>
      </c>
      <c r="G421" s="33" t="inlineStr">
        <is>
          <t>High</t>
        </is>
      </c>
      <c r="H421" s="33" t="inlineStr">
        <is>
          <t>Initial</t>
        </is>
      </c>
    </row>
    <row r="422">
      <c r="A422" s="33" t="inlineStr">
        <is>
          <t>2026-05-18</t>
        </is>
      </c>
      <c r="B422" s="33" t="inlineStr">
        <is>
          <t>NRG</t>
        </is>
      </c>
      <c r="C422" s="33" t="inlineStr">
        <is>
          <t>R4</t>
        </is>
      </c>
      <c r="D422" s="33" t="n">
        <v>4</v>
      </c>
      <c r="E422" s="68" t="inlineStr">
        <is>
          <t>Routine.</t>
        </is>
      </c>
      <c r="F422" s="68" t="inlineStr">
        <is>
          <t>NRG FY26 + retail+gen Texas coverage (2026-05-18)</t>
        </is>
      </c>
      <c r="G422" s="33" t="inlineStr">
        <is>
          <t>High</t>
        </is>
      </c>
      <c r="H422" s="33" t="inlineStr">
        <is>
          <t>Initial</t>
        </is>
      </c>
    </row>
    <row r="423">
      <c r="A423" s="33" t="inlineStr">
        <is>
          <t>2026-05-18</t>
        </is>
      </c>
      <c r="B423" s="33" t="inlineStr">
        <is>
          <t>CCJ</t>
        </is>
      </c>
      <c r="C423" s="33" t="inlineStr">
        <is>
          <t>D1</t>
        </is>
      </c>
      <c r="D423" s="33" t="n">
        <v>3</v>
      </c>
      <c r="E423" s="68" t="inlineStr">
        <is>
          <t>Uranium mining indirect AI exposure via nuclear restarts + new build. Not direct AI revenue.</t>
        </is>
      </c>
      <c r="F423" s="68" t="inlineStr">
        <is>
          <t>Cameco FY26 + uranium leader + nuclear restart cycle coverage (2026-05-18)</t>
        </is>
      </c>
      <c r="G423" s="33" t="inlineStr">
        <is>
          <t>High</t>
        </is>
      </c>
      <c r="H423" s="33" t="inlineStr">
        <is>
          <t>Initial</t>
        </is>
      </c>
    </row>
    <row r="424">
      <c r="A424" s="33" t="inlineStr">
        <is>
          <t>2026-05-18</t>
        </is>
      </c>
      <c r="B424" s="33" t="inlineStr">
        <is>
          <t>CCJ</t>
        </is>
      </c>
      <c r="C424" s="33" t="inlineStr">
        <is>
          <t>D2</t>
        </is>
      </c>
      <c r="D424" s="33" t="n">
        <v>5</v>
      </c>
      <c r="E424" s="68" t="inlineStr">
        <is>
          <t>Largest US-traded uranium pure-play; supply position vs limited alternatives.</t>
        </is>
      </c>
      <c r="F424" s="68" t="inlineStr">
        <is>
          <t>Cameco FY26 + uranium leader + nuclear restart cycle coverage (2026-05-18)</t>
        </is>
      </c>
      <c r="G424" s="33" t="inlineStr">
        <is>
          <t>High</t>
        </is>
      </c>
      <c r="H424" s="33" t="inlineStr">
        <is>
          <t>Initial</t>
        </is>
      </c>
    </row>
    <row r="425">
      <c r="A425" s="33" t="inlineStr">
        <is>
          <t>2026-05-18</t>
        </is>
      </c>
      <c r="B425" s="33" t="inlineStr">
        <is>
          <t>CCJ</t>
        </is>
      </c>
      <c r="C425" s="33" t="inlineStr">
        <is>
          <t>D3</t>
        </is>
      </c>
      <c r="D425" s="33" t="n">
        <v>4</v>
      </c>
      <c r="E425" s="68" t="inlineStr">
        <is>
          <t>Mine licenses + scale + supply contracts.</t>
        </is>
      </c>
      <c r="F425" s="68" t="inlineStr">
        <is>
          <t>Cameco FY26 + uranium leader + nuclear restart cycle coverage (2026-05-18)</t>
        </is>
      </c>
      <c r="G425" s="33" t="inlineStr">
        <is>
          <t>High</t>
        </is>
      </c>
      <c r="H425" s="33" t="inlineStr">
        <is>
          <t>Initial</t>
        </is>
      </c>
    </row>
    <row r="426">
      <c r="A426" s="33" t="inlineStr">
        <is>
          <t>2026-05-18</t>
        </is>
      </c>
      <c r="B426" s="33" t="inlineStr">
        <is>
          <t>CCJ</t>
        </is>
      </c>
      <c r="C426" s="33" t="inlineStr">
        <is>
          <t>D4</t>
        </is>
      </c>
      <c r="D426" s="33" t="n">
        <v>4</v>
      </c>
      <c r="E426" s="68" t="inlineStr">
        <is>
          <t>Multi-year mine ramps.</t>
        </is>
      </c>
      <c r="F426" s="68" t="inlineStr">
        <is>
          <t>Cameco FY26 + uranium leader + nuclear restart cycle coverage (2026-05-18)</t>
        </is>
      </c>
      <c r="G426" s="33" t="inlineStr">
        <is>
          <t>High</t>
        </is>
      </c>
      <c r="H426" s="33" t="inlineStr">
        <is>
          <t>Initial</t>
        </is>
      </c>
    </row>
    <row r="427">
      <c r="A427" s="33" t="inlineStr">
        <is>
          <t>2026-05-18</t>
        </is>
      </c>
      <c r="B427" s="33" t="inlineStr">
        <is>
          <t>CCJ</t>
        </is>
      </c>
      <c r="C427" s="33" t="inlineStr">
        <is>
          <t>D5</t>
        </is>
      </c>
      <c r="D427" s="33" t="n">
        <v>2</v>
      </c>
      <c r="E427" s="68" t="inlineStr">
        <is>
          <t>Indirect — sells UF6 to utilities, not hyperscalers.</t>
        </is>
      </c>
      <c r="F427" s="68" t="inlineStr">
        <is>
          <t>Cameco FY26 + uranium leader + nuclear restart cycle coverage (2026-05-18)</t>
        </is>
      </c>
      <c r="G427" s="33" t="inlineStr">
        <is>
          <t>High</t>
        </is>
      </c>
      <c r="H427" s="33" t="inlineStr">
        <is>
          <t>Initial</t>
        </is>
      </c>
    </row>
    <row r="428">
      <c r="A428" s="33" t="inlineStr">
        <is>
          <t>2026-05-18</t>
        </is>
      </c>
      <c r="B428" s="33" t="inlineStr">
        <is>
          <t>CCJ</t>
        </is>
      </c>
      <c r="C428" s="33" t="inlineStr">
        <is>
          <t>M1</t>
        </is>
      </c>
      <c r="D428" s="33" t="n">
        <v>2</v>
      </c>
      <c r="E428" s="68" t="inlineStr">
        <is>
          <t>4 up / 7 down — NET NEGATIVE revisions. FY rev -16.5%.</t>
        </is>
      </c>
      <c r="F428" s="68" t="inlineStr">
        <is>
          <t>Cameco FY26 + uranium leader + nuclear restart cycle coverage (2026-05-18)</t>
        </is>
      </c>
      <c r="G428" s="33" t="inlineStr">
        <is>
          <t>High</t>
        </is>
      </c>
      <c r="H428" s="33" t="inlineStr">
        <is>
          <t>Initial</t>
        </is>
      </c>
    </row>
    <row r="429">
      <c r="A429" s="33" t="inlineStr">
        <is>
          <t>2026-05-18</t>
        </is>
      </c>
      <c r="B429" s="33" t="inlineStr">
        <is>
          <t>CCJ</t>
        </is>
      </c>
      <c r="C429" s="33" t="inlineStr">
        <is>
          <t>M2</t>
        </is>
      </c>
      <c r="D429" s="33" t="n">
        <v>2</v>
      </c>
      <c r="E429" s="68" t="inlineStr">
        <is>
          <t>+22% absolute but lagging XLE by 15pp.</t>
        </is>
      </c>
      <c r="F429" s="68" t="inlineStr">
        <is>
          <t>Cameco FY26 + uranium leader + nuclear restart cycle coverage (2026-05-18)</t>
        </is>
      </c>
      <c r="G429" s="33" t="inlineStr">
        <is>
          <t>High</t>
        </is>
      </c>
      <c r="H429" s="33" t="inlineStr">
        <is>
          <t>Initial</t>
        </is>
      </c>
    </row>
    <row r="430">
      <c r="A430" s="33" t="inlineStr">
        <is>
          <t>2026-05-18</t>
        </is>
      </c>
      <c r="B430" s="33" t="inlineStr">
        <is>
          <t>CCJ</t>
        </is>
      </c>
      <c r="C430" s="33" t="inlineStr">
        <is>
          <t>M3</t>
        </is>
      </c>
      <c r="D430" s="33" t="n">
        <v>3</v>
      </c>
      <c r="E430" s="68" t="inlineStr">
        <is>
          <t>Routine; default 3.</t>
        </is>
      </c>
      <c r="F430" s="68" t="inlineStr">
        <is>
          <t>Cameco FY26 + uranium leader + nuclear restart cycle coverage (2026-05-18)</t>
        </is>
      </c>
      <c r="G430" s="33" t="inlineStr">
        <is>
          <t>High</t>
        </is>
      </c>
      <c r="H430" s="33" t="inlineStr">
        <is>
          <t>Initial</t>
        </is>
      </c>
    </row>
    <row r="431">
      <c r="A431" s="33" t="inlineStr">
        <is>
          <t>2026-05-18</t>
        </is>
      </c>
      <c r="B431" s="33" t="inlineStr">
        <is>
          <t>CCJ</t>
        </is>
      </c>
      <c r="C431" s="33" t="inlineStr">
        <is>
          <t>R1</t>
        </is>
      </c>
      <c r="D431" s="33" t="n">
        <v>4</v>
      </c>
      <c r="E431" s="68" t="inlineStr">
        <is>
          <t>Diversified utility customers.</t>
        </is>
      </c>
      <c r="F431" s="68" t="inlineStr">
        <is>
          <t>Cameco FY26 + uranium leader + nuclear restart cycle coverage (2026-05-18)</t>
        </is>
      </c>
      <c r="G431" s="33" t="inlineStr">
        <is>
          <t>High</t>
        </is>
      </c>
      <c r="H431" s="33" t="inlineStr">
        <is>
          <t>Initial</t>
        </is>
      </c>
    </row>
    <row r="432">
      <c r="A432" s="33" t="inlineStr">
        <is>
          <t>2026-05-18</t>
        </is>
      </c>
      <c r="B432" s="33" t="inlineStr">
        <is>
          <t>CCJ</t>
        </is>
      </c>
      <c r="C432" s="33" t="inlineStr">
        <is>
          <t>R2</t>
        </is>
      </c>
      <c r="D432" s="33" t="n">
        <v>4</v>
      </c>
      <c r="E432" s="68" t="inlineStr">
        <is>
          <t>Canada-listed but US ADR; minimal political risk.</t>
        </is>
      </c>
      <c r="F432" s="68" t="inlineStr">
        <is>
          <t>Cameco FY26 + uranium leader + nuclear restart cycle coverage (2026-05-18)</t>
        </is>
      </c>
      <c r="G432" s="33" t="inlineStr">
        <is>
          <t>High</t>
        </is>
      </c>
      <c r="H432" s="33" t="inlineStr">
        <is>
          <t>Initial</t>
        </is>
      </c>
    </row>
    <row r="433">
      <c r="A433" s="33" t="inlineStr">
        <is>
          <t>2026-05-18</t>
        </is>
      </c>
      <c r="B433" s="33" t="inlineStr">
        <is>
          <t>CCJ</t>
        </is>
      </c>
      <c r="C433" s="33" t="inlineStr">
        <is>
          <t>R3</t>
        </is>
      </c>
      <c r="D433" s="33" t="n">
        <v>5</v>
      </c>
      <c r="E433" s="68" t="inlineStr">
        <is>
          <t>Net cash position.</t>
        </is>
      </c>
      <c r="F433" s="68" t="inlineStr">
        <is>
          <t>Cameco FY26 + uranium leader + nuclear restart cycle coverage (2026-05-18)</t>
        </is>
      </c>
      <c r="G433" s="33" t="inlineStr">
        <is>
          <t>High</t>
        </is>
      </c>
      <c r="H433" s="33" t="inlineStr">
        <is>
          <t>Initial</t>
        </is>
      </c>
    </row>
    <row r="434">
      <c r="A434" s="33" t="inlineStr">
        <is>
          <t>2026-05-18</t>
        </is>
      </c>
      <c r="B434" s="33" t="inlineStr">
        <is>
          <t>CCJ</t>
        </is>
      </c>
      <c r="C434" s="33" t="inlineStr">
        <is>
          <t>R4</t>
        </is>
      </c>
      <c r="D434" s="33" t="n">
        <v>4</v>
      </c>
      <c r="E434" s="68" t="inlineStr">
        <is>
          <t>Routine.</t>
        </is>
      </c>
      <c r="F434" s="68" t="inlineStr">
        <is>
          <t>Cameco FY26 + uranium leader + nuclear restart cycle coverage (2026-05-18)</t>
        </is>
      </c>
      <c r="G434" s="33" t="inlineStr">
        <is>
          <t>High</t>
        </is>
      </c>
      <c r="H434" s="33" t="inlineStr">
        <is>
          <t>Initial</t>
        </is>
      </c>
    </row>
    <row r="435">
      <c r="A435" s="33" t="inlineStr">
        <is>
          <t>2026-05-18</t>
        </is>
      </c>
      <c r="B435" s="33" t="inlineStr">
        <is>
          <t>UEC</t>
        </is>
      </c>
      <c r="C435" s="33" t="inlineStr">
        <is>
          <t>D1</t>
        </is>
      </c>
      <c r="D435" s="33" t="n">
        <v>2</v>
      </c>
      <c r="E435" s="68" t="inlineStr">
        <is>
          <t>US uranium development; minimal current revenue from AI cycle.</t>
        </is>
      </c>
      <c r="F435" s="68" t="inlineStr">
        <is>
          <t>Uranium Energy FY26 + US uranium development coverage (2026-05-18)</t>
        </is>
      </c>
      <c r="G435" s="33" t="inlineStr">
        <is>
          <t>High</t>
        </is>
      </c>
      <c r="H435" s="33" t="inlineStr">
        <is>
          <t>Initial</t>
        </is>
      </c>
    </row>
    <row r="436">
      <c r="A436" s="33" t="inlineStr">
        <is>
          <t>2026-05-18</t>
        </is>
      </c>
      <c r="B436" s="33" t="inlineStr">
        <is>
          <t>UEC</t>
        </is>
      </c>
      <c r="C436" s="33" t="inlineStr">
        <is>
          <t>D2</t>
        </is>
      </c>
      <c r="D436" s="33" t="n">
        <v>3</v>
      </c>
      <c r="E436" s="68" t="inlineStr">
        <is>
          <t>Smaller scale than CCJ.</t>
        </is>
      </c>
      <c r="F436" s="68" t="inlineStr">
        <is>
          <t>Uranium Energy FY26 + US uranium development coverage (2026-05-18)</t>
        </is>
      </c>
      <c r="G436" s="33" t="inlineStr">
        <is>
          <t>High</t>
        </is>
      </c>
      <c r="H436" s="33" t="inlineStr">
        <is>
          <t>Initial</t>
        </is>
      </c>
    </row>
    <row r="437">
      <c r="A437" s="33" t="inlineStr">
        <is>
          <t>2026-05-18</t>
        </is>
      </c>
      <c r="B437" s="33" t="inlineStr">
        <is>
          <t>UEC</t>
        </is>
      </c>
      <c r="C437" s="33" t="inlineStr">
        <is>
          <t>D3</t>
        </is>
      </c>
      <c r="D437" s="33" t="n">
        <v>3</v>
      </c>
      <c r="E437" s="68" t="inlineStr">
        <is>
          <t>Limited IP moat; commoditizable.</t>
        </is>
      </c>
      <c r="F437" s="68" t="inlineStr">
        <is>
          <t>Uranium Energy FY26 + US uranium development coverage (2026-05-18)</t>
        </is>
      </c>
      <c r="G437" s="33" t="inlineStr">
        <is>
          <t>High</t>
        </is>
      </c>
      <c r="H437" s="33" t="inlineStr">
        <is>
          <t>Initial</t>
        </is>
      </c>
    </row>
    <row r="438">
      <c r="A438" s="33" t="inlineStr">
        <is>
          <t>2026-05-18</t>
        </is>
      </c>
      <c r="B438" s="33" t="inlineStr">
        <is>
          <t>UEC</t>
        </is>
      </c>
      <c r="C438" s="33" t="inlineStr">
        <is>
          <t>D4</t>
        </is>
      </c>
      <c r="D438" s="33" t="n">
        <v>3</v>
      </c>
      <c r="E438" s="68" t="inlineStr">
        <is>
          <t>Capex but limited revenue base.</t>
        </is>
      </c>
      <c r="F438" s="68" t="inlineStr">
        <is>
          <t>Uranium Energy FY26 + US uranium development coverage (2026-05-18)</t>
        </is>
      </c>
      <c r="G438" s="33" t="inlineStr">
        <is>
          <t>High</t>
        </is>
      </c>
      <c r="H438" s="33" t="inlineStr">
        <is>
          <t>Initial</t>
        </is>
      </c>
    </row>
    <row r="439">
      <c r="A439" s="33" t="inlineStr">
        <is>
          <t>2026-05-18</t>
        </is>
      </c>
      <c r="B439" s="33" t="inlineStr">
        <is>
          <t>UEC</t>
        </is>
      </c>
      <c r="C439" s="33" t="inlineStr">
        <is>
          <t>D5</t>
        </is>
      </c>
      <c r="D439" s="33" t="n">
        <v>2</v>
      </c>
      <c r="E439" s="68" t="inlineStr">
        <is>
          <t>Indirect.</t>
        </is>
      </c>
      <c r="F439" s="68" t="inlineStr">
        <is>
          <t>Uranium Energy FY26 + US uranium development coverage (2026-05-18)</t>
        </is>
      </c>
      <c r="G439" s="33" t="inlineStr">
        <is>
          <t>High</t>
        </is>
      </c>
      <c r="H439" s="33" t="inlineStr">
        <is>
          <t>Initial</t>
        </is>
      </c>
    </row>
    <row r="440">
      <c r="A440" s="33" t="inlineStr">
        <is>
          <t>2026-05-18</t>
        </is>
      </c>
      <c r="B440" s="33" t="inlineStr">
        <is>
          <t>UEC</t>
        </is>
      </c>
      <c r="C440" s="33" t="inlineStr">
        <is>
          <t>M1</t>
        </is>
      </c>
      <c r="D440" s="33" t="n">
        <v>2</v>
      </c>
      <c r="E440" s="68" t="inlineStr">
        <is>
          <t>0/2 — negative.</t>
        </is>
      </c>
      <c r="F440" s="68" t="inlineStr">
        <is>
          <t>Uranium Energy FY26 + US uranium development coverage (2026-05-18)</t>
        </is>
      </c>
      <c r="G440" s="33" t="inlineStr">
        <is>
          <t>High</t>
        </is>
      </c>
      <c r="H440" s="33" t="inlineStr">
        <is>
          <t>Initial</t>
        </is>
      </c>
    </row>
    <row r="441">
      <c r="A441" s="33" t="inlineStr">
        <is>
          <t>2026-05-18</t>
        </is>
      </c>
      <c r="B441" s="33" t="inlineStr">
        <is>
          <t>UEC</t>
        </is>
      </c>
      <c r="C441" s="33" t="inlineStr">
        <is>
          <t>M2</t>
        </is>
      </c>
      <c r="D441" s="33" t="n">
        <v>1</v>
      </c>
      <c r="E441" s="68" t="inlineStr">
        <is>
          <t>+9.9% absolute but lagging XLE by 26.8pp.</t>
        </is>
      </c>
      <c r="F441" s="68" t="inlineStr">
        <is>
          <t>Uranium Energy FY26 + US uranium development coverage (2026-05-18)</t>
        </is>
      </c>
      <c r="G441" s="33" t="inlineStr">
        <is>
          <t>High</t>
        </is>
      </c>
      <c r="H441" s="33" t="inlineStr">
        <is>
          <t>Initial</t>
        </is>
      </c>
    </row>
    <row r="442">
      <c r="A442" s="33" t="inlineStr">
        <is>
          <t>2026-05-18</t>
        </is>
      </c>
      <c r="B442" s="33" t="inlineStr">
        <is>
          <t>UEC</t>
        </is>
      </c>
      <c r="C442" s="33" t="inlineStr">
        <is>
          <t>M3</t>
        </is>
      </c>
      <c r="D442" s="33" t="n">
        <v>3</v>
      </c>
      <c r="E442" s="68" t="inlineStr">
        <is>
          <t>Routine; default 3.</t>
        </is>
      </c>
      <c r="F442" s="68" t="inlineStr">
        <is>
          <t>Uranium Energy FY26 + US uranium development coverage (2026-05-18)</t>
        </is>
      </c>
      <c r="G442" s="33" t="inlineStr">
        <is>
          <t>High</t>
        </is>
      </c>
      <c r="H442" s="33" t="inlineStr">
        <is>
          <t>Initial</t>
        </is>
      </c>
    </row>
    <row r="443">
      <c r="A443" s="33" t="inlineStr">
        <is>
          <t>2026-05-18</t>
        </is>
      </c>
      <c r="B443" s="33" t="inlineStr">
        <is>
          <t>UEC</t>
        </is>
      </c>
      <c r="C443" s="33" t="inlineStr">
        <is>
          <t>R1</t>
        </is>
      </c>
      <c r="D443" s="33" t="n">
        <v>3</v>
      </c>
      <c r="E443" s="68" t="inlineStr">
        <is>
          <t>Limited revenue base.</t>
        </is>
      </c>
      <c r="F443" s="68" t="inlineStr">
        <is>
          <t>Uranium Energy FY26 + US uranium development coverage (2026-05-18)</t>
        </is>
      </c>
      <c r="G443" s="33" t="inlineStr">
        <is>
          <t>High</t>
        </is>
      </c>
      <c r="H443" s="33" t="inlineStr">
        <is>
          <t>Initial</t>
        </is>
      </c>
    </row>
    <row r="444">
      <c r="A444" s="33" t="inlineStr">
        <is>
          <t>2026-05-18</t>
        </is>
      </c>
      <c r="B444" s="33" t="inlineStr">
        <is>
          <t>UEC</t>
        </is>
      </c>
      <c r="C444" s="33" t="inlineStr">
        <is>
          <t>R2</t>
        </is>
      </c>
      <c r="D444" s="33" t="n">
        <v>5</v>
      </c>
      <c r="E444" s="68" t="inlineStr">
        <is>
          <t>US.</t>
        </is>
      </c>
      <c r="F444" s="68" t="inlineStr">
        <is>
          <t>Uranium Energy FY26 + US uranium development coverage (2026-05-18)</t>
        </is>
      </c>
      <c r="G444" s="33" t="inlineStr">
        <is>
          <t>High</t>
        </is>
      </c>
      <c r="H444" s="33" t="inlineStr">
        <is>
          <t>Initial</t>
        </is>
      </c>
    </row>
    <row r="445">
      <c r="A445" s="33" t="inlineStr">
        <is>
          <t>2026-05-18</t>
        </is>
      </c>
      <c r="B445" s="33" t="inlineStr">
        <is>
          <t>UEC</t>
        </is>
      </c>
      <c r="C445" s="33" t="inlineStr">
        <is>
          <t>R3</t>
        </is>
      </c>
      <c r="D445" s="33" t="n">
        <v>4</v>
      </c>
      <c r="E445" s="68" t="inlineStr">
        <is>
          <t>Cash-burning; needs uranium price for FCF.</t>
        </is>
      </c>
      <c r="F445" s="68" t="inlineStr">
        <is>
          <t>Uranium Energy FY26 + US uranium development coverage (2026-05-18)</t>
        </is>
      </c>
      <c r="G445" s="33" t="inlineStr">
        <is>
          <t>High</t>
        </is>
      </c>
      <c r="H445" s="33" t="inlineStr">
        <is>
          <t>Initial</t>
        </is>
      </c>
    </row>
    <row r="446">
      <c r="A446" s="33" t="inlineStr">
        <is>
          <t>2026-05-18</t>
        </is>
      </c>
      <c r="B446" s="33" t="inlineStr">
        <is>
          <t>UEC</t>
        </is>
      </c>
      <c r="C446" s="33" t="inlineStr">
        <is>
          <t>R4</t>
        </is>
      </c>
      <c r="D446" s="33" t="n">
        <v>4</v>
      </c>
      <c r="E446" s="68" t="inlineStr">
        <is>
          <t>Routine.</t>
        </is>
      </c>
      <c r="F446" s="68" t="inlineStr">
        <is>
          <t>Uranium Energy FY26 + US uranium development coverage (2026-05-18)</t>
        </is>
      </c>
      <c r="G446" s="33" t="inlineStr">
        <is>
          <t>High</t>
        </is>
      </c>
      <c r="H446" s="33" t="inlineStr">
        <is>
          <t>Initial</t>
        </is>
      </c>
    </row>
    <row r="447">
      <c r="A447" s="33" t="inlineStr">
        <is>
          <t>2026-05-18</t>
        </is>
      </c>
      <c r="B447" s="33" t="inlineStr">
        <is>
          <t>LEU</t>
        </is>
      </c>
      <c r="C447" s="33" t="inlineStr">
        <is>
          <t>D1</t>
        </is>
      </c>
      <c r="D447" s="33" t="n">
        <v>3</v>
      </c>
      <c r="E447" s="68" t="inlineStr">
        <is>
          <t>HALEU enrichment for SMRs — speculative AI-adjacent revenue.</t>
        </is>
      </c>
      <c r="F447" s="68" t="inlineStr">
        <is>
          <t>Centrus Energy + HALEU enrichment for SMRs coverage (2026-05-18)</t>
        </is>
      </c>
      <c r="G447" s="33" t="inlineStr">
        <is>
          <t>High</t>
        </is>
      </c>
      <c r="H447" s="33" t="inlineStr">
        <is>
          <t>Initial</t>
        </is>
      </c>
    </row>
    <row r="448">
      <c r="A448" s="33" t="inlineStr">
        <is>
          <t>2026-05-18</t>
        </is>
      </c>
      <c r="B448" s="33" t="inlineStr">
        <is>
          <t>LEU</t>
        </is>
      </c>
      <c r="C448" s="33" t="inlineStr">
        <is>
          <t>D2</t>
        </is>
      </c>
      <c r="D448" s="33" t="n">
        <v>5</v>
      </c>
      <c r="E448" s="68" t="inlineStr">
        <is>
          <t>Unique HALEU position; limited US competitors.</t>
        </is>
      </c>
      <c r="F448" s="68" t="inlineStr">
        <is>
          <t>Centrus Energy + HALEU enrichment for SMRs coverage (2026-05-18)</t>
        </is>
      </c>
      <c r="G448" s="33" t="inlineStr">
        <is>
          <t>High</t>
        </is>
      </c>
      <c r="H448" s="33" t="inlineStr">
        <is>
          <t>Initial</t>
        </is>
      </c>
    </row>
    <row r="449">
      <c r="A449" s="33" t="inlineStr">
        <is>
          <t>2026-05-18</t>
        </is>
      </c>
      <c r="B449" s="33" t="inlineStr">
        <is>
          <t>LEU</t>
        </is>
      </c>
      <c r="C449" s="33" t="inlineStr">
        <is>
          <t>D3</t>
        </is>
      </c>
      <c r="D449" s="33" t="n">
        <v>4</v>
      </c>
      <c r="E449" s="68" t="inlineStr">
        <is>
          <t>Regulatory IP + enrichment technology.</t>
        </is>
      </c>
      <c r="F449" s="68" t="inlineStr">
        <is>
          <t>Centrus Energy + HALEU enrichment for SMRs coverage (2026-05-18)</t>
        </is>
      </c>
      <c r="G449" s="33" t="inlineStr">
        <is>
          <t>High</t>
        </is>
      </c>
      <c r="H449" s="33" t="inlineStr">
        <is>
          <t>Initial</t>
        </is>
      </c>
    </row>
    <row r="450">
      <c r="A450" s="33" t="inlineStr">
        <is>
          <t>2026-05-18</t>
        </is>
      </c>
      <c r="B450" s="33" t="inlineStr">
        <is>
          <t>LEU</t>
        </is>
      </c>
      <c r="C450" s="33" t="inlineStr">
        <is>
          <t>D4</t>
        </is>
      </c>
      <c r="D450" s="33" t="n">
        <v>4</v>
      </c>
      <c r="E450" s="68" t="inlineStr">
        <is>
          <t>Capacity expansion plans contingent on SMR rollout.</t>
        </is>
      </c>
      <c r="F450" s="68" t="inlineStr">
        <is>
          <t>Centrus Energy + HALEU enrichment for SMRs coverage (2026-05-18)</t>
        </is>
      </c>
      <c r="G450" s="33" t="inlineStr">
        <is>
          <t>High</t>
        </is>
      </c>
      <c r="H450" s="33" t="inlineStr">
        <is>
          <t>Initial</t>
        </is>
      </c>
    </row>
    <row r="451">
      <c r="A451" s="33" t="inlineStr">
        <is>
          <t>2026-05-18</t>
        </is>
      </c>
      <c r="B451" s="33" t="inlineStr">
        <is>
          <t>LEU</t>
        </is>
      </c>
      <c r="C451" s="33" t="inlineStr">
        <is>
          <t>D5</t>
        </is>
      </c>
      <c r="D451" s="33" t="n">
        <v>3</v>
      </c>
      <c r="E451" s="68" t="inlineStr">
        <is>
          <t>Indirect — sells to SMR developers.</t>
        </is>
      </c>
      <c r="F451" s="68" t="inlineStr">
        <is>
          <t>Centrus Energy + HALEU enrichment for SMRs coverage (2026-05-18)</t>
        </is>
      </c>
      <c r="G451" s="33" t="inlineStr">
        <is>
          <t>High</t>
        </is>
      </c>
      <c r="H451" s="33" t="inlineStr">
        <is>
          <t>Initial</t>
        </is>
      </c>
    </row>
    <row r="452">
      <c r="A452" s="33" t="inlineStr">
        <is>
          <t>2026-05-18</t>
        </is>
      </c>
      <c r="B452" s="33" t="inlineStr">
        <is>
          <t>LEU</t>
        </is>
      </c>
      <c r="C452" s="33" t="inlineStr">
        <is>
          <t>M1</t>
        </is>
      </c>
      <c r="D452" s="33" t="n">
        <v>3</v>
      </c>
      <c r="E452" s="68" t="inlineStr">
        <is>
          <t>0/1 — neutral-negative.</t>
        </is>
      </c>
      <c r="F452" s="68" t="inlineStr">
        <is>
          <t>Centrus Energy + HALEU enrichment for SMRs coverage (2026-05-18)</t>
        </is>
      </c>
      <c r="G452" s="33" t="inlineStr">
        <is>
          <t>High</t>
        </is>
      </c>
      <c r="H452" s="33" t="inlineStr">
        <is>
          <t>Initial</t>
        </is>
      </c>
    </row>
    <row r="453">
      <c r="A453" s="33" t="inlineStr">
        <is>
          <t>2026-05-18</t>
        </is>
      </c>
      <c r="B453" s="33" t="inlineStr">
        <is>
          <t>LEU</t>
        </is>
      </c>
      <c r="C453" s="33" t="inlineStr">
        <is>
          <t>M2</t>
        </is>
      </c>
      <c r="D453" s="33" t="n">
        <v>1</v>
      </c>
      <c r="E453" s="68" t="inlineStr">
        <is>
          <t>-34.5% absolute, -71pp vs XLE — heavy lag.</t>
        </is>
      </c>
      <c r="F453" s="68" t="inlineStr">
        <is>
          <t>Centrus Energy + HALEU enrichment for SMRs coverage (2026-05-18)</t>
        </is>
      </c>
      <c r="G453" s="33" t="inlineStr">
        <is>
          <t>High</t>
        </is>
      </c>
      <c r="H453" s="33" t="inlineStr">
        <is>
          <t>Initial</t>
        </is>
      </c>
    </row>
    <row r="454">
      <c r="A454" s="33" t="inlineStr">
        <is>
          <t>2026-05-18</t>
        </is>
      </c>
      <c r="B454" s="33" t="inlineStr">
        <is>
          <t>LEU</t>
        </is>
      </c>
      <c r="C454" s="33" t="inlineStr">
        <is>
          <t>M3</t>
        </is>
      </c>
      <c r="D454" s="33" t="n">
        <v>3</v>
      </c>
      <c r="E454" s="68" t="inlineStr">
        <is>
          <t>Routine; default 3.</t>
        </is>
      </c>
      <c r="F454" s="68" t="inlineStr">
        <is>
          <t>Centrus Energy + HALEU enrichment for SMRs coverage (2026-05-18)</t>
        </is>
      </c>
      <c r="G454" s="33" t="inlineStr">
        <is>
          <t>High</t>
        </is>
      </c>
      <c r="H454" s="33" t="inlineStr">
        <is>
          <t>Initial</t>
        </is>
      </c>
    </row>
    <row r="455">
      <c r="A455" s="33" t="inlineStr">
        <is>
          <t>2026-05-18</t>
        </is>
      </c>
      <c r="B455" s="33" t="inlineStr">
        <is>
          <t>LEU</t>
        </is>
      </c>
      <c r="C455" s="33" t="inlineStr">
        <is>
          <t>R1</t>
        </is>
      </c>
      <c r="D455" s="33" t="n">
        <v>3</v>
      </c>
      <c r="E455" s="68" t="inlineStr">
        <is>
          <t>Limited customers.</t>
        </is>
      </c>
      <c r="F455" s="68" t="inlineStr">
        <is>
          <t>Centrus Energy + HALEU enrichment for SMRs coverage (2026-05-18)</t>
        </is>
      </c>
      <c r="G455" s="33" t="inlineStr">
        <is>
          <t>High</t>
        </is>
      </c>
      <c r="H455" s="33" t="inlineStr">
        <is>
          <t>Initial</t>
        </is>
      </c>
    </row>
    <row r="456">
      <c r="A456" s="33" t="inlineStr">
        <is>
          <t>2026-05-18</t>
        </is>
      </c>
      <c r="B456" s="33" t="inlineStr">
        <is>
          <t>LEU</t>
        </is>
      </c>
      <c r="C456" s="33" t="inlineStr">
        <is>
          <t>R2</t>
        </is>
      </c>
      <c r="D456" s="33" t="n">
        <v>5</v>
      </c>
      <c r="E456" s="68" t="inlineStr">
        <is>
          <t>US.</t>
        </is>
      </c>
      <c r="F456" s="68" t="inlineStr">
        <is>
          <t>Centrus Energy + HALEU enrichment for SMRs coverage (2026-05-18)</t>
        </is>
      </c>
      <c r="G456" s="33" t="inlineStr">
        <is>
          <t>High</t>
        </is>
      </c>
      <c r="H456" s="33" t="inlineStr">
        <is>
          <t>Initial</t>
        </is>
      </c>
    </row>
    <row r="457">
      <c r="A457" s="33" t="inlineStr">
        <is>
          <t>2026-05-18</t>
        </is>
      </c>
      <c r="B457" s="33" t="inlineStr">
        <is>
          <t>LEU</t>
        </is>
      </c>
      <c r="C457" s="33" t="inlineStr">
        <is>
          <t>R3</t>
        </is>
      </c>
      <c r="D457" s="33" t="n">
        <v>3</v>
      </c>
      <c r="E457" s="68" t="inlineStr">
        <is>
          <t>Marginal cash flow.</t>
        </is>
      </c>
      <c r="F457" s="68" t="inlineStr">
        <is>
          <t>Centrus Energy + HALEU enrichment for SMRs coverage (2026-05-18)</t>
        </is>
      </c>
      <c r="G457" s="33" t="inlineStr">
        <is>
          <t>High</t>
        </is>
      </c>
      <c r="H457" s="33" t="inlineStr">
        <is>
          <t>Initial</t>
        </is>
      </c>
    </row>
    <row r="458">
      <c r="A458" s="33" t="inlineStr">
        <is>
          <t>2026-05-18</t>
        </is>
      </c>
      <c r="B458" s="33" t="inlineStr">
        <is>
          <t>LEU</t>
        </is>
      </c>
      <c r="C458" s="33" t="inlineStr">
        <is>
          <t>R4</t>
        </is>
      </c>
      <c r="D458" s="33" t="n">
        <v>4</v>
      </c>
      <c r="E458" s="68" t="inlineStr">
        <is>
          <t>Routine.</t>
        </is>
      </c>
      <c r="F458" s="68" t="inlineStr">
        <is>
          <t>Centrus Energy + HALEU enrichment for SMRs coverage (2026-05-18)</t>
        </is>
      </c>
      <c r="G458" s="33" t="inlineStr">
        <is>
          <t>High</t>
        </is>
      </c>
      <c r="H458" s="33" t="inlineStr">
        <is>
          <t>Initial</t>
        </is>
      </c>
    </row>
    <row r="459">
      <c r="A459" s="33" t="inlineStr">
        <is>
          <t>2026-05-18</t>
        </is>
      </c>
      <c r="B459" s="33" t="inlineStr">
        <is>
          <t>BWXT</t>
        </is>
      </c>
      <c r="C459" s="33" t="inlineStr">
        <is>
          <t>D1</t>
        </is>
      </c>
      <c r="D459" s="33" t="n">
        <v>2</v>
      </c>
      <c r="E459" s="68" t="inlineStr">
        <is>
          <t>Naval reactors + nuclear components. Indirect AI exposure via SMR component fabrication.</t>
        </is>
      </c>
      <c r="F459" s="68" t="inlineStr">
        <is>
          <t>BWX Tech + naval reactors + nuclear components coverage (2026-05-18)</t>
        </is>
      </c>
      <c r="G459" s="33" t="inlineStr">
        <is>
          <t>High</t>
        </is>
      </c>
      <c r="H459" s="33" t="inlineStr">
        <is>
          <t>Initial</t>
        </is>
      </c>
    </row>
    <row r="460">
      <c r="A460" s="33" t="inlineStr">
        <is>
          <t>2026-05-18</t>
        </is>
      </c>
      <c r="B460" s="33" t="inlineStr">
        <is>
          <t>BWXT</t>
        </is>
      </c>
      <c r="C460" s="33" t="inlineStr">
        <is>
          <t>D2</t>
        </is>
      </c>
      <c r="D460" s="33" t="n">
        <v>4</v>
      </c>
      <c r="E460" s="68" t="inlineStr">
        <is>
          <t>Specialized nuclear component manufacturer.</t>
        </is>
      </c>
      <c r="F460" s="68" t="inlineStr">
        <is>
          <t>BWX Tech + naval reactors + nuclear components coverage (2026-05-18)</t>
        </is>
      </c>
      <c r="G460" s="33" t="inlineStr">
        <is>
          <t>High</t>
        </is>
      </c>
      <c r="H460" s="33" t="inlineStr">
        <is>
          <t>Initial</t>
        </is>
      </c>
    </row>
    <row r="461">
      <c r="A461" s="33" t="inlineStr">
        <is>
          <t>2026-05-18</t>
        </is>
      </c>
      <c r="B461" s="33" t="inlineStr">
        <is>
          <t>BWXT</t>
        </is>
      </c>
      <c r="C461" s="33" t="inlineStr">
        <is>
          <t>D3</t>
        </is>
      </c>
      <c r="D461" s="33" t="n">
        <v>4</v>
      </c>
      <c r="E461" s="68" t="inlineStr">
        <is>
          <t>Naval reactor monopoly position + nuclear IP.</t>
        </is>
      </c>
      <c r="F461" s="68" t="inlineStr">
        <is>
          <t>BWX Tech + naval reactors + nuclear components coverage (2026-05-18)</t>
        </is>
      </c>
      <c r="G461" s="33" t="inlineStr">
        <is>
          <t>High</t>
        </is>
      </c>
      <c r="H461" s="33" t="inlineStr">
        <is>
          <t>Initial</t>
        </is>
      </c>
    </row>
    <row r="462">
      <c r="A462" s="33" t="inlineStr">
        <is>
          <t>2026-05-18</t>
        </is>
      </c>
      <c r="B462" s="33" t="inlineStr">
        <is>
          <t>BWXT</t>
        </is>
      </c>
      <c r="C462" s="33" t="inlineStr">
        <is>
          <t>D4</t>
        </is>
      </c>
      <c r="D462" s="33" t="n">
        <v>4</v>
      </c>
      <c r="E462" s="68" t="inlineStr">
        <is>
          <t>SMR + naval ramp.</t>
        </is>
      </c>
      <c r="F462" s="68" t="inlineStr">
        <is>
          <t>BWX Tech + naval reactors + nuclear components coverage (2026-05-18)</t>
        </is>
      </c>
      <c r="G462" s="33" t="inlineStr">
        <is>
          <t>High</t>
        </is>
      </c>
      <c r="H462" s="33" t="inlineStr">
        <is>
          <t>Initial</t>
        </is>
      </c>
    </row>
    <row r="463">
      <c r="A463" s="33" t="inlineStr">
        <is>
          <t>2026-05-18</t>
        </is>
      </c>
      <c r="B463" s="33" t="inlineStr">
        <is>
          <t>BWXT</t>
        </is>
      </c>
      <c r="C463" s="33" t="inlineStr">
        <is>
          <t>D5</t>
        </is>
      </c>
      <c r="D463" s="33" t="n">
        <v>2</v>
      </c>
      <c r="E463" s="68" t="inlineStr">
        <is>
          <t>Indirect.</t>
        </is>
      </c>
      <c r="F463" s="68" t="inlineStr">
        <is>
          <t>BWX Tech + naval reactors + nuclear components coverage (2026-05-18)</t>
        </is>
      </c>
      <c r="G463" s="33" t="inlineStr">
        <is>
          <t>High</t>
        </is>
      </c>
      <c r="H463" s="33" t="inlineStr">
        <is>
          <t>Initial</t>
        </is>
      </c>
    </row>
    <row r="464">
      <c r="A464" s="33" t="inlineStr">
        <is>
          <t>2026-05-18</t>
        </is>
      </c>
      <c r="B464" s="33" t="inlineStr">
        <is>
          <t>BWXT</t>
        </is>
      </c>
      <c r="C464" s="33" t="inlineStr">
        <is>
          <t>M1</t>
        </is>
      </c>
      <c r="D464" s="33" t="n">
        <v>4</v>
      </c>
      <c r="E464" s="68" t="inlineStr">
        <is>
          <t>5/2 — net positive.</t>
        </is>
      </c>
      <c r="F464" s="68" t="inlineStr">
        <is>
          <t>BWX Tech + naval reactors + nuclear components coverage (2026-05-18)</t>
        </is>
      </c>
      <c r="G464" s="33" t="inlineStr">
        <is>
          <t>High</t>
        </is>
      </c>
      <c r="H464" s="33" t="inlineStr">
        <is>
          <t>Initial</t>
        </is>
      </c>
    </row>
    <row r="465">
      <c r="A465" s="33" t="inlineStr">
        <is>
          <t>2026-05-18</t>
        </is>
      </c>
      <c r="B465" s="33" t="inlineStr">
        <is>
          <t>BWXT</t>
        </is>
      </c>
      <c r="C465" s="33" t="inlineStr">
        <is>
          <t>M2</t>
        </is>
      </c>
      <c r="D465" s="33" t="n">
        <v>3</v>
      </c>
      <c r="E465" s="68" t="inlineStr">
        <is>
          <t>+13% absolute, in-line XLI.</t>
        </is>
      </c>
      <c r="F465" s="68" t="inlineStr">
        <is>
          <t>BWX Tech + naval reactors + nuclear components coverage (2026-05-18)</t>
        </is>
      </c>
      <c r="G465" s="33" t="inlineStr">
        <is>
          <t>High</t>
        </is>
      </c>
      <c r="H465" s="33" t="inlineStr">
        <is>
          <t>Initial</t>
        </is>
      </c>
    </row>
    <row r="466">
      <c r="A466" s="33" t="inlineStr">
        <is>
          <t>2026-05-18</t>
        </is>
      </c>
      <c r="B466" s="33" t="inlineStr">
        <is>
          <t>BWXT</t>
        </is>
      </c>
      <c r="C466" s="33" t="inlineStr">
        <is>
          <t>M3</t>
        </is>
      </c>
      <c r="D466" s="33" t="n">
        <v>3</v>
      </c>
      <c r="E466" s="68" t="inlineStr">
        <is>
          <t>Routine; default 3.</t>
        </is>
      </c>
      <c r="F466" s="68" t="inlineStr">
        <is>
          <t>BWX Tech + naval reactors + nuclear components coverage (2026-05-18)</t>
        </is>
      </c>
      <c r="G466" s="33" t="inlineStr">
        <is>
          <t>High</t>
        </is>
      </c>
      <c r="H466" s="33" t="inlineStr">
        <is>
          <t>Initial</t>
        </is>
      </c>
    </row>
    <row r="467">
      <c r="A467" s="33" t="inlineStr">
        <is>
          <t>2026-05-18</t>
        </is>
      </c>
      <c r="B467" s="33" t="inlineStr">
        <is>
          <t>BWXT</t>
        </is>
      </c>
      <c r="C467" s="33" t="inlineStr">
        <is>
          <t>R1</t>
        </is>
      </c>
      <c r="D467" s="33" t="n">
        <v>4</v>
      </c>
      <c r="E467" s="68" t="inlineStr">
        <is>
          <t>Concentrated government customer + utility customers.</t>
        </is>
      </c>
      <c r="F467" s="68" t="inlineStr">
        <is>
          <t>BWX Tech + naval reactors + nuclear components coverage (2026-05-18)</t>
        </is>
      </c>
      <c r="G467" s="33" t="inlineStr">
        <is>
          <t>High</t>
        </is>
      </c>
      <c r="H467" s="33" t="inlineStr">
        <is>
          <t>Initial</t>
        </is>
      </c>
    </row>
    <row r="468">
      <c r="A468" s="33" t="inlineStr">
        <is>
          <t>2026-05-18</t>
        </is>
      </c>
      <c r="B468" s="33" t="inlineStr">
        <is>
          <t>BWXT</t>
        </is>
      </c>
      <c r="C468" s="33" t="inlineStr">
        <is>
          <t>R2</t>
        </is>
      </c>
      <c r="D468" s="33" t="n">
        <v>5</v>
      </c>
      <c r="E468" s="68" t="inlineStr">
        <is>
          <t>US-only.</t>
        </is>
      </c>
      <c r="F468" s="68" t="inlineStr">
        <is>
          <t>BWX Tech + naval reactors + nuclear components coverage (2026-05-18)</t>
        </is>
      </c>
      <c r="G468" s="33" t="inlineStr">
        <is>
          <t>High</t>
        </is>
      </c>
      <c r="H468" s="33" t="inlineStr">
        <is>
          <t>Initial</t>
        </is>
      </c>
    </row>
    <row r="469">
      <c r="A469" s="33" t="inlineStr">
        <is>
          <t>2026-05-18</t>
        </is>
      </c>
      <c r="B469" s="33" t="inlineStr">
        <is>
          <t>BWXT</t>
        </is>
      </c>
      <c r="C469" s="33" t="inlineStr">
        <is>
          <t>R3</t>
        </is>
      </c>
      <c r="D469" s="33" t="n">
        <v>4</v>
      </c>
      <c r="E469" s="68" t="inlineStr">
        <is>
          <t>Solid balance sheet.</t>
        </is>
      </c>
      <c r="F469" s="68" t="inlineStr">
        <is>
          <t>BWX Tech + naval reactors + nuclear components coverage (2026-05-18)</t>
        </is>
      </c>
      <c r="G469" s="33" t="inlineStr">
        <is>
          <t>High</t>
        </is>
      </c>
      <c r="H469" s="33" t="inlineStr">
        <is>
          <t>Initial</t>
        </is>
      </c>
    </row>
    <row r="470">
      <c r="A470" s="33" t="inlineStr">
        <is>
          <t>2026-05-18</t>
        </is>
      </c>
      <c r="B470" s="33" t="inlineStr">
        <is>
          <t>BWXT</t>
        </is>
      </c>
      <c r="C470" s="33" t="inlineStr">
        <is>
          <t>R4</t>
        </is>
      </c>
      <c r="D470" s="33" t="n">
        <v>4</v>
      </c>
      <c r="E470" s="68" t="inlineStr">
        <is>
          <t>Routine.</t>
        </is>
      </c>
      <c r="F470" s="68" t="inlineStr">
        <is>
          <t>BWX Tech + naval reactors + nuclear components coverage (2026-05-18)</t>
        </is>
      </c>
      <c r="G470" s="33" t="inlineStr">
        <is>
          <t>High</t>
        </is>
      </c>
      <c r="H470" s="33" t="inlineStr">
        <is>
          <t>Initial</t>
        </is>
      </c>
    </row>
    <row r="471">
      <c r="A471" s="33" t="inlineStr">
        <is>
          <t>2026-05-18</t>
        </is>
      </c>
      <c r="B471" s="33" t="inlineStr">
        <is>
          <t>SMR</t>
        </is>
      </c>
      <c r="C471" s="33" t="inlineStr">
        <is>
          <t>D1</t>
        </is>
      </c>
      <c r="D471" s="33" t="n">
        <v>3</v>
      </c>
      <c r="E471" s="68" t="inlineStr">
        <is>
          <t>NuScale SMR pre-commercial; design-stage AI exposure aspirational.</t>
        </is>
      </c>
      <c r="F471" s="68" t="inlineStr">
        <is>
          <t>NuScale FY26 + SMR commercialization timeline coverage (2026-05-18)</t>
        </is>
      </c>
      <c r="G471" s="33" t="inlineStr">
        <is>
          <t>High</t>
        </is>
      </c>
      <c r="H471" s="33" t="inlineStr">
        <is>
          <t>Initial</t>
        </is>
      </c>
    </row>
    <row r="472">
      <c r="A472" s="33" t="inlineStr">
        <is>
          <t>2026-05-18</t>
        </is>
      </c>
      <c r="B472" s="33" t="inlineStr">
        <is>
          <t>SMR</t>
        </is>
      </c>
      <c r="C472" s="33" t="inlineStr">
        <is>
          <t>D2</t>
        </is>
      </c>
      <c r="D472" s="33" t="n">
        <v>2</v>
      </c>
      <c r="E472" s="68" t="inlineStr">
        <is>
          <t>Pre-commercial; faces TerraPower, X-energy, Oklo etc.</t>
        </is>
      </c>
      <c r="F472" s="68" t="inlineStr">
        <is>
          <t>NuScale FY26 + SMR commercialization timeline coverage (2026-05-18)</t>
        </is>
      </c>
      <c r="G472" s="33" t="inlineStr">
        <is>
          <t>High</t>
        </is>
      </c>
      <c r="H472" s="33" t="inlineStr">
        <is>
          <t>Initial</t>
        </is>
      </c>
    </row>
    <row r="473">
      <c r="A473" s="33" t="inlineStr">
        <is>
          <t>2026-05-18</t>
        </is>
      </c>
      <c r="B473" s="33" t="inlineStr">
        <is>
          <t>SMR</t>
        </is>
      </c>
      <c r="C473" s="33" t="inlineStr">
        <is>
          <t>D3</t>
        </is>
      </c>
      <c r="D473" s="33" t="n">
        <v>2</v>
      </c>
      <c r="E473" s="68" t="inlineStr">
        <is>
          <t>Design IP but no commercial moat yet.</t>
        </is>
      </c>
      <c r="F473" s="68" t="inlineStr">
        <is>
          <t>NuScale FY26 + SMR commercialization timeline coverage (2026-05-18)</t>
        </is>
      </c>
      <c r="G473" s="33" t="inlineStr">
        <is>
          <t>High</t>
        </is>
      </c>
      <c r="H473" s="33" t="inlineStr">
        <is>
          <t>Initial</t>
        </is>
      </c>
    </row>
    <row r="474">
      <c r="A474" s="33" t="inlineStr">
        <is>
          <t>2026-05-18</t>
        </is>
      </c>
      <c r="B474" s="33" t="inlineStr">
        <is>
          <t>SMR</t>
        </is>
      </c>
      <c r="C474" s="33" t="inlineStr">
        <is>
          <t>D4</t>
        </is>
      </c>
      <c r="D474" s="33" t="n">
        <v>3</v>
      </c>
      <c r="E474" s="68" t="inlineStr">
        <is>
          <t>Capex phase without revenue ramp.</t>
        </is>
      </c>
      <c r="F474" s="68" t="inlineStr">
        <is>
          <t>NuScale FY26 + SMR commercialization timeline coverage (2026-05-18)</t>
        </is>
      </c>
      <c r="G474" s="33" t="inlineStr">
        <is>
          <t>High</t>
        </is>
      </c>
      <c r="H474" s="33" t="inlineStr">
        <is>
          <t>Initial</t>
        </is>
      </c>
    </row>
    <row r="475">
      <c r="A475" s="33" t="inlineStr">
        <is>
          <t>2026-05-18</t>
        </is>
      </c>
      <c r="B475" s="33" t="inlineStr">
        <is>
          <t>SMR</t>
        </is>
      </c>
      <c r="C475" s="33" t="inlineStr">
        <is>
          <t>D5</t>
        </is>
      </c>
      <c r="D475" s="33" t="n">
        <v>3</v>
      </c>
      <c r="E475" s="68" t="inlineStr">
        <is>
          <t>Aspirational hyperscaler customers (no contracts).</t>
        </is>
      </c>
      <c r="F475" s="68" t="inlineStr">
        <is>
          <t>NuScale FY26 + SMR commercialization timeline coverage (2026-05-18)</t>
        </is>
      </c>
      <c r="G475" s="33" t="inlineStr">
        <is>
          <t>High</t>
        </is>
      </c>
      <c r="H475" s="33" t="inlineStr">
        <is>
          <t>Initial</t>
        </is>
      </c>
    </row>
    <row r="476">
      <c r="A476" s="33" t="inlineStr">
        <is>
          <t>2026-05-18</t>
        </is>
      </c>
      <c r="B476" s="33" t="inlineStr">
        <is>
          <t>SMR</t>
        </is>
      </c>
      <c r="C476" s="33" t="inlineStr">
        <is>
          <t>M1</t>
        </is>
      </c>
      <c r="D476" s="33" t="n">
        <v>3</v>
      </c>
      <c r="E476" s="68" t="inlineStr">
        <is>
          <t>2/2 neutral.</t>
        </is>
      </c>
      <c r="F476" s="68" t="inlineStr">
        <is>
          <t>NuScale FY26 + SMR commercialization timeline coverage (2026-05-18)</t>
        </is>
      </c>
      <c r="G476" s="33" t="inlineStr">
        <is>
          <t>High</t>
        </is>
      </c>
      <c r="H476" s="33" t="inlineStr">
        <is>
          <t>Initial</t>
        </is>
      </c>
    </row>
    <row r="477">
      <c r="A477" s="33" t="inlineStr">
        <is>
          <t>2026-05-18</t>
        </is>
      </c>
      <c r="B477" s="33" t="inlineStr">
        <is>
          <t>SMR</t>
        </is>
      </c>
      <c r="C477" s="33" t="inlineStr">
        <is>
          <t>M2</t>
        </is>
      </c>
      <c r="D477" s="33" t="n">
        <v>1</v>
      </c>
      <c r="E477" s="68" t="inlineStr">
        <is>
          <t>-50.6% absolute, -87pp XLE — worst in layer.</t>
        </is>
      </c>
      <c r="F477" s="68" t="inlineStr">
        <is>
          <t>NuScale FY26 + SMR commercialization timeline coverage (2026-05-18)</t>
        </is>
      </c>
      <c r="G477" s="33" t="inlineStr">
        <is>
          <t>High</t>
        </is>
      </c>
      <c r="H477" s="33" t="inlineStr">
        <is>
          <t>Initial</t>
        </is>
      </c>
    </row>
    <row r="478">
      <c r="A478" s="33" t="inlineStr">
        <is>
          <t>2026-05-18</t>
        </is>
      </c>
      <c r="B478" s="33" t="inlineStr">
        <is>
          <t>SMR</t>
        </is>
      </c>
      <c r="C478" s="33" t="inlineStr">
        <is>
          <t>M3</t>
        </is>
      </c>
      <c r="D478" s="33" t="n">
        <v>3</v>
      </c>
      <c r="E478" s="68" t="inlineStr">
        <is>
          <t>Routine; default 3.</t>
        </is>
      </c>
      <c r="F478" s="68" t="inlineStr">
        <is>
          <t>NuScale FY26 + SMR commercialization timeline coverage (2026-05-18)</t>
        </is>
      </c>
      <c r="G478" s="33" t="inlineStr">
        <is>
          <t>High</t>
        </is>
      </c>
      <c r="H478" s="33" t="inlineStr">
        <is>
          <t>Initial</t>
        </is>
      </c>
    </row>
    <row r="479">
      <c r="A479" s="33" t="inlineStr">
        <is>
          <t>2026-05-18</t>
        </is>
      </c>
      <c r="B479" s="33" t="inlineStr">
        <is>
          <t>SMR</t>
        </is>
      </c>
      <c r="C479" s="33" t="inlineStr">
        <is>
          <t>R1</t>
        </is>
      </c>
      <c r="D479" s="33" t="n">
        <v>3</v>
      </c>
      <c r="E479" s="68" t="inlineStr">
        <is>
          <t>Limited customer base.</t>
        </is>
      </c>
      <c r="F479" s="68" t="inlineStr">
        <is>
          <t>NuScale FY26 + SMR commercialization timeline coverage (2026-05-18)</t>
        </is>
      </c>
      <c r="G479" s="33" t="inlineStr">
        <is>
          <t>High</t>
        </is>
      </c>
      <c r="H479" s="33" t="inlineStr">
        <is>
          <t>Initial</t>
        </is>
      </c>
    </row>
    <row r="480">
      <c r="A480" s="33" t="inlineStr">
        <is>
          <t>2026-05-18</t>
        </is>
      </c>
      <c r="B480" s="33" t="inlineStr">
        <is>
          <t>SMR</t>
        </is>
      </c>
      <c r="C480" s="33" t="inlineStr">
        <is>
          <t>R2</t>
        </is>
      </c>
      <c r="D480" s="33" t="n">
        <v>5</v>
      </c>
      <c r="E480" s="68" t="inlineStr">
        <is>
          <t>US.</t>
        </is>
      </c>
      <c r="F480" s="68" t="inlineStr">
        <is>
          <t>NuScale FY26 + SMR commercialization timeline coverage (2026-05-18)</t>
        </is>
      </c>
      <c r="G480" s="33" t="inlineStr">
        <is>
          <t>High</t>
        </is>
      </c>
      <c r="H480" s="33" t="inlineStr">
        <is>
          <t>Initial</t>
        </is>
      </c>
    </row>
    <row r="481">
      <c r="A481" s="33" t="inlineStr">
        <is>
          <t>2026-05-18</t>
        </is>
      </c>
      <c r="B481" s="33" t="inlineStr">
        <is>
          <t>SMR</t>
        </is>
      </c>
      <c r="C481" s="33" t="inlineStr">
        <is>
          <t>R3</t>
        </is>
      </c>
      <c r="D481" s="33" t="n">
        <v>3</v>
      </c>
      <c r="E481" s="68" t="inlineStr">
        <is>
          <t>Capital-intensive pre-revenue.</t>
        </is>
      </c>
      <c r="F481" s="68" t="inlineStr">
        <is>
          <t>NuScale FY26 + SMR commercialization timeline coverage (2026-05-18)</t>
        </is>
      </c>
      <c r="G481" s="33" t="inlineStr">
        <is>
          <t>High</t>
        </is>
      </c>
      <c r="H481" s="33" t="inlineStr">
        <is>
          <t>Initial</t>
        </is>
      </c>
    </row>
    <row r="482">
      <c r="A482" s="33" t="inlineStr">
        <is>
          <t>2026-05-18</t>
        </is>
      </c>
      <c r="B482" s="33" t="inlineStr">
        <is>
          <t>SMR</t>
        </is>
      </c>
      <c r="C482" s="33" t="inlineStr">
        <is>
          <t>R4</t>
        </is>
      </c>
      <c r="D482" s="33" t="n">
        <v>4</v>
      </c>
      <c r="E482" s="68" t="inlineStr">
        <is>
          <t>Routine.</t>
        </is>
      </c>
      <c r="F482" s="68" t="inlineStr">
        <is>
          <t>NuScale FY26 + SMR commercialization timeline coverage (2026-05-18)</t>
        </is>
      </c>
      <c r="G482" s="33" t="inlineStr">
        <is>
          <t>High</t>
        </is>
      </c>
      <c r="H482" s="33" t="inlineStr">
        <is>
          <t>Initial</t>
        </is>
      </c>
    </row>
    <row r="483">
      <c r="A483" s="33" t="inlineStr">
        <is>
          <t>2026-05-18</t>
        </is>
      </c>
      <c r="B483" s="33" t="inlineStr">
        <is>
          <t>OKLO</t>
        </is>
      </c>
      <c r="C483" s="33" t="inlineStr">
        <is>
          <t>D1</t>
        </is>
      </c>
      <c r="D483" s="33" t="n">
        <v>3</v>
      </c>
      <c r="E483" s="68" t="inlineStr">
        <is>
          <t>Pre-revenue microreactor; aspirational AI exposure via Altman backing.</t>
        </is>
      </c>
      <c r="F483" s="68" t="inlineStr">
        <is>
          <t>Oklo FY26 + microreactor development + Altman coverage (2026-05-18)</t>
        </is>
      </c>
      <c r="G483" s="33" t="inlineStr">
        <is>
          <t>High</t>
        </is>
      </c>
      <c r="H483" s="33" t="inlineStr">
        <is>
          <t>Initial</t>
        </is>
      </c>
    </row>
    <row r="484">
      <c r="A484" s="33" t="inlineStr">
        <is>
          <t>2026-05-18</t>
        </is>
      </c>
      <c r="B484" s="33" t="inlineStr">
        <is>
          <t>OKLO</t>
        </is>
      </c>
      <c r="C484" s="33" t="inlineStr">
        <is>
          <t>D2</t>
        </is>
      </c>
      <c r="D484" s="33" t="n">
        <v>2</v>
      </c>
      <c r="E484" s="68" t="inlineStr">
        <is>
          <t>Pre-commercial novel reactor design.</t>
        </is>
      </c>
      <c r="F484" s="68" t="inlineStr">
        <is>
          <t>Oklo FY26 + microreactor development + Altman coverage (2026-05-18)</t>
        </is>
      </c>
      <c r="G484" s="33" t="inlineStr">
        <is>
          <t>High</t>
        </is>
      </c>
      <c r="H484" s="33" t="inlineStr">
        <is>
          <t>Initial</t>
        </is>
      </c>
    </row>
    <row r="485">
      <c r="A485" s="33" t="inlineStr">
        <is>
          <t>2026-05-18</t>
        </is>
      </c>
      <c r="B485" s="33" t="inlineStr">
        <is>
          <t>OKLO</t>
        </is>
      </c>
      <c r="C485" s="33" t="inlineStr">
        <is>
          <t>D3</t>
        </is>
      </c>
      <c r="D485" s="33" t="n">
        <v>2</v>
      </c>
      <c r="E485" s="68" t="inlineStr">
        <is>
          <t>Patents but no operating moat.</t>
        </is>
      </c>
      <c r="F485" s="68" t="inlineStr">
        <is>
          <t>Oklo FY26 + microreactor development + Altman coverage (2026-05-18)</t>
        </is>
      </c>
      <c r="G485" s="33" t="inlineStr">
        <is>
          <t>High</t>
        </is>
      </c>
      <c r="H485" s="33" t="inlineStr">
        <is>
          <t>Initial</t>
        </is>
      </c>
    </row>
    <row r="486">
      <c r="A486" s="33" t="inlineStr">
        <is>
          <t>2026-05-18</t>
        </is>
      </c>
      <c r="B486" s="33" t="inlineStr">
        <is>
          <t>OKLO</t>
        </is>
      </c>
      <c r="C486" s="33" t="inlineStr">
        <is>
          <t>D4</t>
        </is>
      </c>
      <c r="D486" s="33" t="n">
        <v>3</v>
      </c>
      <c r="E486" s="68" t="inlineStr">
        <is>
          <t>Capex phase.</t>
        </is>
      </c>
      <c r="F486" s="68" t="inlineStr">
        <is>
          <t>Oklo FY26 + microreactor development + Altman coverage (2026-05-18)</t>
        </is>
      </c>
      <c r="G486" s="33" t="inlineStr">
        <is>
          <t>High</t>
        </is>
      </c>
      <c r="H486" s="33" t="inlineStr">
        <is>
          <t>Initial</t>
        </is>
      </c>
    </row>
    <row r="487">
      <c r="A487" s="33" t="inlineStr">
        <is>
          <t>2026-05-18</t>
        </is>
      </c>
      <c r="B487" s="33" t="inlineStr">
        <is>
          <t>OKLO</t>
        </is>
      </c>
      <c r="C487" s="33" t="inlineStr">
        <is>
          <t>D5</t>
        </is>
      </c>
      <c r="D487" s="33" t="n">
        <v>4</v>
      </c>
      <c r="E487" s="68" t="inlineStr">
        <is>
          <t>Altman-backed AI thesis = some hyperscaler interest but no contracts.</t>
        </is>
      </c>
      <c r="F487" s="68" t="inlineStr">
        <is>
          <t>Oklo FY26 + microreactor development + Altman coverage (2026-05-18)</t>
        </is>
      </c>
      <c r="G487" s="33" t="inlineStr">
        <is>
          <t>High</t>
        </is>
      </c>
      <c r="H487" s="33" t="inlineStr">
        <is>
          <t>Initial</t>
        </is>
      </c>
    </row>
    <row r="488">
      <c r="A488" s="33" t="inlineStr">
        <is>
          <t>2026-05-18</t>
        </is>
      </c>
      <c r="B488" s="33" t="inlineStr">
        <is>
          <t>OKLO</t>
        </is>
      </c>
      <c r="C488" s="33" t="inlineStr">
        <is>
          <t>M1</t>
        </is>
      </c>
      <c r="D488" s="33" t="n">
        <v>3</v>
      </c>
      <c r="E488" s="68" t="inlineStr">
        <is>
          <t>0/0 neutral.</t>
        </is>
      </c>
      <c r="F488" s="68" t="inlineStr">
        <is>
          <t>Oklo FY26 + microreactor development + Altman coverage (2026-05-18)</t>
        </is>
      </c>
      <c r="G488" s="33" t="inlineStr">
        <is>
          <t>High</t>
        </is>
      </c>
      <c r="H488" s="33" t="inlineStr">
        <is>
          <t>Initial</t>
        </is>
      </c>
    </row>
    <row r="489">
      <c r="A489" s="33" t="inlineStr">
        <is>
          <t>2026-05-18</t>
        </is>
      </c>
      <c r="B489" s="33" t="inlineStr">
        <is>
          <t>OKLO</t>
        </is>
      </c>
      <c r="C489" s="33" t="inlineStr">
        <is>
          <t>M2</t>
        </is>
      </c>
      <c r="D489" s="33" t="n">
        <v>1</v>
      </c>
      <c r="E489" s="68" t="inlineStr">
        <is>
          <t>-42.7% absolute, -79pp XLE.</t>
        </is>
      </c>
      <c r="F489" s="68" t="inlineStr">
        <is>
          <t>Oklo FY26 + microreactor development + Altman coverage (2026-05-18)</t>
        </is>
      </c>
      <c r="G489" s="33" t="inlineStr">
        <is>
          <t>High</t>
        </is>
      </c>
      <c r="H489" s="33" t="inlineStr">
        <is>
          <t>Initial</t>
        </is>
      </c>
    </row>
    <row r="490">
      <c r="A490" s="33" t="inlineStr">
        <is>
          <t>2026-05-18</t>
        </is>
      </c>
      <c r="B490" s="33" t="inlineStr">
        <is>
          <t>OKLO</t>
        </is>
      </c>
      <c r="C490" s="33" t="inlineStr">
        <is>
          <t>M3</t>
        </is>
      </c>
      <c r="D490" s="33" t="n">
        <v>3</v>
      </c>
      <c r="E490" s="68" t="inlineStr">
        <is>
          <t>Routine; default 3.</t>
        </is>
      </c>
      <c r="F490" s="68" t="inlineStr">
        <is>
          <t>Oklo FY26 + microreactor development + Altman coverage (2026-05-18)</t>
        </is>
      </c>
      <c r="G490" s="33" t="inlineStr">
        <is>
          <t>High</t>
        </is>
      </c>
      <c r="H490" s="33" t="inlineStr">
        <is>
          <t>Initial</t>
        </is>
      </c>
    </row>
    <row r="491">
      <c r="A491" s="33" t="inlineStr">
        <is>
          <t>2026-05-18</t>
        </is>
      </c>
      <c r="B491" s="33" t="inlineStr">
        <is>
          <t>OKLO</t>
        </is>
      </c>
      <c r="C491" s="33" t="inlineStr">
        <is>
          <t>R1</t>
        </is>
      </c>
      <c r="D491" s="33" t="n">
        <v>3</v>
      </c>
      <c r="E491" s="68" t="inlineStr">
        <is>
          <t>Limited customer base.</t>
        </is>
      </c>
      <c r="F491" s="68" t="inlineStr">
        <is>
          <t>Oklo FY26 + microreactor development + Altman coverage (2026-05-18)</t>
        </is>
      </c>
      <c r="G491" s="33" t="inlineStr">
        <is>
          <t>High</t>
        </is>
      </c>
      <c r="H491" s="33" t="inlineStr">
        <is>
          <t>Initial</t>
        </is>
      </c>
    </row>
    <row r="492">
      <c r="A492" s="33" t="inlineStr">
        <is>
          <t>2026-05-18</t>
        </is>
      </c>
      <c r="B492" s="33" t="inlineStr">
        <is>
          <t>OKLO</t>
        </is>
      </c>
      <c r="C492" s="33" t="inlineStr">
        <is>
          <t>R2</t>
        </is>
      </c>
      <c r="D492" s="33" t="n">
        <v>5</v>
      </c>
      <c r="E492" s="68" t="inlineStr">
        <is>
          <t>US.</t>
        </is>
      </c>
      <c r="F492" s="68" t="inlineStr">
        <is>
          <t>Oklo FY26 + microreactor development + Altman coverage (2026-05-18)</t>
        </is>
      </c>
      <c r="G492" s="33" t="inlineStr">
        <is>
          <t>High</t>
        </is>
      </c>
      <c r="H492" s="33" t="inlineStr">
        <is>
          <t>Initial</t>
        </is>
      </c>
    </row>
    <row r="493">
      <c r="A493" s="33" t="inlineStr">
        <is>
          <t>2026-05-18</t>
        </is>
      </c>
      <c r="B493" s="33" t="inlineStr">
        <is>
          <t>OKLO</t>
        </is>
      </c>
      <c r="C493" s="33" t="inlineStr">
        <is>
          <t>R3</t>
        </is>
      </c>
      <c r="D493" s="33" t="n">
        <v>3</v>
      </c>
      <c r="E493" s="68" t="inlineStr">
        <is>
          <t>Pre-revenue, burning cash.</t>
        </is>
      </c>
      <c r="F493" s="68" t="inlineStr">
        <is>
          <t>Oklo FY26 + microreactor development + Altman coverage (2026-05-18)</t>
        </is>
      </c>
      <c r="G493" s="33" t="inlineStr">
        <is>
          <t>High</t>
        </is>
      </c>
      <c r="H493" s="33" t="inlineStr">
        <is>
          <t>Initial</t>
        </is>
      </c>
    </row>
    <row r="494">
      <c r="A494" s="33" t="inlineStr">
        <is>
          <t>2026-05-18</t>
        </is>
      </c>
      <c r="B494" s="33" t="inlineStr">
        <is>
          <t>OKLO</t>
        </is>
      </c>
      <c r="C494" s="33" t="inlineStr">
        <is>
          <t>R4</t>
        </is>
      </c>
      <c r="D494" s="33" t="n">
        <v>4</v>
      </c>
      <c r="E494" s="68" t="inlineStr">
        <is>
          <t>Routine.</t>
        </is>
      </c>
      <c r="F494" s="68" t="inlineStr">
        <is>
          <t>Oklo FY26 + microreactor development + Altman coverage (2026-05-18)</t>
        </is>
      </c>
      <c r="G494" s="33" t="inlineStr">
        <is>
          <t>High</t>
        </is>
      </c>
      <c r="H494" s="33" t="inlineStr">
        <is>
          <t>Initial</t>
        </is>
      </c>
    </row>
    <row r="495">
      <c r="A495" s="33" t="inlineStr">
        <is>
          <t>2026-05-18</t>
        </is>
      </c>
      <c r="B495" s="33" t="inlineStr">
        <is>
          <t>NNE</t>
        </is>
      </c>
      <c r="C495" s="33" t="inlineStr">
        <is>
          <t>D1</t>
        </is>
      </c>
      <c r="D495" s="33" t="n">
        <v>3</v>
      </c>
      <c r="E495" s="68" t="inlineStr">
        <is>
          <t>Pre-revenue NANO Nuclear; design-stage microreactor.</t>
        </is>
      </c>
      <c r="F495" s="68" t="inlineStr">
        <is>
          <t>NANO Nuclear FY26 + microreactor stage coverage (2026-05-18)</t>
        </is>
      </c>
      <c r="G495" s="33" t="inlineStr">
        <is>
          <t>High</t>
        </is>
      </c>
      <c r="H495" s="33" t="inlineStr">
        <is>
          <t>Initial</t>
        </is>
      </c>
    </row>
    <row r="496">
      <c r="A496" s="33" t="inlineStr">
        <is>
          <t>2026-05-18</t>
        </is>
      </c>
      <c r="B496" s="33" t="inlineStr">
        <is>
          <t>NNE</t>
        </is>
      </c>
      <c r="C496" s="33" t="inlineStr">
        <is>
          <t>D2</t>
        </is>
      </c>
      <c r="D496" s="33" t="n">
        <v>2</v>
      </c>
      <c r="E496" s="68" t="inlineStr">
        <is>
          <t>Smaller than Oklo/NuScale.</t>
        </is>
      </c>
      <c r="F496" s="68" t="inlineStr">
        <is>
          <t>NANO Nuclear FY26 + microreactor stage coverage (2026-05-18)</t>
        </is>
      </c>
      <c r="G496" s="33" t="inlineStr">
        <is>
          <t>High</t>
        </is>
      </c>
      <c r="H496" s="33" t="inlineStr">
        <is>
          <t>Initial</t>
        </is>
      </c>
    </row>
    <row r="497">
      <c r="A497" s="33" t="inlineStr">
        <is>
          <t>2026-05-18</t>
        </is>
      </c>
      <c r="B497" s="33" t="inlineStr">
        <is>
          <t>NNE</t>
        </is>
      </c>
      <c r="C497" s="33" t="inlineStr">
        <is>
          <t>D3</t>
        </is>
      </c>
      <c r="D497" s="33" t="n">
        <v>2</v>
      </c>
      <c r="E497" s="68" t="inlineStr">
        <is>
          <t>Early-stage IP.</t>
        </is>
      </c>
      <c r="F497" s="68" t="inlineStr">
        <is>
          <t>NANO Nuclear FY26 + microreactor stage coverage (2026-05-18)</t>
        </is>
      </c>
      <c r="G497" s="33" t="inlineStr">
        <is>
          <t>High</t>
        </is>
      </c>
      <c r="H497" s="33" t="inlineStr">
        <is>
          <t>Initial</t>
        </is>
      </c>
    </row>
    <row r="498">
      <c r="A498" s="33" t="inlineStr">
        <is>
          <t>2026-05-18</t>
        </is>
      </c>
      <c r="B498" s="33" t="inlineStr">
        <is>
          <t>NNE</t>
        </is>
      </c>
      <c r="C498" s="33" t="inlineStr">
        <is>
          <t>D4</t>
        </is>
      </c>
      <c r="D498" s="33" t="n">
        <v>3</v>
      </c>
      <c r="E498" s="68" t="inlineStr">
        <is>
          <t>Capex phase.</t>
        </is>
      </c>
      <c r="F498" s="68" t="inlineStr">
        <is>
          <t>NANO Nuclear FY26 + microreactor stage coverage (2026-05-18)</t>
        </is>
      </c>
      <c r="G498" s="33" t="inlineStr">
        <is>
          <t>High</t>
        </is>
      </c>
      <c r="H498" s="33" t="inlineStr">
        <is>
          <t>Initial</t>
        </is>
      </c>
    </row>
    <row r="499">
      <c r="A499" s="33" t="inlineStr">
        <is>
          <t>2026-05-18</t>
        </is>
      </c>
      <c r="B499" s="33" t="inlineStr">
        <is>
          <t>NNE</t>
        </is>
      </c>
      <c r="C499" s="33" t="inlineStr">
        <is>
          <t>D5</t>
        </is>
      </c>
      <c r="D499" s="33" t="n">
        <v>3</v>
      </c>
      <c r="E499" s="68" t="inlineStr">
        <is>
          <t>Aspirational AI customers.</t>
        </is>
      </c>
      <c r="F499" s="68" t="inlineStr">
        <is>
          <t>NANO Nuclear FY26 + microreactor stage coverage (2026-05-18)</t>
        </is>
      </c>
      <c r="G499" s="33" t="inlineStr">
        <is>
          <t>High</t>
        </is>
      </c>
      <c r="H499" s="33" t="inlineStr">
        <is>
          <t>Initial</t>
        </is>
      </c>
    </row>
    <row r="500">
      <c r="A500" s="33" t="inlineStr">
        <is>
          <t>2026-05-18</t>
        </is>
      </c>
      <c r="B500" s="33" t="inlineStr">
        <is>
          <t>NNE</t>
        </is>
      </c>
      <c r="C500" s="33" t="inlineStr">
        <is>
          <t>M1</t>
        </is>
      </c>
      <c r="D500" s="33" t="n">
        <v>4</v>
      </c>
      <c r="E500" s="68" t="inlineStr">
        <is>
          <t>3/1 net positive but tiny.</t>
        </is>
      </c>
      <c r="F500" s="68" t="inlineStr">
        <is>
          <t>NANO Nuclear FY26 + microreactor stage coverage (2026-05-18)</t>
        </is>
      </c>
      <c r="G500" s="33" t="inlineStr">
        <is>
          <t>High</t>
        </is>
      </c>
      <c r="H500" s="33" t="inlineStr">
        <is>
          <t>Initial</t>
        </is>
      </c>
    </row>
    <row r="501">
      <c r="A501" s="33" t="inlineStr">
        <is>
          <t>2026-05-18</t>
        </is>
      </c>
      <c r="B501" s="33" t="inlineStr">
        <is>
          <t>NNE</t>
        </is>
      </c>
      <c r="C501" s="33" t="inlineStr">
        <is>
          <t>M2</t>
        </is>
      </c>
      <c r="D501" s="33" t="n">
        <v>1</v>
      </c>
      <c r="E501" s="68" t="inlineStr">
        <is>
          <t>-25% absolute, -62pp XLE.</t>
        </is>
      </c>
      <c r="F501" s="68" t="inlineStr">
        <is>
          <t>NANO Nuclear FY26 + microreactor stage coverage (2026-05-18)</t>
        </is>
      </c>
      <c r="G501" s="33" t="inlineStr">
        <is>
          <t>High</t>
        </is>
      </c>
      <c r="H501" s="33" t="inlineStr">
        <is>
          <t>Initial</t>
        </is>
      </c>
    </row>
    <row r="502">
      <c r="A502" s="33" t="inlineStr">
        <is>
          <t>2026-05-18</t>
        </is>
      </c>
      <c r="B502" s="33" t="inlineStr">
        <is>
          <t>NNE</t>
        </is>
      </c>
      <c r="C502" s="33" t="inlineStr">
        <is>
          <t>M3</t>
        </is>
      </c>
      <c r="D502" s="33" t="n">
        <v>3</v>
      </c>
      <c r="E502" s="68" t="inlineStr">
        <is>
          <t>Routine; default 3.</t>
        </is>
      </c>
      <c r="F502" s="68" t="inlineStr">
        <is>
          <t>NANO Nuclear FY26 + microreactor stage coverage (2026-05-18)</t>
        </is>
      </c>
      <c r="G502" s="33" t="inlineStr">
        <is>
          <t>High</t>
        </is>
      </c>
      <c r="H502" s="33" t="inlineStr">
        <is>
          <t>Initial</t>
        </is>
      </c>
    </row>
    <row r="503">
      <c r="A503" s="33" t="inlineStr">
        <is>
          <t>2026-05-18</t>
        </is>
      </c>
      <c r="B503" s="33" t="inlineStr">
        <is>
          <t>NNE</t>
        </is>
      </c>
      <c r="C503" s="33" t="inlineStr">
        <is>
          <t>R1</t>
        </is>
      </c>
      <c r="D503" s="33" t="n">
        <v>3</v>
      </c>
      <c r="E503" s="68" t="inlineStr">
        <is>
          <t>Limited base.</t>
        </is>
      </c>
      <c r="F503" s="68" t="inlineStr">
        <is>
          <t>NANO Nuclear FY26 + microreactor stage coverage (2026-05-18)</t>
        </is>
      </c>
      <c r="G503" s="33" t="inlineStr">
        <is>
          <t>High</t>
        </is>
      </c>
      <c r="H503" s="33" t="inlineStr">
        <is>
          <t>Initial</t>
        </is>
      </c>
    </row>
    <row r="504">
      <c r="A504" s="33" t="inlineStr">
        <is>
          <t>2026-05-18</t>
        </is>
      </c>
      <c r="B504" s="33" t="inlineStr">
        <is>
          <t>NNE</t>
        </is>
      </c>
      <c r="C504" s="33" t="inlineStr">
        <is>
          <t>R2</t>
        </is>
      </c>
      <c r="D504" s="33" t="n">
        <v>5</v>
      </c>
      <c r="E504" s="68" t="inlineStr">
        <is>
          <t>US.</t>
        </is>
      </c>
      <c r="F504" s="68" t="inlineStr">
        <is>
          <t>NANO Nuclear FY26 + microreactor stage coverage (2026-05-18)</t>
        </is>
      </c>
      <c r="G504" s="33" t="inlineStr">
        <is>
          <t>High</t>
        </is>
      </c>
      <c r="H504" s="33" t="inlineStr">
        <is>
          <t>Initial</t>
        </is>
      </c>
    </row>
    <row r="505">
      <c r="A505" s="33" t="inlineStr">
        <is>
          <t>2026-05-18</t>
        </is>
      </c>
      <c r="B505" s="33" t="inlineStr">
        <is>
          <t>NNE</t>
        </is>
      </c>
      <c r="C505" s="33" t="inlineStr">
        <is>
          <t>R3</t>
        </is>
      </c>
      <c r="D505" s="33" t="n">
        <v>3</v>
      </c>
      <c r="E505" s="68" t="inlineStr">
        <is>
          <t>Pre-revenue cash burn.</t>
        </is>
      </c>
      <c r="F505" s="68" t="inlineStr">
        <is>
          <t>NANO Nuclear FY26 + microreactor stage coverage (2026-05-18)</t>
        </is>
      </c>
      <c r="G505" s="33" t="inlineStr">
        <is>
          <t>High</t>
        </is>
      </c>
      <c r="H505" s="33" t="inlineStr">
        <is>
          <t>Initial</t>
        </is>
      </c>
    </row>
    <row r="506">
      <c r="A506" s="33" t="inlineStr">
        <is>
          <t>2026-05-18</t>
        </is>
      </c>
      <c r="B506" s="33" t="inlineStr">
        <is>
          <t>NNE</t>
        </is>
      </c>
      <c r="C506" s="33" t="inlineStr">
        <is>
          <t>R4</t>
        </is>
      </c>
      <c r="D506" s="33" t="n">
        <v>4</v>
      </c>
      <c r="E506" s="68" t="inlineStr">
        <is>
          <t>Routine.</t>
        </is>
      </c>
      <c r="F506" s="68" t="inlineStr">
        <is>
          <t>NANO Nuclear FY26 + microreactor stage coverage (2026-05-18)</t>
        </is>
      </c>
      <c r="G506" s="33" t="inlineStr">
        <is>
          <t>High</t>
        </is>
      </c>
      <c r="H506" s="33" t="inlineStr">
        <is>
          <t>Initial</t>
        </is>
      </c>
    </row>
    <row r="507">
      <c r="A507" s="33" t="inlineStr">
        <is>
          <t>2026-05-18</t>
        </is>
      </c>
      <c r="B507" s="33" t="inlineStr">
        <is>
          <t>EQT</t>
        </is>
      </c>
      <c r="C507" s="33" t="inlineStr">
        <is>
          <t>D1</t>
        </is>
      </c>
      <c r="D507" s="33" t="n">
        <v>3</v>
      </c>
      <c r="E507" s="68" t="inlineStr">
        <is>
          <t>Largest US gas producer + 'leading integrated supplier for large scale gas power' for AI DCs per IEA.</t>
        </is>
      </c>
      <c r="F507" s="68" t="inlineStr">
        <is>
          <t>EQT FY26 + IEA 'leading integrated supplier for AI gas power' coverage (2026-05-18)</t>
        </is>
      </c>
      <c r="G507" s="33" t="inlineStr">
        <is>
          <t>High</t>
        </is>
      </c>
      <c r="H507" s="33" t="inlineStr">
        <is>
          <t>Initial</t>
        </is>
      </c>
    </row>
    <row r="508">
      <c r="A508" s="33" t="inlineStr">
        <is>
          <t>2026-05-18</t>
        </is>
      </c>
      <c r="B508" s="33" t="inlineStr">
        <is>
          <t>EQT</t>
        </is>
      </c>
      <c r="C508" s="33" t="inlineStr">
        <is>
          <t>D2</t>
        </is>
      </c>
      <c r="D508" s="33" t="n">
        <v>4</v>
      </c>
      <c r="E508" s="68" t="inlineStr">
        <is>
          <t>Appalachian gas dominant — scale + integration via Equitrans midstream.</t>
        </is>
      </c>
      <c r="F508" s="68" t="inlineStr">
        <is>
          <t>EQT FY26 + IEA 'leading integrated supplier for AI gas power' coverage (2026-05-18)</t>
        </is>
      </c>
      <c r="G508" s="33" t="inlineStr">
        <is>
          <t>High</t>
        </is>
      </c>
      <c r="H508" s="33" t="inlineStr">
        <is>
          <t>Initial</t>
        </is>
      </c>
    </row>
    <row r="509">
      <c r="A509" s="33" t="inlineStr">
        <is>
          <t>2026-05-18</t>
        </is>
      </c>
      <c r="B509" s="33" t="inlineStr">
        <is>
          <t>EQT</t>
        </is>
      </c>
      <c r="C509" s="33" t="inlineStr">
        <is>
          <t>D3</t>
        </is>
      </c>
      <c r="D509" s="33" t="n">
        <v>4</v>
      </c>
      <c r="E509" s="68" t="inlineStr">
        <is>
          <t>Land position + midstream integration.</t>
        </is>
      </c>
      <c r="F509" s="68" t="inlineStr">
        <is>
          <t>EQT FY26 + IEA 'leading integrated supplier for AI gas power' coverage (2026-05-18)</t>
        </is>
      </c>
      <c r="G509" s="33" t="inlineStr">
        <is>
          <t>High</t>
        </is>
      </c>
      <c r="H509" s="33" t="inlineStr">
        <is>
          <t>Initial</t>
        </is>
      </c>
    </row>
    <row r="510">
      <c r="A510" s="33" t="inlineStr">
        <is>
          <t>2026-05-18</t>
        </is>
      </c>
      <c r="B510" s="33" t="inlineStr">
        <is>
          <t>EQT</t>
        </is>
      </c>
      <c r="C510" s="33" t="inlineStr">
        <is>
          <t>D4</t>
        </is>
      </c>
      <c r="D510" s="33" t="n">
        <v>4</v>
      </c>
      <c r="E510" s="68" t="inlineStr">
        <is>
          <t>Production ramp + integrated growth.</t>
        </is>
      </c>
      <c r="F510" s="68" t="inlineStr">
        <is>
          <t>EQT FY26 + IEA 'leading integrated supplier for AI gas power' coverage (2026-05-18)</t>
        </is>
      </c>
      <c r="G510" s="33" t="inlineStr">
        <is>
          <t>High</t>
        </is>
      </c>
      <c r="H510" s="33" t="inlineStr">
        <is>
          <t>Initial</t>
        </is>
      </c>
    </row>
    <row r="511">
      <c r="A511" s="33" t="inlineStr">
        <is>
          <t>2026-05-18</t>
        </is>
      </c>
      <c r="B511" s="33" t="inlineStr">
        <is>
          <t>EQT</t>
        </is>
      </c>
      <c r="C511" s="33" t="inlineStr">
        <is>
          <t>D5</t>
        </is>
      </c>
      <c r="D511" s="33" t="n">
        <v>3</v>
      </c>
      <c r="E511" s="68" t="inlineStr">
        <is>
          <t>Indirect via gas-fired generation; growing relationships.</t>
        </is>
      </c>
      <c r="F511" s="68" t="inlineStr">
        <is>
          <t>EQT FY26 + IEA 'leading integrated supplier for AI gas power' coverage (2026-05-18)</t>
        </is>
      </c>
      <c r="G511" s="33" t="inlineStr">
        <is>
          <t>High</t>
        </is>
      </c>
      <c r="H511" s="33" t="inlineStr">
        <is>
          <t>Initial</t>
        </is>
      </c>
    </row>
    <row r="512">
      <c r="A512" s="33" t="inlineStr">
        <is>
          <t>2026-05-18</t>
        </is>
      </c>
      <c r="B512" s="33" t="inlineStr">
        <is>
          <t>EQT</t>
        </is>
      </c>
      <c r="C512" s="33" t="inlineStr">
        <is>
          <t>M1</t>
        </is>
      </c>
      <c r="D512" s="33" t="n">
        <v>2</v>
      </c>
      <c r="E512" s="68" t="inlineStr">
        <is>
          <t>5/8 — net negative.</t>
        </is>
      </c>
      <c r="F512" s="68" t="inlineStr">
        <is>
          <t>EQT FY26 + IEA 'leading integrated supplier for AI gas power' coverage (2026-05-18)</t>
        </is>
      </c>
      <c r="G512" s="33" t="inlineStr">
        <is>
          <t>High</t>
        </is>
      </c>
      <c r="H512" s="33" t="inlineStr">
        <is>
          <t>Initial</t>
        </is>
      </c>
    </row>
    <row r="513">
      <c r="A513" s="33" t="inlineStr">
        <is>
          <t>2026-05-18</t>
        </is>
      </c>
      <c r="B513" s="33" t="inlineStr">
        <is>
          <t>EQT</t>
        </is>
      </c>
      <c r="C513" s="33" t="inlineStr">
        <is>
          <t>M2</t>
        </is>
      </c>
      <c r="D513" s="33" t="n">
        <v>1</v>
      </c>
      <c r="E513" s="68" t="inlineStr">
        <is>
          <t>-1.8% absolute, -38pp XLE — lagging energy.</t>
        </is>
      </c>
      <c r="F513" s="68" t="inlineStr">
        <is>
          <t>EQT FY26 + IEA 'leading integrated supplier for AI gas power' coverage (2026-05-18)</t>
        </is>
      </c>
      <c r="G513" s="33" t="inlineStr">
        <is>
          <t>High</t>
        </is>
      </c>
      <c r="H513" s="33" t="inlineStr">
        <is>
          <t>Initial</t>
        </is>
      </c>
    </row>
    <row r="514">
      <c r="A514" s="33" t="inlineStr">
        <is>
          <t>2026-05-18</t>
        </is>
      </c>
      <c r="B514" s="33" t="inlineStr">
        <is>
          <t>EQT</t>
        </is>
      </c>
      <c r="C514" s="33" t="inlineStr">
        <is>
          <t>M3</t>
        </is>
      </c>
      <c r="D514" s="33" t="n">
        <v>3</v>
      </c>
      <c r="E514" s="68" t="inlineStr">
        <is>
          <t>Routine; default 3.</t>
        </is>
      </c>
      <c r="F514" s="68" t="inlineStr">
        <is>
          <t>EQT FY26 + IEA 'leading integrated supplier for AI gas power' coverage (2026-05-18)</t>
        </is>
      </c>
      <c r="G514" s="33" t="inlineStr">
        <is>
          <t>High</t>
        </is>
      </c>
      <c r="H514" s="33" t="inlineStr">
        <is>
          <t>Initial</t>
        </is>
      </c>
    </row>
    <row r="515">
      <c r="A515" s="33" t="inlineStr">
        <is>
          <t>2026-05-18</t>
        </is>
      </c>
      <c r="B515" s="33" t="inlineStr">
        <is>
          <t>EQT</t>
        </is>
      </c>
      <c r="C515" s="33" t="inlineStr">
        <is>
          <t>R1</t>
        </is>
      </c>
      <c r="D515" s="33" t="n">
        <v>4</v>
      </c>
      <c r="E515" s="68" t="inlineStr">
        <is>
          <t>Diversified gas marketing.</t>
        </is>
      </c>
      <c r="F515" s="68" t="inlineStr">
        <is>
          <t>EQT FY26 + IEA 'leading integrated supplier for AI gas power' coverage (2026-05-18)</t>
        </is>
      </c>
      <c r="G515" s="33" t="inlineStr">
        <is>
          <t>High</t>
        </is>
      </c>
      <c r="H515" s="33" t="inlineStr">
        <is>
          <t>Initial</t>
        </is>
      </c>
    </row>
    <row r="516">
      <c r="A516" s="33" t="inlineStr">
        <is>
          <t>2026-05-18</t>
        </is>
      </c>
      <c r="B516" s="33" t="inlineStr">
        <is>
          <t>EQT</t>
        </is>
      </c>
      <c r="C516" s="33" t="inlineStr">
        <is>
          <t>R2</t>
        </is>
      </c>
      <c r="D516" s="33" t="n">
        <v>5</v>
      </c>
      <c r="E516" s="68" t="inlineStr">
        <is>
          <t>100% US.</t>
        </is>
      </c>
      <c r="F516" s="68" t="inlineStr">
        <is>
          <t>EQT FY26 + IEA 'leading integrated supplier for AI gas power' coverage (2026-05-18)</t>
        </is>
      </c>
      <c r="G516" s="33" t="inlineStr">
        <is>
          <t>High</t>
        </is>
      </c>
      <c r="H516" s="33" t="inlineStr">
        <is>
          <t>Initial</t>
        </is>
      </c>
    </row>
    <row r="517">
      <c r="A517" s="33" t="inlineStr">
        <is>
          <t>2026-05-18</t>
        </is>
      </c>
      <c r="B517" s="33" t="inlineStr">
        <is>
          <t>EQT</t>
        </is>
      </c>
      <c r="C517" s="33" t="inlineStr">
        <is>
          <t>R3</t>
        </is>
      </c>
      <c r="D517" s="33" t="n">
        <v>5</v>
      </c>
      <c r="E517" s="68" t="inlineStr">
        <is>
          <t>Net cash + strong FCF.</t>
        </is>
      </c>
      <c r="F517" s="68" t="inlineStr">
        <is>
          <t>EQT FY26 + IEA 'leading integrated supplier for AI gas power' coverage (2026-05-18)</t>
        </is>
      </c>
      <c r="G517" s="33" t="inlineStr">
        <is>
          <t>High</t>
        </is>
      </c>
      <c r="H517" s="33" t="inlineStr">
        <is>
          <t>Initial</t>
        </is>
      </c>
    </row>
    <row r="518">
      <c r="A518" s="33" t="inlineStr">
        <is>
          <t>2026-05-18</t>
        </is>
      </c>
      <c r="B518" s="33" t="inlineStr">
        <is>
          <t>EQT</t>
        </is>
      </c>
      <c r="C518" s="33" t="inlineStr">
        <is>
          <t>R4</t>
        </is>
      </c>
      <c r="D518" s="33" t="n">
        <v>4</v>
      </c>
      <c r="E518" s="68" t="inlineStr">
        <is>
          <t>Routine.</t>
        </is>
      </c>
      <c r="F518" s="68" t="inlineStr">
        <is>
          <t>EQT FY26 + IEA 'leading integrated supplier for AI gas power' coverage (2026-05-18)</t>
        </is>
      </c>
      <c r="G518" s="33" t="inlineStr">
        <is>
          <t>High</t>
        </is>
      </c>
      <c r="H518" s="33" t="inlineStr">
        <is>
          <t>Initial</t>
        </is>
      </c>
    </row>
    <row r="519">
      <c r="A519" s="33" t="inlineStr">
        <is>
          <t>2026-05-18</t>
        </is>
      </c>
      <c r="B519" s="33" t="inlineStr">
        <is>
          <t>RRC</t>
        </is>
      </c>
      <c r="C519" s="33" t="inlineStr">
        <is>
          <t>D1</t>
        </is>
      </c>
      <c r="D519" s="33" t="n">
        <v>3</v>
      </c>
      <c r="E519" s="68" t="inlineStr">
        <is>
          <t>Appalachian gas — indirect AI exposure via gas power demand.</t>
        </is>
      </c>
      <c r="F519" s="68" t="inlineStr">
        <is>
          <t>Range Resources FY26 + Appalachian gas coverage (2026-05-18)</t>
        </is>
      </c>
      <c r="G519" s="33" t="inlineStr">
        <is>
          <t>High</t>
        </is>
      </c>
      <c r="H519" s="33" t="inlineStr">
        <is>
          <t>Initial</t>
        </is>
      </c>
    </row>
    <row r="520">
      <c r="A520" s="33" t="inlineStr">
        <is>
          <t>2026-05-18</t>
        </is>
      </c>
      <c r="B520" s="33" t="inlineStr">
        <is>
          <t>RRC</t>
        </is>
      </c>
      <c r="C520" s="33" t="inlineStr">
        <is>
          <t>D2</t>
        </is>
      </c>
      <c r="D520" s="33" t="n">
        <v>3</v>
      </c>
      <c r="E520" s="68" t="inlineStr">
        <is>
          <t>Mid-tier Appalachian player.</t>
        </is>
      </c>
      <c r="F520" s="68" t="inlineStr">
        <is>
          <t>Range Resources FY26 + Appalachian gas coverage (2026-05-18)</t>
        </is>
      </c>
      <c r="G520" s="33" t="inlineStr">
        <is>
          <t>High</t>
        </is>
      </c>
      <c r="H520" s="33" t="inlineStr">
        <is>
          <t>Initial</t>
        </is>
      </c>
    </row>
    <row r="521">
      <c r="A521" s="33" t="inlineStr">
        <is>
          <t>2026-05-18</t>
        </is>
      </c>
      <c r="B521" s="33" t="inlineStr">
        <is>
          <t>RRC</t>
        </is>
      </c>
      <c r="C521" s="33" t="inlineStr">
        <is>
          <t>D3</t>
        </is>
      </c>
      <c r="D521" s="33" t="n">
        <v>3</v>
      </c>
      <c r="E521" s="68" t="inlineStr">
        <is>
          <t>Land position.</t>
        </is>
      </c>
      <c r="F521" s="68" t="inlineStr">
        <is>
          <t>Range Resources FY26 + Appalachian gas coverage (2026-05-18)</t>
        </is>
      </c>
      <c r="G521" s="33" t="inlineStr">
        <is>
          <t>High</t>
        </is>
      </c>
      <c r="H521" s="33" t="inlineStr">
        <is>
          <t>Initial</t>
        </is>
      </c>
    </row>
    <row r="522">
      <c r="A522" s="33" t="inlineStr">
        <is>
          <t>2026-05-18</t>
        </is>
      </c>
      <c r="B522" s="33" t="inlineStr">
        <is>
          <t>RRC</t>
        </is>
      </c>
      <c r="C522" s="33" t="inlineStr">
        <is>
          <t>D4</t>
        </is>
      </c>
      <c r="D522" s="33" t="n">
        <v>4</v>
      </c>
      <c r="E522" s="68" t="inlineStr">
        <is>
          <t>Production-led capex.</t>
        </is>
      </c>
      <c r="F522" s="68" t="inlineStr">
        <is>
          <t>Range Resources FY26 + Appalachian gas coverage (2026-05-18)</t>
        </is>
      </c>
      <c r="G522" s="33" t="inlineStr">
        <is>
          <t>High</t>
        </is>
      </c>
      <c r="H522" s="33" t="inlineStr">
        <is>
          <t>Initial</t>
        </is>
      </c>
    </row>
    <row r="523">
      <c r="A523" s="33" t="inlineStr">
        <is>
          <t>2026-05-18</t>
        </is>
      </c>
      <c r="B523" s="33" t="inlineStr">
        <is>
          <t>RRC</t>
        </is>
      </c>
      <c r="C523" s="33" t="inlineStr">
        <is>
          <t>D5</t>
        </is>
      </c>
      <c r="D523" s="33" t="n">
        <v>3</v>
      </c>
      <c r="E523" s="68" t="inlineStr">
        <is>
          <t>Indirect.</t>
        </is>
      </c>
      <c r="F523" s="68" t="inlineStr">
        <is>
          <t>Range Resources FY26 + Appalachian gas coverage (2026-05-18)</t>
        </is>
      </c>
      <c r="G523" s="33" t="inlineStr">
        <is>
          <t>High</t>
        </is>
      </c>
      <c r="H523" s="33" t="inlineStr">
        <is>
          <t>Initial</t>
        </is>
      </c>
    </row>
    <row r="524">
      <c r="A524" s="33" t="inlineStr">
        <is>
          <t>2026-05-18</t>
        </is>
      </c>
      <c r="B524" s="33" t="inlineStr">
        <is>
          <t>RRC</t>
        </is>
      </c>
      <c r="C524" s="33" t="inlineStr">
        <is>
          <t>M1</t>
        </is>
      </c>
      <c r="D524" s="33" t="n">
        <v>4</v>
      </c>
      <c r="E524" s="68" t="inlineStr">
        <is>
          <t>11/9 — net positive.</t>
        </is>
      </c>
      <c r="F524" s="68" t="inlineStr">
        <is>
          <t>Range Resources FY26 + Appalachian gas coverage (2026-05-18)</t>
        </is>
      </c>
      <c r="G524" s="33" t="inlineStr">
        <is>
          <t>High</t>
        </is>
      </c>
      <c r="H524" s="33" t="inlineStr">
        <is>
          <t>Initial</t>
        </is>
      </c>
    </row>
    <row r="525">
      <c r="A525" s="33" t="inlineStr">
        <is>
          <t>2026-05-18</t>
        </is>
      </c>
      <c r="B525" s="33" t="inlineStr">
        <is>
          <t>RRC</t>
        </is>
      </c>
      <c r="C525" s="33" t="inlineStr">
        <is>
          <t>M2</t>
        </is>
      </c>
      <c r="D525" s="33" t="n">
        <v>1</v>
      </c>
      <c r="E525" s="68" t="inlineStr">
        <is>
          <t>+8% absolute, -28.5pp XLE.</t>
        </is>
      </c>
      <c r="F525" s="68" t="inlineStr">
        <is>
          <t>Range Resources FY26 + Appalachian gas coverage (2026-05-18)</t>
        </is>
      </c>
      <c r="G525" s="33" t="inlineStr">
        <is>
          <t>High</t>
        </is>
      </c>
      <c r="H525" s="33" t="inlineStr">
        <is>
          <t>Initial</t>
        </is>
      </c>
    </row>
    <row r="526">
      <c r="A526" s="33" t="inlineStr">
        <is>
          <t>2026-05-18</t>
        </is>
      </c>
      <c r="B526" s="33" t="inlineStr">
        <is>
          <t>RRC</t>
        </is>
      </c>
      <c r="C526" s="33" t="inlineStr">
        <is>
          <t>M3</t>
        </is>
      </c>
      <c r="D526" s="33" t="n">
        <v>3</v>
      </c>
      <c r="E526" s="68" t="inlineStr">
        <is>
          <t>Routine; default 3.</t>
        </is>
      </c>
      <c r="F526" s="68" t="inlineStr">
        <is>
          <t>Range Resources FY26 + Appalachian gas coverage (2026-05-18)</t>
        </is>
      </c>
      <c r="G526" s="33" t="inlineStr">
        <is>
          <t>High</t>
        </is>
      </c>
      <c r="H526" s="33" t="inlineStr">
        <is>
          <t>Initial</t>
        </is>
      </c>
    </row>
    <row r="527">
      <c r="A527" s="33" t="inlineStr">
        <is>
          <t>2026-05-18</t>
        </is>
      </c>
      <c r="B527" s="33" t="inlineStr">
        <is>
          <t>RRC</t>
        </is>
      </c>
      <c r="C527" s="33" t="inlineStr">
        <is>
          <t>R1</t>
        </is>
      </c>
      <c r="D527" s="33" t="n">
        <v>4</v>
      </c>
      <c r="E527" s="68" t="inlineStr">
        <is>
          <t>Diversified.</t>
        </is>
      </c>
      <c r="F527" s="68" t="inlineStr">
        <is>
          <t>Range Resources FY26 + Appalachian gas coverage (2026-05-18)</t>
        </is>
      </c>
      <c r="G527" s="33" t="inlineStr">
        <is>
          <t>High</t>
        </is>
      </c>
      <c r="H527" s="33" t="inlineStr">
        <is>
          <t>Initial</t>
        </is>
      </c>
    </row>
    <row r="528">
      <c r="A528" s="33" t="inlineStr">
        <is>
          <t>2026-05-18</t>
        </is>
      </c>
      <c r="B528" s="33" t="inlineStr">
        <is>
          <t>RRC</t>
        </is>
      </c>
      <c r="C528" s="33" t="inlineStr">
        <is>
          <t>R2</t>
        </is>
      </c>
      <c r="D528" s="33" t="n">
        <v>5</v>
      </c>
      <c r="E528" s="68" t="inlineStr">
        <is>
          <t>100% US.</t>
        </is>
      </c>
      <c r="F528" s="68" t="inlineStr">
        <is>
          <t>Range Resources FY26 + Appalachian gas coverage (2026-05-18)</t>
        </is>
      </c>
      <c r="G528" s="33" t="inlineStr">
        <is>
          <t>High</t>
        </is>
      </c>
      <c r="H528" s="33" t="inlineStr">
        <is>
          <t>Initial</t>
        </is>
      </c>
    </row>
    <row r="529">
      <c r="A529" s="33" t="inlineStr">
        <is>
          <t>2026-05-18</t>
        </is>
      </c>
      <c r="B529" s="33" t="inlineStr">
        <is>
          <t>RRC</t>
        </is>
      </c>
      <c r="C529" s="33" t="inlineStr">
        <is>
          <t>R3</t>
        </is>
      </c>
      <c r="D529" s="33" t="n">
        <v>5</v>
      </c>
      <c r="E529" s="68" t="inlineStr">
        <is>
          <t>Strong; low leverage.</t>
        </is>
      </c>
      <c r="F529" s="68" t="inlineStr">
        <is>
          <t>Range Resources FY26 + Appalachian gas coverage (2026-05-18)</t>
        </is>
      </c>
      <c r="G529" s="33" t="inlineStr">
        <is>
          <t>High</t>
        </is>
      </c>
      <c r="H529" s="33" t="inlineStr">
        <is>
          <t>Initial</t>
        </is>
      </c>
    </row>
    <row r="530">
      <c r="A530" s="33" t="inlineStr">
        <is>
          <t>2026-05-18</t>
        </is>
      </c>
      <c r="B530" s="33" t="inlineStr">
        <is>
          <t>RRC</t>
        </is>
      </c>
      <c r="C530" s="33" t="inlineStr">
        <is>
          <t>R4</t>
        </is>
      </c>
      <c r="D530" s="33" t="n">
        <v>4</v>
      </c>
      <c r="E530" s="68" t="inlineStr">
        <is>
          <t>Routine.</t>
        </is>
      </c>
      <c r="F530" s="68" t="inlineStr">
        <is>
          <t>Range Resources FY26 + Appalachian gas coverage (2026-05-18)</t>
        </is>
      </c>
      <c r="G530" s="33" t="inlineStr">
        <is>
          <t>High</t>
        </is>
      </c>
      <c r="H530" s="33" t="inlineStr">
        <is>
          <t>Initial</t>
        </is>
      </c>
    </row>
    <row r="531">
      <c r="A531" s="33" t="inlineStr">
        <is>
          <t>2026-05-18</t>
        </is>
      </c>
      <c r="B531" s="33" t="inlineStr">
        <is>
          <t>AR</t>
        </is>
      </c>
      <c r="C531" s="33" t="inlineStr">
        <is>
          <t>D1</t>
        </is>
      </c>
      <c r="D531" s="33" t="n">
        <v>3</v>
      </c>
      <c r="E531" s="68" t="inlineStr">
        <is>
          <t>Antero Appalachian gas + NGL exposure.</t>
        </is>
      </c>
      <c r="F531" s="68" t="inlineStr">
        <is>
          <t>Antero Resources FY26 + Appalachian gas coverage (2026-05-18)</t>
        </is>
      </c>
      <c r="G531" s="33" t="inlineStr">
        <is>
          <t>High</t>
        </is>
      </c>
      <c r="H531" s="33" t="inlineStr">
        <is>
          <t>Initial</t>
        </is>
      </c>
    </row>
    <row r="532">
      <c r="A532" s="33" t="inlineStr">
        <is>
          <t>2026-05-18</t>
        </is>
      </c>
      <c r="B532" s="33" t="inlineStr">
        <is>
          <t>AR</t>
        </is>
      </c>
      <c r="C532" s="33" t="inlineStr">
        <is>
          <t>D2</t>
        </is>
      </c>
      <c r="D532" s="33" t="n">
        <v>3</v>
      </c>
      <c r="E532" s="68" t="inlineStr">
        <is>
          <t>Mid-tier.</t>
        </is>
      </c>
      <c r="F532" s="68" t="inlineStr">
        <is>
          <t>Antero Resources FY26 + Appalachian gas coverage (2026-05-18)</t>
        </is>
      </c>
      <c r="G532" s="33" t="inlineStr">
        <is>
          <t>High</t>
        </is>
      </c>
      <c r="H532" s="33" t="inlineStr">
        <is>
          <t>Initial</t>
        </is>
      </c>
    </row>
    <row r="533">
      <c r="A533" s="33" t="inlineStr">
        <is>
          <t>2026-05-18</t>
        </is>
      </c>
      <c r="B533" s="33" t="inlineStr">
        <is>
          <t>AR</t>
        </is>
      </c>
      <c r="C533" s="33" t="inlineStr">
        <is>
          <t>D3</t>
        </is>
      </c>
      <c r="D533" s="33" t="n">
        <v>3</v>
      </c>
      <c r="E533" s="68" t="inlineStr">
        <is>
          <t>Land + production.</t>
        </is>
      </c>
      <c r="F533" s="68" t="inlineStr">
        <is>
          <t>Antero Resources FY26 + Appalachian gas coverage (2026-05-18)</t>
        </is>
      </c>
      <c r="G533" s="33" t="inlineStr">
        <is>
          <t>High</t>
        </is>
      </c>
      <c r="H533" s="33" t="inlineStr">
        <is>
          <t>Initial</t>
        </is>
      </c>
    </row>
    <row r="534">
      <c r="A534" s="33" t="inlineStr">
        <is>
          <t>2026-05-18</t>
        </is>
      </c>
      <c r="B534" s="33" t="inlineStr">
        <is>
          <t>AR</t>
        </is>
      </c>
      <c r="C534" s="33" t="inlineStr">
        <is>
          <t>D4</t>
        </is>
      </c>
      <c r="D534" s="33" t="n">
        <v>4</v>
      </c>
      <c r="E534" s="68" t="inlineStr">
        <is>
          <t>Production capex.</t>
        </is>
      </c>
      <c r="F534" s="68" t="inlineStr">
        <is>
          <t>Antero Resources FY26 + Appalachian gas coverage (2026-05-18)</t>
        </is>
      </c>
      <c r="G534" s="33" t="inlineStr">
        <is>
          <t>High</t>
        </is>
      </c>
      <c r="H534" s="33" t="inlineStr">
        <is>
          <t>Initial</t>
        </is>
      </c>
    </row>
    <row r="535">
      <c r="A535" s="33" t="inlineStr">
        <is>
          <t>2026-05-18</t>
        </is>
      </c>
      <c r="B535" s="33" t="inlineStr">
        <is>
          <t>AR</t>
        </is>
      </c>
      <c r="C535" s="33" t="inlineStr">
        <is>
          <t>D5</t>
        </is>
      </c>
      <c r="D535" s="33" t="n">
        <v>3</v>
      </c>
      <c r="E535" s="68" t="inlineStr">
        <is>
          <t>Indirect.</t>
        </is>
      </c>
      <c r="F535" s="68" t="inlineStr">
        <is>
          <t>Antero Resources FY26 + Appalachian gas coverage (2026-05-18)</t>
        </is>
      </c>
      <c r="G535" s="33" t="inlineStr">
        <is>
          <t>High</t>
        </is>
      </c>
      <c r="H535" s="33" t="inlineStr">
        <is>
          <t>Initial</t>
        </is>
      </c>
    </row>
    <row r="536">
      <c r="A536" s="33" t="inlineStr">
        <is>
          <t>2026-05-18</t>
        </is>
      </c>
      <c r="B536" s="33" t="inlineStr">
        <is>
          <t>AR</t>
        </is>
      </c>
      <c r="C536" s="33" t="inlineStr">
        <is>
          <t>M1</t>
        </is>
      </c>
      <c r="D536" s="33" t="n">
        <v>5</v>
      </c>
      <c r="E536" s="68" t="inlineStr">
        <is>
          <t>11/4 — strongly positive.</t>
        </is>
      </c>
      <c r="F536" s="68" t="inlineStr">
        <is>
          <t>Antero Resources FY26 + Appalachian gas coverage (2026-05-18)</t>
        </is>
      </c>
      <c r="G536" s="33" t="inlineStr">
        <is>
          <t>High</t>
        </is>
      </c>
      <c r="H536" s="33" t="inlineStr">
        <is>
          <t>Initial</t>
        </is>
      </c>
    </row>
    <row r="537">
      <c r="A537" s="33" t="inlineStr">
        <is>
          <t>2026-05-18</t>
        </is>
      </c>
      <c r="B537" s="33" t="inlineStr">
        <is>
          <t>AR</t>
        </is>
      </c>
      <c r="C537" s="33" t="inlineStr">
        <is>
          <t>M2</t>
        </is>
      </c>
      <c r="D537" s="33" t="n">
        <v>1</v>
      </c>
      <c r="E537" s="68" t="inlineStr">
        <is>
          <t>+9.5% absolute, -27pp XLE.</t>
        </is>
      </c>
      <c r="F537" s="68" t="inlineStr">
        <is>
          <t>Antero Resources FY26 + Appalachian gas coverage (2026-05-18)</t>
        </is>
      </c>
      <c r="G537" s="33" t="inlineStr">
        <is>
          <t>High</t>
        </is>
      </c>
      <c r="H537" s="33" t="inlineStr">
        <is>
          <t>Initial</t>
        </is>
      </c>
    </row>
    <row r="538">
      <c r="A538" s="33" t="inlineStr">
        <is>
          <t>2026-05-18</t>
        </is>
      </c>
      <c r="B538" s="33" t="inlineStr">
        <is>
          <t>AR</t>
        </is>
      </c>
      <c r="C538" s="33" t="inlineStr">
        <is>
          <t>M3</t>
        </is>
      </c>
      <c r="D538" s="33" t="n">
        <v>3</v>
      </c>
      <c r="E538" s="68" t="inlineStr">
        <is>
          <t>Routine; default 3.</t>
        </is>
      </c>
      <c r="F538" s="68" t="inlineStr">
        <is>
          <t>Antero Resources FY26 + Appalachian gas coverage (2026-05-18)</t>
        </is>
      </c>
      <c r="G538" s="33" t="inlineStr">
        <is>
          <t>High</t>
        </is>
      </c>
      <c r="H538" s="33" t="inlineStr">
        <is>
          <t>Initial</t>
        </is>
      </c>
    </row>
    <row r="539">
      <c r="A539" s="33" t="inlineStr">
        <is>
          <t>2026-05-18</t>
        </is>
      </c>
      <c r="B539" s="33" t="inlineStr">
        <is>
          <t>AR</t>
        </is>
      </c>
      <c r="C539" s="33" t="inlineStr">
        <is>
          <t>R1</t>
        </is>
      </c>
      <c r="D539" s="33" t="n">
        <v>4</v>
      </c>
      <c r="E539" s="68" t="inlineStr">
        <is>
          <t>Diversified.</t>
        </is>
      </c>
      <c r="F539" s="68" t="inlineStr">
        <is>
          <t>Antero Resources FY26 + Appalachian gas coverage (2026-05-18)</t>
        </is>
      </c>
      <c r="G539" s="33" t="inlineStr">
        <is>
          <t>High</t>
        </is>
      </c>
      <c r="H539" s="33" t="inlineStr">
        <is>
          <t>Initial</t>
        </is>
      </c>
    </row>
    <row r="540">
      <c r="A540" s="33" t="inlineStr">
        <is>
          <t>2026-05-18</t>
        </is>
      </c>
      <c r="B540" s="33" t="inlineStr">
        <is>
          <t>AR</t>
        </is>
      </c>
      <c r="C540" s="33" t="inlineStr">
        <is>
          <t>R2</t>
        </is>
      </c>
      <c r="D540" s="33" t="n">
        <v>5</v>
      </c>
      <c r="E540" s="68" t="inlineStr">
        <is>
          <t>100% US.</t>
        </is>
      </c>
      <c r="F540" s="68" t="inlineStr">
        <is>
          <t>Antero Resources FY26 + Appalachian gas coverage (2026-05-18)</t>
        </is>
      </c>
      <c r="G540" s="33" t="inlineStr">
        <is>
          <t>High</t>
        </is>
      </c>
      <c r="H540" s="33" t="inlineStr">
        <is>
          <t>Initial</t>
        </is>
      </c>
    </row>
    <row r="541">
      <c r="A541" s="33" t="inlineStr">
        <is>
          <t>2026-05-18</t>
        </is>
      </c>
      <c r="B541" s="33" t="inlineStr">
        <is>
          <t>AR</t>
        </is>
      </c>
      <c r="C541" s="33" t="inlineStr">
        <is>
          <t>R3</t>
        </is>
      </c>
      <c r="D541" s="33" t="n">
        <v>4</v>
      </c>
      <c r="E541" s="68" t="inlineStr">
        <is>
          <t>Moderate leverage.</t>
        </is>
      </c>
      <c r="F541" s="68" t="inlineStr">
        <is>
          <t>Antero Resources FY26 + Appalachian gas coverage (2026-05-18)</t>
        </is>
      </c>
      <c r="G541" s="33" t="inlineStr">
        <is>
          <t>High</t>
        </is>
      </c>
      <c r="H541" s="33" t="inlineStr">
        <is>
          <t>Initial</t>
        </is>
      </c>
    </row>
    <row r="542">
      <c r="A542" s="33" t="inlineStr">
        <is>
          <t>2026-05-18</t>
        </is>
      </c>
      <c r="B542" s="33" t="inlineStr">
        <is>
          <t>AR</t>
        </is>
      </c>
      <c r="C542" s="33" t="inlineStr">
        <is>
          <t>R4</t>
        </is>
      </c>
      <c r="D542" s="33" t="n">
        <v>4</v>
      </c>
      <c r="E542" s="68" t="inlineStr">
        <is>
          <t>Routine.</t>
        </is>
      </c>
      <c r="F542" s="68" t="inlineStr">
        <is>
          <t>Antero Resources FY26 + Appalachian gas coverage (2026-05-18)</t>
        </is>
      </c>
      <c r="G542" s="33" t="inlineStr">
        <is>
          <t>High</t>
        </is>
      </c>
      <c r="H542" s="33" t="inlineStr">
        <is>
          <t>Initial</t>
        </is>
      </c>
    </row>
    <row r="543">
      <c r="A543" s="33" t="inlineStr">
        <is>
          <t>2026-05-18</t>
        </is>
      </c>
      <c r="B543" s="33" t="inlineStr">
        <is>
          <t>CTRA</t>
        </is>
      </c>
      <c r="C543" s="33" t="inlineStr">
        <is>
          <t>D1</t>
        </is>
      </c>
      <c r="D543" s="33" t="n">
        <v>3</v>
      </c>
      <c r="E543" s="68" t="inlineStr">
        <is>
          <t>Permian + Marcellus; mid-tier indirect AI gas exposure.</t>
        </is>
      </c>
      <c r="F543" s="68" t="inlineStr">
        <is>
          <t>Coterra FY26 + Devon $58B merger Feb 2026 + AI gas demand coverage (2026-05-18)</t>
        </is>
      </c>
      <c r="G543" s="33" t="inlineStr">
        <is>
          <t>High</t>
        </is>
      </c>
      <c r="H543" s="33" t="inlineStr">
        <is>
          <t>Initial</t>
        </is>
      </c>
    </row>
    <row r="544">
      <c r="A544" s="33" t="inlineStr">
        <is>
          <t>2026-05-18</t>
        </is>
      </c>
      <c r="B544" s="33" t="inlineStr">
        <is>
          <t>CTRA</t>
        </is>
      </c>
      <c r="C544" s="33" t="inlineStr">
        <is>
          <t>D2</t>
        </is>
      </c>
      <c r="D544" s="33" t="n">
        <v>4</v>
      </c>
      <c r="E544" s="68" t="inlineStr">
        <is>
          <t>$58B Devon merger Feb 2026 = largest pure gas + Permian player post-close. Scale leadership.</t>
        </is>
      </c>
      <c r="F544" s="68" t="inlineStr">
        <is>
          <t>Coterra FY26 + Devon $58B merger Feb 2026 + AI gas demand coverage (2026-05-18)</t>
        </is>
      </c>
      <c r="G544" s="33" t="inlineStr">
        <is>
          <t>High</t>
        </is>
      </c>
      <c r="H544" s="33" t="inlineStr">
        <is>
          <t>Initial</t>
        </is>
      </c>
    </row>
    <row r="545">
      <c r="A545" s="33" t="inlineStr">
        <is>
          <t>2026-05-18</t>
        </is>
      </c>
      <c r="B545" s="33" t="inlineStr">
        <is>
          <t>CTRA</t>
        </is>
      </c>
      <c r="C545" s="33" t="inlineStr">
        <is>
          <t>D3</t>
        </is>
      </c>
      <c r="D545" s="33" t="n">
        <v>4</v>
      </c>
      <c r="E545" s="68" t="inlineStr">
        <is>
          <t>Diversified basin position post-merger.</t>
        </is>
      </c>
      <c r="F545" s="68" t="inlineStr">
        <is>
          <t>Coterra FY26 + Devon $58B merger Feb 2026 + AI gas demand coverage (2026-05-18)</t>
        </is>
      </c>
      <c r="G545" s="33" t="inlineStr">
        <is>
          <t>High</t>
        </is>
      </c>
      <c r="H545" s="33" t="inlineStr">
        <is>
          <t>Initial</t>
        </is>
      </c>
    </row>
    <row r="546">
      <c r="A546" s="33" t="inlineStr">
        <is>
          <t>2026-05-18</t>
        </is>
      </c>
      <c r="B546" s="33" t="inlineStr">
        <is>
          <t>CTRA</t>
        </is>
      </c>
      <c r="C546" s="33" t="inlineStr">
        <is>
          <t>D4</t>
        </is>
      </c>
      <c r="D546" s="33" t="n">
        <v>5</v>
      </c>
      <c r="E546" s="68" t="inlineStr">
        <is>
          <t>Devon merger funded multi-year buildout + production ramp.</t>
        </is>
      </c>
      <c r="F546" s="68" t="inlineStr">
        <is>
          <t>Coterra FY26 + Devon $58B merger Feb 2026 + AI gas demand coverage (2026-05-18)</t>
        </is>
      </c>
      <c r="G546" s="33" t="inlineStr">
        <is>
          <t>High</t>
        </is>
      </c>
      <c r="H546" s="33" t="inlineStr">
        <is>
          <t>Initial</t>
        </is>
      </c>
    </row>
    <row r="547">
      <c r="A547" s="33" t="inlineStr">
        <is>
          <t>2026-05-18</t>
        </is>
      </c>
      <c r="B547" s="33" t="inlineStr">
        <is>
          <t>CTRA</t>
        </is>
      </c>
      <c r="C547" s="33" t="inlineStr">
        <is>
          <t>D5</t>
        </is>
      </c>
      <c r="D547" s="33" t="n">
        <v>3</v>
      </c>
      <c r="E547" s="68" t="inlineStr">
        <is>
          <t>Indirect.</t>
        </is>
      </c>
      <c r="F547" s="68" t="inlineStr">
        <is>
          <t>Coterra FY26 + Devon $58B merger Feb 2026 + AI gas demand coverage (2026-05-18)</t>
        </is>
      </c>
      <c r="G547" s="33" t="inlineStr">
        <is>
          <t>High</t>
        </is>
      </c>
      <c r="H547" s="33" t="inlineStr">
        <is>
          <t>Initial</t>
        </is>
      </c>
    </row>
    <row r="548">
      <c r="A548" s="33" t="inlineStr">
        <is>
          <t>2026-05-18</t>
        </is>
      </c>
      <c r="B548" s="33" t="inlineStr">
        <is>
          <t>CTRA</t>
        </is>
      </c>
      <c r="C548" s="33" t="inlineStr">
        <is>
          <t>M1</t>
        </is>
      </c>
      <c r="D548" s="33" t="n">
        <v>5</v>
      </c>
      <c r="E548" s="68" t="inlineStr">
        <is>
          <t>11/3 — strongly positive.</t>
        </is>
      </c>
      <c r="F548" s="68" t="inlineStr">
        <is>
          <t>Coterra FY26 + Devon $58B merger Feb 2026 + AI gas demand coverage (2026-05-18)</t>
        </is>
      </c>
      <c r="G548" s="33" t="inlineStr">
        <is>
          <t>High</t>
        </is>
      </c>
      <c r="H548" s="33" t="inlineStr">
        <is>
          <t>Initial</t>
        </is>
      </c>
    </row>
    <row r="549">
      <c r="A549" s="33" t="inlineStr">
        <is>
          <t>2026-05-18</t>
        </is>
      </c>
      <c r="B549" s="33" t="inlineStr">
        <is>
          <t>CTRA</t>
        </is>
      </c>
      <c r="C549" s="33" t="inlineStr">
        <is>
          <t>M2</t>
        </is>
      </c>
      <c r="D549" s="33" t="n">
        <v>1</v>
      </c>
      <c r="E549" s="68" t="inlineStr">
        <is>
          <t>NaN (recent merger timing).</t>
        </is>
      </c>
      <c r="F549" s="68" t="inlineStr">
        <is>
          <t>Coterra FY26 + Devon $58B merger Feb 2026 + AI gas demand coverage (2026-05-18)</t>
        </is>
      </c>
      <c r="G549" s="33" t="inlineStr">
        <is>
          <t>High</t>
        </is>
      </c>
      <c r="H549" s="33" t="inlineStr">
        <is>
          <t>Initial</t>
        </is>
      </c>
    </row>
    <row r="550">
      <c r="A550" s="33" t="inlineStr">
        <is>
          <t>2026-05-18</t>
        </is>
      </c>
      <c r="B550" s="33" t="inlineStr">
        <is>
          <t>CTRA</t>
        </is>
      </c>
      <c r="C550" s="33" t="inlineStr">
        <is>
          <t>M3</t>
        </is>
      </c>
      <c r="D550" s="33" t="n">
        <v>3</v>
      </c>
      <c r="E550" s="68" t="inlineStr">
        <is>
          <t>Routine; default 3.</t>
        </is>
      </c>
      <c r="F550" s="68" t="inlineStr">
        <is>
          <t>Coterra FY26 + Devon $58B merger Feb 2026 + AI gas demand coverage (2026-05-18)</t>
        </is>
      </c>
      <c r="G550" s="33" t="inlineStr">
        <is>
          <t>High</t>
        </is>
      </c>
      <c r="H550" s="33" t="inlineStr">
        <is>
          <t>Initial</t>
        </is>
      </c>
    </row>
    <row r="551">
      <c r="A551" s="33" t="inlineStr">
        <is>
          <t>2026-05-18</t>
        </is>
      </c>
      <c r="B551" s="33" t="inlineStr">
        <is>
          <t>CTRA</t>
        </is>
      </c>
      <c r="C551" s="33" t="inlineStr">
        <is>
          <t>R1</t>
        </is>
      </c>
      <c r="D551" s="33" t="n">
        <v>4</v>
      </c>
      <c r="E551" s="68" t="inlineStr">
        <is>
          <t>Diversified post-merger.</t>
        </is>
      </c>
      <c r="F551" s="68" t="inlineStr">
        <is>
          <t>Coterra FY26 + Devon $58B merger Feb 2026 + AI gas demand coverage (2026-05-18)</t>
        </is>
      </c>
      <c r="G551" s="33" t="inlineStr">
        <is>
          <t>High</t>
        </is>
      </c>
      <c r="H551" s="33" t="inlineStr">
        <is>
          <t>Initial</t>
        </is>
      </c>
    </row>
    <row r="552">
      <c r="A552" s="33" t="inlineStr">
        <is>
          <t>2026-05-18</t>
        </is>
      </c>
      <c r="B552" s="33" t="inlineStr">
        <is>
          <t>CTRA</t>
        </is>
      </c>
      <c r="C552" s="33" t="inlineStr">
        <is>
          <t>R2</t>
        </is>
      </c>
      <c r="D552" s="33" t="n">
        <v>5</v>
      </c>
      <c r="E552" s="68" t="inlineStr">
        <is>
          <t>100% US.</t>
        </is>
      </c>
      <c r="F552" s="68" t="inlineStr">
        <is>
          <t>Coterra FY26 + Devon $58B merger Feb 2026 + AI gas demand coverage (2026-05-18)</t>
        </is>
      </c>
      <c r="G552" s="33" t="inlineStr">
        <is>
          <t>High</t>
        </is>
      </c>
      <c r="H552" s="33" t="inlineStr">
        <is>
          <t>Initial</t>
        </is>
      </c>
    </row>
    <row r="553">
      <c r="A553" s="33" t="inlineStr">
        <is>
          <t>2026-05-18</t>
        </is>
      </c>
      <c r="B553" s="33" t="inlineStr">
        <is>
          <t>CTRA</t>
        </is>
      </c>
      <c r="C553" s="33" t="inlineStr">
        <is>
          <t>R3</t>
        </is>
      </c>
      <c r="D553" s="33" t="n">
        <v>5</v>
      </c>
      <c r="E553" s="68" t="inlineStr">
        <is>
          <t>Net cash + strong FCF; merger integration could elevate temporarily.</t>
        </is>
      </c>
      <c r="F553" s="68" t="inlineStr">
        <is>
          <t>Coterra FY26 + Devon $58B merger Feb 2026 + AI gas demand coverage (2026-05-18)</t>
        </is>
      </c>
      <c r="G553" s="33" t="inlineStr">
        <is>
          <t>High</t>
        </is>
      </c>
      <c r="H553" s="33" t="inlineStr">
        <is>
          <t>Initial</t>
        </is>
      </c>
    </row>
    <row r="554">
      <c r="A554" s="33" t="inlineStr">
        <is>
          <t>2026-05-18</t>
        </is>
      </c>
      <c r="B554" s="33" t="inlineStr">
        <is>
          <t>CTRA</t>
        </is>
      </c>
      <c r="C554" s="33" t="inlineStr">
        <is>
          <t>R4</t>
        </is>
      </c>
      <c r="D554" s="33" t="n">
        <v>4</v>
      </c>
      <c r="E554" s="68" t="inlineStr">
        <is>
          <t>Routine.</t>
        </is>
      </c>
      <c r="F554" s="68" t="inlineStr">
        <is>
          <t>Coterra FY26 + Devon $58B merger Feb 2026 + AI gas demand coverage (2026-05-18)</t>
        </is>
      </c>
      <c r="G554" s="33" t="inlineStr">
        <is>
          <t>High</t>
        </is>
      </c>
      <c r="H554" s="33" t="inlineStr">
        <is>
          <t>Initial</t>
        </is>
      </c>
    </row>
    <row r="555">
      <c r="A555" s="33" t="inlineStr">
        <is>
          <t>2026-05-18</t>
        </is>
      </c>
      <c r="B555" s="33" t="inlineStr">
        <is>
          <t>EXE</t>
        </is>
      </c>
      <c r="C555" s="33" t="inlineStr">
        <is>
          <t>D1</t>
        </is>
      </c>
      <c r="D555" s="33" t="n">
        <v>3</v>
      </c>
      <c r="E555" s="68" t="inlineStr">
        <is>
          <t>Expand Energy (post-Chesapeake) gas focused.</t>
        </is>
      </c>
      <c r="F555" s="68" t="inlineStr">
        <is>
          <t>Expand Energy (ex-Chesapeake) FY26 + gas-focused coverage (2026-05-18)</t>
        </is>
      </c>
      <c r="G555" s="33" t="inlineStr">
        <is>
          <t>High</t>
        </is>
      </c>
      <c r="H555" s="33" t="inlineStr">
        <is>
          <t>Initial</t>
        </is>
      </c>
    </row>
    <row r="556">
      <c r="A556" s="33" t="inlineStr">
        <is>
          <t>2026-05-18</t>
        </is>
      </c>
      <c r="B556" s="33" t="inlineStr">
        <is>
          <t>EXE</t>
        </is>
      </c>
      <c r="C556" s="33" t="inlineStr">
        <is>
          <t>D2</t>
        </is>
      </c>
      <c r="D556" s="33" t="n">
        <v>3</v>
      </c>
      <c r="E556" s="68" t="inlineStr">
        <is>
          <t>Mid-tier gas player.</t>
        </is>
      </c>
      <c r="F556" s="68" t="inlineStr">
        <is>
          <t>Expand Energy (ex-Chesapeake) FY26 + gas-focused coverage (2026-05-18)</t>
        </is>
      </c>
      <c r="G556" s="33" t="inlineStr">
        <is>
          <t>High</t>
        </is>
      </c>
      <c r="H556" s="33" t="inlineStr">
        <is>
          <t>Initial</t>
        </is>
      </c>
    </row>
    <row r="557">
      <c r="A557" s="33" t="inlineStr">
        <is>
          <t>2026-05-18</t>
        </is>
      </c>
      <c r="B557" s="33" t="inlineStr">
        <is>
          <t>EXE</t>
        </is>
      </c>
      <c r="C557" s="33" t="inlineStr">
        <is>
          <t>D3</t>
        </is>
      </c>
      <c r="D557" s="33" t="n">
        <v>3</v>
      </c>
      <c r="E557" s="68" t="inlineStr">
        <is>
          <t>Land position.</t>
        </is>
      </c>
      <c r="F557" s="68" t="inlineStr">
        <is>
          <t>Expand Energy (ex-Chesapeake) FY26 + gas-focused coverage (2026-05-18)</t>
        </is>
      </c>
      <c r="G557" s="33" t="inlineStr">
        <is>
          <t>High</t>
        </is>
      </c>
      <c r="H557" s="33" t="inlineStr">
        <is>
          <t>Initial</t>
        </is>
      </c>
    </row>
    <row r="558">
      <c r="A558" s="33" t="inlineStr">
        <is>
          <t>2026-05-18</t>
        </is>
      </c>
      <c r="B558" s="33" t="inlineStr">
        <is>
          <t>EXE</t>
        </is>
      </c>
      <c r="C558" s="33" t="inlineStr">
        <is>
          <t>D4</t>
        </is>
      </c>
      <c r="D558" s="33" t="n">
        <v>4</v>
      </c>
      <c r="E558" s="68" t="inlineStr">
        <is>
          <t>Production capex.</t>
        </is>
      </c>
      <c r="F558" s="68" t="inlineStr">
        <is>
          <t>Expand Energy (ex-Chesapeake) FY26 + gas-focused coverage (2026-05-18)</t>
        </is>
      </c>
      <c r="G558" s="33" t="inlineStr">
        <is>
          <t>High</t>
        </is>
      </c>
      <c r="H558" s="33" t="inlineStr">
        <is>
          <t>Initial</t>
        </is>
      </c>
    </row>
    <row r="559">
      <c r="A559" s="33" t="inlineStr">
        <is>
          <t>2026-05-18</t>
        </is>
      </c>
      <c r="B559" s="33" t="inlineStr">
        <is>
          <t>EXE</t>
        </is>
      </c>
      <c r="C559" s="33" t="inlineStr">
        <is>
          <t>D5</t>
        </is>
      </c>
      <c r="D559" s="33" t="n">
        <v>3</v>
      </c>
      <c r="E559" s="68" t="inlineStr">
        <is>
          <t>Indirect.</t>
        </is>
      </c>
      <c r="F559" s="68" t="inlineStr">
        <is>
          <t>Expand Energy (ex-Chesapeake) FY26 + gas-focused coverage (2026-05-18)</t>
        </is>
      </c>
      <c r="G559" s="33" t="inlineStr">
        <is>
          <t>High</t>
        </is>
      </c>
      <c r="H559" s="33" t="inlineStr">
        <is>
          <t>Initial</t>
        </is>
      </c>
    </row>
    <row r="560">
      <c r="A560" s="33" t="inlineStr">
        <is>
          <t>2026-05-18</t>
        </is>
      </c>
      <c r="B560" s="33" t="inlineStr">
        <is>
          <t>EXE</t>
        </is>
      </c>
      <c r="C560" s="33" t="inlineStr">
        <is>
          <t>M1</t>
        </is>
      </c>
      <c r="D560" s="33" t="n">
        <v>3</v>
      </c>
      <c r="E560" s="68" t="inlineStr">
        <is>
          <t>10/11 — mixed.</t>
        </is>
      </c>
      <c r="F560" s="68" t="inlineStr">
        <is>
          <t>Expand Energy (ex-Chesapeake) FY26 + gas-focused coverage (2026-05-18)</t>
        </is>
      </c>
      <c r="G560" s="33" t="inlineStr">
        <is>
          <t>High</t>
        </is>
      </c>
      <c r="H560" s="33" t="inlineStr">
        <is>
          <t>Initial</t>
        </is>
      </c>
    </row>
    <row r="561">
      <c r="A561" s="33" t="inlineStr">
        <is>
          <t>2026-05-18</t>
        </is>
      </c>
      <c r="B561" s="33" t="inlineStr">
        <is>
          <t>EXE</t>
        </is>
      </c>
      <c r="C561" s="33" t="inlineStr">
        <is>
          <t>M2</t>
        </is>
      </c>
      <c r="D561" s="33" t="n">
        <v>1</v>
      </c>
      <c r="E561" s="68" t="inlineStr">
        <is>
          <t>-15% absolute, -52pp XLE — heaviest lag in gas cluster.</t>
        </is>
      </c>
      <c r="F561" s="68" t="inlineStr">
        <is>
          <t>Expand Energy (ex-Chesapeake) FY26 + gas-focused coverage (2026-05-18)</t>
        </is>
      </c>
      <c r="G561" s="33" t="inlineStr">
        <is>
          <t>High</t>
        </is>
      </c>
      <c r="H561" s="33" t="inlineStr">
        <is>
          <t>Initial</t>
        </is>
      </c>
    </row>
    <row r="562">
      <c r="A562" s="33" t="inlineStr">
        <is>
          <t>2026-05-18</t>
        </is>
      </c>
      <c r="B562" s="33" t="inlineStr">
        <is>
          <t>EXE</t>
        </is>
      </c>
      <c r="C562" s="33" t="inlineStr">
        <is>
          <t>M3</t>
        </is>
      </c>
      <c r="D562" s="33" t="n">
        <v>3</v>
      </c>
      <c r="E562" s="68" t="inlineStr">
        <is>
          <t>Routine; default 3.</t>
        </is>
      </c>
      <c r="F562" s="68" t="inlineStr">
        <is>
          <t>Expand Energy (ex-Chesapeake) FY26 + gas-focused coverage (2026-05-18)</t>
        </is>
      </c>
      <c r="G562" s="33" t="inlineStr">
        <is>
          <t>High</t>
        </is>
      </c>
      <c r="H562" s="33" t="inlineStr">
        <is>
          <t>Initial</t>
        </is>
      </c>
    </row>
    <row r="563">
      <c r="A563" s="33" t="inlineStr">
        <is>
          <t>2026-05-18</t>
        </is>
      </c>
      <c r="B563" s="33" t="inlineStr">
        <is>
          <t>EXE</t>
        </is>
      </c>
      <c r="C563" s="33" t="inlineStr">
        <is>
          <t>R1</t>
        </is>
      </c>
      <c r="D563" s="33" t="n">
        <v>4</v>
      </c>
      <c r="E563" s="68" t="inlineStr">
        <is>
          <t>Diversified.</t>
        </is>
      </c>
      <c r="F563" s="68" t="inlineStr">
        <is>
          <t>Expand Energy (ex-Chesapeake) FY26 + gas-focused coverage (2026-05-18)</t>
        </is>
      </c>
      <c r="G563" s="33" t="inlineStr">
        <is>
          <t>High</t>
        </is>
      </c>
      <c r="H563" s="33" t="inlineStr">
        <is>
          <t>Initial</t>
        </is>
      </c>
    </row>
    <row r="564">
      <c r="A564" s="33" t="inlineStr">
        <is>
          <t>2026-05-18</t>
        </is>
      </c>
      <c r="B564" s="33" t="inlineStr">
        <is>
          <t>EXE</t>
        </is>
      </c>
      <c r="C564" s="33" t="inlineStr">
        <is>
          <t>R2</t>
        </is>
      </c>
      <c r="D564" s="33" t="n">
        <v>5</v>
      </c>
      <c r="E564" s="68" t="inlineStr">
        <is>
          <t>100% US.</t>
        </is>
      </c>
      <c r="F564" s="68" t="inlineStr">
        <is>
          <t>Expand Energy (ex-Chesapeake) FY26 + gas-focused coverage (2026-05-18)</t>
        </is>
      </c>
      <c r="G564" s="33" t="inlineStr">
        <is>
          <t>High</t>
        </is>
      </c>
      <c r="H564" s="33" t="inlineStr">
        <is>
          <t>Initial</t>
        </is>
      </c>
    </row>
    <row r="565">
      <c r="A565" s="33" t="inlineStr">
        <is>
          <t>2026-05-18</t>
        </is>
      </c>
      <c r="B565" s="33" t="inlineStr">
        <is>
          <t>EXE</t>
        </is>
      </c>
      <c r="C565" s="33" t="inlineStr">
        <is>
          <t>R3</t>
        </is>
      </c>
      <c r="D565" s="33" t="n">
        <v>5</v>
      </c>
      <c r="E565" s="68" t="inlineStr">
        <is>
          <t>Net cash.</t>
        </is>
      </c>
      <c r="F565" s="68" t="inlineStr">
        <is>
          <t>Expand Energy (ex-Chesapeake) FY26 + gas-focused coverage (2026-05-18)</t>
        </is>
      </c>
      <c r="G565" s="33" t="inlineStr">
        <is>
          <t>High</t>
        </is>
      </c>
      <c r="H565" s="33" t="inlineStr">
        <is>
          <t>Initial</t>
        </is>
      </c>
    </row>
    <row r="566">
      <c r="A566" s="33" t="inlineStr">
        <is>
          <t>2026-05-18</t>
        </is>
      </c>
      <c r="B566" s="33" t="inlineStr">
        <is>
          <t>EXE</t>
        </is>
      </c>
      <c r="C566" s="33" t="inlineStr">
        <is>
          <t>R4</t>
        </is>
      </c>
      <c r="D566" s="33" t="n">
        <v>4</v>
      </c>
      <c r="E566" s="68" t="inlineStr">
        <is>
          <t>Routine.</t>
        </is>
      </c>
      <c r="F566" s="68" t="inlineStr">
        <is>
          <t>Expand Energy (ex-Chesapeake) FY26 + gas-focused coverage (2026-05-18)</t>
        </is>
      </c>
      <c r="G566" s="33" t="inlineStr">
        <is>
          <t>High</t>
        </is>
      </c>
      <c r="H566" s="33" t="inlineStr">
        <is>
          <t>Initial</t>
        </is>
      </c>
    </row>
    <row r="567">
      <c r="A567" s="33" t="inlineStr">
        <is>
          <t>2026-05-18</t>
        </is>
      </c>
      <c r="B567" s="33" t="inlineStr">
        <is>
          <t>PLUG</t>
        </is>
      </c>
      <c r="C567" s="33" t="inlineStr">
        <is>
          <t>D1</t>
        </is>
      </c>
      <c r="D567" s="33" t="n">
        <v>2</v>
      </c>
      <c r="E567" s="68" t="inlineStr">
        <is>
          <t>Hydrogen fuel cells — historical struggles, limited AI uptake.</t>
        </is>
      </c>
      <c r="F567" s="68" t="inlineStr">
        <is>
          <t>Plug Power FY26 + hydrogen fuel cell coverage (2026-05-18)</t>
        </is>
      </c>
      <c r="G567" s="33" t="inlineStr">
        <is>
          <t>High</t>
        </is>
      </c>
      <c r="H567" s="33" t="inlineStr">
        <is>
          <t>Initial</t>
        </is>
      </c>
    </row>
    <row r="568">
      <c r="A568" s="33" t="inlineStr">
        <is>
          <t>2026-05-18</t>
        </is>
      </c>
      <c r="B568" s="33" t="inlineStr">
        <is>
          <t>PLUG</t>
        </is>
      </c>
      <c r="C568" s="33" t="inlineStr">
        <is>
          <t>D2</t>
        </is>
      </c>
      <c r="D568" s="33" t="n">
        <v>2</v>
      </c>
      <c r="E568" s="68" t="inlineStr">
        <is>
          <t>Hydrogen tech but commoditizable.</t>
        </is>
      </c>
      <c r="F568" s="68" t="inlineStr">
        <is>
          <t>Plug Power FY26 + hydrogen fuel cell coverage (2026-05-18)</t>
        </is>
      </c>
      <c r="G568" s="33" t="inlineStr">
        <is>
          <t>High</t>
        </is>
      </c>
      <c r="H568" s="33" t="inlineStr">
        <is>
          <t>Initial</t>
        </is>
      </c>
    </row>
    <row r="569">
      <c r="A569" s="33" t="inlineStr">
        <is>
          <t>2026-05-18</t>
        </is>
      </c>
      <c r="B569" s="33" t="inlineStr">
        <is>
          <t>PLUG</t>
        </is>
      </c>
      <c r="C569" s="33" t="inlineStr">
        <is>
          <t>D3</t>
        </is>
      </c>
      <c r="D569" s="33" t="n">
        <v>2</v>
      </c>
      <c r="E569" s="68" t="inlineStr">
        <is>
          <t>Limited moat; ongoing losses.</t>
        </is>
      </c>
      <c r="F569" s="68" t="inlineStr">
        <is>
          <t>Plug Power FY26 + hydrogen fuel cell coverage (2026-05-18)</t>
        </is>
      </c>
      <c r="G569" s="33" t="inlineStr">
        <is>
          <t>High</t>
        </is>
      </c>
      <c r="H569" s="33" t="inlineStr">
        <is>
          <t>Initial</t>
        </is>
      </c>
    </row>
    <row r="570">
      <c r="A570" s="33" t="inlineStr">
        <is>
          <t>2026-05-18</t>
        </is>
      </c>
      <c r="B570" s="33" t="inlineStr">
        <is>
          <t>PLUG</t>
        </is>
      </c>
      <c r="C570" s="33" t="inlineStr">
        <is>
          <t>D4</t>
        </is>
      </c>
      <c r="D570" s="33" t="n">
        <v>3</v>
      </c>
      <c r="E570" s="68" t="inlineStr">
        <is>
          <t>Capex but execution risk.</t>
        </is>
      </c>
      <c r="F570" s="68" t="inlineStr">
        <is>
          <t>Plug Power FY26 + hydrogen fuel cell coverage (2026-05-18)</t>
        </is>
      </c>
      <c r="G570" s="33" t="inlineStr">
        <is>
          <t>High</t>
        </is>
      </c>
      <c r="H570" s="33" t="inlineStr">
        <is>
          <t>Initial</t>
        </is>
      </c>
    </row>
    <row r="571">
      <c r="A571" s="33" t="inlineStr">
        <is>
          <t>2026-05-18</t>
        </is>
      </c>
      <c r="B571" s="33" t="inlineStr">
        <is>
          <t>PLUG</t>
        </is>
      </c>
      <c r="C571" s="33" t="inlineStr">
        <is>
          <t>D5</t>
        </is>
      </c>
      <c r="D571" s="33" t="n">
        <v>2</v>
      </c>
      <c r="E571" s="68" t="inlineStr">
        <is>
          <t>Limited hyperscaler relationships.</t>
        </is>
      </c>
      <c r="F571" s="68" t="inlineStr">
        <is>
          <t>Plug Power FY26 + hydrogen fuel cell coverage (2026-05-18)</t>
        </is>
      </c>
      <c r="G571" s="33" t="inlineStr">
        <is>
          <t>High</t>
        </is>
      </c>
      <c r="H571" s="33" t="inlineStr">
        <is>
          <t>Initial</t>
        </is>
      </c>
    </row>
    <row r="572">
      <c r="A572" s="33" t="inlineStr">
        <is>
          <t>2026-05-18</t>
        </is>
      </c>
      <c r="B572" s="33" t="inlineStr">
        <is>
          <t>PLUG</t>
        </is>
      </c>
      <c r="C572" s="33" t="inlineStr">
        <is>
          <t>M1</t>
        </is>
      </c>
      <c r="D572" s="33" t="n">
        <v>3</v>
      </c>
      <c r="E572" s="68" t="inlineStr">
        <is>
          <t>1/1 neutral.</t>
        </is>
      </c>
      <c r="F572" s="68" t="inlineStr">
        <is>
          <t>Plug Power FY26 + hydrogen fuel cell coverage (2026-05-18)</t>
        </is>
      </c>
      <c r="G572" s="33" t="inlineStr">
        <is>
          <t>High</t>
        </is>
      </c>
      <c r="H572" s="33" t="inlineStr">
        <is>
          <t>Initial</t>
        </is>
      </c>
    </row>
    <row r="573">
      <c r="A573" s="33" t="inlineStr">
        <is>
          <t>2026-05-18</t>
        </is>
      </c>
      <c r="B573" s="33" t="inlineStr">
        <is>
          <t>PLUG</t>
        </is>
      </c>
      <c r="C573" s="33" t="inlineStr">
        <is>
          <t>M2</t>
        </is>
      </c>
      <c r="D573" s="33" t="n">
        <v>5</v>
      </c>
      <c r="E573" s="68" t="inlineStr">
        <is>
          <t>+83% absolute, +69pp XLI — extreme small-cap rally.</t>
        </is>
      </c>
      <c r="F573" s="68" t="inlineStr">
        <is>
          <t>Plug Power FY26 + hydrogen fuel cell coverage (2026-05-18)</t>
        </is>
      </c>
      <c r="G573" s="33" t="inlineStr">
        <is>
          <t>High</t>
        </is>
      </c>
      <c r="H573" s="33" t="inlineStr">
        <is>
          <t>Initial</t>
        </is>
      </c>
    </row>
    <row r="574">
      <c r="A574" s="33" t="inlineStr">
        <is>
          <t>2026-05-18</t>
        </is>
      </c>
      <c r="B574" s="33" t="inlineStr">
        <is>
          <t>PLUG</t>
        </is>
      </c>
      <c r="C574" s="33" t="inlineStr">
        <is>
          <t>M3</t>
        </is>
      </c>
      <c r="D574" s="33" t="n">
        <v>3</v>
      </c>
      <c r="E574" s="68" t="inlineStr">
        <is>
          <t>Routine; default 3.</t>
        </is>
      </c>
      <c r="F574" s="68" t="inlineStr">
        <is>
          <t>Plug Power FY26 + hydrogen fuel cell coverage (2026-05-18)</t>
        </is>
      </c>
      <c r="G574" s="33" t="inlineStr">
        <is>
          <t>High</t>
        </is>
      </c>
      <c r="H574" s="33" t="inlineStr">
        <is>
          <t>Initial</t>
        </is>
      </c>
    </row>
    <row r="575">
      <c r="A575" s="33" t="inlineStr">
        <is>
          <t>2026-05-18</t>
        </is>
      </c>
      <c r="B575" s="33" t="inlineStr">
        <is>
          <t>PLUG</t>
        </is>
      </c>
      <c r="C575" s="33" t="inlineStr">
        <is>
          <t>R1</t>
        </is>
      </c>
      <c r="D575" s="33" t="n">
        <v>3</v>
      </c>
      <c r="E575" s="68" t="inlineStr">
        <is>
          <t>Limited base.</t>
        </is>
      </c>
      <c r="F575" s="68" t="inlineStr">
        <is>
          <t>Plug Power FY26 + hydrogen fuel cell coverage (2026-05-18)</t>
        </is>
      </c>
      <c r="G575" s="33" t="inlineStr">
        <is>
          <t>High</t>
        </is>
      </c>
      <c r="H575" s="33" t="inlineStr">
        <is>
          <t>Initial</t>
        </is>
      </c>
    </row>
    <row r="576">
      <c r="A576" s="33" t="inlineStr">
        <is>
          <t>2026-05-18</t>
        </is>
      </c>
      <c r="B576" s="33" t="inlineStr">
        <is>
          <t>PLUG</t>
        </is>
      </c>
      <c r="C576" s="33" t="inlineStr">
        <is>
          <t>R2</t>
        </is>
      </c>
      <c r="D576" s="33" t="n">
        <v>4</v>
      </c>
      <c r="E576" s="68" t="inlineStr">
        <is>
          <t>Global.</t>
        </is>
      </c>
      <c r="F576" s="68" t="inlineStr">
        <is>
          <t>Plug Power FY26 + hydrogen fuel cell coverage (2026-05-18)</t>
        </is>
      </c>
      <c r="G576" s="33" t="inlineStr">
        <is>
          <t>High</t>
        </is>
      </c>
      <c r="H576" s="33" t="inlineStr">
        <is>
          <t>Initial</t>
        </is>
      </c>
    </row>
    <row r="577">
      <c r="A577" s="33" t="inlineStr">
        <is>
          <t>2026-05-18</t>
        </is>
      </c>
      <c r="B577" s="33" t="inlineStr">
        <is>
          <t>PLUG</t>
        </is>
      </c>
      <c r="C577" s="33" t="inlineStr">
        <is>
          <t>R3</t>
        </is>
      </c>
      <c r="D577" s="33" t="n">
        <v>2</v>
      </c>
      <c r="E577" s="68" t="inlineStr">
        <is>
          <t>Cash-burning; dilution risk historically.</t>
        </is>
      </c>
      <c r="F577" s="68" t="inlineStr">
        <is>
          <t>Plug Power FY26 + hydrogen fuel cell coverage (2026-05-18)</t>
        </is>
      </c>
      <c r="G577" s="33" t="inlineStr">
        <is>
          <t>High</t>
        </is>
      </c>
      <c r="H577" s="33" t="inlineStr">
        <is>
          <t>Initial</t>
        </is>
      </c>
    </row>
    <row r="578">
      <c r="A578" s="33" t="inlineStr">
        <is>
          <t>2026-05-18</t>
        </is>
      </c>
      <c r="B578" s="33" t="inlineStr">
        <is>
          <t>PLUG</t>
        </is>
      </c>
      <c r="C578" s="33" t="inlineStr">
        <is>
          <t>R4</t>
        </is>
      </c>
      <c r="D578" s="33" t="n">
        <v>4</v>
      </c>
      <c r="E578" s="68" t="inlineStr">
        <is>
          <t>Routine.</t>
        </is>
      </c>
      <c r="F578" s="68" t="inlineStr">
        <is>
          <t>Plug Power FY26 + hydrogen fuel cell coverage (2026-05-18)</t>
        </is>
      </c>
      <c r="G578" s="33" t="inlineStr">
        <is>
          <t>High</t>
        </is>
      </c>
      <c r="H578" s="33" t="inlineStr">
        <is>
          <t>Initial</t>
        </is>
      </c>
    </row>
    <row r="579">
      <c r="A579" s="33" t="inlineStr">
        <is>
          <t>2026-05-18</t>
        </is>
      </c>
      <c r="B579" s="33" t="inlineStr">
        <is>
          <t>CMI</t>
        </is>
      </c>
      <c r="C579" s="33" t="inlineStr">
        <is>
          <t>D1</t>
        </is>
      </c>
      <c r="D579" s="33" t="n">
        <v>3</v>
      </c>
      <c r="E579" s="68" t="inlineStr">
        <is>
          <t>Backup generators for data centers + gas engines for distributed power. Real AI tailwind.</t>
        </is>
      </c>
      <c r="F579" s="68" t="inlineStr">
        <is>
          <t>Cummins FY26 + backup generator data center demand coverage (2026-05-18)</t>
        </is>
      </c>
      <c r="G579" s="33" t="inlineStr">
        <is>
          <t>High</t>
        </is>
      </c>
      <c r="H579" s="33" t="inlineStr">
        <is>
          <t>Initial</t>
        </is>
      </c>
    </row>
    <row r="580">
      <c r="A580" s="33" t="inlineStr">
        <is>
          <t>2026-05-18</t>
        </is>
      </c>
      <c r="B580" s="33" t="inlineStr">
        <is>
          <t>CMI</t>
        </is>
      </c>
      <c r="C580" s="33" t="inlineStr">
        <is>
          <t>D2</t>
        </is>
      </c>
      <c r="D580" s="33" t="n">
        <v>4</v>
      </c>
      <c r="E580" s="68" t="inlineStr">
        <is>
          <t>Largest backup gen + diesel + gas engines globally.</t>
        </is>
      </c>
      <c r="F580" s="68" t="inlineStr">
        <is>
          <t>Cummins FY26 + backup generator data center demand coverage (2026-05-18)</t>
        </is>
      </c>
      <c r="G580" s="33" t="inlineStr">
        <is>
          <t>High</t>
        </is>
      </c>
      <c r="H580" s="33" t="inlineStr">
        <is>
          <t>Initial</t>
        </is>
      </c>
    </row>
    <row r="581">
      <c r="A581" s="33" t="inlineStr">
        <is>
          <t>2026-05-18</t>
        </is>
      </c>
      <c r="B581" s="33" t="inlineStr">
        <is>
          <t>CMI</t>
        </is>
      </c>
      <c r="C581" s="33" t="inlineStr">
        <is>
          <t>D3</t>
        </is>
      </c>
      <c r="D581" s="33" t="n">
        <v>4</v>
      </c>
      <c r="E581" s="68" t="inlineStr">
        <is>
          <t>Scale + customer integration + service network.</t>
        </is>
      </c>
      <c r="F581" s="68" t="inlineStr">
        <is>
          <t>Cummins FY26 + backup generator data center demand coverage (2026-05-18)</t>
        </is>
      </c>
      <c r="G581" s="33" t="inlineStr">
        <is>
          <t>High</t>
        </is>
      </c>
      <c r="H581" s="33" t="inlineStr">
        <is>
          <t>Initial</t>
        </is>
      </c>
    </row>
    <row r="582">
      <c r="A582" s="33" t="inlineStr">
        <is>
          <t>2026-05-18</t>
        </is>
      </c>
      <c r="B582" s="33" t="inlineStr">
        <is>
          <t>CMI</t>
        </is>
      </c>
      <c r="C582" s="33" t="inlineStr">
        <is>
          <t>D4</t>
        </is>
      </c>
      <c r="D582" s="33" t="n">
        <v>4</v>
      </c>
      <c r="E582" s="68" t="inlineStr">
        <is>
          <t>Capex aligned with data center backup demand.</t>
        </is>
      </c>
      <c r="F582" s="68" t="inlineStr">
        <is>
          <t>Cummins FY26 + backup generator data center demand coverage (2026-05-18)</t>
        </is>
      </c>
      <c r="G582" s="33" t="inlineStr">
        <is>
          <t>High</t>
        </is>
      </c>
      <c r="H582" s="33" t="inlineStr">
        <is>
          <t>Initial</t>
        </is>
      </c>
    </row>
    <row r="583">
      <c r="A583" s="33" t="inlineStr">
        <is>
          <t>2026-05-18</t>
        </is>
      </c>
      <c r="B583" s="33" t="inlineStr">
        <is>
          <t>CMI</t>
        </is>
      </c>
      <c r="C583" s="33" t="inlineStr">
        <is>
          <t>D5</t>
        </is>
      </c>
      <c r="D583" s="33" t="n">
        <v>3</v>
      </c>
      <c r="E583" s="68" t="inlineStr">
        <is>
          <t>Indirect via hyperscaler/colo customer purchases.</t>
        </is>
      </c>
      <c r="F583" s="68" t="inlineStr">
        <is>
          <t>Cummins FY26 + backup generator data center demand coverage (2026-05-18)</t>
        </is>
      </c>
      <c r="G583" s="33" t="inlineStr">
        <is>
          <t>High</t>
        </is>
      </c>
      <c r="H583" s="33" t="inlineStr">
        <is>
          <t>Initial</t>
        </is>
      </c>
    </row>
    <row r="584">
      <c r="A584" s="33" t="inlineStr">
        <is>
          <t>2026-05-18</t>
        </is>
      </c>
      <c r="B584" s="33" t="inlineStr">
        <is>
          <t>CMI</t>
        </is>
      </c>
      <c r="C584" s="33" t="inlineStr">
        <is>
          <t>M1</t>
        </is>
      </c>
      <c r="D584" s="33" t="n">
        <v>5</v>
      </c>
      <c r="E584" s="68" t="inlineStr">
        <is>
          <t>8/0 — strongly positive.</t>
        </is>
      </c>
      <c r="F584" s="68" t="inlineStr">
        <is>
          <t>Cummins FY26 + backup generator data center demand coverage (2026-05-18)</t>
        </is>
      </c>
      <c r="G584" s="33" t="inlineStr">
        <is>
          <t>High</t>
        </is>
      </c>
      <c r="H584" s="33" t="inlineStr">
        <is>
          <t>Initial</t>
        </is>
      </c>
    </row>
    <row r="585">
      <c r="A585" s="33" t="inlineStr">
        <is>
          <t>2026-05-18</t>
        </is>
      </c>
      <c r="B585" s="33" t="inlineStr">
        <is>
          <t>CMI</t>
        </is>
      </c>
      <c r="C585" s="33" t="inlineStr">
        <is>
          <t>M2</t>
        </is>
      </c>
      <c r="D585" s="33" t="n">
        <v>5</v>
      </c>
      <c r="E585" s="68" t="inlineStr">
        <is>
          <t>+44% absolute, +30pp XLI.</t>
        </is>
      </c>
      <c r="F585" s="68" t="inlineStr">
        <is>
          <t>Cummins FY26 + backup generator data center demand coverage (2026-05-18)</t>
        </is>
      </c>
      <c r="G585" s="33" t="inlineStr">
        <is>
          <t>High</t>
        </is>
      </c>
      <c r="H585" s="33" t="inlineStr">
        <is>
          <t>Initial</t>
        </is>
      </c>
    </row>
    <row r="586">
      <c r="A586" s="33" t="inlineStr">
        <is>
          <t>2026-05-18</t>
        </is>
      </c>
      <c r="B586" s="33" t="inlineStr">
        <is>
          <t>CMI</t>
        </is>
      </c>
      <c r="C586" s="33" t="inlineStr">
        <is>
          <t>M3</t>
        </is>
      </c>
      <c r="D586" s="33" t="n">
        <v>3</v>
      </c>
      <c r="E586" s="68" t="inlineStr">
        <is>
          <t>Routine; default 3.</t>
        </is>
      </c>
      <c r="F586" s="68" t="inlineStr">
        <is>
          <t>Cummins FY26 + backup generator data center demand coverage (2026-05-18)</t>
        </is>
      </c>
      <c r="G586" s="33" t="inlineStr">
        <is>
          <t>High</t>
        </is>
      </c>
      <c r="H586" s="33" t="inlineStr">
        <is>
          <t>Initial</t>
        </is>
      </c>
    </row>
    <row r="587">
      <c r="A587" s="33" t="inlineStr">
        <is>
          <t>2026-05-18</t>
        </is>
      </c>
      <c r="B587" s="33" t="inlineStr">
        <is>
          <t>CMI</t>
        </is>
      </c>
      <c r="C587" s="33" t="inlineStr">
        <is>
          <t>R1</t>
        </is>
      </c>
      <c r="D587" s="33" t="n">
        <v>5</v>
      </c>
      <c r="E587" s="68" t="inlineStr">
        <is>
          <t>Highly diversified.</t>
        </is>
      </c>
      <c r="F587" s="68" t="inlineStr">
        <is>
          <t>Cummins FY26 + backup generator data center demand coverage (2026-05-18)</t>
        </is>
      </c>
      <c r="G587" s="33" t="inlineStr">
        <is>
          <t>High</t>
        </is>
      </c>
      <c r="H587" s="33" t="inlineStr">
        <is>
          <t>Initial</t>
        </is>
      </c>
    </row>
    <row r="588">
      <c r="A588" s="33" t="inlineStr">
        <is>
          <t>2026-05-18</t>
        </is>
      </c>
      <c r="B588" s="33" t="inlineStr">
        <is>
          <t>CMI</t>
        </is>
      </c>
      <c r="C588" s="33" t="inlineStr">
        <is>
          <t>R2</t>
        </is>
      </c>
      <c r="D588" s="33" t="n">
        <v>4</v>
      </c>
      <c r="E588" s="68" t="inlineStr">
        <is>
          <t>Global.</t>
        </is>
      </c>
      <c r="F588" s="68" t="inlineStr">
        <is>
          <t>Cummins FY26 + backup generator data center demand coverage (2026-05-18)</t>
        </is>
      </c>
      <c r="G588" s="33" t="inlineStr">
        <is>
          <t>High</t>
        </is>
      </c>
      <c r="H588" s="33" t="inlineStr">
        <is>
          <t>Initial</t>
        </is>
      </c>
    </row>
    <row r="589">
      <c r="A589" s="33" t="inlineStr">
        <is>
          <t>2026-05-18</t>
        </is>
      </c>
      <c r="B589" s="33" t="inlineStr">
        <is>
          <t>CMI</t>
        </is>
      </c>
      <c r="C589" s="33" t="inlineStr">
        <is>
          <t>R3</t>
        </is>
      </c>
      <c r="D589" s="33" t="n">
        <v>4</v>
      </c>
      <c r="E589" s="68" t="inlineStr">
        <is>
          <t>Strong balance sheet.</t>
        </is>
      </c>
      <c r="F589" s="68" t="inlineStr">
        <is>
          <t>Cummins FY26 + backup generator data center demand coverage (2026-05-18)</t>
        </is>
      </c>
      <c r="G589" s="33" t="inlineStr">
        <is>
          <t>High</t>
        </is>
      </c>
      <c r="H589" s="33" t="inlineStr">
        <is>
          <t>Initial</t>
        </is>
      </c>
    </row>
    <row r="590">
      <c r="A590" s="33" t="inlineStr">
        <is>
          <t>2026-05-18</t>
        </is>
      </c>
      <c r="B590" s="33" t="inlineStr">
        <is>
          <t>CMI</t>
        </is>
      </c>
      <c r="C590" s="33" t="inlineStr">
        <is>
          <t>R4</t>
        </is>
      </c>
      <c r="D590" s="33" t="n">
        <v>4</v>
      </c>
      <c r="E590" s="68" t="inlineStr">
        <is>
          <t>Routine.</t>
        </is>
      </c>
      <c r="F590" s="68" t="inlineStr">
        <is>
          <t>Cummins FY26 + backup generator data center demand coverage (2026-05-18)</t>
        </is>
      </c>
      <c r="G590" s="33" t="inlineStr">
        <is>
          <t>High</t>
        </is>
      </c>
      <c r="H590" s="33" t="inlineStr">
        <is>
          <t>Initial</t>
        </is>
      </c>
    </row>
    <row r="591">
      <c r="A591" s="33" t="inlineStr">
        <is>
          <t>2026-05-18</t>
        </is>
      </c>
      <c r="B591" s="33" t="inlineStr">
        <is>
          <t>GNRC</t>
        </is>
      </c>
      <c r="C591" s="33" t="inlineStr">
        <is>
          <t>D1</t>
        </is>
      </c>
      <c r="D591" s="33" t="n">
        <v>3</v>
      </c>
      <c r="E591" s="68" t="inlineStr">
        <is>
          <t>Distributed/backup power; growing AI data center exposure.</t>
        </is>
      </c>
      <c r="F591" s="68" t="inlineStr">
        <is>
          <t>Generac FY26 + distributed/backup AI tailwind coverage (2026-05-18)</t>
        </is>
      </c>
      <c r="G591" s="33" t="inlineStr">
        <is>
          <t>High</t>
        </is>
      </c>
      <c r="H591" s="33" t="inlineStr">
        <is>
          <t>Initial</t>
        </is>
      </c>
    </row>
    <row r="592">
      <c r="A592" s="33" t="inlineStr">
        <is>
          <t>2026-05-18</t>
        </is>
      </c>
      <c r="B592" s="33" t="inlineStr">
        <is>
          <t>GNRC</t>
        </is>
      </c>
      <c r="C592" s="33" t="inlineStr">
        <is>
          <t>D2</t>
        </is>
      </c>
      <c r="D592" s="33" t="n">
        <v>3</v>
      </c>
      <c r="E592" s="68" t="inlineStr">
        <is>
          <t>Backup generator leader in US residential + commercial.</t>
        </is>
      </c>
      <c r="F592" s="68" t="inlineStr">
        <is>
          <t>Generac FY26 + distributed/backup AI tailwind coverage (2026-05-18)</t>
        </is>
      </c>
      <c r="G592" s="33" t="inlineStr">
        <is>
          <t>High</t>
        </is>
      </c>
      <c r="H592" s="33" t="inlineStr">
        <is>
          <t>Initial</t>
        </is>
      </c>
    </row>
    <row r="593">
      <c r="A593" s="33" t="inlineStr">
        <is>
          <t>2026-05-18</t>
        </is>
      </c>
      <c r="B593" s="33" t="inlineStr">
        <is>
          <t>GNRC</t>
        </is>
      </c>
      <c r="C593" s="33" t="inlineStr">
        <is>
          <t>D3</t>
        </is>
      </c>
      <c r="D593" s="33" t="n">
        <v>3</v>
      </c>
      <c r="E593" s="68" t="inlineStr">
        <is>
          <t>Scale + brand + dealer network.</t>
        </is>
      </c>
      <c r="F593" s="68" t="inlineStr">
        <is>
          <t>Generac FY26 + distributed/backup AI tailwind coverage (2026-05-18)</t>
        </is>
      </c>
      <c r="G593" s="33" t="inlineStr">
        <is>
          <t>High</t>
        </is>
      </c>
      <c r="H593" s="33" t="inlineStr">
        <is>
          <t>Initial</t>
        </is>
      </c>
    </row>
    <row r="594">
      <c r="A594" s="33" t="inlineStr">
        <is>
          <t>2026-05-18</t>
        </is>
      </c>
      <c r="B594" s="33" t="inlineStr">
        <is>
          <t>GNRC</t>
        </is>
      </c>
      <c r="C594" s="33" t="inlineStr">
        <is>
          <t>D4</t>
        </is>
      </c>
      <c r="D594" s="33" t="n">
        <v>4</v>
      </c>
      <c r="E594" s="68" t="inlineStr">
        <is>
          <t>Active expansion.</t>
        </is>
      </c>
      <c r="F594" s="68" t="inlineStr">
        <is>
          <t>Generac FY26 + distributed/backup AI tailwind coverage (2026-05-18)</t>
        </is>
      </c>
      <c r="G594" s="33" t="inlineStr">
        <is>
          <t>High</t>
        </is>
      </c>
      <c r="H594" s="33" t="inlineStr">
        <is>
          <t>Initial</t>
        </is>
      </c>
    </row>
    <row r="595">
      <c r="A595" s="33" t="inlineStr">
        <is>
          <t>2026-05-18</t>
        </is>
      </c>
      <c r="B595" s="33" t="inlineStr">
        <is>
          <t>GNRC</t>
        </is>
      </c>
      <c r="C595" s="33" t="inlineStr">
        <is>
          <t>D5</t>
        </is>
      </c>
      <c r="D595" s="33" t="n">
        <v>3</v>
      </c>
      <c r="E595" s="68" t="inlineStr">
        <is>
          <t>Indirect.</t>
        </is>
      </c>
      <c r="F595" s="68" t="inlineStr">
        <is>
          <t>Generac FY26 + distributed/backup AI tailwind coverage (2026-05-18)</t>
        </is>
      </c>
      <c r="G595" s="33" t="inlineStr">
        <is>
          <t>High</t>
        </is>
      </c>
      <c r="H595" s="33" t="inlineStr">
        <is>
          <t>Initial</t>
        </is>
      </c>
    </row>
    <row r="596">
      <c r="A596" s="33" t="inlineStr">
        <is>
          <t>2026-05-18</t>
        </is>
      </c>
      <c r="B596" s="33" t="inlineStr">
        <is>
          <t>GNRC</t>
        </is>
      </c>
      <c r="C596" s="33" t="inlineStr">
        <is>
          <t>M1</t>
        </is>
      </c>
      <c r="D596" s="33" t="n">
        <v>5</v>
      </c>
      <c r="E596" s="68" t="inlineStr">
        <is>
          <t>17/1 — strongly positive.</t>
        </is>
      </c>
      <c r="F596" s="68" t="inlineStr">
        <is>
          <t>Generac FY26 + distributed/backup AI tailwind coverage (2026-05-18)</t>
        </is>
      </c>
      <c r="G596" s="33" t="inlineStr">
        <is>
          <t>High</t>
        </is>
      </c>
      <c r="H596" s="33" t="inlineStr">
        <is>
          <t>Initial</t>
        </is>
      </c>
    </row>
    <row r="597">
      <c r="A597" s="33" t="inlineStr">
        <is>
          <t>2026-05-18</t>
        </is>
      </c>
      <c r="B597" s="33" t="inlineStr">
        <is>
          <t>GNRC</t>
        </is>
      </c>
      <c r="C597" s="33" t="inlineStr">
        <is>
          <t>M2</t>
        </is>
      </c>
      <c r="D597" s="33" t="n">
        <v>5</v>
      </c>
      <c r="E597" s="68" t="inlineStr">
        <is>
          <t>+72% absolute, +57pp XLI.</t>
        </is>
      </c>
      <c r="F597" s="68" t="inlineStr">
        <is>
          <t>Generac FY26 + distributed/backup AI tailwind coverage (2026-05-18)</t>
        </is>
      </c>
      <c r="G597" s="33" t="inlineStr">
        <is>
          <t>High</t>
        </is>
      </c>
      <c r="H597" s="33" t="inlineStr">
        <is>
          <t>Initial</t>
        </is>
      </c>
    </row>
    <row r="598">
      <c r="A598" s="33" t="inlineStr">
        <is>
          <t>2026-05-18</t>
        </is>
      </c>
      <c r="B598" s="33" t="inlineStr">
        <is>
          <t>GNRC</t>
        </is>
      </c>
      <c r="C598" s="33" t="inlineStr">
        <is>
          <t>M3</t>
        </is>
      </c>
      <c r="D598" s="33" t="n">
        <v>3</v>
      </c>
      <c r="E598" s="68" t="inlineStr">
        <is>
          <t>Routine; default 3.</t>
        </is>
      </c>
      <c r="F598" s="68" t="inlineStr">
        <is>
          <t>Generac FY26 + distributed/backup AI tailwind coverage (2026-05-18)</t>
        </is>
      </c>
      <c r="G598" s="33" t="inlineStr">
        <is>
          <t>High</t>
        </is>
      </c>
      <c r="H598" s="33" t="inlineStr">
        <is>
          <t>Initial</t>
        </is>
      </c>
    </row>
    <row r="599">
      <c r="A599" s="33" t="inlineStr">
        <is>
          <t>2026-05-18</t>
        </is>
      </c>
      <c r="B599" s="33" t="inlineStr">
        <is>
          <t>GNRC</t>
        </is>
      </c>
      <c r="C599" s="33" t="inlineStr">
        <is>
          <t>R1</t>
        </is>
      </c>
      <c r="D599" s="33" t="n">
        <v>4</v>
      </c>
      <c r="E599" s="68" t="inlineStr">
        <is>
          <t>Diversified.</t>
        </is>
      </c>
      <c r="F599" s="68" t="inlineStr">
        <is>
          <t>Generac FY26 + distributed/backup AI tailwind coverage (2026-05-18)</t>
        </is>
      </c>
      <c r="G599" s="33" t="inlineStr">
        <is>
          <t>High</t>
        </is>
      </c>
      <c r="H599" s="33" t="inlineStr">
        <is>
          <t>Initial</t>
        </is>
      </c>
    </row>
    <row r="600">
      <c r="A600" s="33" t="inlineStr">
        <is>
          <t>2026-05-18</t>
        </is>
      </c>
      <c r="B600" s="33" t="inlineStr">
        <is>
          <t>GNRC</t>
        </is>
      </c>
      <c r="C600" s="33" t="inlineStr">
        <is>
          <t>R2</t>
        </is>
      </c>
      <c r="D600" s="33" t="n">
        <v>4</v>
      </c>
      <c r="E600" s="68" t="inlineStr">
        <is>
          <t>Global.</t>
        </is>
      </c>
      <c r="F600" s="68" t="inlineStr">
        <is>
          <t>Generac FY26 + distributed/backup AI tailwind coverage (2026-05-18)</t>
        </is>
      </c>
      <c r="G600" s="33" t="inlineStr">
        <is>
          <t>High</t>
        </is>
      </c>
      <c r="H600" s="33" t="inlineStr">
        <is>
          <t>Initial</t>
        </is>
      </c>
    </row>
    <row r="601">
      <c r="A601" s="33" t="inlineStr">
        <is>
          <t>2026-05-18</t>
        </is>
      </c>
      <c r="B601" s="33" t="inlineStr">
        <is>
          <t>GNRC</t>
        </is>
      </c>
      <c r="C601" s="33" t="inlineStr">
        <is>
          <t>R3</t>
        </is>
      </c>
      <c r="D601" s="33" t="n">
        <v>4</v>
      </c>
      <c r="E601" s="68" t="inlineStr">
        <is>
          <t>Solid balance sheet.</t>
        </is>
      </c>
      <c r="F601" s="68" t="inlineStr">
        <is>
          <t>Generac FY26 + distributed/backup AI tailwind coverage (2026-05-18)</t>
        </is>
      </c>
      <c r="G601" s="33" t="inlineStr">
        <is>
          <t>High</t>
        </is>
      </c>
      <c r="H601" s="33" t="inlineStr">
        <is>
          <t>Initial</t>
        </is>
      </c>
    </row>
    <row r="602">
      <c r="A602" s="33" t="inlineStr">
        <is>
          <t>2026-05-18</t>
        </is>
      </c>
      <c r="B602" s="33" t="inlineStr">
        <is>
          <t>GNRC</t>
        </is>
      </c>
      <c r="C602" s="33" t="inlineStr">
        <is>
          <t>R4</t>
        </is>
      </c>
      <c r="D602" s="33" t="n">
        <v>4</v>
      </c>
      <c r="E602" s="68" t="inlineStr">
        <is>
          <t>Routine.</t>
        </is>
      </c>
      <c r="F602" s="68" t="inlineStr">
        <is>
          <t>Generac FY26 + distributed/backup AI tailwind coverage (2026-05-18)</t>
        </is>
      </c>
      <c r="G602" s="33" t="inlineStr">
        <is>
          <t>High</t>
        </is>
      </c>
      <c r="H602" s="33" t="inlineStr">
        <is>
          <t>Initial</t>
        </is>
      </c>
    </row>
    <row r="603">
      <c r="A603" s="33" t="inlineStr">
        <is>
          <t>2026-05-18</t>
        </is>
      </c>
      <c r="B603" s="33" t="inlineStr">
        <is>
          <t>ETN</t>
        </is>
      </c>
      <c r="C603" s="33" t="inlineStr">
        <is>
          <t>D1</t>
        </is>
      </c>
      <c r="D603" s="33" t="n">
        <v>4</v>
      </c>
      <c r="E603" s="68" t="inlineStr">
        <is>
          <t>Data center sales +50%; Eaton estimates 70% of 32 GW US DC under construction is AI-related. 25-50% AI-tied revenue. Band 4.</t>
        </is>
      </c>
      <c r="F603" s="68" t="inlineStr">
        <is>
          <t>Eaton Q1 FY26 8-K + Alphastreet/BigGo data center coverage (2026-05-18 deep research)</t>
        </is>
      </c>
      <c r="G603" s="33" t="inlineStr">
        <is>
          <t>High</t>
        </is>
      </c>
      <c r="H603" s="33" t="inlineStr">
        <is>
          <t>Initial</t>
        </is>
      </c>
    </row>
    <row r="604">
      <c r="A604" s="33" t="inlineStr">
        <is>
          <t>2026-05-18</t>
        </is>
      </c>
      <c r="B604" s="33" t="inlineStr">
        <is>
          <t>ETN</t>
        </is>
      </c>
      <c r="C604" s="33" t="inlineStr">
        <is>
          <t>D2</t>
        </is>
      </c>
      <c r="D604" s="33" t="n">
        <v>4</v>
      </c>
      <c r="E604" s="68" t="inlineStr">
        <is>
          <t>Premier data center electrical equipment + power management leader. Bottleneck-tier in some products.</t>
        </is>
      </c>
      <c r="F604" s="68" t="inlineStr">
        <is>
          <t>Eaton Q1 FY26 8-K + Alphastreet/BigGo data center coverage (2026-05-18 deep research)</t>
        </is>
      </c>
      <c r="G604" s="33" t="inlineStr">
        <is>
          <t>High</t>
        </is>
      </c>
      <c r="H604" s="33" t="inlineStr">
        <is>
          <t>Initial</t>
        </is>
      </c>
    </row>
    <row r="605">
      <c r="A605" s="33" t="inlineStr">
        <is>
          <t>2026-05-18</t>
        </is>
      </c>
      <c r="B605" s="33" t="inlineStr">
        <is>
          <t>ETN</t>
        </is>
      </c>
      <c r="C605" s="33" t="inlineStr">
        <is>
          <t>D3</t>
        </is>
      </c>
      <c r="D605" s="33" t="n">
        <v>4</v>
      </c>
      <c r="E605" s="68" t="inlineStr">
        <is>
          <t>Scale + customer integration + brand + multi-decade utility relationships.</t>
        </is>
      </c>
      <c r="F605" s="68" t="inlineStr">
        <is>
          <t>Eaton Q1 FY26 8-K + Alphastreet/BigGo data center coverage (2026-05-18 deep research)</t>
        </is>
      </c>
      <c r="G605" s="33" t="inlineStr">
        <is>
          <t>High</t>
        </is>
      </c>
      <c r="H605" s="33" t="inlineStr">
        <is>
          <t>Initial</t>
        </is>
      </c>
    </row>
    <row r="606">
      <c r="A606" s="33" t="inlineStr">
        <is>
          <t>2026-05-18</t>
        </is>
      </c>
      <c r="B606" s="33" t="inlineStr">
        <is>
          <t>ETN</t>
        </is>
      </c>
      <c r="C606" s="33" t="inlineStr">
        <is>
          <t>D4</t>
        </is>
      </c>
      <c r="D606" s="33" t="n">
        <v>5</v>
      </c>
      <c r="E606" s="68" t="inlineStr">
        <is>
          <t>$1B+ capex across 24 Americas facilities; 228 GW backlog = 12 years at 2025 build rate; orders +60% rolling 12mo, DC orders +240%.</t>
        </is>
      </c>
      <c r="F606" s="68" t="inlineStr">
        <is>
          <t>Eaton Q1 FY26 8-K + Alphastreet/BigGo data center coverage (2026-05-18 deep research)</t>
        </is>
      </c>
      <c r="G606" s="33" t="inlineStr">
        <is>
          <t>High</t>
        </is>
      </c>
      <c r="H606" s="33" t="inlineStr">
        <is>
          <t>Initial</t>
        </is>
      </c>
    </row>
    <row r="607">
      <c r="A607" s="33" t="inlineStr">
        <is>
          <t>2026-05-18</t>
        </is>
      </c>
      <c r="B607" s="33" t="inlineStr">
        <is>
          <t>ETN</t>
        </is>
      </c>
      <c r="C607" s="33" t="inlineStr">
        <is>
          <t>D5</t>
        </is>
      </c>
      <c r="D607" s="33" t="n">
        <v>5</v>
      </c>
      <c r="E607" s="68" t="inlineStr">
        <is>
          <t>Direct hyperscaler + colo customers; named in DC supply commitments.</t>
        </is>
      </c>
      <c r="F607" s="68" t="inlineStr">
        <is>
          <t>Eaton Q1 FY26 8-K + Alphastreet/BigGo data center coverage (2026-05-18 deep research)</t>
        </is>
      </c>
      <c r="G607" s="33" t="inlineStr">
        <is>
          <t>High</t>
        </is>
      </c>
      <c r="H607" s="33" t="inlineStr">
        <is>
          <t>Initial</t>
        </is>
      </c>
    </row>
    <row r="608">
      <c r="A608" s="33" t="inlineStr">
        <is>
          <t>2026-05-18</t>
        </is>
      </c>
      <c r="B608" s="33" t="inlineStr">
        <is>
          <t>ETN</t>
        </is>
      </c>
      <c r="C608" s="33" t="inlineStr">
        <is>
          <t>M1</t>
        </is>
      </c>
      <c r="D608" s="33" t="n">
        <v>4</v>
      </c>
      <c r="E608" s="68" t="inlineStr">
        <is>
          <t>6 up / 2 down on +1Y; net positive but mixed magnitude.</t>
        </is>
      </c>
      <c r="F608" s="68" t="inlineStr">
        <is>
          <t>Eaton Q1 FY26 8-K + Alphastreet/BigGo data center coverage (2026-05-18 deep research)</t>
        </is>
      </c>
      <c r="G608" s="33" t="inlineStr">
        <is>
          <t>High</t>
        </is>
      </c>
      <c r="H608" s="33" t="inlineStr">
        <is>
          <t>Initial</t>
        </is>
      </c>
    </row>
    <row r="609">
      <c r="A609" s="33" t="inlineStr">
        <is>
          <t>2026-05-18</t>
        </is>
      </c>
      <c r="B609" s="33" t="inlineStr">
        <is>
          <t>ETN</t>
        </is>
      </c>
      <c r="C609" s="33" t="inlineStr">
        <is>
          <t>M2</t>
        </is>
      </c>
      <c r="D609" s="33" t="n">
        <v>3</v>
      </c>
      <c r="E609" s="68" t="inlineStr">
        <is>
          <t>-3pp vs XLI 180d. In-line broader sector.</t>
        </is>
      </c>
      <c r="F609" s="68" t="inlineStr">
        <is>
          <t>Eaton Q1 FY26 8-K + Alphastreet/BigGo data center coverage (2026-05-18 deep research)</t>
        </is>
      </c>
      <c r="G609" s="33" t="inlineStr">
        <is>
          <t>High</t>
        </is>
      </c>
      <c r="H609" s="33" t="inlineStr">
        <is>
          <t>Initial</t>
        </is>
      </c>
    </row>
    <row r="610">
      <c r="A610" s="33" t="inlineStr">
        <is>
          <t>2026-05-18</t>
        </is>
      </c>
      <c r="B610" s="33" t="inlineStr">
        <is>
          <t>ETN</t>
        </is>
      </c>
      <c r="C610" s="33" t="inlineStr">
        <is>
          <t>M3</t>
        </is>
      </c>
      <c r="D610" s="33" t="n">
        <v>3</v>
      </c>
      <c r="E610" s="68" t="inlineStr">
        <is>
          <t>Routine; default 3.</t>
        </is>
      </c>
      <c r="F610" s="68" t="inlineStr">
        <is>
          <t>Eaton Q1 FY26 8-K + Alphastreet/BigGo data center coverage (2026-05-18 deep research)</t>
        </is>
      </c>
      <c r="G610" s="33" t="inlineStr">
        <is>
          <t>High</t>
        </is>
      </c>
      <c r="H610" s="33" t="inlineStr">
        <is>
          <t>Initial</t>
        </is>
      </c>
    </row>
    <row r="611">
      <c r="A611" s="33" t="inlineStr">
        <is>
          <t>2026-05-18</t>
        </is>
      </c>
      <c r="B611" s="33" t="inlineStr">
        <is>
          <t>ETN</t>
        </is>
      </c>
      <c r="C611" s="33" t="inlineStr">
        <is>
          <t>R1</t>
        </is>
      </c>
      <c r="D611" s="33" t="n">
        <v>5</v>
      </c>
      <c r="E611" s="68" t="inlineStr">
        <is>
          <t>Highly diversified end-markets.</t>
        </is>
      </c>
      <c r="F611" s="68" t="inlineStr">
        <is>
          <t>Eaton Q1 FY26 8-K + Alphastreet/BigGo data center coverage (2026-05-18 deep research)</t>
        </is>
      </c>
      <c r="G611" s="33" t="inlineStr">
        <is>
          <t>High</t>
        </is>
      </c>
      <c r="H611" s="33" t="inlineStr">
        <is>
          <t>Initial</t>
        </is>
      </c>
    </row>
    <row r="612">
      <c r="A612" s="33" t="inlineStr">
        <is>
          <t>2026-05-18</t>
        </is>
      </c>
      <c r="B612" s="33" t="inlineStr">
        <is>
          <t>ETN</t>
        </is>
      </c>
      <c r="C612" s="33" t="inlineStr">
        <is>
          <t>R2</t>
        </is>
      </c>
      <c r="D612" s="33" t="n">
        <v>4</v>
      </c>
      <c r="E612" s="68" t="inlineStr">
        <is>
          <t>Global; minimal export-control exposure.</t>
        </is>
      </c>
      <c r="F612" s="68" t="inlineStr">
        <is>
          <t>Eaton Q1 FY26 8-K + Alphastreet/BigGo data center coverage (2026-05-18 deep research)</t>
        </is>
      </c>
      <c r="G612" s="33" t="inlineStr">
        <is>
          <t>High</t>
        </is>
      </c>
      <c r="H612" s="33" t="inlineStr">
        <is>
          <t>Initial</t>
        </is>
      </c>
    </row>
    <row r="613">
      <c r="A613" s="33" t="inlineStr">
        <is>
          <t>2026-05-18</t>
        </is>
      </c>
      <c r="B613" s="33" t="inlineStr">
        <is>
          <t>ETN</t>
        </is>
      </c>
      <c r="C613" s="33" t="inlineStr">
        <is>
          <t>R3</t>
        </is>
      </c>
      <c r="D613" s="33" t="n">
        <v>4</v>
      </c>
      <c r="E613" s="68" t="inlineStr">
        <is>
          <t>Strong balance sheet; investing aggressively.</t>
        </is>
      </c>
      <c r="F613" s="68" t="inlineStr">
        <is>
          <t>Eaton Q1 FY26 8-K + Alphastreet/BigGo data center coverage (2026-05-18 deep research)</t>
        </is>
      </c>
      <c r="G613" s="33" t="inlineStr">
        <is>
          <t>High</t>
        </is>
      </c>
      <c r="H613" s="33" t="inlineStr">
        <is>
          <t>Initial</t>
        </is>
      </c>
    </row>
    <row r="614">
      <c r="A614" s="33" t="inlineStr">
        <is>
          <t>2026-05-18</t>
        </is>
      </c>
      <c r="B614" s="33" t="inlineStr">
        <is>
          <t>ETN</t>
        </is>
      </c>
      <c r="C614" s="33" t="inlineStr">
        <is>
          <t>R4</t>
        </is>
      </c>
      <c r="D614" s="33" t="n">
        <v>4</v>
      </c>
      <c r="E614" s="68" t="inlineStr">
        <is>
          <t>Routine.</t>
        </is>
      </c>
      <c r="F614" s="68" t="inlineStr">
        <is>
          <t>Eaton Q1 FY26 8-K + Alphastreet/BigGo data center coverage (2026-05-18 deep research)</t>
        </is>
      </c>
      <c r="G614" s="33" t="inlineStr">
        <is>
          <t>High</t>
        </is>
      </c>
      <c r="H614" s="33" t="inlineStr">
        <is>
          <t>Initial</t>
        </is>
      </c>
    </row>
    <row r="615">
      <c r="A615" s="33" t="inlineStr">
        <is>
          <t>2026-05-18</t>
        </is>
      </c>
      <c r="B615" s="33" t="inlineStr">
        <is>
          <t>SBGSY</t>
        </is>
      </c>
      <c r="C615" s="33" t="inlineStr">
        <is>
          <t>D1</t>
        </is>
      </c>
      <c r="D615" s="33" t="n">
        <v>4</v>
      </c>
      <c r="E615" s="68" t="inlineStr">
        <is>
          <t>Data Center &amp; Networks double-digit growth; expanded segment. Band 4.</t>
        </is>
      </c>
      <c r="F615" s="68" t="inlineStr">
        <is>
          <t>Schneider Electric Q1 FY26 + DataCenterFrontier $2.3B coverage (2026-05-18 deep research)</t>
        </is>
      </c>
      <c r="G615" s="33" t="inlineStr">
        <is>
          <t>High</t>
        </is>
      </c>
      <c r="H615" s="33" t="inlineStr">
        <is>
          <t>Initial</t>
        </is>
      </c>
    </row>
    <row r="616">
      <c r="A616" s="33" t="inlineStr">
        <is>
          <t>2026-05-18</t>
        </is>
      </c>
      <c r="B616" s="33" t="inlineStr">
        <is>
          <t>SBGSY</t>
        </is>
      </c>
      <c r="C616" s="33" t="inlineStr">
        <is>
          <t>D2</t>
        </is>
      </c>
      <c r="D616" s="33" t="n">
        <v>4</v>
      </c>
      <c r="E616" s="68" t="inlineStr">
        <is>
          <t>Major DC power distribution + cooling player; structural position.</t>
        </is>
      </c>
      <c r="F616" s="68" t="inlineStr">
        <is>
          <t>Schneider Electric Q1 FY26 + DataCenterFrontier $2.3B coverage (2026-05-18 deep research)</t>
        </is>
      </c>
      <c r="G616" s="33" t="inlineStr">
        <is>
          <t>High</t>
        </is>
      </c>
      <c r="H616" s="33" t="inlineStr">
        <is>
          <t>Initial</t>
        </is>
      </c>
    </row>
    <row r="617">
      <c r="A617" s="33" t="inlineStr">
        <is>
          <t>2026-05-18</t>
        </is>
      </c>
      <c r="B617" s="33" t="inlineStr">
        <is>
          <t>SBGSY</t>
        </is>
      </c>
      <c r="C617" s="33" t="inlineStr">
        <is>
          <t>D3</t>
        </is>
      </c>
      <c r="D617" s="33" t="n">
        <v>4</v>
      </c>
      <c r="E617" s="68" t="inlineStr">
        <is>
          <t>Scale + brand + multi-decade enterprise relationships.</t>
        </is>
      </c>
      <c r="F617" s="68" t="inlineStr">
        <is>
          <t>Schneider Electric Q1 FY26 + DataCenterFrontier $2.3B coverage (2026-05-18 deep research)</t>
        </is>
      </c>
      <c r="G617" s="33" t="inlineStr">
        <is>
          <t>High</t>
        </is>
      </c>
      <c r="H617" s="33" t="inlineStr">
        <is>
          <t>Initial</t>
        </is>
      </c>
    </row>
    <row r="618">
      <c r="A618" s="33" t="inlineStr">
        <is>
          <t>2026-05-18</t>
        </is>
      </c>
      <c r="B618" s="33" t="inlineStr">
        <is>
          <t>SBGSY</t>
        </is>
      </c>
      <c r="C618" s="33" t="inlineStr">
        <is>
          <t>D4</t>
        </is>
      </c>
      <c r="D618" s="33" t="n">
        <v>5</v>
      </c>
      <c r="E618" s="68" t="inlineStr">
        <is>
          <t>$2.27B US DC deals ($1.9B Switch + $373M Digital Realty); $700M US mfg investment.</t>
        </is>
      </c>
      <c r="F618" s="68" t="inlineStr">
        <is>
          <t>Schneider Electric Q1 FY26 + DataCenterFrontier $2.3B coverage (2026-05-18 deep research)</t>
        </is>
      </c>
      <c r="G618" s="33" t="inlineStr">
        <is>
          <t>High</t>
        </is>
      </c>
      <c r="H618" s="33" t="inlineStr">
        <is>
          <t>Initial</t>
        </is>
      </c>
    </row>
    <row r="619">
      <c r="A619" s="33" t="inlineStr">
        <is>
          <t>2026-05-18</t>
        </is>
      </c>
      <c r="B619" s="33" t="inlineStr">
        <is>
          <t>SBGSY</t>
        </is>
      </c>
      <c r="C619" s="33" t="inlineStr">
        <is>
          <t>D5</t>
        </is>
      </c>
      <c r="D619" s="33" t="n">
        <v>4</v>
      </c>
      <c r="E619" s="68" t="inlineStr">
        <is>
          <t>Direct hyperscaler + colo customers; Switch + Digital Realty anchor relationships.</t>
        </is>
      </c>
      <c r="F619" s="68" t="inlineStr">
        <is>
          <t>Schneider Electric Q1 FY26 + DataCenterFrontier $2.3B coverage (2026-05-18 deep research)</t>
        </is>
      </c>
      <c r="G619" s="33" t="inlineStr">
        <is>
          <t>High</t>
        </is>
      </c>
      <c r="H619" s="33" t="inlineStr">
        <is>
          <t>Initial</t>
        </is>
      </c>
    </row>
    <row r="620">
      <c r="A620" s="33" t="inlineStr">
        <is>
          <t>2026-05-18</t>
        </is>
      </c>
      <c r="B620" s="33" t="inlineStr">
        <is>
          <t>SBGSY</t>
        </is>
      </c>
      <c r="C620" s="33" t="inlineStr">
        <is>
          <t>M1</t>
        </is>
      </c>
      <c r="D620" s="33" t="n">
        <v>3</v>
      </c>
      <c r="E620" s="68" t="inlineStr">
        <is>
          <t>1 up / 0 down; positive but limited revision activity.</t>
        </is>
      </c>
      <c r="F620" s="68" t="inlineStr">
        <is>
          <t>Schneider Electric Q1 FY26 + DataCenterFrontier $2.3B coverage (2026-05-18 deep research)</t>
        </is>
      </c>
      <c r="G620" s="33" t="inlineStr">
        <is>
          <t>High</t>
        </is>
      </c>
      <c r="H620" s="33" t="inlineStr">
        <is>
          <t>Initial</t>
        </is>
      </c>
    </row>
    <row r="621">
      <c r="A621" s="33" t="inlineStr">
        <is>
          <t>2026-05-18</t>
        </is>
      </c>
      <c r="B621" s="33" t="inlineStr">
        <is>
          <t>SBGSY</t>
        </is>
      </c>
      <c r="C621" s="33" t="inlineStr">
        <is>
          <t>M2</t>
        </is>
      </c>
      <c r="D621" s="33" t="n">
        <v>3</v>
      </c>
      <c r="E621" s="68" t="inlineStr">
        <is>
          <t>+3pp vs XLI 180d.</t>
        </is>
      </c>
      <c r="F621" s="68" t="inlineStr">
        <is>
          <t>Schneider Electric Q1 FY26 + DataCenterFrontier $2.3B coverage (2026-05-18 deep research)</t>
        </is>
      </c>
      <c r="G621" s="33" t="inlineStr">
        <is>
          <t>High</t>
        </is>
      </c>
      <c r="H621" s="33" t="inlineStr">
        <is>
          <t>Initial</t>
        </is>
      </c>
    </row>
    <row r="622">
      <c r="A622" s="33" t="inlineStr">
        <is>
          <t>2026-05-18</t>
        </is>
      </c>
      <c r="B622" s="33" t="inlineStr">
        <is>
          <t>SBGSY</t>
        </is>
      </c>
      <c r="C622" s="33" t="inlineStr">
        <is>
          <t>M3</t>
        </is>
      </c>
      <c r="D622" s="33" t="n">
        <v>3</v>
      </c>
      <c r="E622" s="68" t="inlineStr">
        <is>
          <t>Routine; default 3.</t>
        </is>
      </c>
      <c r="F622" s="68" t="inlineStr">
        <is>
          <t>Schneider Electric Q1 FY26 + DataCenterFrontier $2.3B coverage (2026-05-18 deep research)</t>
        </is>
      </c>
      <c r="G622" s="33" t="inlineStr">
        <is>
          <t>High</t>
        </is>
      </c>
      <c r="H622" s="33" t="inlineStr">
        <is>
          <t>Initial</t>
        </is>
      </c>
    </row>
    <row r="623">
      <c r="A623" s="33" t="inlineStr">
        <is>
          <t>2026-05-18</t>
        </is>
      </c>
      <c r="B623" s="33" t="inlineStr">
        <is>
          <t>SBGSY</t>
        </is>
      </c>
      <c r="C623" s="33" t="inlineStr">
        <is>
          <t>R1</t>
        </is>
      </c>
      <c r="D623" s="33" t="n">
        <v>5</v>
      </c>
      <c r="E623" s="68" t="inlineStr">
        <is>
          <t>Highly diversified globally.</t>
        </is>
      </c>
      <c r="F623" s="68" t="inlineStr">
        <is>
          <t>Schneider Electric Q1 FY26 + DataCenterFrontier $2.3B coverage (2026-05-18 deep research)</t>
        </is>
      </c>
      <c r="G623" s="33" t="inlineStr">
        <is>
          <t>High</t>
        </is>
      </c>
      <c r="H623" s="33" t="inlineStr">
        <is>
          <t>Initial</t>
        </is>
      </c>
    </row>
    <row r="624">
      <c r="A624" s="33" t="inlineStr">
        <is>
          <t>2026-05-18</t>
        </is>
      </c>
      <c r="B624" s="33" t="inlineStr">
        <is>
          <t>SBGSY</t>
        </is>
      </c>
      <c r="C624" s="33" t="inlineStr">
        <is>
          <t>R2</t>
        </is>
      </c>
      <c r="D624" s="33" t="n">
        <v>4</v>
      </c>
      <c r="E624" s="68" t="inlineStr">
        <is>
          <t>European-based ADR; some exposure to Europe market.</t>
        </is>
      </c>
      <c r="F624" s="68" t="inlineStr">
        <is>
          <t>Schneider Electric Q1 FY26 + DataCenterFrontier $2.3B coverage (2026-05-18 deep research)</t>
        </is>
      </c>
      <c r="G624" s="33" t="inlineStr">
        <is>
          <t>High</t>
        </is>
      </c>
      <c r="H624" s="33" t="inlineStr">
        <is>
          <t>Initial</t>
        </is>
      </c>
    </row>
    <row r="625">
      <c r="A625" s="33" t="inlineStr">
        <is>
          <t>2026-05-18</t>
        </is>
      </c>
      <c r="B625" s="33" t="inlineStr">
        <is>
          <t>SBGSY</t>
        </is>
      </c>
      <c r="C625" s="33" t="inlineStr">
        <is>
          <t>R3</t>
        </is>
      </c>
      <c r="D625" s="33" t="n">
        <v>4</v>
      </c>
      <c r="E625" s="68" t="inlineStr">
        <is>
          <t>Strong; investing in capacity.</t>
        </is>
      </c>
      <c r="F625" s="68" t="inlineStr">
        <is>
          <t>Schneider Electric Q1 FY26 + DataCenterFrontier $2.3B coverage (2026-05-18 deep research)</t>
        </is>
      </c>
      <c r="G625" s="33" t="inlineStr">
        <is>
          <t>High</t>
        </is>
      </c>
      <c r="H625" s="33" t="inlineStr">
        <is>
          <t>Initial</t>
        </is>
      </c>
    </row>
    <row r="626">
      <c r="A626" s="33" t="inlineStr">
        <is>
          <t>2026-05-18</t>
        </is>
      </c>
      <c r="B626" s="33" t="inlineStr">
        <is>
          <t>SBGSY</t>
        </is>
      </c>
      <c r="C626" s="33" t="inlineStr">
        <is>
          <t>R4</t>
        </is>
      </c>
      <c r="D626" s="33" t="n">
        <v>4</v>
      </c>
      <c r="E626" s="68" t="inlineStr">
        <is>
          <t>Routine.</t>
        </is>
      </c>
      <c r="F626" s="68" t="inlineStr">
        <is>
          <t>Schneider Electric Q1 FY26 + DataCenterFrontier $2.3B coverage (2026-05-18 deep research)</t>
        </is>
      </c>
      <c r="G626" s="33" t="inlineStr">
        <is>
          <t>High</t>
        </is>
      </c>
      <c r="H626" s="33" t="inlineStr">
        <is>
          <t>Initial</t>
        </is>
      </c>
    </row>
    <row r="627">
      <c r="A627" s="33" t="inlineStr">
        <is>
          <t>2026-05-18</t>
        </is>
      </c>
      <c r="B627" s="33" t="inlineStr">
        <is>
          <t>ABBNY</t>
        </is>
      </c>
      <c r="C627" s="33" t="inlineStr">
        <is>
          <t>D1</t>
        </is>
      </c>
      <c r="D627" s="33" t="n">
        <v>4</v>
      </c>
      <c r="E627" s="68" t="inlineStr">
        <is>
          <t>Q1 FY26 record $11.3B orders, triple-digit data center growth. Band 4.</t>
        </is>
      </c>
      <c r="F627" s="68" t="inlineStr">
        <is>
          <t>ABB Q1 FY26 8-K + Futurum DC coverage + Yahoo Finance guidance raise (2026-05-18 deep research)</t>
        </is>
      </c>
      <c r="G627" s="33" t="inlineStr">
        <is>
          <t>High</t>
        </is>
      </c>
      <c r="H627" s="33" t="inlineStr">
        <is>
          <t>Initial</t>
        </is>
      </c>
    </row>
    <row r="628">
      <c r="A628" s="33" t="inlineStr">
        <is>
          <t>2026-05-18</t>
        </is>
      </c>
      <c r="B628" s="33" t="inlineStr">
        <is>
          <t>ABBNY</t>
        </is>
      </c>
      <c r="C628" s="33" t="inlineStr">
        <is>
          <t>D2</t>
        </is>
      </c>
      <c r="D628" s="33" t="n">
        <v>4</v>
      </c>
      <c r="E628" s="68" t="inlineStr">
        <is>
          <t>Major electrification + grid equipment player; structural position globally.</t>
        </is>
      </c>
      <c r="F628" s="68" t="inlineStr">
        <is>
          <t>ABB Q1 FY26 8-K + Futurum DC coverage + Yahoo Finance guidance raise (2026-05-18 deep research)</t>
        </is>
      </c>
      <c r="G628" s="33" t="inlineStr">
        <is>
          <t>High</t>
        </is>
      </c>
      <c r="H628" s="33" t="inlineStr">
        <is>
          <t>Initial</t>
        </is>
      </c>
    </row>
    <row r="629">
      <c r="A629" s="33" t="inlineStr">
        <is>
          <t>2026-05-18</t>
        </is>
      </c>
      <c r="B629" s="33" t="inlineStr">
        <is>
          <t>ABBNY</t>
        </is>
      </c>
      <c r="C629" s="33" t="inlineStr">
        <is>
          <t>D3</t>
        </is>
      </c>
      <c r="D629" s="33" t="n">
        <v>4</v>
      </c>
      <c r="E629" s="68" t="inlineStr">
        <is>
          <t>Engineering IP + scale + customer integration.</t>
        </is>
      </c>
      <c r="F629" s="68" t="inlineStr">
        <is>
          <t>ABB Q1 FY26 8-K + Futurum DC coverage + Yahoo Finance guidance raise (2026-05-18 deep research)</t>
        </is>
      </c>
      <c r="G629" s="33" t="inlineStr">
        <is>
          <t>High</t>
        </is>
      </c>
      <c r="H629" s="33" t="inlineStr">
        <is>
          <t>Initial</t>
        </is>
      </c>
    </row>
    <row r="630">
      <c r="A630" s="33" t="inlineStr">
        <is>
          <t>2026-05-18</t>
        </is>
      </c>
      <c r="B630" s="33" t="inlineStr">
        <is>
          <t>ABBNY</t>
        </is>
      </c>
      <c r="C630" s="33" t="inlineStr">
        <is>
          <t>D4</t>
        </is>
      </c>
      <c r="D630" s="33" t="n">
        <v>5</v>
      </c>
      <c r="E630" s="68" t="inlineStr">
        <is>
          <t>Record order book; raised full-year outlook; capacity expansion.</t>
        </is>
      </c>
      <c r="F630" s="68" t="inlineStr">
        <is>
          <t>ABB Q1 FY26 8-K + Futurum DC coverage + Yahoo Finance guidance raise (2026-05-18 deep research)</t>
        </is>
      </c>
      <c r="G630" s="33" t="inlineStr">
        <is>
          <t>High</t>
        </is>
      </c>
      <c r="H630" s="33" t="inlineStr">
        <is>
          <t>Initial</t>
        </is>
      </c>
    </row>
    <row r="631">
      <c r="A631" s="33" t="inlineStr">
        <is>
          <t>2026-05-18</t>
        </is>
      </c>
      <c r="B631" s="33" t="inlineStr">
        <is>
          <t>ABBNY</t>
        </is>
      </c>
      <c r="C631" s="33" t="inlineStr">
        <is>
          <t>D5</t>
        </is>
      </c>
      <c r="D631" s="33" t="n">
        <v>4</v>
      </c>
      <c r="E631" s="68" t="inlineStr">
        <is>
          <t>Hyperscaler + colo demand explicitly cited as driver.</t>
        </is>
      </c>
      <c r="F631" s="68" t="inlineStr">
        <is>
          <t>ABB Q1 FY26 8-K + Futurum DC coverage + Yahoo Finance guidance raise (2026-05-18 deep research)</t>
        </is>
      </c>
      <c r="G631" s="33" t="inlineStr">
        <is>
          <t>High</t>
        </is>
      </c>
      <c r="H631" s="33" t="inlineStr">
        <is>
          <t>Initial</t>
        </is>
      </c>
    </row>
    <row r="632">
      <c r="A632" s="33" t="inlineStr">
        <is>
          <t>2026-05-18</t>
        </is>
      </c>
      <c r="B632" s="33" t="inlineStr">
        <is>
          <t>ABBNY</t>
        </is>
      </c>
      <c r="C632" s="33" t="inlineStr">
        <is>
          <t>M1</t>
        </is>
      </c>
      <c r="D632" s="33" t="n">
        <v>4</v>
      </c>
      <c r="E632" s="68" t="inlineStr">
        <is>
          <t>2 up / 0 down; FY revision +55.6% reflects guidance raise (verified real, not artifact).</t>
        </is>
      </c>
      <c r="F632" s="68" t="inlineStr">
        <is>
          <t>ABB Q1 FY26 8-K + Futurum DC coverage + Yahoo Finance guidance raise (2026-05-18 deep research)</t>
        </is>
      </c>
      <c r="G632" s="33" t="inlineStr">
        <is>
          <t>High</t>
        </is>
      </c>
      <c r="H632" s="33" t="inlineStr">
        <is>
          <t>Initial</t>
        </is>
      </c>
    </row>
    <row r="633">
      <c r="A633" s="33" t="inlineStr">
        <is>
          <t>2026-05-18</t>
        </is>
      </c>
      <c r="B633" s="33" t="inlineStr">
        <is>
          <t>ABBNY</t>
        </is>
      </c>
      <c r="C633" s="33" t="inlineStr">
        <is>
          <t>M2</t>
        </is>
      </c>
      <c r="D633" s="33" t="n">
        <v>5</v>
      </c>
      <c r="E633" s="68" t="inlineStr">
        <is>
          <t>+41pp vs XLI 180d. Strong outperformance.</t>
        </is>
      </c>
      <c r="F633" s="68" t="inlineStr">
        <is>
          <t>ABB Q1 FY26 8-K + Futurum DC coverage + Yahoo Finance guidance raise (2026-05-18 deep research)</t>
        </is>
      </c>
      <c r="G633" s="33" t="inlineStr">
        <is>
          <t>High</t>
        </is>
      </c>
      <c r="H633" s="33" t="inlineStr">
        <is>
          <t>Initial</t>
        </is>
      </c>
    </row>
    <row r="634">
      <c r="A634" s="33" t="inlineStr">
        <is>
          <t>2026-05-18</t>
        </is>
      </c>
      <c r="B634" s="33" t="inlineStr">
        <is>
          <t>ABBNY</t>
        </is>
      </c>
      <c r="C634" s="33" t="inlineStr">
        <is>
          <t>M3</t>
        </is>
      </c>
      <c r="D634" s="33" t="n">
        <v>3</v>
      </c>
      <c r="E634" s="68" t="inlineStr">
        <is>
          <t>Routine; default 3.</t>
        </is>
      </c>
      <c r="F634" s="68" t="inlineStr">
        <is>
          <t>ABB Q1 FY26 8-K + Futurum DC coverage + Yahoo Finance guidance raise (2026-05-18 deep research)</t>
        </is>
      </c>
      <c r="G634" s="33" t="inlineStr">
        <is>
          <t>High</t>
        </is>
      </c>
      <c r="H634" s="33" t="inlineStr">
        <is>
          <t>Initial</t>
        </is>
      </c>
    </row>
    <row r="635">
      <c r="A635" s="33" t="inlineStr">
        <is>
          <t>2026-05-18</t>
        </is>
      </c>
      <c r="B635" s="33" t="inlineStr">
        <is>
          <t>ABBNY</t>
        </is>
      </c>
      <c r="C635" s="33" t="inlineStr">
        <is>
          <t>R1</t>
        </is>
      </c>
      <c r="D635" s="33" t="n">
        <v>5</v>
      </c>
      <c r="E635" s="68" t="inlineStr">
        <is>
          <t>Highly diversified globally.</t>
        </is>
      </c>
      <c r="F635" s="68" t="inlineStr">
        <is>
          <t>ABB Q1 FY26 8-K + Futurum DC coverage + Yahoo Finance guidance raise (2026-05-18 deep research)</t>
        </is>
      </c>
      <c r="G635" s="33" t="inlineStr">
        <is>
          <t>High</t>
        </is>
      </c>
      <c r="H635" s="33" t="inlineStr">
        <is>
          <t>Initial</t>
        </is>
      </c>
    </row>
    <row r="636">
      <c r="A636" s="33" t="inlineStr">
        <is>
          <t>2026-05-18</t>
        </is>
      </c>
      <c r="B636" s="33" t="inlineStr">
        <is>
          <t>ABBNY</t>
        </is>
      </c>
      <c r="C636" s="33" t="inlineStr">
        <is>
          <t>R2</t>
        </is>
      </c>
      <c r="D636" s="33" t="n">
        <v>4</v>
      </c>
      <c r="E636" s="68" t="inlineStr">
        <is>
          <t>Swiss ADR; global operations.</t>
        </is>
      </c>
      <c r="F636" s="68" t="inlineStr">
        <is>
          <t>ABB Q1 FY26 8-K + Futurum DC coverage + Yahoo Finance guidance raise (2026-05-18 deep research)</t>
        </is>
      </c>
      <c r="G636" s="33" t="inlineStr">
        <is>
          <t>High</t>
        </is>
      </c>
      <c r="H636" s="33" t="inlineStr">
        <is>
          <t>Initial</t>
        </is>
      </c>
    </row>
    <row r="637">
      <c r="A637" s="33" t="inlineStr">
        <is>
          <t>2026-05-18</t>
        </is>
      </c>
      <c r="B637" s="33" t="inlineStr">
        <is>
          <t>ABBNY</t>
        </is>
      </c>
      <c r="C637" s="33" t="inlineStr">
        <is>
          <t>R3</t>
        </is>
      </c>
      <c r="D637" s="33" t="n">
        <v>4</v>
      </c>
      <c r="E637" s="68" t="inlineStr">
        <is>
          <t>Strong.</t>
        </is>
      </c>
      <c r="F637" s="68" t="inlineStr">
        <is>
          <t>ABB Q1 FY26 8-K + Futurum DC coverage + Yahoo Finance guidance raise (2026-05-18 deep research)</t>
        </is>
      </c>
      <c r="G637" s="33" t="inlineStr">
        <is>
          <t>High</t>
        </is>
      </c>
      <c r="H637" s="33" t="inlineStr">
        <is>
          <t>Initial</t>
        </is>
      </c>
    </row>
    <row r="638">
      <c r="A638" s="33" t="inlineStr">
        <is>
          <t>2026-05-18</t>
        </is>
      </c>
      <c r="B638" s="33" t="inlineStr">
        <is>
          <t>ABBNY</t>
        </is>
      </c>
      <c r="C638" s="33" t="inlineStr">
        <is>
          <t>R4</t>
        </is>
      </c>
      <c r="D638" s="33" t="n">
        <v>4</v>
      </c>
      <c r="E638" s="68" t="inlineStr">
        <is>
          <t>Routine.</t>
        </is>
      </c>
      <c r="F638" s="68" t="inlineStr">
        <is>
          <t>ABB Q1 FY26 8-K + Futurum DC coverage + Yahoo Finance guidance raise (2026-05-18 deep research)</t>
        </is>
      </c>
      <c r="G638" s="33" t="inlineStr">
        <is>
          <t>High</t>
        </is>
      </c>
      <c r="H638" s="33" t="inlineStr">
        <is>
          <t>Initial</t>
        </is>
      </c>
    </row>
    <row r="639">
      <c r="A639" s="33" t="inlineStr">
        <is>
          <t>2026-05-18</t>
        </is>
      </c>
      <c r="B639" s="33" t="inlineStr">
        <is>
          <t>HTHIY</t>
        </is>
      </c>
      <c r="C639" s="33" t="inlineStr">
        <is>
          <t>D1</t>
        </is>
      </c>
      <c r="D639" s="33" t="n">
        <v>4</v>
      </c>
      <c r="E639" s="68" t="inlineStr">
        <is>
          <t>Major exposure to grid transformer demand from AI data centers; transformer shortage is THE binding constraint on hyperscaler buildout.</t>
        </is>
      </c>
      <c r="F639" s="68" t="inlineStr">
        <is>
          <t>Fortune transformer bottleneck + Hitachi Energy $43B backlog coverage (2026-05-18 deep research)</t>
        </is>
      </c>
      <c r="G639" s="33" t="inlineStr">
        <is>
          <t>High</t>
        </is>
      </c>
      <c r="H639" s="33" t="inlineStr">
        <is>
          <t>Initial</t>
        </is>
      </c>
    </row>
    <row r="640">
      <c r="A640" s="33" t="inlineStr">
        <is>
          <t>2026-05-18</t>
        </is>
      </c>
      <c r="B640" s="33" t="inlineStr">
        <is>
          <t>HTHIY</t>
        </is>
      </c>
      <c r="C640" s="33" t="inlineStr">
        <is>
          <t>D2</t>
        </is>
      </c>
      <c r="D640" s="33" t="n">
        <v>5</v>
      </c>
      <c r="E640" s="68" t="inlineStr">
        <is>
          <t>**TRANSFORMER BOTTLENECK** — pre-2020 lead times 24-30 months, now 5 years. Limited substitutes for high-power transformers. Bottleneck-tier per rubric.</t>
        </is>
      </c>
      <c r="F640" s="68" t="inlineStr">
        <is>
          <t>Fortune transformer bottleneck + Hitachi Energy $43B backlog coverage (2026-05-18 deep research)</t>
        </is>
      </c>
      <c r="G640" s="33" t="inlineStr">
        <is>
          <t>High</t>
        </is>
      </c>
      <c r="H640" s="33" t="inlineStr">
        <is>
          <t>Initial</t>
        </is>
      </c>
    </row>
    <row r="641">
      <c r="A641" s="33" t="inlineStr">
        <is>
          <t>2026-05-18</t>
        </is>
      </c>
      <c r="B641" s="33" t="inlineStr">
        <is>
          <t>HTHIY</t>
        </is>
      </c>
      <c r="C641" s="33" t="inlineStr">
        <is>
          <t>D3</t>
        </is>
      </c>
      <c r="D641" s="33" t="n">
        <v>4</v>
      </c>
      <c r="E641" s="68" t="inlineStr">
        <is>
          <t>Engineering IP + manufacturing scale + multi-decade utility relationships.</t>
        </is>
      </c>
      <c r="F641" s="68" t="inlineStr">
        <is>
          <t>Fortune transformer bottleneck + Hitachi Energy $43B backlog coverage (2026-05-18 deep research)</t>
        </is>
      </c>
      <c r="G641" s="33" t="inlineStr">
        <is>
          <t>High</t>
        </is>
      </c>
      <c r="H641" s="33" t="inlineStr">
        <is>
          <t>Initial</t>
        </is>
      </c>
    </row>
    <row r="642">
      <c r="A642" s="33" t="inlineStr">
        <is>
          <t>2026-05-18</t>
        </is>
      </c>
      <c r="B642" s="33" t="inlineStr">
        <is>
          <t>HTHIY</t>
        </is>
      </c>
      <c r="C642" s="33" t="inlineStr">
        <is>
          <t>D4</t>
        </is>
      </c>
      <c r="D642" s="33" t="n">
        <v>5</v>
      </c>
      <c r="E642" s="68" t="inlineStr">
        <is>
          <t>$43B backlog (was $14B 3yr ago = TRIPLED); $6B investment by 2027; hiring 15,000 employees. Major capacity expansion.</t>
        </is>
      </c>
      <c r="F642" s="68" t="inlineStr">
        <is>
          <t>Fortune transformer bottleneck + Hitachi Energy $43B backlog coverage (2026-05-18 deep research)</t>
        </is>
      </c>
      <c r="G642" s="33" t="inlineStr">
        <is>
          <t>High</t>
        </is>
      </c>
      <c r="H642" s="33" t="inlineStr">
        <is>
          <t>Initial</t>
        </is>
      </c>
    </row>
    <row r="643">
      <c r="A643" s="33" t="inlineStr">
        <is>
          <t>2026-05-18</t>
        </is>
      </c>
      <c r="B643" s="33" t="inlineStr">
        <is>
          <t>HTHIY</t>
        </is>
      </c>
      <c r="C643" s="33" t="inlineStr">
        <is>
          <t>D5</t>
        </is>
      </c>
      <c r="D643" s="33" t="n">
        <v>4</v>
      </c>
      <c r="E643" s="68" t="inlineStr">
        <is>
          <t>Indirect via utility customers but data center demand driving structural backlog growth.</t>
        </is>
      </c>
      <c r="F643" s="68" t="inlineStr">
        <is>
          <t>Fortune transformer bottleneck + Hitachi Energy $43B backlog coverage (2026-05-18 deep research)</t>
        </is>
      </c>
      <c r="G643" s="33" t="inlineStr">
        <is>
          <t>High</t>
        </is>
      </c>
      <c r="H643" s="33" t="inlineStr">
        <is>
          <t>Initial</t>
        </is>
      </c>
    </row>
    <row r="644">
      <c r="A644" s="33" t="inlineStr">
        <is>
          <t>2026-05-18</t>
        </is>
      </c>
      <c r="B644" s="33" t="inlineStr">
        <is>
          <t>HTHIY</t>
        </is>
      </c>
      <c r="C644" s="33" t="inlineStr">
        <is>
          <t>M1</t>
        </is>
      </c>
      <c r="D644" s="33" t="n">
        <v>3</v>
      </c>
      <c r="E644" s="68" t="inlineStr">
        <is>
          <t>Limited revision data available; default 3.</t>
        </is>
      </c>
      <c r="F644" s="68" t="inlineStr">
        <is>
          <t>Fortune transformer bottleneck + Hitachi Energy $43B backlog coverage (2026-05-18 deep research)</t>
        </is>
      </c>
      <c r="G644" s="33" t="inlineStr">
        <is>
          <t>High</t>
        </is>
      </c>
      <c r="H644" s="33" t="inlineStr">
        <is>
          <t>Initial</t>
        </is>
      </c>
    </row>
    <row r="645">
      <c r="A645" s="33" t="inlineStr">
        <is>
          <t>2026-05-18</t>
        </is>
      </c>
      <c r="B645" s="33" t="inlineStr">
        <is>
          <t>HTHIY</t>
        </is>
      </c>
      <c r="C645" s="33" t="inlineStr">
        <is>
          <t>M2</t>
        </is>
      </c>
      <c r="D645" s="33" t="n">
        <v>2</v>
      </c>
      <c r="E645" s="68" t="inlineStr">
        <is>
          <t>-14pp vs XLI 180d — market lag despite backlog growth.</t>
        </is>
      </c>
      <c r="F645" s="68" t="inlineStr">
        <is>
          <t>Fortune transformer bottleneck + Hitachi Energy $43B backlog coverage (2026-05-18 deep research)</t>
        </is>
      </c>
      <c r="G645" s="33" t="inlineStr">
        <is>
          <t>High</t>
        </is>
      </c>
      <c r="H645" s="33" t="inlineStr">
        <is>
          <t>Initial</t>
        </is>
      </c>
    </row>
    <row r="646">
      <c r="A646" s="33" t="inlineStr">
        <is>
          <t>2026-05-18</t>
        </is>
      </c>
      <c r="B646" s="33" t="inlineStr">
        <is>
          <t>HTHIY</t>
        </is>
      </c>
      <c r="C646" s="33" t="inlineStr">
        <is>
          <t>M3</t>
        </is>
      </c>
      <c r="D646" s="33" t="n">
        <v>3</v>
      </c>
      <c r="E646" s="68" t="inlineStr">
        <is>
          <t>Routine; default 3.</t>
        </is>
      </c>
      <c r="F646" s="68" t="inlineStr">
        <is>
          <t>Fortune transformer bottleneck + Hitachi Energy $43B backlog coverage (2026-05-18 deep research)</t>
        </is>
      </c>
      <c r="G646" s="33" t="inlineStr">
        <is>
          <t>High</t>
        </is>
      </c>
      <c r="H646" s="33" t="inlineStr">
        <is>
          <t>Initial</t>
        </is>
      </c>
    </row>
    <row r="647">
      <c r="A647" s="33" t="inlineStr">
        <is>
          <t>2026-05-18</t>
        </is>
      </c>
      <c r="B647" s="33" t="inlineStr">
        <is>
          <t>HTHIY</t>
        </is>
      </c>
      <c r="C647" s="33" t="inlineStr">
        <is>
          <t>R1</t>
        </is>
      </c>
      <c r="D647" s="33" t="n">
        <v>5</v>
      </c>
      <c r="E647" s="68" t="inlineStr">
        <is>
          <t>Diversified utility customer base.</t>
        </is>
      </c>
      <c r="F647" s="68" t="inlineStr">
        <is>
          <t>Fortune transformer bottleneck + Hitachi Energy $43B backlog coverage (2026-05-18 deep research)</t>
        </is>
      </c>
      <c r="G647" s="33" t="inlineStr">
        <is>
          <t>High</t>
        </is>
      </c>
      <c r="H647" s="33" t="inlineStr">
        <is>
          <t>Initial</t>
        </is>
      </c>
    </row>
    <row r="648">
      <c r="A648" s="33" t="inlineStr">
        <is>
          <t>2026-05-18</t>
        </is>
      </c>
      <c r="B648" s="33" t="inlineStr">
        <is>
          <t>HTHIY</t>
        </is>
      </c>
      <c r="C648" s="33" t="inlineStr">
        <is>
          <t>R2</t>
        </is>
      </c>
      <c r="D648" s="33" t="n">
        <v>4</v>
      </c>
      <c r="E648" s="68" t="inlineStr">
        <is>
          <t>Japanese ADR; global operations.</t>
        </is>
      </c>
      <c r="F648" s="68" t="inlineStr">
        <is>
          <t>Fortune transformer bottleneck + Hitachi Energy $43B backlog coverage (2026-05-18 deep research)</t>
        </is>
      </c>
      <c r="G648" s="33" t="inlineStr">
        <is>
          <t>High</t>
        </is>
      </c>
      <c r="H648" s="33" t="inlineStr">
        <is>
          <t>Initial</t>
        </is>
      </c>
    </row>
    <row r="649">
      <c r="A649" s="33" t="inlineStr">
        <is>
          <t>2026-05-18</t>
        </is>
      </c>
      <c r="B649" s="33" t="inlineStr">
        <is>
          <t>HTHIY</t>
        </is>
      </c>
      <c r="C649" s="33" t="inlineStr">
        <is>
          <t>R3</t>
        </is>
      </c>
      <c r="D649" s="33" t="n">
        <v>4</v>
      </c>
      <c r="E649" s="68" t="inlineStr">
        <is>
          <t>Strong (Hitachi parent).</t>
        </is>
      </c>
      <c r="F649" s="68" t="inlineStr">
        <is>
          <t>Fortune transformer bottleneck + Hitachi Energy $43B backlog coverage (2026-05-18 deep research)</t>
        </is>
      </c>
      <c r="G649" s="33" t="inlineStr">
        <is>
          <t>High</t>
        </is>
      </c>
      <c r="H649" s="33" t="inlineStr">
        <is>
          <t>Initial</t>
        </is>
      </c>
    </row>
    <row r="650">
      <c r="A650" s="33" t="inlineStr">
        <is>
          <t>2026-05-18</t>
        </is>
      </c>
      <c r="B650" s="33" t="inlineStr">
        <is>
          <t>HTHIY</t>
        </is>
      </c>
      <c r="C650" s="33" t="inlineStr">
        <is>
          <t>R4</t>
        </is>
      </c>
      <c r="D650" s="33" t="n">
        <v>4</v>
      </c>
      <c r="E650" s="68" t="inlineStr">
        <is>
          <t>Routine.</t>
        </is>
      </c>
      <c r="F650" s="68" t="inlineStr">
        <is>
          <t>Fortune transformer bottleneck + Hitachi Energy $43B backlog coverage (2026-05-18 deep research)</t>
        </is>
      </c>
      <c r="G650" s="33" t="inlineStr">
        <is>
          <t>High</t>
        </is>
      </c>
      <c r="H650" s="33" t="inlineStr">
        <is>
          <t>Initial</t>
        </is>
      </c>
    </row>
    <row r="651">
      <c r="A651" s="33" t="inlineStr">
        <is>
          <t>2026-05-18</t>
        </is>
      </c>
      <c r="B651" s="33" t="inlineStr">
        <is>
          <t>HUBB</t>
        </is>
      </c>
      <c r="C651" s="33" t="inlineStr">
        <is>
          <t>D1</t>
        </is>
      </c>
      <c r="D651" s="33" t="n">
        <v>3</v>
      </c>
      <c r="E651" s="68" t="inlineStr">
        <is>
          <t>Q1 organic growth 8% with double-digit Electrical Solutions + Utility T&amp;D. Data center is real growth driver but ~10% of revenue. Band 3.</t>
        </is>
      </c>
      <c r="F651" s="68" t="inlineStr">
        <is>
          <t>Hubbell Q1 FY26 + FinancialContent utility+DC growth coverage (2026-05-18 deep research)</t>
        </is>
      </c>
      <c r="G651" s="33" t="inlineStr">
        <is>
          <t>High</t>
        </is>
      </c>
      <c r="H651" s="33" t="inlineStr">
        <is>
          <t>Initial</t>
        </is>
      </c>
    </row>
    <row r="652">
      <c r="A652" s="33" t="inlineStr">
        <is>
          <t>2026-05-18</t>
        </is>
      </c>
      <c r="B652" s="33" t="inlineStr">
        <is>
          <t>HUBB</t>
        </is>
      </c>
      <c r="C652" s="33" t="inlineStr">
        <is>
          <t>D2</t>
        </is>
      </c>
      <c r="D652" s="33" t="n">
        <v>3</v>
      </c>
      <c r="E652" s="68" t="inlineStr">
        <is>
          <t>Mid-tier electrical components player.</t>
        </is>
      </c>
      <c r="F652" s="68" t="inlineStr">
        <is>
          <t>Hubbell Q1 FY26 + FinancialContent utility+DC growth coverage (2026-05-18 deep research)</t>
        </is>
      </c>
      <c r="G652" s="33" t="inlineStr">
        <is>
          <t>High</t>
        </is>
      </c>
      <c r="H652" s="33" t="inlineStr">
        <is>
          <t>Initial</t>
        </is>
      </c>
    </row>
    <row r="653">
      <c r="A653" s="33" t="inlineStr">
        <is>
          <t>2026-05-18</t>
        </is>
      </c>
      <c r="B653" s="33" t="inlineStr">
        <is>
          <t>HUBB</t>
        </is>
      </c>
      <c r="C653" s="33" t="inlineStr">
        <is>
          <t>D3</t>
        </is>
      </c>
      <c r="D653" s="33" t="n">
        <v>3</v>
      </c>
      <c r="E653" s="68" t="inlineStr">
        <is>
          <t>Brand + scale + utility relationships.</t>
        </is>
      </c>
      <c r="F653" s="68" t="inlineStr">
        <is>
          <t>Hubbell Q1 FY26 + FinancialContent utility+DC growth coverage (2026-05-18 deep research)</t>
        </is>
      </c>
      <c r="G653" s="33" t="inlineStr">
        <is>
          <t>High</t>
        </is>
      </c>
      <c r="H653" s="33" t="inlineStr">
        <is>
          <t>Initial</t>
        </is>
      </c>
    </row>
    <row r="654">
      <c r="A654" s="33" t="inlineStr">
        <is>
          <t>2026-05-18</t>
        </is>
      </c>
      <c r="B654" s="33" t="inlineStr">
        <is>
          <t>HUBB</t>
        </is>
      </c>
      <c r="C654" s="33" t="inlineStr">
        <is>
          <t>D4</t>
        </is>
      </c>
      <c r="D654" s="33" t="n">
        <v>4</v>
      </c>
      <c r="E654" s="68" t="inlineStr">
        <is>
          <t>Raised guidance 8-11%; 765 kV transmission opportunity ($1.5B addressable over 10 years).</t>
        </is>
      </c>
      <c r="F654" s="68" t="inlineStr">
        <is>
          <t>Hubbell Q1 FY26 + FinancialContent utility+DC growth coverage (2026-05-18 deep research)</t>
        </is>
      </c>
      <c r="G654" s="33" t="inlineStr">
        <is>
          <t>High</t>
        </is>
      </c>
      <c r="H654" s="33" t="inlineStr">
        <is>
          <t>Initial</t>
        </is>
      </c>
    </row>
    <row r="655">
      <c r="A655" s="33" t="inlineStr">
        <is>
          <t>2026-05-18</t>
        </is>
      </c>
      <c r="B655" s="33" t="inlineStr">
        <is>
          <t>HUBB</t>
        </is>
      </c>
      <c r="C655" s="33" t="inlineStr">
        <is>
          <t>D5</t>
        </is>
      </c>
      <c r="D655" s="33" t="n">
        <v>3</v>
      </c>
      <c r="E655" s="68" t="inlineStr">
        <is>
          <t>Hyperscaler + colo demand robust per Q1 commentary.</t>
        </is>
      </c>
      <c r="F655" s="68" t="inlineStr">
        <is>
          <t>Hubbell Q1 FY26 + FinancialContent utility+DC growth coverage (2026-05-18 deep research)</t>
        </is>
      </c>
      <c r="G655" s="33" t="inlineStr">
        <is>
          <t>High</t>
        </is>
      </c>
      <c r="H655" s="33" t="inlineStr">
        <is>
          <t>Initial</t>
        </is>
      </c>
    </row>
    <row r="656">
      <c r="A656" s="33" t="inlineStr">
        <is>
          <t>2026-05-18</t>
        </is>
      </c>
      <c r="B656" s="33" t="inlineStr">
        <is>
          <t>HUBB</t>
        </is>
      </c>
      <c r="C656" s="33" t="inlineStr">
        <is>
          <t>M1</t>
        </is>
      </c>
      <c r="D656" s="33" t="n">
        <v>4</v>
      </c>
      <c r="E656" s="68" t="inlineStr">
        <is>
          <t>9 up / 3 down; net positive.</t>
        </is>
      </c>
      <c r="F656" s="68" t="inlineStr">
        <is>
          <t>Hubbell Q1 FY26 + FinancialContent utility+DC growth coverage (2026-05-18 deep research)</t>
        </is>
      </c>
      <c r="G656" s="33" t="inlineStr">
        <is>
          <t>High</t>
        </is>
      </c>
      <c r="H656" s="33" t="inlineStr">
        <is>
          <t>Initial</t>
        </is>
      </c>
    </row>
    <row r="657">
      <c r="A657" s="33" t="inlineStr">
        <is>
          <t>2026-05-18</t>
        </is>
      </c>
      <c r="B657" s="33" t="inlineStr">
        <is>
          <t>HUBB</t>
        </is>
      </c>
      <c r="C657" s="33" t="inlineStr">
        <is>
          <t>M2</t>
        </is>
      </c>
      <c r="D657" s="33" t="n">
        <v>3</v>
      </c>
      <c r="E657" s="68" t="inlineStr">
        <is>
          <t>-1pp vs XLI 180d. In-line.</t>
        </is>
      </c>
      <c r="F657" s="68" t="inlineStr">
        <is>
          <t>Hubbell Q1 FY26 + FinancialContent utility+DC growth coverage (2026-05-18 deep research)</t>
        </is>
      </c>
      <c r="G657" s="33" t="inlineStr">
        <is>
          <t>High</t>
        </is>
      </c>
      <c r="H657" s="33" t="inlineStr">
        <is>
          <t>Initial</t>
        </is>
      </c>
    </row>
    <row r="658">
      <c r="A658" s="33" t="inlineStr">
        <is>
          <t>2026-05-18</t>
        </is>
      </c>
      <c r="B658" s="33" t="inlineStr">
        <is>
          <t>HUBB</t>
        </is>
      </c>
      <c r="C658" s="33" t="inlineStr">
        <is>
          <t>M3</t>
        </is>
      </c>
      <c r="D658" s="33" t="n">
        <v>3</v>
      </c>
      <c r="E658" s="68" t="inlineStr">
        <is>
          <t>Routine; default 3.</t>
        </is>
      </c>
      <c r="F658" s="68" t="inlineStr">
        <is>
          <t>Hubbell Q1 FY26 + FinancialContent utility+DC growth coverage (2026-05-18 deep research)</t>
        </is>
      </c>
      <c r="G658" s="33" t="inlineStr">
        <is>
          <t>High</t>
        </is>
      </c>
      <c r="H658" s="33" t="inlineStr">
        <is>
          <t>Initial</t>
        </is>
      </c>
    </row>
    <row r="659">
      <c r="A659" s="33" t="inlineStr">
        <is>
          <t>2026-05-18</t>
        </is>
      </c>
      <c r="B659" s="33" t="inlineStr">
        <is>
          <t>HUBB</t>
        </is>
      </c>
      <c r="C659" s="33" t="inlineStr">
        <is>
          <t>R1</t>
        </is>
      </c>
      <c r="D659" s="33" t="n">
        <v>5</v>
      </c>
      <c r="E659" s="68" t="inlineStr">
        <is>
          <t>Highly diversified.</t>
        </is>
      </c>
      <c r="F659" s="68" t="inlineStr">
        <is>
          <t>Hubbell Q1 FY26 + FinancialContent utility+DC growth coverage (2026-05-18 deep research)</t>
        </is>
      </c>
      <c r="G659" s="33" t="inlineStr">
        <is>
          <t>High</t>
        </is>
      </c>
      <c r="H659" s="33" t="inlineStr">
        <is>
          <t>Initial</t>
        </is>
      </c>
    </row>
    <row r="660">
      <c r="A660" s="33" t="inlineStr">
        <is>
          <t>2026-05-18</t>
        </is>
      </c>
      <c r="B660" s="33" t="inlineStr">
        <is>
          <t>HUBB</t>
        </is>
      </c>
      <c r="C660" s="33" t="inlineStr">
        <is>
          <t>R2</t>
        </is>
      </c>
      <c r="D660" s="33" t="n">
        <v>4</v>
      </c>
      <c r="E660" s="68" t="inlineStr">
        <is>
          <t>Global.</t>
        </is>
      </c>
      <c r="F660" s="68" t="inlineStr">
        <is>
          <t>Hubbell Q1 FY26 + FinancialContent utility+DC growth coverage (2026-05-18 deep research)</t>
        </is>
      </c>
      <c r="G660" s="33" t="inlineStr">
        <is>
          <t>High</t>
        </is>
      </c>
      <c r="H660" s="33" t="inlineStr">
        <is>
          <t>Initial</t>
        </is>
      </c>
    </row>
    <row r="661">
      <c r="A661" s="33" t="inlineStr">
        <is>
          <t>2026-05-18</t>
        </is>
      </c>
      <c r="B661" s="33" t="inlineStr">
        <is>
          <t>HUBB</t>
        </is>
      </c>
      <c r="C661" s="33" t="inlineStr">
        <is>
          <t>R3</t>
        </is>
      </c>
      <c r="D661" s="33" t="n">
        <v>4</v>
      </c>
      <c r="E661" s="68" t="inlineStr">
        <is>
          <t>Strong.</t>
        </is>
      </c>
      <c r="F661" s="68" t="inlineStr">
        <is>
          <t>Hubbell Q1 FY26 + FinancialContent utility+DC growth coverage (2026-05-18 deep research)</t>
        </is>
      </c>
      <c r="G661" s="33" t="inlineStr">
        <is>
          <t>High</t>
        </is>
      </c>
      <c r="H661" s="33" t="inlineStr">
        <is>
          <t>Initial</t>
        </is>
      </c>
    </row>
    <row r="662">
      <c r="A662" s="33" t="inlineStr">
        <is>
          <t>2026-05-18</t>
        </is>
      </c>
      <c r="B662" s="33" t="inlineStr">
        <is>
          <t>HUBB</t>
        </is>
      </c>
      <c r="C662" s="33" t="inlineStr">
        <is>
          <t>R4</t>
        </is>
      </c>
      <c r="D662" s="33" t="n">
        <v>4</v>
      </c>
      <c r="E662" s="68" t="inlineStr">
        <is>
          <t>Routine.</t>
        </is>
      </c>
      <c r="F662" s="68" t="inlineStr">
        <is>
          <t>Hubbell Q1 FY26 + FinancialContent utility+DC growth coverage (2026-05-18 deep research)</t>
        </is>
      </c>
      <c r="G662" s="33" t="inlineStr">
        <is>
          <t>High</t>
        </is>
      </c>
      <c r="H662" s="33" t="inlineStr">
        <is>
          <t>Initial</t>
        </is>
      </c>
    </row>
    <row r="663">
      <c r="A663" s="33" t="inlineStr">
        <is>
          <t>2026-05-18</t>
        </is>
      </c>
      <c r="B663" s="33" t="inlineStr">
        <is>
          <t>PWR</t>
        </is>
      </c>
      <c r="C663" s="33" t="inlineStr">
        <is>
          <t>D1</t>
        </is>
      </c>
      <c r="D663" s="33" t="n">
        <v>4</v>
      </c>
      <c r="E663" s="68" t="inlineStr">
        <is>
          <t>Data center exposure within $39B backlog growing fast. Band 4.</t>
        </is>
      </c>
      <c r="F663" s="68" t="inlineStr">
        <is>
          <t>Quanta Q3 2025 + TradingView/Zacks DC power winner coverage (2026-05-18 deep research)</t>
        </is>
      </c>
      <c r="G663" s="33" t="inlineStr">
        <is>
          <t>High</t>
        </is>
      </c>
      <c r="H663" s="33" t="inlineStr">
        <is>
          <t>Initial</t>
        </is>
      </c>
    </row>
    <row r="664">
      <c r="A664" s="33" t="inlineStr">
        <is>
          <t>2026-05-18</t>
        </is>
      </c>
      <c r="B664" s="33" t="inlineStr">
        <is>
          <t>PWR</t>
        </is>
      </c>
      <c r="C664" s="33" t="inlineStr">
        <is>
          <t>D2</t>
        </is>
      </c>
      <c r="D664" s="33" t="n">
        <v>4</v>
      </c>
      <c r="E664" s="68" t="inlineStr">
        <is>
          <t>Premier electrical construction services player.</t>
        </is>
      </c>
      <c r="F664" s="68" t="inlineStr">
        <is>
          <t>Quanta Q3 2025 + TradingView/Zacks DC power winner coverage (2026-05-18 deep research)</t>
        </is>
      </c>
      <c r="G664" s="33" t="inlineStr">
        <is>
          <t>High</t>
        </is>
      </c>
      <c r="H664" s="33" t="inlineStr">
        <is>
          <t>Initial</t>
        </is>
      </c>
    </row>
    <row r="665">
      <c r="A665" s="33" t="inlineStr">
        <is>
          <t>2026-05-18</t>
        </is>
      </c>
      <c r="B665" s="33" t="inlineStr">
        <is>
          <t>PWR</t>
        </is>
      </c>
      <c r="C665" s="33" t="inlineStr">
        <is>
          <t>D3</t>
        </is>
      </c>
      <c r="D665" s="33" t="n">
        <v>4</v>
      </c>
      <c r="E665" s="68" t="inlineStr">
        <is>
          <t>Workforce scale + safety record + multi-decade utility relationships.</t>
        </is>
      </c>
      <c r="F665" s="68" t="inlineStr">
        <is>
          <t>Quanta Q3 2025 + TradingView/Zacks DC power winner coverage (2026-05-18 deep research)</t>
        </is>
      </c>
      <c r="G665" s="33" t="inlineStr">
        <is>
          <t>High</t>
        </is>
      </c>
      <c r="H665" s="33" t="inlineStr">
        <is>
          <t>Initial</t>
        </is>
      </c>
    </row>
    <row r="666">
      <c r="A666" s="33" t="inlineStr">
        <is>
          <t>2026-05-18</t>
        </is>
      </c>
      <c r="B666" s="33" t="inlineStr">
        <is>
          <t>PWR</t>
        </is>
      </c>
      <c r="C666" s="33" t="inlineStr">
        <is>
          <t>D4</t>
        </is>
      </c>
      <c r="D666" s="33" t="n">
        <v>5</v>
      </c>
      <c r="E666" s="68" t="inlineStr">
        <is>
          <t>$39.2B record backlog; $36.2B Electric segment alone; 2026 guide $33-34B.</t>
        </is>
      </c>
      <c r="F666" s="68" t="inlineStr">
        <is>
          <t>Quanta Q3 2025 + TradingView/Zacks DC power winner coverage (2026-05-18 deep research)</t>
        </is>
      </c>
      <c r="G666" s="33" t="inlineStr">
        <is>
          <t>High</t>
        </is>
      </c>
      <c r="H666" s="33" t="inlineStr">
        <is>
          <t>Initial</t>
        </is>
      </c>
    </row>
    <row r="667">
      <c r="A667" s="33" t="inlineStr">
        <is>
          <t>2026-05-18</t>
        </is>
      </c>
      <c r="B667" s="33" t="inlineStr">
        <is>
          <t>PWR</t>
        </is>
      </c>
      <c r="C667" s="33" t="inlineStr">
        <is>
          <t>D5</t>
        </is>
      </c>
      <c r="D667" s="33" t="n">
        <v>4</v>
      </c>
      <c r="E667" s="68" t="inlineStr">
        <is>
          <t>Indirect via utility + hyperscaler grid buildouts.</t>
        </is>
      </c>
      <c r="F667" s="68" t="inlineStr">
        <is>
          <t>Quanta Q3 2025 + TradingView/Zacks DC power winner coverage (2026-05-18 deep research)</t>
        </is>
      </c>
      <c r="G667" s="33" t="inlineStr">
        <is>
          <t>High</t>
        </is>
      </c>
      <c r="H667" s="33" t="inlineStr">
        <is>
          <t>Initial</t>
        </is>
      </c>
    </row>
    <row r="668">
      <c r="A668" s="33" t="inlineStr">
        <is>
          <t>2026-05-18</t>
        </is>
      </c>
      <c r="B668" s="33" t="inlineStr">
        <is>
          <t>PWR</t>
        </is>
      </c>
      <c r="C668" s="33" t="inlineStr">
        <is>
          <t>M1</t>
        </is>
      </c>
      <c r="D668" s="33" t="n">
        <v>5</v>
      </c>
      <c r="E668" s="68" t="inlineStr">
        <is>
          <t>22 up / 0 down on +1Y — textbook beat-and-raise.</t>
        </is>
      </c>
      <c r="F668" s="68" t="inlineStr">
        <is>
          <t>Quanta Q3 2025 + TradingView/Zacks DC power winner coverage (2026-05-18 deep research)</t>
        </is>
      </c>
      <c r="G668" s="33" t="inlineStr">
        <is>
          <t>High</t>
        </is>
      </c>
      <c r="H668" s="33" t="inlineStr">
        <is>
          <t>Initial</t>
        </is>
      </c>
    </row>
    <row r="669">
      <c r="A669" s="33" t="inlineStr">
        <is>
          <t>2026-05-18</t>
        </is>
      </c>
      <c r="B669" s="33" t="inlineStr">
        <is>
          <t>PWR</t>
        </is>
      </c>
      <c r="C669" s="33" t="inlineStr">
        <is>
          <t>M2</t>
        </is>
      </c>
      <c r="D669" s="33" t="n">
        <v>5</v>
      </c>
      <c r="E669" s="68" t="inlineStr">
        <is>
          <t>+48pp vs XLI 180d. Strong outperformance.</t>
        </is>
      </c>
      <c r="F669" s="68" t="inlineStr">
        <is>
          <t>Quanta Q3 2025 + TradingView/Zacks DC power winner coverage (2026-05-18 deep research)</t>
        </is>
      </c>
      <c r="G669" s="33" t="inlineStr">
        <is>
          <t>High</t>
        </is>
      </c>
      <c r="H669" s="33" t="inlineStr">
        <is>
          <t>Initial</t>
        </is>
      </c>
    </row>
    <row r="670">
      <c r="A670" s="33" t="inlineStr">
        <is>
          <t>2026-05-18</t>
        </is>
      </c>
      <c r="B670" s="33" t="inlineStr">
        <is>
          <t>PWR</t>
        </is>
      </c>
      <c r="C670" s="33" t="inlineStr">
        <is>
          <t>M3</t>
        </is>
      </c>
      <c r="D670" s="33" t="n">
        <v>3</v>
      </c>
      <c r="E670" s="68" t="inlineStr">
        <is>
          <t>Routine; default 3.</t>
        </is>
      </c>
      <c r="F670" s="68" t="inlineStr">
        <is>
          <t>Quanta Q3 2025 + TradingView/Zacks DC power winner coverage (2026-05-18 deep research)</t>
        </is>
      </c>
      <c r="G670" s="33" t="inlineStr">
        <is>
          <t>High</t>
        </is>
      </c>
      <c r="H670" s="33" t="inlineStr">
        <is>
          <t>Initial</t>
        </is>
      </c>
    </row>
    <row r="671">
      <c r="A671" s="33" t="inlineStr">
        <is>
          <t>2026-05-18</t>
        </is>
      </c>
      <c r="B671" s="33" t="inlineStr">
        <is>
          <t>PWR</t>
        </is>
      </c>
      <c r="C671" s="33" t="inlineStr">
        <is>
          <t>R1</t>
        </is>
      </c>
      <c r="D671" s="33" t="n">
        <v>5</v>
      </c>
      <c r="E671" s="68" t="inlineStr">
        <is>
          <t>Diversified utility customer base.</t>
        </is>
      </c>
      <c r="F671" s="68" t="inlineStr">
        <is>
          <t>Quanta Q3 2025 + TradingView/Zacks DC power winner coverage (2026-05-18 deep research)</t>
        </is>
      </c>
      <c r="G671" s="33" t="inlineStr">
        <is>
          <t>High</t>
        </is>
      </c>
      <c r="H671" s="33" t="inlineStr">
        <is>
          <t>Initial</t>
        </is>
      </c>
    </row>
    <row r="672">
      <c r="A672" s="33" t="inlineStr">
        <is>
          <t>2026-05-18</t>
        </is>
      </c>
      <c r="B672" s="33" t="inlineStr">
        <is>
          <t>PWR</t>
        </is>
      </c>
      <c r="C672" s="33" t="inlineStr">
        <is>
          <t>R2</t>
        </is>
      </c>
      <c r="D672" s="33" t="n">
        <v>5</v>
      </c>
      <c r="E672" s="68" t="inlineStr">
        <is>
          <t>US-focused.</t>
        </is>
      </c>
      <c r="F672" s="68" t="inlineStr">
        <is>
          <t>Quanta Q3 2025 + TradingView/Zacks DC power winner coverage (2026-05-18 deep research)</t>
        </is>
      </c>
      <c r="G672" s="33" t="inlineStr">
        <is>
          <t>High</t>
        </is>
      </c>
      <c r="H672" s="33" t="inlineStr">
        <is>
          <t>Initial</t>
        </is>
      </c>
    </row>
    <row r="673">
      <c r="A673" s="33" t="inlineStr">
        <is>
          <t>2026-05-18</t>
        </is>
      </c>
      <c r="B673" s="33" t="inlineStr">
        <is>
          <t>PWR</t>
        </is>
      </c>
      <c r="C673" s="33" t="inlineStr">
        <is>
          <t>R3</t>
        </is>
      </c>
      <c r="D673" s="33" t="n">
        <v>4</v>
      </c>
      <c r="E673" s="68" t="inlineStr">
        <is>
          <t>Strong.</t>
        </is>
      </c>
      <c r="F673" s="68" t="inlineStr">
        <is>
          <t>Quanta Q3 2025 + TradingView/Zacks DC power winner coverage (2026-05-18 deep research)</t>
        </is>
      </c>
      <c r="G673" s="33" t="inlineStr">
        <is>
          <t>High</t>
        </is>
      </c>
      <c r="H673" s="33" t="inlineStr">
        <is>
          <t>Initial</t>
        </is>
      </c>
    </row>
    <row r="674">
      <c r="A674" s="33" t="inlineStr">
        <is>
          <t>2026-05-18</t>
        </is>
      </c>
      <c r="B674" s="33" t="inlineStr">
        <is>
          <t>PWR</t>
        </is>
      </c>
      <c r="C674" s="33" t="inlineStr">
        <is>
          <t>R4</t>
        </is>
      </c>
      <c r="D674" s="33" t="n">
        <v>4</v>
      </c>
      <c r="E674" s="68" t="inlineStr">
        <is>
          <t>Routine.</t>
        </is>
      </c>
      <c r="F674" s="68" t="inlineStr">
        <is>
          <t>Quanta Q3 2025 + TradingView/Zacks DC power winner coverage (2026-05-18 deep research)</t>
        </is>
      </c>
      <c r="G674" s="33" t="inlineStr">
        <is>
          <t>High</t>
        </is>
      </c>
      <c r="H674" s="33" t="inlineStr">
        <is>
          <t>Initial</t>
        </is>
      </c>
    </row>
    <row r="675">
      <c r="A675" s="33" t="inlineStr">
        <is>
          <t>2026-05-18</t>
        </is>
      </c>
      <c r="B675" s="33" t="inlineStr">
        <is>
          <t>MTZ</t>
        </is>
      </c>
      <c r="C675" s="33" t="inlineStr">
        <is>
          <t>D1</t>
        </is>
      </c>
      <c r="D675" s="33" t="n">
        <v>3</v>
      </c>
      <c r="E675" s="68" t="inlineStr">
        <is>
          <t>$1B explicit DC backlog within $20.3B total. Band 3.</t>
        </is>
      </c>
      <c r="F675" s="68" t="inlineStr">
        <is>
          <t>MasTec Q1 FY26 + Yahoo Finance grid expansion coverage (2026-05-18 deep research)</t>
        </is>
      </c>
      <c r="G675" s="33" t="inlineStr">
        <is>
          <t>High</t>
        </is>
      </c>
      <c r="H675" s="33" t="inlineStr">
        <is>
          <t>Initial</t>
        </is>
      </c>
    </row>
    <row r="676">
      <c r="A676" s="33" t="inlineStr">
        <is>
          <t>2026-05-18</t>
        </is>
      </c>
      <c r="B676" s="33" t="inlineStr">
        <is>
          <t>MTZ</t>
        </is>
      </c>
      <c r="C676" s="33" t="inlineStr">
        <is>
          <t>D2</t>
        </is>
      </c>
      <c r="D676" s="33" t="n">
        <v>3</v>
      </c>
      <c r="E676" s="68" t="inlineStr">
        <is>
          <t>Infrastructure construction; less moat than PWR.</t>
        </is>
      </c>
      <c r="F676" s="68" t="inlineStr">
        <is>
          <t>MasTec Q1 FY26 + Yahoo Finance grid expansion coverage (2026-05-18 deep research)</t>
        </is>
      </c>
      <c r="G676" s="33" t="inlineStr">
        <is>
          <t>High</t>
        </is>
      </c>
      <c r="H676" s="33" t="inlineStr">
        <is>
          <t>Initial</t>
        </is>
      </c>
    </row>
    <row r="677">
      <c r="A677" s="33" t="inlineStr">
        <is>
          <t>2026-05-18</t>
        </is>
      </c>
      <c r="B677" s="33" t="inlineStr">
        <is>
          <t>MTZ</t>
        </is>
      </c>
      <c r="C677" s="33" t="inlineStr">
        <is>
          <t>D3</t>
        </is>
      </c>
      <c r="D677" s="33" t="n">
        <v>3</v>
      </c>
      <c r="E677" s="68" t="inlineStr">
        <is>
          <t>Workforce + reputation.</t>
        </is>
      </c>
      <c r="F677" s="68" t="inlineStr">
        <is>
          <t>MasTec Q1 FY26 + Yahoo Finance grid expansion coverage (2026-05-18 deep research)</t>
        </is>
      </c>
      <c r="G677" s="33" t="inlineStr">
        <is>
          <t>High</t>
        </is>
      </c>
      <c r="H677" s="33" t="inlineStr">
        <is>
          <t>Initial</t>
        </is>
      </c>
    </row>
    <row r="678">
      <c r="A678" s="33" t="inlineStr">
        <is>
          <t>2026-05-18</t>
        </is>
      </c>
      <c r="B678" s="33" t="inlineStr">
        <is>
          <t>MTZ</t>
        </is>
      </c>
      <c r="C678" s="33" t="inlineStr">
        <is>
          <t>D4</t>
        </is>
      </c>
      <c r="D678" s="33" t="n">
        <v>5</v>
      </c>
      <c r="E678" s="68" t="inlineStr">
        <is>
          <t>Record $20.3B 18-month backlog (+28% YoY); 2026 guide $17.5B; Power Delivery $6.2B record.</t>
        </is>
      </c>
      <c r="F678" s="68" t="inlineStr">
        <is>
          <t>MasTec Q1 FY26 + Yahoo Finance grid expansion coverage (2026-05-18 deep research)</t>
        </is>
      </c>
      <c r="G678" s="33" t="inlineStr">
        <is>
          <t>High</t>
        </is>
      </c>
      <c r="H678" s="33" t="inlineStr">
        <is>
          <t>Initial</t>
        </is>
      </c>
    </row>
    <row r="679">
      <c r="A679" s="33" t="inlineStr">
        <is>
          <t>2026-05-18</t>
        </is>
      </c>
      <c r="B679" s="33" t="inlineStr">
        <is>
          <t>MTZ</t>
        </is>
      </c>
      <c r="C679" s="33" t="inlineStr">
        <is>
          <t>D5</t>
        </is>
      </c>
      <c r="D679" s="33" t="n">
        <v>3</v>
      </c>
      <c r="E679" s="68" t="inlineStr">
        <is>
          <t>Indirect via utility + telecom + data center customers.</t>
        </is>
      </c>
      <c r="F679" s="68" t="inlineStr">
        <is>
          <t>MasTec Q1 FY26 + Yahoo Finance grid expansion coverage (2026-05-18 deep research)</t>
        </is>
      </c>
      <c r="G679" s="33" t="inlineStr">
        <is>
          <t>High</t>
        </is>
      </c>
      <c r="H679" s="33" t="inlineStr">
        <is>
          <t>Initial</t>
        </is>
      </c>
    </row>
    <row r="680">
      <c r="A680" s="33" t="inlineStr">
        <is>
          <t>2026-05-18</t>
        </is>
      </c>
      <c r="B680" s="33" t="inlineStr">
        <is>
          <t>MTZ</t>
        </is>
      </c>
      <c r="C680" s="33" t="inlineStr">
        <is>
          <t>M1</t>
        </is>
      </c>
      <c r="D680" s="33" t="n">
        <v>5</v>
      </c>
      <c r="E680" s="68" t="inlineStr">
        <is>
          <t>17 up / 1 down; strong positive.</t>
        </is>
      </c>
      <c r="F680" s="68" t="inlineStr">
        <is>
          <t>MasTec Q1 FY26 + Yahoo Finance grid expansion coverage (2026-05-18 deep research)</t>
        </is>
      </c>
      <c r="G680" s="33" t="inlineStr">
        <is>
          <t>High</t>
        </is>
      </c>
      <c r="H680" s="33" t="inlineStr">
        <is>
          <t>Initial</t>
        </is>
      </c>
    </row>
    <row r="681">
      <c r="A681" s="33" t="inlineStr">
        <is>
          <t>2026-05-18</t>
        </is>
      </c>
      <c r="B681" s="33" t="inlineStr">
        <is>
          <t>MTZ</t>
        </is>
      </c>
      <c r="C681" s="33" t="inlineStr">
        <is>
          <t>M2</t>
        </is>
      </c>
      <c r="D681" s="33" t="n">
        <v>5</v>
      </c>
      <c r="E681" s="68" t="inlineStr">
        <is>
          <t>+81pp vs XLI 180d. Extreme outperformance.</t>
        </is>
      </c>
      <c r="F681" s="68" t="inlineStr">
        <is>
          <t>MasTec Q1 FY26 + Yahoo Finance grid expansion coverage (2026-05-18 deep research)</t>
        </is>
      </c>
      <c r="G681" s="33" t="inlineStr">
        <is>
          <t>High</t>
        </is>
      </c>
      <c r="H681" s="33" t="inlineStr">
        <is>
          <t>Initial</t>
        </is>
      </c>
    </row>
    <row r="682">
      <c r="A682" s="33" t="inlineStr">
        <is>
          <t>2026-05-18</t>
        </is>
      </c>
      <c r="B682" s="33" t="inlineStr">
        <is>
          <t>MTZ</t>
        </is>
      </c>
      <c r="C682" s="33" t="inlineStr">
        <is>
          <t>M3</t>
        </is>
      </c>
      <c r="D682" s="33" t="n">
        <v>3</v>
      </c>
      <c r="E682" s="68" t="inlineStr">
        <is>
          <t>Routine; default 3.</t>
        </is>
      </c>
      <c r="F682" s="68" t="inlineStr">
        <is>
          <t>MasTec Q1 FY26 + Yahoo Finance grid expansion coverage (2026-05-18 deep research)</t>
        </is>
      </c>
      <c r="G682" s="33" t="inlineStr">
        <is>
          <t>High</t>
        </is>
      </c>
      <c r="H682" s="33" t="inlineStr">
        <is>
          <t>Initial</t>
        </is>
      </c>
    </row>
    <row r="683">
      <c r="A683" s="33" t="inlineStr">
        <is>
          <t>2026-05-18</t>
        </is>
      </c>
      <c r="B683" s="33" t="inlineStr">
        <is>
          <t>MTZ</t>
        </is>
      </c>
      <c r="C683" s="33" t="inlineStr">
        <is>
          <t>R1</t>
        </is>
      </c>
      <c r="D683" s="33" t="n">
        <v>5</v>
      </c>
      <c r="E683" s="68" t="inlineStr">
        <is>
          <t>Diversified.</t>
        </is>
      </c>
      <c r="F683" s="68" t="inlineStr">
        <is>
          <t>MasTec Q1 FY26 + Yahoo Finance grid expansion coverage (2026-05-18 deep research)</t>
        </is>
      </c>
      <c r="G683" s="33" t="inlineStr">
        <is>
          <t>High</t>
        </is>
      </c>
      <c r="H683" s="33" t="inlineStr">
        <is>
          <t>Initial</t>
        </is>
      </c>
    </row>
    <row r="684">
      <c r="A684" s="33" t="inlineStr">
        <is>
          <t>2026-05-18</t>
        </is>
      </c>
      <c r="B684" s="33" t="inlineStr">
        <is>
          <t>MTZ</t>
        </is>
      </c>
      <c r="C684" s="33" t="inlineStr">
        <is>
          <t>R2</t>
        </is>
      </c>
      <c r="D684" s="33" t="n">
        <v>5</v>
      </c>
      <c r="E684" s="68" t="inlineStr">
        <is>
          <t>US-focused.</t>
        </is>
      </c>
      <c r="F684" s="68" t="inlineStr">
        <is>
          <t>MasTec Q1 FY26 + Yahoo Finance grid expansion coverage (2026-05-18 deep research)</t>
        </is>
      </c>
      <c r="G684" s="33" t="inlineStr">
        <is>
          <t>High</t>
        </is>
      </c>
      <c r="H684" s="33" t="inlineStr">
        <is>
          <t>Initial</t>
        </is>
      </c>
    </row>
    <row r="685">
      <c r="A685" s="33" t="inlineStr">
        <is>
          <t>2026-05-18</t>
        </is>
      </c>
      <c r="B685" s="33" t="inlineStr">
        <is>
          <t>MTZ</t>
        </is>
      </c>
      <c r="C685" s="33" t="inlineStr">
        <is>
          <t>R3</t>
        </is>
      </c>
      <c r="D685" s="33" t="n">
        <v>4</v>
      </c>
      <c r="E685" s="68" t="inlineStr">
        <is>
          <t>Strong.</t>
        </is>
      </c>
      <c r="F685" s="68" t="inlineStr">
        <is>
          <t>MasTec Q1 FY26 + Yahoo Finance grid expansion coverage (2026-05-18 deep research)</t>
        </is>
      </c>
      <c r="G685" s="33" t="inlineStr">
        <is>
          <t>High</t>
        </is>
      </c>
      <c r="H685" s="33" t="inlineStr">
        <is>
          <t>Initial</t>
        </is>
      </c>
    </row>
    <row r="686">
      <c r="A686" s="33" t="inlineStr">
        <is>
          <t>2026-05-18</t>
        </is>
      </c>
      <c r="B686" s="33" t="inlineStr">
        <is>
          <t>MTZ</t>
        </is>
      </c>
      <c r="C686" s="33" t="inlineStr">
        <is>
          <t>R4</t>
        </is>
      </c>
      <c r="D686" s="33" t="n">
        <v>4</v>
      </c>
      <c r="E686" s="68" t="inlineStr">
        <is>
          <t>Routine.</t>
        </is>
      </c>
      <c r="F686" s="68" t="inlineStr">
        <is>
          <t>MasTec Q1 FY26 + Yahoo Finance grid expansion coverage (2026-05-18 deep research)</t>
        </is>
      </c>
      <c r="G686" s="33" t="inlineStr">
        <is>
          <t>High</t>
        </is>
      </c>
      <c r="H686" s="33" t="inlineStr">
        <is>
          <t>Initial</t>
        </is>
      </c>
    </row>
    <row r="687">
      <c r="A687" s="33" t="inlineStr">
        <is>
          <t>2026-05-18</t>
        </is>
      </c>
      <c r="B687" s="33" t="inlineStr">
        <is>
          <t>POWL</t>
        </is>
      </c>
      <c r="C687" s="33" t="inlineStr">
        <is>
          <t>D1</t>
        </is>
      </c>
      <c r="D687" s="33" t="n">
        <v>4</v>
      </c>
      <c r="E687" s="68" t="inlineStr">
        <is>
          <t>Switchgear for data centers; growing exposure. Post-quarter $400M+ mega-deal materially shifts D1.</t>
        </is>
      </c>
      <c r="F687" s="68" t="inlineStr">
        <is>
          <t>Powell Q2 2026 + Seeking Alpha $400M mega-deal coverage (2026-05-18 deep research)</t>
        </is>
      </c>
      <c r="G687" s="33" t="inlineStr">
        <is>
          <t>High</t>
        </is>
      </c>
      <c r="H687" s="33" t="inlineStr">
        <is>
          <t>Initial</t>
        </is>
      </c>
    </row>
    <row r="688">
      <c r="A688" s="33" t="inlineStr">
        <is>
          <t>2026-05-18</t>
        </is>
      </c>
      <c r="B688" s="33" t="inlineStr">
        <is>
          <t>POWL</t>
        </is>
      </c>
      <c r="C688" s="33" t="inlineStr">
        <is>
          <t>D2</t>
        </is>
      </c>
      <c r="D688" s="33" t="n">
        <v>4</v>
      </c>
      <c r="E688" s="68" t="inlineStr">
        <is>
          <t>Specialty switchgear position; mid-cap niche player.</t>
        </is>
      </c>
      <c r="F688" s="68" t="inlineStr">
        <is>
          <t>Powell Q2 2026 + Seeking Alpha $400M mega-deal coverage (2026-05-18 deep research)</t>
        </is>
      </c>
      <c r="G688" s="33" t="inlineStr">
        <is>
          <t>High</t>
        </is>
      </c>
      <c r="H688" s="33" t="inlineStr">
        <is>
          <t>Initial</t>
        </is>
      </c>
    </row>
    <row r="689">
      <c r="A689" s="33" t="inlineStr">
        <is>
          <t>2026-05-18</t>
        </is>
      </c>
      <c r="B689" s="33" t="inlineStr">
        <is>
          <t>POWL</t>
        </is>
      </c>
      <c r="C689" s="33" t="inlineStr">
        <is>
          <t>D3</t>
        </is>
      </c>
      <c r="D689" s="33" t="n">
        <v>3</v>
      </c>
      <c r="E689" s="68" t="inlineStr">
        <is>
          <t>Niche IP + customer integration but commoditizable.</t>
        </is>
      </c>
      <c r="F689" s="68" t="inlineStr">
        <is>
          <t>Powell Q2 2026 + Seeking Alpha $400M mega-deal coverage (2026-05-18 deep research)</t>
        </is>
      </c>
      <c r="G689" s="33" t="inlineStr">
        <is>
          <t>High</t>
        </is>
      </c>
      <c r="H689" s="33" t="inlineStr">
        <is>
          <t>Initial</t>
        </is>
      </c>
    </row>
    <row r="690">
      <c r="A690" s="33" t="inlineStr">
        <is>
          <t>2026-05-18</t>
        </is>
      </c>
      <c r="B690" s="33" t="inlineStr">
        <is>
          <t>POWL</t>
        </is>
      </c>
      <c r="C690" s="33" t="inlineStr">
        <is>
          <t>D4</t>
        </is>
      </c>
      <c r="D690" s="33" t="n">
        <v>5</v>
      </c>
      <c r="E690" s="68" t="inlineStr">
        <is>
          <t>$1.8B backlog (+33% YoY, +12% QoQ); $400M+ mega DC deal (largest in company history; couple GW behind-the-meter through fiscal 2028); 1.7x book-to-bill.</t>
        </is>
      </c>
      <c r="F690" s="68" t="inlineStr">
        <is>
          <t>Powell Q2 2026 + Seeking Alpha $400M mega-deal coverage (2026-05-18 deep research)</t>
        </is>
      </c>
      <c r="G690" s="33" t="inlineStr">
        <is>
          <t>High</t>
        </is>
      </c>
      <c r="H690" s="33" t="inlineStr">
        <is>
          <t>Initial</t>
        </is>
      </c>
    </row>
    <row r="691">
      <c r="A691" s="33" t="inlineStr">
        <is>
          <t>2026-05-18</t>
        </is>
      </c>
      <c r="B691" s="33" t="inlineStr">
        <is>
          <t>POWL</t>
        </is>
      </c>
      <c r="C691" s="33" t="inlineStr">
        <is>
          <t>D5</t>
        </is>
      </c>
      <c r="D691" s="33" t="n">
        <v>4</v>
      </c>
      <c r="E691" s="68" t="inlineStr">
        <is>
          <t>Hyperscaler-tier mega-deal qualifies as direct anchor relationship.</t>
        </is>
      </c>
      <c r="F691" s="68" t="inlineStr">
        <is>
          <t>Powell Q2 2026 + Seeking Alpha $400M mega-deal coverage (2026-05-18 deep research)</t>
        </is>
      </c>
      <c r="G691" s="33" t="inlineStr">
        <is>
          <t>High</t>
        </is>
      </c>
      <c r="H691" s="33" t="inlineStr">
        <is>
          <t>Initial</t>
        </is>
      </c>
    </row>
    <row r="692">
      <c r="A692" s="33" t="inlineStr">
        <is>
          <t>2026-05-18</t>
        </is>
      </c>
      <c r="B692" s="33" t="inlineStr">
        <is>
          <t>POWL</t>
        </is>
      </c>
      <c r="C692" s="33" t="inlineStr">
        <is>
          <t>M1</t>
        </is>
      </c>
      <c r="D692" s="33" t="n">
        <v>4</v>
      </c>
      <c r="E692" s="68" t="inlineStr">
        <is>
          <t>2 up / 1 down — limited revisions but consistent with small-cap coverage.</t>
        </is>
      </c>
      <c r="F692" s="68" t="inlineStr">
        <is>
          <t>Powell Q2 2026 + Seeking Alpha $400M mega-deal coverage (2026-05-18 deep research)</t>
        </is>
      </c>
      <c r="G692" s="33" t="inlineStr">
        <is>
          <t>High</t>
        </is>
      </c>
      <c r="H692" s="33" t="inlineStr">
        <is>
          <t>Initial</t>
        </is>
      </c>
    </row>
    <row r="693">
      <c r="A693" s="33" t="inlineStr">
        <is>
          <t>2026-05-18</t>
        </is>
      </c>
      <c r="B693" s="33" t="inlineStr">
        <is>
          <t>POWL</t>
        </is>
      </c>
      <c r="C693" s="33" t="inlineStr">
        <is>
          <t>M2</t>
        </is>
      </c>
      <c r="D693" s="33" t="n">
        <v>5</v>
      </c>
      <c r="E693" s="68" t="inlineStr">
        <is>
          <t>+166pp vs XLI 180d — EXTREME small-cap rally.</t>
        </is>
      </c>
      <c r="F693" s="68" t="inlineStr">
        <is>
          <t>Powell Q2 2026 + Seeking Alpha $400M mega-deal coverage (2026-05-18 deep research)</t>
        </is>
      </c>
      <c r="G693" s="33" t="inlineStr">
        <is>
          <t>High</t>
        </is>
      </c>
      <c r="H693" s="33" t="inlineStr">
        <is>
          <t>Initial</t>
        </is>
      </c>
    </row>
    <row r="694">
      <c r="A694" s="33" t="inlineStr">
        <is>
          <t>2026-05-18</t>
        </is>
      </c>
      <c r="B694" s="33" t="inlineStr">
        <is>
          <t>POWL</t>
        </is>
      </c>
      <c r="C694" s="33" t="inlineStr">
        <is>
          <t>M3</t>
        </is>
      </c>
      <c r="D694" s="33" t="n">
        <v>3</v>
      </c>
      <c r="E694" s="68" t="inlineStr">
        <is>
          <t>Routine; default 3.</t>
        </is>
      </c>
      <c r="F694" s="68" t="inlineStr">
        <is>
          <t>Powell Q2 2026 + Seeking Alpha $400M mega-deal coverage (2026-05-18 deep research)</t>
        </is>
      </c>
      <c r="G694" s="33" t="inlineStr">
        <is>
          <t>High</t>
        </is>
      </c>
      <c r="H694" s="33" t="inlineStr">
        <is>
          <t>Initial</t>
        </is>
      </c>
    </row>
    <row r="695">
      <c r="A695" s="33" t="inlineStr">
        <is>
          <t>2026-05-18</t>
        </is>
      </c>
      <c r="B695" s="33" t="inlineStr">
        <is>
          <t>POWL</t>
        </is>
      </c>
      <c r="C695" s="33" t="inlineStr">
        <is>
          <t>R1</t>
        </is>
      </c>
      <c r="D695" s="33" t="n">
        <v>4</v>
      </c>
      <c r="E695" s="68" t="inlineStr">
        <is>
          <t>Top customer 25-40% likely; some concentration.</t>
        </is>
      </c>
      <c r="F695" s="68" t="inlineStr">
        <is>
          <t>Powell Q2 2026 + Seeking Alpha $400M mega-deal coverage (2026-05-18 deep research)</t>
        </is>
      </c>
      <c r="G695" s="33" t="inlineStr">
        <is>
          <t>High</t>
        </is>
      </c>
      <c r="H695" s="33" t="inlineStr">
        <is>
          <t>Initial</t>
        </is>
      </c>
    </row>
    <row r="696">
      <c r="A696" s="33" t="inlineStr">
        <is>
          <t>2026-05-18</t>
        </is>
      </c>
      <c r="B696" s="33" t="inlineStr">
        <is>
          <t>POWL</t>
        </is>
      </c>
      <c r="C696" s="33" t="inlineStr">
        <is>
          <t>R2</t>
        </is>
      </c>
      <c r="D696" s="33" t="n">
        <v>4</v>
      </c>
      <c r="E696" s="68" t="inlineStr">
        <is>
          <t>Global; minimal export-control exposure.</t>
        </is>
      </c>
      <c r="F696" s="68" t="inlineStr">
        <is>
          <t>Powell Q2 2026 + Seeking Alpha $400M mega-deal coverage (2026-05-18 deep research)</t>
        </is>
      </c>
      <c r="G696" s="33" t="inlineStr">
        <is>
          <t>High</t>
        </is>
      </c>
      <c r="H696" s="33" t="inlineStr">
        <is>
          <t>Initial</t>
        </is>
      </c>
    </row>
    <row r="697">
      <c r="A697" s="33" t="inlineStr">
        <is>
          <t>2026-05-18</t>
        </is>
      </c>
      <c r="B697" s="33" t="inlineStr">
        <is>
          <t>POWL</t>
        </is>
      </c>
      <c r="C697" s="33" t="inlineStr">
        <is>
          <t>R3</t>
        </is>
      </c>
      <c r="D697" s="33" t="n">
        <v>4</v>
      </c>
      <c r="E697" s="68" t="inlineStr">
        <is>
          <t>Strong (cash from order book).</t>
        </is>
      </c>
      <c r="F697" s="68" t="inlineStr">
        <is>
          <t>Powell Q2 2026 + Seeking Alpha $400M mega-deal coverage (2026-05-18 deep research)</t>
        </is>
      </c>
      <c r="G697" s="33" t="inlineStr">
        <is>
          <t>High</t>
        </is>
      </c>
      <c r="H697" s="33" t="inlineStr">
        <is>
          <t>Initial</t>
        </is>
      </c>
    </row>
    <row r="698">
      <c r="A698" s="33" t="inlineStr">
        <is>
          <t>2026-05-18</t>
        </is>
      </c>
      <c r="B698" s="33" t="inlineStr">
        <is>
          <t>POWL</t>
        </is>
      </c>
      <c r="C698" s="33" t="inlineStr">
        <is>
          <t>R4</t>
        </is>
      </c>
      <c r="D698" s="33" t="n">
        <v>4</v>
      </c>
      <c r="E698" s="68" t="inlineStr">
        <is>
          <t>Routine.</t>
        </is>
      </c>
      <c r="F698" s="68" t="inlineStr">
        <is>
          <t>Powell Q2 2026 + Seeking Alpha $400M mega-deal coverage (2026-05-18 deep research)</t>
        </is>
      </c>
      <c r="G698" s="33" t="inlineStr">
        <is>
          <t>High</t>
        </is>
      </c>
      <c r="H698" s="33" t="inlineStr">
        <is>
          <t>Initial</t>
        </is>
      </c>
    </row>
    <row r="699">
      <c r="A699" s="33" t="inlineStr">
        <is>
          <t>2026-05-18</t>
        </is>
      </c>
      <c r="B699" s="33" t="inlineStr">
        <is>
          <t>NVT</t>
        </is>
      </c>
      <c r="C699" s="33" t="inlineStr">
        <is>
          <t>D1</t>
        </is>
      </c>
      <c r="D699" s="33" t="n">
        <v>4</v>
      </c>
      <c r="E699" s="68" t="inlineStr">
        <is>
          <t>**Identity shift: increasingly liquid cooling specialist for hyperscalers.** Infrastructure segment +100% organic. Band 4.</t>
        </is>
      </c>
      <c r="F699" s="68" t="inlineStr">
        <is>
          <t>nVent Q1 FY26 + TIKR/SimplyWallSt liquid cooling pivot coverage (2026-05-18 deep research)</t>
        </is>
      </c>
      <c r="G699" s="33" t="inlineStr">
        <is>
          <t>High</t>
        </is>
      </c>
      <c r="H699" s="33" t="inlineStr">
        <is>
          <t>Initial</t>
        </is>
      </c>
    </row>
    <row r="700">
      <c r="A700" s="33" t="inlineStr">
        <is>
          <t>2026-05-18</t>
        </is>
      </c>
      <c r="B700" s="33" t="inlineStr">
        <is>
          <t>NVT</t>
        </is>
      </c>
      <c r="C700" s="33" t="inlineStr">
        <is>
          <t>D2</t>
        </is>
      </c>
      <c r="D700" s="33" t="n">
        <v>4</v>
      </c>
      <c r="E700" s="68" t="inlineStr">
        <is>
          <t>Liquid cooling for hyperscalers is bottleneck-tier capability; multiple competitors but nVent has scale.</t>
        </is>
      </c>
      <c r="F700" s="68" t="inlineStr">
        <is>
          <t>nVent Q1 FY26 + TIKR/SimplyWallSt liquid cooling pivot coverage (2026-05-18 deep research)</t>
        </is>
      </c>
      <c r="G700" s="33" t="inlineStr">
        <is>
          <t>High</t>
        </is>
      </c>
      <c r="H700" s="33" t="inlineStr">
        <is>
          <t>Initial</t>
        </is>
      </c>
    </row>
    <row r="701">
      <c r="A701" s="33" t="inlineStr">
        <is>
          <t>2026-05-18</t>
        </is>
      </c>
      <c r="B701" s="33" t="inlineStr">
        <is>
          <t>NVT</t>
        </is>
      </c>
      <c r="C701" s="33" t="inlineStr">
        <is>
          <t>D3</t>
        </is>
      </c>
      <c r="D701" s="33" t="n">
        <v>4</v>
      </c>
      <c r="E701" s="68" t="inlineStr">
        <is>
          <t>Liquid cooling IP + scale + 1 GW deployed.</t>
        </is>
      </c>
      <c r="F701" s="68" t="inlineStr">
        <is>
          <t>nVent Q1 FY26 + TIKR/SimplyWallSt liquid cooling pivot coverage (2026-05-18 deep research)</t>
        </is>
      </c>
      <c r="G701" s="33" t="inlineStr">
        <is>
          <t>High</t>
        </is>
      </c>
      <c r="H701" s="33" t="inlineStr">
        <is>
          <t>Initial</t>
        </is>
      </c>
    </row>
    <row r="702">
      <c r="A702" s="33" t="inlineStr">
        <is>
          <t>2026-05-18</t>
        </is>
      </c>
      <c r="B702" s="33" t="inlineStr">
        <is>
          <t>NVT</t>
        </is>
      </c>
      <c r="C702" s="33" t="inlineStr">
        <is>
          <t>D4</t>
        </is>
      </c>
      <c r="D702" s="33" t="n">
        <v>5</v>
      </c>
      <c r="E702" s="68" t="inlineStr">
        <is>
          <t>Backlog $2.3B = 3x prior year level; built from large liquid cooling orders; Systems Protection +76%.</t>
        </is>
      </c>
      <c r="F702" s="68" t="inlineStr">
        <is>
          <t>nVent Q1 FY26 + TIKR/SimplyWallSt liquid cooling pivot coverage (2026-05-18 deep research)</t>
        </is>
      </c>
      <c r="G702" s="33" t="inlineStr">
        <is>
          <t>High</t>
        </is>
      </c>
      <c r="H702" s="33" t="inlineStr">
        <is>
          <t>Initial</t>
        </is>
      </c>
    </row>
    <row r="703">
      <c r="A703" s="33" t="inlineStr">
        <is>
          <t>2026-05-18</t>
        </is>
      </c>
      <c r="B703" s="33" t="inlineStr">
        <is>
          <t>NVT</t>
        </is>
      </c>
      <c r="C703" s="33" t="inlineStr">
        <is>
          <t>D5</t>
        </is>
      </c>
      <c r="D703" s="33" t="n">
        <v>4</v>
      </c>
      <c r="E703" s="68" t="inlineStr">
        <is>
          <t>Hyperscaler liquid cooling orders explicitly anchor of growth.</t>
        </is>
      </c>
      <c r="F703" s="68" t="inlineStr">
        <is>
          <t>nVent Q1 FY26 + TIKR/SimplyWallSt liquid cooling pivot coverage (2026-05-18 deep research)</t>
        </is>
      </c>
      <c r="G703" s="33" t="inlineStr">
        <is>
          <t>High</t>
        </is>
      </c>
      <c r="H703" s="33" t="inlineStr">
        <is>
          <t>Initial</t>
        </is>
      </c>
    </row>
    <row r="704">
      <c r="A704" s="33" t="inlineStr">
        <is>
          <t>2026-05-18</t>
        </is>
      </c>
      <c r="B704" s="33" t="inlineStr">
        <is>
          <t>NVT</t>
        </is>
      </c>
      <c r="C704" s="33" t="inlineStr">
        <is>
          <t>M1</t>
        </is>
      </c>
      <c r="D704" s="33" t="n">
        <v>5</v>
      </c>
      <c r="E704" s="68" t="inlineStr">
        <is>
          <t>12 up / 0 down; strong positive.</t>
        </is>
      </c>
      <c r="F704" s="68" t="inlineStr">
        <is>
          <t>nVent Q1 FY26 + TIKR/SimplyWallSt liquid cooling pivot coverage (2026-05-18 deep research)</t>
        </is>
      </c>
      <c r="G704" s="33" t="inlineStr">
        <is>
          <t>High</t>
        </is>
      </c>
      <c r="H704" s="33" t="inlineStr">
        <is>
          <t>Initial</t>
        </is>
      </c>
    </row>
    <row r="705">
      <c r="A705" s="33" t="inlineStr">
        <is>
          <t>2026-05-18</t>
        </is>
      </c>
      <c r="B705" s="33" t="inlineStr">
        <is>
          <t>NVT</t>
        </is>
      </c>
      <c r="C705" s="33" t="inlineStr">
        <is>
          <t>M2</t>
        </is>
      </c>
      <c r="D705" s="33" t="n">
        <v>5</v>
      </c>
      <c r="E705" s="68" t="inlineStr">
        <is>
          <t>+38pp vs XLI 180d.</t>
        </is>
      </c>
      <c r="F705" s="68" t="inlineStr">
        <is>
          <t>nVent Q1 FY26 + TIKR/SimplyWallSt liquid cooling pivot coverage (2026-05-18 deep research)</t>
        </is>
      </c>
      <c r="G705" s="33" t="inlineStr">
        <is>
          <t>High</t>
        </is>
      </c>
      <c r="H705" s="33" t="inlineStr">
        <is>
          <t>Initial</t>
        </is>
      </c>
    </row>
    <row r="706">
      <c r="A706" s="33" t="inlineStr">
        <is>
          <t>2026-05-18</t>
        </is>
      </c>
      <c r="B706" s="33" t="inlineStr">
        <is>
          <t>NVT</t>
        </is>
      </c>
      <c r="C706" s="33" t="inlineStr">
        <is>
          <t>M3</t>
        </is>
      </c>
      <c r="D706" s="33" t="n">
        <v>3</v>
      </c>
      <c r="E706" s="68" t="inlineStr">
        <is>
          <t>Routine; default 3.</t>
        </is>
      </c>
      <c r="F706" s="68" t="inlineStr">
        <is>
          <t>nVent Q1 FY26 + TIKR/SimplyWallSt liquid cooling pivot coverage (2026-05-18 deep research)</t>
        </is>
      </c>
      <c r="G706" s="33" t="inlineStr">
        <is>
          <t>High</t>
        </is>
      </c>
      <c r="H706" s="33" t="inlineStr">
        <is>
          <t>Initial</t>
        </is>
      </c>
    </row>
    <row r="707">
      <c r="A707" s="33" t="inlineStr">
        <is>
          <t>2026-05-18</t>
        </is>
      </c>
      <c r="B707" s="33" t="inlineStr">
        <is>
          <t>NVT</t>
        </is>
      </c>
      <c r="C707" s="33" t="inlineStr">
        <is>
          <t>R1</t>
        </is>
      </c>
      <c r="D707" s="33" t="n">
        <v>4</v>
      </c>
      <c r="E707" s="68" t="inlineStr">
        <is>
          <t>Hyperscaler concentration emerging.</t>
        </is>
      </c>
      <c r="F707" s="68" t="inlineStr">
        <is>
          <t>nVent Q1 FY26 + TIKR/SimplyWallSt liquid cooling pivot coverage (2026-05-18 deep research)</t>
        </is>
      </c>
      <c r="G707" s="33" t="inlineStr">
        <is>
          <t>High</t>
        </is>
      </c>
      <c r="H707" s="33" t="inlineStr">
        <is>
          <t>Initial</t>
        </is>
      </c>
    </row>
    <row r="708">
      <c r="A708" s="33" t="inlineStr">
        <is>
          <t>2026-05-18</t>
        </is>
      </c>
      <c r="B708" s="33" t="inlineStr">
        <is>
          <t>NVT</t>
        </is>
      </c>
      <c r="C708" s="33" t="inlineStr">
        <is>
          <t>R2</t>
        </is>
      </c>
      <c r="D708" s="33" t="n">
        <v>4</v>
      </c>
      <c r="E708" s="68" t="inlineStr">
        <is>
          <t>Global.</t>
        </is>
      </c>
      <c r="F708" s="68" t="inlineStr">
        <is>
          <t>nVent Q1 FY26 + TIKR/SimplyWallSt liquid cooling pivot coverage (2026-05-18 deep research)</t>
        </is>
      </c>
      <c r="G708" s="33" t="inlineStr">
        <is>
          <t>High</t>
        </is>
      </c>
      <c r="H708" s="33" t="inlineStr">
        <is>
          <t>Initial</t>
        </is>
      </c>
    </row>
    <row r="709">
      <c r="A709" s="33" t="inlineStr">
        <is>
          <t>2026-05-18</t>
        </is>
      </c>
      <c r="B709" s="33" t="inlineStr">
        <is>
          <t>NVT</t>
        </is>
      </c>
      <c r="C709" s="33" t="inlineStr">
        <is>
          <t>R3</t>
        </is>
      </c>
      <c r="D709" s="33" t="n">
        <v>4</v>
      </c>
      <c r="E709" s="68" t="inlineStr">
        <is>
          <t>Strong.</t>
        </is>
      </c>
      <c r="F709" s="68" t="inlineStr">
        <is>
          <t>nVent Q1 FY26 + TIKR/SimplyWallSt liquid cooling pivot coverage (2026-05-18 deep research)</t>
        </is>
      </c>
      <c r="G709" s="33" t="inlineStr">
        <is>
          <t>High</t>
        </is>
      </c>
      <c r="H709" s="33" t="inlineStr">
        <is>
          <t>Initial</t>
        </is>
      </c>
    </row>
    <row r="710">
      <c r="A710" s="33" t="inlineStr">
        <is>
          <t>2026-05-18</t>
        </is>
      </c>
      <c r="B710" s="33" t="inlineStr">
        <is>
          <t>NVT</t>
        </is>
      </c>
      <c r="C710" s="33" t="inlineStr">
        <is>
          <t>R4</t>
        </is>
      </c>
      <c r="D710" s="33" t="n">
        <v>4</v>
      </c>
      <c r="E710" s="68" t="inlineStr">
        <is>
          <t>Routine.</t>
        </is>
      </c>
      <c r="F710" s="68" t="inlineStr">
        <is>
          <t>nVent Q1 FY26 + TIKR/SimplyWallSt liquid cooling pivot coverage (2026-05-18 deep research)</t>
        </is>
      </c>
      <c r="G710" s="33" t="inlineStr">
        <is>
          <t>High</t>
        </is>
      </c>
      <c r="H710" s="33" t="inlineStr">
        <is>
          <t>Initial</t>
        </is>
      </c>
    </row>
    <row r="711">
      <c r="A711" s="33" t="inlineStr">
        <is>
          <t>2026-05-18</t>
        </is>
      </c>
      <c r="B711" s="33" t="inlineStr">
        <is>
          <t>ATKR</t>
        </is>
      </c>
      <c r="C711" s="33" t="inlineStr">
        <is>
          <t>D1</t>
        </is>
      </c>
      <c r="D711" s="33" t="n">
        <v>3</v>
      </c>
      <c r="E711" s="68" t="inlineStr">
        <is>
          <t>DC is 'primary tailwind' per management; metal conduit +15%. Band 3.</t>
        </is>
      </c>
      <c r="F711" s="68" t="inlineStr">
        <is>
          <t>Atkore Q2 FY26 + Ad-Hoc-News DC tailwind coverage (2026-05-18 deep research)</t>
        </is>
      </c>
      <c r="G711" s="33" t="inlineStr">
        <is>
          <t>High</t>
        </is>
      </c>
      <c r="H711" s="33" t="inlineStr">
        <is>
          <t>Initial</t>
        </is>
      </c>
    </row>
    <row r="712">
      <c r="A712" s="33" t="inlineStr">
        <is>
          <t>2026-05-18</t>
        </is>
      </c>
      <c r="B712" s="33" t="inlineStr">
        <is>
          <t>ATKR</t>
        </is>
      </c>
      <c r="C712" s="33" t="inlineStr">
        <is>
          <t>D2</t>
        </is>
      </c>
      <c r="D712" s="33" t="n">
        <v>3</v>
      </c>
      <c r="E712" s="68" t="inlineStr">
        <is>
          <t>Commoditizable conduit + cable but scale leadership.</t>
        </is>
      </c>
      <c r="F712" s="68" t="inlineStr">
        <is>
          <t>Atkore Q2 FY26 + Ad-Hoc-News DC tailwind coverage (2026-05-18 deep research)</t>
        </is>
      </c>
      <c r="G712" s="33" t="inlineStr">
        <is>
          <t>High</t>
        </is>
      </c>
      <c r="H712" s="33" t="inlineStr">
        <is>
          <t>Initial</t>
        </is>
      </c>
    </row>
    <row r="713">
      <c r="A713" s="33" t="inlineStr">
        <is>
          <t>2026-05-18</t>
        </is>
      </c>
      <c r="B713" s="33" t="inlineStr">
        <is>
          <t>ATKR</t>
        </is>
      </c>
      <c r="C713" s="33" t="inlineStr">
        <is>
          <t>D3</t>
        </is>
      </c>
      <c r="D713" s="33" t="n">
        <v>3</v>
      </c>
      <c r="E713" s="68" t="inlineStr">
        <is>
          <t>Scale + distribution but commoditizable products.</t>
        </is>
      </c>
      <c r="F713" s="68" t="inlineStr">
        <is>
          <t>Atkore Q2 FY26 + Ad-Hoc-News DC tailwind coverage (2026-05-18 deep research)</t>
        </is>
      </c>
      <c r="G713" s="33" t="inlineStr">
        <is>
          <t>High</t>
        </is>
      </c>
      <c r="H713" s="33" t="inlineStr">
        <is>
          <t>Initial</t>
        </is>
      </c>
    </row>
    <row r="714">
      <c r="A714" s="33" t="inlineStr">
        <is>
          <t>2026-05-18</t>
        </is>
      </c>
      <c r="B714" s="33" t="inlineStr">
        <is>
          <t>ATKR</t>
        </is>
      </c>
      <c r="C714" s="33" t="inlineStr">
        <is>
          <t>D4</t>
        </is>
      </c>
      <c r="D714" s="33" t="n">
        <v>4</v>
      </c>
      <c r="E714" s="68" t="inlineStr">
        <is>
          <t>Active expansion + strategic divestitures (HDPE pipe, surface protection in Belgium).</t>
        </is>
      </c>
      <c r="F714" s="68" t="inlineStr">
        <is>
          <t>Atkore Q2 FY26 + Ad-Hoc-News DC tailwind coverage (2026-05-18 deep research)</t>
        </is>
      </c>
      <c r="G714" s="33" t="inlineStr">
        <is>
          <t>High</t>
        </is>
      </c>
      <c r="H714" s="33" t="inlineStr">
        <is>
          <t>Initial</t>
        </is>
      </c>
    </row>
    <row r="715">
      <c r="A715" s="33" t="inlineStr">
        <is>
          <t>2026-05-18</t>
        </is>
      </c>
      <c r="B715" s="33" t="inlineStr">
        <is>
          <t>ATKR</t>
        </is>
      </c>
      <c r="C715" s="33" t="inlineStr">
        <is>
          <t>D5</t>
        </is>
      </c>
      <c r="D715" s="33" t="n">
        <v>3</v>
      </c>
      <c r="E715" s="68" t="inlineStr">
        <is>
          <t>Indirect hyperscaler exposure.</t>
        </is>
      </c>
      <c r="F715" s="68" t="inlineStr">
        <is>
          <t>Atkore Q2 FY26 + Ad-Hoc-News DC tailwind coverage (2026-05-18 deep research)</t>
        </is>
      </c>
      <c r="G715" s="33" t="inlineStr">
        <is>
          <t>High</t>
        </is>
      </c>
      <c r="H715" s="33" t="inlineStr">
        <is>
          <t>Initial</t>
        </is>
      </c>
    </row>
    <row r="716">
      <c r="A716" s="33" t="inlineStr">
        <is>
          <t>2026-05-18</t>
        </is>
      </c>
      <c r="B716" s="33" t="inlineStr">
        <is>
          <t>ATKR</t>
        </is>
      </c>
      <c r="C716" s="33" t="inlineStr">
        <is>
          <t>M1</t>
        </is>
      </c>
      <c r="D716" s="33" t="n">
        <v>4</v>
      </c>
      <c r="E716" s="68" t="inlineStr">
        <is>
          <t>3 up / 1 down; modest positive.</t>
        </is>
      </c>
      <c r="F716" s="68" t="inlineStr">
        <is>
          <t>Atkore Q2 FY26 + Ad-Hoc-News DC tailwind coverage (2026-05-18 deep research)</t>
        </is>
      </c>
      <c r="G716" s="33" t="inlineStr">
        <is>
          <t>High</t>
        </is>
      </c>
      <c r="H716" s="33" t="inlineStr">
        <is>
          <t>Initial</t>
        </is>
      </c>
    </row>
    <row r="717">
      <c r="A717" s="33" t="inlineStr">
        <is>
          <t>2026-05-18</t>
        </is>
      </c>
      <c r="B717" s="33" t="inlineStr">
        <is>
          <t>ATKR</t>
        </is>
      </c>
      <c r="C717" s="33" t="inlineStr">
        <is>
          <t>M2</t>
        </is>
      </c>
      <c r="D717" s="33" t="n">
        <v>3</v>
      </c>
      <c r="E717" s="68" t="inlineStr">
        <is>
          <t>-1pp vs XLI 180d.</t>
        </is>
      </c>
      <c r="F717" s="68" t="inlineStr">
        <is>
          <t>Atkore Q2 FY26 + Ad-Hoc-News DC tailwind coverage (2026-05-18 deep research)</t>
        </is>
      </c>
      <c r="G717" s="33" t="inlineStr">
        <is>
          <t>High</t>
        </is>
      </c>
      <c r="H717" s="33" t="inlineStr">
        <is>
          <t>Initial</t>
        </is>
      </c>
    </row>
    <row r="718">
      <c r="A718" s="33" t="inlineStr">
        <is>
          <t>2026-05-18</t>
        </is>
      </c>
      <c r="B718" s="33" t="inlineStr">
        <is>
          <t>ATKR</t>
        </is>
      </c>
      <c r="C718" s="33" t="inlineStr">
        <is>
          <t>M3</t>
        </is>
      </c>
      <c r="D718" s="33" t="n">
        <v>3</v>
      </c>
      <c r="E718" s="68" t="inlineStr">
        <is>
          <t>Routine; default 3.</t>
        </is>
      </c>
      <c r="F718" s="68" t="inlineStr">
        <is>
          <t>Atkore Q2 FY26 + Ad-Hoc-News DC tailwind coverage (2026-05-18 deep research)</t>
        </is>
      </c>
      <c r="G718" s="33" t="inlineStr">
        <is>
          <t>High</t>
        </is>
      </c>
      <c r="H718" s="33" t="inlineStr">
        <is>
          <t>Initial</t>
        </is>
      </c>
    </row>
    <row r="719">
      <c r="A719" s="33" t="inlineStr">
        <is>
          <t>2026-05-18</t>
        </is>
      </c>
      <c r="B719" s="33" t="inlineStr">
        <is>
          <t>ATKR</t>
        </is>
      </c>
      <c r="C719" s="33" t="inlineStr">
        <is>
          <t>R1</t>
        </is>
      </c>
      <c r="D719" s="33" t="n">
        <v>4</v>
      </c>
      <c r="E719" s="68" t="inlineStr">
        <is>
          <t>Diversified customer base.</t>
        </is>
      </c>
      <c r="F719" s="68" t="inlineStr">
        <is>
          <t>Atkore Q2 FY26 + Ad-Hoc-News DC tailwind coverage (2026-05-18 deep research)</t>
        </is>
      </c>
      <c r="G719" s="33" t="inlineStr">
        <is>
          <t>High</t>
        </is>
      </c>
      <c r="H719" s="33" t="inlineStr">
        <is>
          <t>Initial</t>
        </is>
      </c>
    </row>
    <row r="720">
      <c r="A720" s="33" t="inlineStr">
        <is>
          <t>2026-05-18</t>
        </is>
      </c>
      <c r="B720" s="33" t="inlineStr">
        <is>
          <t>ATKR</t>
        </is>
      </c>
      <c r="C720" s="33" t="inlineStr">
        <is>
          <t>R2</t>
        </is>
      </c>
      <c r="D720" s="33" t="n">
        <v>4</v>
      </c>
      <c r="E720" s="68" t="inlineStr">
        <is>
          <t>Global.</t>
        </is>
      </c>
      <c r="F720" s="68" t="inlineStr">
        <is>
          <t>Atkore Q2 FY26 + Ad-Hoc-News DC tailwind coverage (2026-05-18 deep research)</t>
        </is>
      </c>
      <c r="G720" s="33" t="inlineStr">
        <is>
          <t>High</t>
        </is>
      </c>
      <c r="H720" s="33" t="inlineStr">
        <is>
          <t>Initial</t>
        </is>
      </c>
    </row>
    <row r="721">
      <c r="A721" s="33" t="inlineStr">
        <is>
          <t>2026-05-18</t>
        </is>
      </c>
      <c r="B721" s="33" t="inlineStr">
        <is>
          <t>ATKR</t>
        </is>
      </c>
      <c r="C721" s="33" t="inlineStr">
        <is>
          <t>R3</t>
        </is>
      </c>
      <c r="D721" s="33" t="n">
        <v>4</v>
      </c>
      <c r="E721" s="68" t="inlineStr">
        <is>
          <t>Strong.</t>
        </is>
      </c>
      <c r="F721" s="68" t="inlineStr">
        <is>
          <t>Atkore Q2 FY26 + Ad-Hoc-News DC tailwind coverage (2026-05-18 deep research)</t>
        </is>
      </c>
      <c r="G721" s="33" t="inlineStr">
        <is>
          <t>High</t>
        </is>
      </c>
      <c r="H721" s="33" t="inlineStr">
        <is>
          <t>Initial</t>
        </is>
      </c>
    </row>
    <row r="722">
      <c r="A722" s="33" t="inlineStr">
        <is>
          <t>2026-05-18</t>
        </is>
      </c>
      <c r="B722" s="33" t="inlineStr">
        <is>
          <t>ATKR</t>
        </is>
      </c>
      <c r="C722" s="33" t="inlineStr">
        <is>
          <t>R4</t>
        </is>
      </c>
      <c r="D722" s="33" t="n">
        <v>4</v>
      </c>
      <c r="E722" s="68" t="inlineStr">
        <is>
          <t>Routine.</t>
        </is>
      </c>
      <c r="F722" s="68" t="inlineStr">
        <is>
          <t>Atkore Q2 FY26 + Ad-Hoc-News DC tailwind coverage (2026-05-18 deep research)</t>
        </is>
      </c>
      <c r="G722" s="33" t="inlineStr">
        <is>
          <t>High</t>
        </is>
      </c>
      <c r="H722" s="33" t="inlineStr">
        <is>
          <t>Initial</t>
        </is>
      </c>
    </row>
    <row r="723">
      <c r="A723" s="33" t="inlineStr">
        <is>
          <t>2026-05-18</t>
        </is>
      </c>
      <c r="B723" s="33" t="inlineStr">
        <is>
          <t>D</t>
        </is>
      </c>
      <c r="C723" s="33" t="inlineStr">
        <is>
          <t>D1</t>
        </is>
      </c>
      <c r="D723" s="33" t="n">
        <v>4</v>
      </c>
      <c r="E723" s="68" t="inlineStr">
        <is>
          <t>UPDATED from 3 → 4 after per-name /refresh-context research. Dominion Q1 2026: 50+ GW pipeline, EPS beat $0.95 v $0.86 (deep research 2026-05-18)</t>
        </is>
      </c>
      <c r="F723" s="68" t="inlineStr">
        <is>
          <t>Dominion Q1 2026: 50+ GW pipeline, EPS beat $0.95 v $0.86 (deep research 2026-05-18)</t>
        </is>
      </c>
      <c r="G723" s="33" t="inlineStr">
        <is>
          <t>High</t>
        </is>
      </c>
      <c r="H723" s="33" t="inlineStr">
        <is>
          <t>Update</t>
        </is>
      </c>
    </row>
    <row r="724">
      <c r="A724" s="33" t="inlineStr">
        <is>
          <t>2026-05-18</t>
        </is>
      </c>
      <c r="B724" s="33" t="inlineStr">
        <is>
          <t>D</t>
        </is>
      </c>
      <c r="C724" s="33" t="inlineStr">
        <is>
          <t>D5</t>
        </is>
      </c>
      <c r="D724" s="33" t="n">
        <v>4</v>
      </c>
      <c r="E724" s="68" t="inlineStr">
        <is>
          <t>UPDATED from 3 → 4 after per-name /refresh-context research. Dominion Q1 2026: 50+ GW pipeline, EPS beat $0.95 v $0.86 (deep research 2026-05-18)</t>
        </is>
      </c>
      <c r="F724" s="68" t="inlineStr">
        <is>
          <t>Dominion Q1 2026: 50+ GW pipeline, EPS beat $0.95 v $0.86 (deep research 2026-05-18)</t>
        </is>
      </c>
      <c r="G724" s="33" t="inlineStr">
        <is>
          <t>High</t>
        </is>
      </c>
      <c r="H724" s="33" t="inlineStr">
        <is>
          <t>Update</t>
        </is>
      </c>
    </row>
    <row r="725">
      <c r="A725" s="33" t="inlineStr">
        <is>
          <t>2026-05-18</t>
        </is>
      </c>
      <c r="B725" s="33" t="inlineStr">
        <is>
          <t>D</t>
        </is>
      </c>
      <c r="C725" s="33" t="inlineStr">
        <is>
          <t>M1</t>
        </is>
      </c>
      <c r="D725" s="33" t="n">
        <v>3</v>
      </c>
      <c r="E725" s="68" t="inlineStr">
        <is>
          <t>UPDATED from 2 → 3 after per-name /refresh-context research. Dominion Q1 2026: 50+ GW pipeline, EPS beat $0.95 v $0.86 (deep research 2026-05-18)</t>
        </is>
      </c>
      <c r="F725" s="68" t="inlineStr">
        <is>
          <t>Dominion Q1 2026: 50+ GW pipeline, EPS beat $0.95 v $0.86 (deep research 2026-05-18)</t>
        </is>
      </c>
      <c r="G725" s="33" t="inlineStr">
        <is>
          <t>High</t>
        </is>
      </c>
      <c r="H725" s="33" t="inlineStr">
        <is>
          <t>Update</t>
        </is>
      </c>
    </row>
    <row r="726">
      <c r="A726" s="33" t="inlineStr">
        <is>
          <t>2026-05-18</t>
        </is>
      </c>
      <c r="B726" s="33" t="inlineStr">
        <is>
          <t>AEP</t>
        </is>
      </c>
      <c r="C726" s="33" t="inlineStr">
        <is>
          <t>D1</t>
        </is>
      </c>
      <c r="D726" s="33" t="n">
        <v>4</v>
      </c>
      <c r="E726" s="68" t="inlineStr">
        <is>
          <t>UPDATED from 3 → 4 after per-name /refresh-context research. AEP Q1 2026: 7 GW new agreements Q1, 63 GW by 2030 (90% DC/hyperscaler), $78B capital plan (deep research 2026-05-18)</t>
        </is>
      </c>
      <c r="F726" s="68" t="inlineStr">
        <is>
          <t>AEP Q1 2026: 7 GW new agreements Q1, 63 GW by 2030 (90% DC/hyperscaler), $78B capital plan (deep research 2026-05-18)</t>
        </is>
      </c>
      <c r="G726" s="33" t="inlineStr">
        <is>
          <t>High</t>
        </is>
      </c>
      <c r="H726" s="33" t="inlineStr">
        <is>
          <t>Update</t>
        </is>
      </c>
    </row>
    <row r="727">
      <c r="A727" s="33" t="inlineStr">
        <is>
          <t>2026-05-18</t>
        </is>
      </c>
      <c r="B727" s="33" t="inlineStr">
        <is>
          <t>AEP</t>
        </is>
      </c>
      <c r="C727" s="33" t="inlineStr">
        <is>
          <t>D2</t>
        </is>
      </c>
      <c r="D727" s="33" t="n">
        <v>5</v>
      </c>
      <c r="E727" s="68" t="inlineStr">
        <is>
          <t>UPDATED from 4 → 5 after per-name /refresh-context research. AEP Q1 2026: 7 GW new agreements Q1, 63 GW by 2030 (90% DC/hyperscaler), $78B capital plan (deep research 2026-05-18)</t>
        </is>
      </c>
      <c r="F727" s="68" t="inlineStr">
        <is>
          <t>AEP Q1 2026: 7 GW new agreements Q1, 63 GW by 2030 (90% DC/hyperscaler), $78B capital plan (deep research 2026-05-18)</t>
        </is>
      </c>
      <c r="G727" s="33" t="inlineStr">
        <is>
          <t>High</t>
        </is>
      </c>
      <c r="H727" s="33" t="inlineStr">
        <is>
          <t>Update</t>
        </is>
      </c>
    </row>
    <row r="728">
      <c r="A728" s="33" t="inlineStr">
        <is>
          <t>2026-05-18</t>
        </is>
      </c>
      <c r="B728" s="33" t="inlineStr">
        <is>
          <t>AEP</t>
        </is>
      </c>
      <c r="C728" s="33" t="inlineStr">
        <is>
          <t>D4</t>
        </is>
      </c>
      <c r="D728" s="33" t="n">
        <v>5</v>
      </c>
      <c r="E728" s="68" t="inlineStr">
        <is>
          <t>UPDATED from 4 → 5 after per-name /refresh-context research. AEP Q1 2026: 7 GW new agreements Q1, 63 GW by 2030 (90% DC/hyperscaler), $78B capital plan (deep research 2026-05-18)</t>
        </is>
      </c>
      <c r="F728" s="68" t="inlineStr">
        <is>
          <t>AEP Q1 2026: 7 GW new agreements Q1, 63 GW by 2030 (90% DC/hyperscaler), $78B capital plan (deep research 2026-05-18)</t>
        </is>
      </c>
      <c r="G728" s="33" t="inlineStr">
        <is>
          <t>High</t>
        </is>
      </c>
      <c r="H728" s="33" t="inlineStr">
        <is>
          <t>Update</t>
        </is>
      </c>
    </row>
    <row r="729">
      <c r="A729" s="33" t="inlineStr">
        <is>
          <t>2026-05-18</t>
        </is>
      </c>
      <c r="B729" s="33" t="inlineStr">
        <is>
          <t>AEP</t>
        </is>
      </c>
      <c r="C729" s="33" t="inlineStr">
        <is>
          <t>D5</t>
        </is>
      </c>
      <c r="D729" s="33" t="n">
        <v>5</v>
      </c>
      <c r="E729" s="68" t="inlineStr">
        <is>
          <t>UPDATED from 3 → 5 after per-name /refresh-context research. AEP Q1 2026: 7 GW new agreements Q1, 63 GW by 2030 (90% DC/hyperscaler), $78B capital plan (deep research 2026-05-18)</t>
        </is>
      </c>
      <c r="F729" s="68" t="inlineStr">
        <is>
          <t>AEP Q1 2026: 7 GW new agreements Q1, 63 GW by 2030 (90% DC/hyperscaler), $78B capital plan (deep research 2026-05-18)</t>
        </is>
      </c>
      <c r="G729" s="33" t="inlineStr">
        <is>
          <t>High</t>
        </is>
      </c>
      <c r="H729" s="33" t="inlineStr">
        <is>
          <t>Update</t>
        </is>
      </c>
    </row>
    <row r="730">
      <c r="A730" s="33" t="inlineStr">
        <is>
          <t>2026-05-18</t>
        </is>
      </c>
      <c r="B730" s="33" t="inlineStr">
        <is>
          <t>DUK</t>
        </is>
      </c>
      <c r="C730" s="33" t="inlineStr">
        <is>
          <t>D1</t>
        </is>
      </c>
      <c r="D730" s="33" t="n">
        <v>4</v>
      </c>
      <c r="E730" s="68" t="inlineStr">
        <is>
          <t>UPDATED from 2 → 4 after per-name /refresh-context research. Duke Q1 2026: $103B capex through 2035 (largest utility capex ever), 4.5 GW hyperscaler contracts (deep research 2026-05-18)</t>
        </is>
      </c>
      <c r="F730" s="68" t="inlineStr">
        <is>
          <t>Duke Q1 2026: $103B capex through 2035 (largest utility capex ever), 4.5 GW hyperscaler contracts (deep research 2026-05-18)</t>
        </is>
      </c>
      <c r="G730" s="33" t="inlineStr">
        <is>
          <t>High</t>
        </is>
      </c>
      <c r="H730" s="33" t="inlineStr">
        <is>
          <t>Update</t>
        </is>
      </c>
    </row>
    <row r="731">
      <c r="A731" s="33" t="inlineStr">
        <is>
          <t>2026-05-18</t>
        </is>
      </c>
      <c r="B731" s="33" t="inlineStr">
        <is>
          <t>DUK</t>
        </is>
      </c>
      <c r="C731" s="33" t="inlineStr">
        <is>
          <t>D4</t>
        </is>
      </c>
      <c r="D731" s="33" t="n">
        <v>5</v>
      </c>
      <c r="E731" s="68" t="inlineStr">
        <is>
          <t>UPDATED from 4 → 5 after per-name /refresh-context research. Duke Q1 2026: $103B capex through 2035 (largest utility capex ever), 4.5 GW hyperscaler contracts (deep research 2026-05-18)</t>
        </is>
      </c>
      <c r="F731" s="68" t="inlineStr">
        <is>
          <t>Duke Q1 2026: $103B capex through 2035 (largest utility capex ever), 4.5 GW hyperscaler contracts (deep research 2026-05-18)</t>
        </is>
      </c>
      <c r="G731" s="33" t="inlineStr">
        <is>
          <t>High</t>
        </is>
      </c>
      <c r="H731" s="33" t="inlineStr">
        <is>
          <t>Update</t>
        </is>
      </c>
    </row>
    <row r="732">
      <c r="A732" s="33" t="inlineStr">
        <is>
          <t>2026-05-18</t>
        </is>
      </c>
      <c r="B732" s="33" t="inlineStr">
        <is>
          <t>DUK</t>
        </is>
      </c>
      <c r="C732" s="33" t="inlineStr">
        <is>
          <t>D5</t>
        </is>
      </c>
      <c r="D732" s="33" t="n">
        <v>4</v>
      </c>
      <c r="E732" s="68" t="inlineStr">
        <is>
          <t>UPDATED from 3 → 4 after per-name /refresh-context research. Duke Q1 2026: $103B capex through 2035 (largest utility capex ever), 4.5 GW hyperscaler contracts (deep research 2026-05-18)</t>
        </is>
      </c>
      <c r="F732" s="68" t="inlineStr">
        <is>
          <t>Duke Q1 2026: $103B capex through 2035 (largest utility capex ever), 4.5 GW hyperscaler contracts (deep research 2026-05-18)</t>
        </is>
      </c>
      <c r="G732" s="33" t="inlineStr">
        <is>
          <t>High</t>
        </is>
      </c>
      <c r="H732" s="33" t="inlineStr">
        <is>
          <t>Update</t>
        </is>
      </c>
    </row>
    <row r="733">
      <c r="A733" s="33" t="inlineStr">
        <is>
          <t>2026-05-18</t>
        </is>
      </c>
      <c r="B733" s="33" t="inlineStr">
        <is>
          <t>SO</t>
        </is>
      </c>
      <c r="C733" s="33" t="inlineStr">
        <is>
          <t>D1</t>
        </is>
      </c>
      <c r="D733" s="33" t="n">
        <v>4</v>
      </c>
      <c r="E733" s="68" t="inlineStr">
        <is>
          <t>UPDATED from 3 → 4 after per-name /refresh-context research. Southern Q1 2026: 10 GW contracted + 75 GW pipeline + $81B capex + Vogtle 3&amp;4 (deep research 2026-05-18)</t>
        </is>
      </c>
      <c r="F733" s="68" t="inlineStr">
        <is>
          <t>Southern Q1 2026: 10 GW contracted + 75 GW pipeline + $81B capex + Vogtle 3&amp;4 (deep research 2026-05-18)</t>
        </is>
      </c>
      <c r="G733" s="33" t="inlineStr">
        <is>
          <t>High</t>
        </is>
      </c>
      <c r="H733" s="33" t="inlineStr">
        <is>
          <t>Update</t>
        </is>
      </c>
    </row>
    <row r="734">
      <c r="A734" s="33" t="inlineStr">
        <is>
          <t>2026-05-18</t>
        </is>
      </c>
      <c r="B734" s="33" t="inlineStr">
        <is>
          <t>SO</t>
        </is>
      </c>
      <c r="C734" s="33" t="inlineStr">
        <is>
          <t>D2</t>
        </is>
      </c>
      <c r="D734" s="33" t="n">
        <v>5</v>
      </c>
      <c r="E734" s="68" t="inlineStr">
        <is>
          <t>UPDATED from 4 → 5 after per-name /refresh-context research. Southern Q1 2026: 10 GW contracted + 75 GW pipeline + $81B capex + Vogtle 3&amp;4 (deep research 2026-05-18)</t>
        </is>
      </c>
      <c r="F734" s="68" t="inlineStr">
        <is>
          <t>Southern Q1 2026: 10 GW contracted + 75 GW pipeline + $81B capex + Vogtle 3&amp;4 (deep research 2026-05-18)</t>
        </is>
      </c>
      <c r="G734" s="33" t="inlineStr">
        <is>
          <t>High</t>
        </is>
      </c>
      <c r="H734" s="33" t="inlineStr">
        <is>
          <t>Update</t>
        </is>
      </c>
    </row>
    <row r="735">
      <c r="A735" s="33" t="inlineStr">
        <is>
          <t>2026-05-18</t>
        </is>
      </c>
      <c r="B735" s="33" t="inlineStr">
        <is>
          <t>SO</t>
        </is>
      </c>
      <c r="C735" s="33" t="inlineStr">
        <is>
          <t>D4</t>
        </is>
      </c>
      <c r="D735" s="33" t="n">
        <v>5</v>
      </c>
      <c r="E735" s="68" t="inlineStr">
        <is>
          <t>UPDATED from 4 → 5 after per-name /refresh-context research. Southern Q1 2026: 10 GW contracted + 75 GW pipeline + $81B capex + Vogtle 3&amp;4 (deep research 2026-05-18)</t>
        </is>
      </c>
      <c r="F735" s="68" t="inlineStr">
        <is>
          <t>Southern Q1 2026: 10 GW contracted + 75 GW pipeline + $81B capex + Vogtle 3&amp;4 (deep research 2026-05-18)</t>
        </is>
      </c>
      <c r="G735" s="33" t="inlineStr">
        <is>
          <t>High</t>
        </is>
      </c>
      <c r="H735" s="33" t="inlineStr">
        <is>
          <t>Update</t>
        </is>
      </c>
    </row>
    <row r="736">
      <c r="A736" s="33" t="inlineStr">
        <is>
          <t>2026-05-18</t>
        </is>
      </c>
      <c r="B736" s="33" t="inlineStr">
        <is>
          <t>SO</t>
        </is>
      </c>
      <c r="C736" s="33" t="inlineStr">
        <is>
          <t>D5</t>
        </is>
      </c>
      <c r="D736" s="33" t="n">
        <v>5</v>
      </c>
      <c r="E736" s="68" t="inlineStr">
        <is>
          <t>UPDATED from 3 → 5 after per-name /refresh-context research. Southern Q1 2026: 10 GW contracted + 75 GW pipeline + $81B capex + Vogtle 3&amp;4 (deep research 2026-05-18)</t>
        </is>
      </c>
      <c r="F736" s="68" t="inlineStr">
        <is>
          <t>Southern Q1 2026: 10 GW contracted + 75 GW pipeline + $81B capex + Vogtle 3&amp;4 (deep research 2026-05-18)</t>
        </is>
      </c>
      <c r="G736" s="33" t="inlineStr">
        <is>
          <t>High</t>
        </is>
      </c>
      <c r="H736" s="33" t="inlineStr">
        <is>
          <t>Update</t>
        </is>
      </c>
    </row>
    <row r="737">
      <c r="A737" s="33" t="inlineStr">
        <is>
          <t>2026-05-18</t>
        </is>
      </c>
      <c r="B737" s="33" t="inlineStr">
        <is>
          <t>NEE</t>
        </is>
      </c>
      <c r="C737" s="33" t="inlineStr">
        <is>
          <t>D1</t>
        </is>
      </c>
      <c r="D737" s="33" t="n">
        <v>4</v>
      </c>
      <c r="E737" s="68" t="inlineStr">
        <is>
          <t>UPDATED from 3 → 4 after per-name /refresh-context research. NextEra Q1 2026: 60 GW DC hub pipeline + Google/Meta multi-GW PPAs + 33 GW renewables backlog (deep research 2026-05-18)</t>
        </is>
      </c>
      <c r="F737" s="68" t="inlineStr">
        <is>
          <t>NextEra Q1 2026: 60 GW DC hub pipeline + Google/Meta multi-GW PPAs + 33 GW renewables backlog (deep research 2026-05-18)</t>
        </is>
      </c>
      <c r="G737" s="33" t="inlineStr">
        <is>
          <t>High</t>
        </is>
      </c>
      <c r="H737" s="33" t="inlineStr">
        <is>
          <t>Update</t>
        </is>
      </c>
    </row>
    <row r="738">
      <c r="A738" s="33" t="inlineStr">
        <is>
          <t>2026-05-18</t>
        </is>
      </c>
      <c r="B738" s="33" t="inlineStr">
        <is>
          <t>NEE</t>
        </is>
      </c>
      <c r="C738" s="33" t="inlineStr">
        <is>
          <t>D4</t>
        </is>
      </c>
      <c r="D738" s="33" t="n">
        <v>5</v>
      </c>
      <c r="E738" s="68" t="inlineStr">
        <is>
          <t>UPDATED from 4 → 5 after per-name /refresh-context research. NextEra Q1 2026: 60 GW DC hub pipeline + Google/Meta multi-GW PPAs + 33 GW renewables backlog (deep research 2026-05-18)</t>
        </is>
      </c>
      <c r="F738" s="68" t="inlineStr">
        <is>
          <t>NextEra Q1 2026: 60 GW DC hub pipeline + Google/Meta multi-GW PPAs + 33 GW renewables backlog (deep research 2026-05-18)</t>
        </is>
      </c>
      <c r="G738" s="33" t="inlineStr">
        <is>
          <t>High</t>
        </is>
      </c>
      <c r="H738" s="33" t="inlineStr">
        <is>
          <t>Update</t>
        </is>
      </c>
    </row>
    <row r="739">
      <c r="A739" s="33" t="inlineStr">
        <is>
          <t>2026-05-18</t>
        </is>
      </c>
      <c r="B739" s="33" t="inlineStr">
        <is>
          <t>NEE</t>
        </is>
      </c>
      <c r="C739" s="33" t="inlineStr">
        <is>
          <t>D5</t>
        </is>
      </c>
      <c r="D739" s="33" t="n">
        <v>5</v>
      </c>
      <c r="E739" s="68" t="inlineStr">
        <is>
          <t>UPDATED from 3 → 5 after per-name /refresh-context research. NextEra Q1 2026: 60 GW DC hub pipeline + Google/Meta multi-GW PPAs + 33 GW renewables backlog (deep research 2026-05-18)</t>
        </is>
      </c>
      <c r="F739" s="68" t="inlineStr">
        <is>
          <t>NextEra Q1 2026: 60 GW DC hub pipeline + Google/Meta multi-GW PPAs + 33 GW renewables backlog (deep research 2026-05-18)</t>
        </is>
      </c>
      <c r="G739" s="33" t="inlineStr">
        <is>
          <t>High</t>
        </is>
      </c>
      <c r="H739" s="33" t="inlineStr">
        <is>
          <t>Update</t>
        </is>
      </c>
    </row>
    <row r="740">
      <c r="A740" s="33" t="inlineStr">
        <is>
          <t>2026-05-18</t>
        </is>
      </c>
      <c r="B740" s="33" t="inlineStr">
        <is>
          <t>ETR</t>
        </is>
      </c>
      <c r="C740" s="33" t="inlineStr">
        <is>
          <t>D1</t>
        </is>
      </c>
      <c r="D740" s="33" t="n">
        <v>5</v>
      </c>
      <c r="E740" s="68" t="inlineStr">
        <is>
          <t>UPDATED from 4 → 5 after per-name /refresh-context research. Entergy Q1 2026: $14B capex increase for Meta 5 GW Louisiana deal; 2029 EPS target raised to $6.40 (deep research 2026-05-18)</t>
        </is>
      </c>
      <c r="F740" s="68" t="inlineStr">
        <is>
          <t>Entergy Q1 2026: $14B capex increase for Meta 5 GW Louisiana deal; 2029 EPS target raised to $6.40 (deep research 2026-05-18)</t>
        </is>
      </c>
      <c r="G740" s="33" t="inlineStr">
        <is>
          <t>High</t>
        </is>
      </c>
      <c r="H740" s="33" t="inlineStr">
        <is>
          <t>Update</t>
        </is>
      </c>
    </row>
    <row r="741">
      <c r="A741" s="33" t="inlineStr">
        <is>
          <t>2026-05-18</t>
        </is>
      </c>
      <c r="B741" s="33" t="inlineStr">
        <is>
          <t>ETR</t>
        </is>
      </c>
      <c r="C741" s="33" t="inlineStr">
        <is>
          <t>D4</t>
        </is>
      </c>
      <c r="D741" s="33" t="n">
        <v>5</v>
      </c>
      <c r="E741" s="68" t="inlineStr">
        <is>
          <t>UPDATED from 4 → 5 after per-name /refresh-context research. Entergy Q1 2026: $14B capex increase for Meta 5 GW Louisiana deal; 2029 EPS target raised to $6.40 (deep research 2026-05-18)</t>
        </is>
      </c>
      <c r="F741" s="68" t="inlineStr">
        <is>
          <t>Entergy Q1 2026: $14B capex increase for Meta 5 GW Louisiana deal; 2029 EPS target raised to $6.40 (deep research 2026-05-18)</t>
        </is>
      </c>
      <c r="G741" s="33" t="inlineStr">
        <is>
          <t>High</t>
        </is>
      </c>
      <c r="H741" s="33" t="inlineStr">
        <is>
          <t>Update</t>
        </is>
      </c>
    </row>
    <row r="742">
      <c r="A742" s="33" t="inlineStr">
        <is>
          <t>2026-05-18</t>
        </is>
      </c>
      <c r="B742" s="33" t="inlineStr">
        <is>
          <t>ETR</t>
        </is>
      </c>
      <c r="C742" s="33" t="inlineStr">
        <is>
          <t>D5</t>
        </is>
      </c>
      <c r="D742" s="33" t="n">
        <v>5</v>
      </c>
      <c r="E742" s="68" t="inlineStr">
        <is>
          <t>UPDATED from 4 → 5 after per-name /refresh-context research. Entergy Q1 2026: $14B capex increase for Meta 5 GW Louisiana deal; 2029 EPS target raised to $6.40 (deep research 2026-05-18)</t>
        </is>
      </c>
      <c r="F742" s="68" t="inlineStr">
        <is>
          <t>Entergy Q1 2026: $14B capex increase for Meta 5 GW Louisiana deal; 2029 EPS target raised to $6.40 (deep research 2026-05-18)</t>
        </is>
      </c>
      <c r="G742" s="33" t="inlineStr">
        <is>
          <t>High</t>
        </is>
      </c>
      <c r="H742" s="33" t="inlineStr">
        <is>
          <t>Update</t>
        </is>
      </c>
    </row>
    <row r="743">
      <c r="A743" s="33" t="inlineStr">
        <is>
          <t>2026-05-18</t>
        </is>
      </c>
      <c r="B743" s="33" t="inlineStr">
        <is>
          <t>PPL</t>
        </is>
      </c>
      <c r="C743" s="33" t="inlineStr">
        <is>
          <t>D1</t>
        </is>
      </c>
      <c r="D743" s="33" t="n">
        <v>4</v>
      </c>
      <c r="E743" s="68" t="inlineStr">
        <is>
          <t>UPDATED from 3 → 4 after per-name /refresh-context research. PPL Q1 2026: 28.3 GW signed PA + 12.9 GW KY + $23B capex (deep research 2026-05-18)</t>
        </is>
      </c>
      <c r="F743" s="68" t="inlineStr">
        <is>
          <t>PPL Q1 2026: 28.3 GW signed PA + 12.9 GW KY + $23B capex (deep research 2026-05-18)</t>
        </is>
      </c>
      <c r="G743" s="33" t="inlineStr">
        <is>
          <t>High</t>
        </is>
      </c>
      <c r="H743" s="33" t="inlineStr">
        <is>
          <t>Update</t>
        </is>
      </c>
    </row>
    <row r="744">
      <c r="A744" s="33" t="inlineStr">
        <is>
          <t>2026-05-18</t>
        </is>
      </c>
      <c r="B744" s="33" t="inlineStr">
        <is>
          <t>PPL</t>
        </is>
      </c>
      <c r="C744" s="33" t="inlineStr">
        <is>
          <t>D4</t>
        </is>
      </c>
      <c r="D744" s="33" t="n">
        <v>5</v>
      </c>
      <c r="E744" s="68" t="inlineStr">
        <is>
          <t>UPDATED from 4 → 5 after per-name /refresh-context research. PPL Q1 2026: 28.3 GW signed PA + 12.9 GW KY + $23B capex (deep research 2026-05-18)</t>
        </is>
      </c>
      <c r="F744" s="68" t="inlineStr">
        <is>
          <t>PPL Q1 2026: 28.3 GW signed PA + 12.9 GW KY + $23B capex (deep research 2026-05-18)</t>
        </is>
      </c>
      <c r="G744" s="33" t="inlineStr">
        <is>
          <t>High</t>
        </is>
      </c>
      <c r="H744" s="33" t="inlineStr">
        <is>
          <t>Update</t>
        </is>
      </c>
    </row>
    <row r="745">
      <c r="A745" s="33" t="inlineStr">
        <is>
          <t>2026-05-18</t>
        </is>
      </c>
      <c r="B745" s="33" t="inlineStr">
        <is>
          <t>PPL</t>
        </is>
      </c>
      <c r="C745" s="33" t="inlineStr">
        <is>
          <t>D5</t>
        </is>
      </c>
      <c r="D745" s="33" t="n">
        <v>4</v>
      </c>
      <c r="E745" s="68" t="inlineStr">
        <is>
          <t>UPDATED from 3 → 4 after per-name /refresh-context research. PPL Q1 2026: 28.3 GW signed PA + 12.9 GW KY + $23B capex (deep research 2026-05-18)</t>
        </is>
      </c>
      <c r="F745" s="68" t="inlineStr">
        <is>
          <t>PPL Q1 2026: 28.3 GW signed PA + 12.9 GW KY + $23B capex (deep research 2026-05-18)</t>
        </is>
      </c>
      <c r="G745" s="33" t="inlineStr">
        <is>
          <t>High</t>
        </is>
      </c>
      <c r="H745" s="33" t="inlineStr">
        <is>
          <t>Update</t>
        </is>
      </c>
    </row>
    <row r="746">
      <c r="A746" s="33" t="inlineStr">
        <is>
          <t>2026-05-18</t>
        </is>
      </c>
      <c r="B746" s="33" t="inlineStr">
        <is>
          <t>PPL</t>
        </is>
      </c>
      <c r="C746" s="33" t="inlineStr">
        <is>
          <t>M1</t>
        </is>
      </c>
      <c r="D746" s="33" t="n">
        <v>4</v>
      </c>
      <c r="E746" s="68" t="inlineStr">
        <is>
          <t>UPDATED from 3 → 4 after per-name /refresh-context research. PPL Q1 2026: 28.3 GW signed PA + 12.9 GW KY + $23B capex (deep research 2026-05-18)</t>
        </is>
      </c>
      <c r="F746" s="68" t="inlineStr">
        <is>
          <t>PPL Q1 2026: 28.3 GW signed PA + 12.9 GW KY + $23B capex (deep research 2026-05-18)</t>
        </is>
      </c>
      <c r="G746" s="33" t="inlineStr">
        <is>
          <t>High</t>
        </is>
      </c>
      <c r="H746" s="33" t="inlineStr">
        <is>
          <t>Update</t>
        </is>
      </c>
    </row>
    <row r="747">
      <c r="A747" s="33" t="inlineStr">
        <is>
          <t>2026-05-18</t>
        </is>
      </c>
      <c r="B747" s="33" t="inlineStr">
        <is>
          <t>XEL</t>
        </is>
      </c>
      <c r="C747" s="33" t="inlineStr">
        <is>
          <t>D1</t>
        </is>
      </c>
      <c r="D747" s="33" t="n">
        <v>3</v>
      </c>
      <c r="E747" s="68" t="inlineStr">
        <is>
          <t>UPDATED from 2 → 3 after per-name /refresh-context research. Xcel Q1 2026: 15-yr Google 1.9 GW PPA + 6 GW DC target by 2027 + $14B 2026 capex (deep research 2026-05-18)</t>
        </is>
      </c>
      <c r="F747" s="68" t="inlineStr">
        <is>
          <t>Xcel Q1 2026: 15-yr Google 1.9 GW PPA + 6 GW DC target by 2027 + $14B 2026 capex (deep research 2026-05-18)</t>
        </is>
      </c>
      <c r="G747" s="33" t="inlineStr">
        <is>
          <t>High</t>
        </is>
      </c>
      <c r="H747" s="33" t="inlineStr">
        <is>
          <t>Update</t>
        </is>
      </c>
    </row>
    <row r="748">
      <c r="A748" s="33" t="inlineStr">
        <is>
          <t>2026-05-18</t>
        </is>
      </c>
      <c r="B748" s="33" t="inlineStr">
        <is>
          <t>XEL</t>
        </is>
      </c>
      <c r="C748" s="33" t="inlineStr">
        <is>
          <t>D4</t>
        </is>
      </c>
      <c r="D748" s="33" t="n">
        <v>4</v>
      </c>
      <c r="E748" s="68" t="inlineStr">
        <is>
          <t>UPDATED from 3 → 4 after per-name /refresh-context research. Xcel Q1 2026: 15-yr Google 1.9 GW PPA + 6 GW DC target by 2027 + $14B 2026 capex (deep research 2026-05-18)</t>
        </is>
      </c>
      <c r="F748" s="68" t="inlineStr">
        <is>
          <t>Xcel Q1 2026: 15-yr Google 1.9 GW PPA + 6 GW DC target by 2027 + $14B 2026 capex (deep research 2026-05-18)</t>
        </is>
      </c>
      <c r="G748" s="33" t="inlineStr">
        <is>
          <t>High</t>
        </is>
      </c>
      <c r="H748" s="33" t="inlineStr">
        <is>
          <t>Update</t>
        </is>
      </c>
    </row>
    <row r="749">
      <c r="A749" s="33" t="inlineStr">
        <is>
          <t>2026-05-18</t>
        </is>
      </c>
      <c r="B749" s="33" t="inlineStr">
        <is>
          <t>XEL</t>
        </is>
      </c>
      <c r="C749" s="33" t="inlineStr">
        <is>
          <t>D5</t>
        </is>
      </c>
      <c r="D749" s="33" t="n">
        <v>4</v>
      </c>
      <c r="E749" s="68" t="inlineStr">
        <is>
          <t>UPDATED from 2 → 4 after per-name /refresh-context research. Xcel Q1 2026: 15-yr Google 1.9 GW PPA + 6 GW DC target by 2027 + $14B 2026 capex (deep research 2026-05-18)</t>
        </is>
      </c>
      <c r="F749" s="68" t="inlineStr">
        <is>
          <t>Xcel Q1 2026: 15-yr Google 1.9 GW PPA + 6 GW DC target by 2027 + $14B 2026 capex (deep research 2026-05-18)</t>
        </is>
      </c>
      <c r="G749" s="33" t="inlineStr">
        <is>
          <t>High</t>
        </is>
      </c>
      <c r="H749" s="33" t="inlineStr">
        <is>
          <t>Update</t>
        </is>
      </c>
    </row>
    <row r="750">
      <c r="A750" s="33" t="inlineStr">
        <is>
          <t>2026-05-18</t>
        </is>
      </c>
      <c r="B750" s="33" t="inlineStr">
        <is>
          <t>XEL</t>
        </is>
      </c>
      <c r="C750" s="33" t="inlineStr">
        <is>
          <t>M1</t>
        </is>
      </c>
      <c r="D750" s="33" t="n">
        <v>4</v>
      </c>
      <c r="E750" s="68" t="inlineStr">
        <is>
          <t>UPDATED from 3 → 4 after per-name /refresh-context research. Xcel Q1 2026: 15-yr Google 1.9 GW PPA + 6 GW DC target by 2027 + $14B 2026 capex (deep research 2026-05-18)</t>
        </is>
      </c>
      <c r="F750" s="68" t="inlineStr">
        <is>
          <t>Xcel Q1 2026: 15-yr Google 1.9 GW PPA + 6 GW DC target by 2027 + $14B 2026 capex (deep research 2026-05-18)</t>
        </is>
      </c>
      <c r="G750" s="33" t="inlineStr">
        <is>
          <t>High</t>
        </is>
      </c>
      <c r="H750" s="33" t="inlineStr">
        <is>
          <t>Update</t>
        </is>
      </c>
    </row>
    <row r="751">
      <c r="A751" s="33" t="inlineStr">
        <is>
          <t>2026-05-18</t>
        </is>
      </c>
      <c r="B751" s="33" t="inlineStr">
        <is>
          <t>VST</t>
        </is>
      </c>
      <c r="C751" s="33" t="inlineStr">
        <is>
          <t>D1</t>
        </is>
      </c>
      <c r="D751" s="33" t="n">
        <v>5</v>
      </c>
      <c r="E751" s="68" t="inlineStr">
        <is>
          <t>UPDATED from 4 → 5 after per-name /refresh-context research. Vistra Q1 2026: AWS 1.2 GW Comanche Peak + Meta 2,609 MW PJM PPAs + EBITDA +85% vs 2024 (deep research 2026-05-18)</t>
        </is>
      </c>
      <c r="F751" s="68" t="inlineStr">
        <is>
          <t>Vistra Q1 2026: AWS 1.2 GW Comanche Peak + Meta 2,609 MW PJM PPAs + EBITDA +85% vs 2024 (deep research 2026-05-18)</t>
        </is>
      </c>
      <c r="G751" s="33" t="inlineStr">
        <is>
          <t>High</t>
        </is>
      </c>
      <c r="H751" s="33" t="inlineStr">
        <is>
          <t>Update</t>
        </is>
      </c>
    </row>
    <row r="752">
      <c r="A752" s="33" t="inlineStr">
        <is>
          <t>2026-05-18</t>
        </is>
      </c>
      <c r="B752" s="33" t="inlineStr">
        <is>
          <t>VST</t>
        </is>
      </c>
      <c r="C752" s="33" t="inlineStr">
        <is>
          <t>M1</t>
        </is>
      </c>
      <c r="D752" s="33" t="n">
        <v>4</v>
      </c>
      <c r="E752" s="68" t="inlineStr">
        <is>
          <t>UPDATED from 3 → 4 after per-name /refresh-context research. Vistra Q1 2026: AWS 1.2 GW Comanche Peak + Meta 2,609 MW PJM PPAs + EBITDA +85% vs 2024 (deep research 2026-05-18)</t>
        </is>
      </c>
      <c r="F752" s="68" t="inlineStr">
        <is>
          <t>Vistra Q1 2026: AWS 1.2 GW Comanche Peak + Meta 2,609 MW PJM PPAs + EBITDA +85% vs 2024 (deep research 2026-05-18)</t>
        </is>
      </c>
      <c r="G752" s="33" t="inlineStr">
        <is>
          <t>High</t>
        </is>
      </c>
      <c r="H752" s="33" t="inlineStr">
        <is>
          <t>Update</t>
        </is>
      </c>
    </row>
    <row r="753">
      <c r="A753" s="33" t="inlineStr">
        <is>
          <t>2026-05-18</t>
        </is>
      </c>
      <c r="B753" s="33" t="inlineStr">
        <is>
          <t>NRG</t>
        </is>
      </c>
      <c r="C753" s="33" t="inlineStr">
        <is>
          <t>D1</t>
        </is>
      </c>
      <c r="D753" s="33" t="n">
        <v>3</v>
      </c>
      <c r="E753" s="68" t="inlineStr">
        <is>
          <t>UPDATED from 2 → 3 after per-name /refresh-context research. NRG Q1 2026: 40 GW ERCOT load growth 2026-2030, TEF 1.5 GW dispatchable gen (deep research 2026-05-18)</t>
        </is>
      </c>
      <c r="F753" s="68" t="inlineStr">
        <is>
          <t>NRG Q1 2026: 40 GW ERCOT load growth 2026-2030, TEF 1.5 GW dispatchable gen (deep research 2026-05-18)</t>
        </is>
      </c>
      <c r="G753" s="33" t="inlineStr">
        <is>
          <t>High</t>
        </is>
      </c>
      <c r="H753" s="33" t="inlineStr">
        <is>
          <t>Update</t>
        </is>
      </c>
    </row>
    <row r="754">
      <c r="A754" s="33" t="inlineStr">
        <is>
          <t>2026-05-18</t>
        </is>
      </c>
      <c r="B754" s="33" t="inlineStr">
        <is>
          <t>NRG</t>
        </is>
      </c>
      <c r="C754" s="33" t="inlineStr">
        <is>
          <t>D2</t>
        </is>
      </c>
      <c r="D754" s="33" t="n">
        <v>4</v>
      </c>
      <c r="E754" s="68" t="inlineStr">
        <is>
          <t>UPDATED from 3 → 4 after per-name /refresh-context research. NRG Q1 2026: 40 GW ERCOT load growth 2026-2030, TEF 1.5 GW dispatchable gen (deep research 2026-05-18)</t>
        </is>
      </c>
      <c r="F754" s="68" t="inlineStr">
        <is>
          <t>NRG Q1 2026: 40 GW ERCOT load growth 2026-2030, TEF 1.5 GW dispatchable gen (deep research 2026-05-18)</t>
        </is>
      </c>
      <c r="G754" s="33" t="inlineStr">
        <is>
          <t>High</t>
        </is>
      </c>
      <c r="H754" s="33" t="inlineStr">
        <is>
          <t>Update</t>
        </is>
      </c>
    </row>
    <row r="755">
      <c r="A755" s="33" t="inlineStr">
        <is>
          <t>2026-05-18</t>
        </is>
      </c>
      <c r="B755" s="33" t="inlineStr">
        <is>
          <t>NRG</t>
        </is>
      </c>
      <c r="C755" s="33" t="inlineStr">
        <is>
          <t>D4</t>
        </is>
      </c>
      <c r="D755" s="33" t="n">
        <v>4</v>
      </c>
      <c r="E755" s="68" t="inlineStr">
        <is>
          <t>UPDATED from 3 → 4 after per-name /refresh-context research. NRG Q1 2026: 40 GW ERCOT load growth 2026-2030, TEF 1.5 GW dispatchable gen (deep research 2026-05-18)</t>
        </is>
      </c>
      <c r="F755" s="68" t="inlineStr">
        <is>
          <t>NRG Q1 2026: 40 GW ERCOT load growth 2026-2030, TEF 1.5 GW dispatchable gen (deep research 2026-05-18)</t>
        </is>
      </c>
      <c r="G755" s="33" t="inlineStr">
        <is>
          <t>High</t>
        </is>
      </c>
      <c r="H755" s="33" t="inlineStr">
        <is>
          <t>Update</t>
        </is>
      </c>
    </row>
    <row r="756">
      <c r="A756" s="33" t="inlineStr">
        <is>
          <t>2026-05-18</t>
        </is>
      </c>
      <c r="B756" s="33" t="inlineStr">
        <is>
          <t>NRG</t>
        </is>
      </c>
      <c r="C756" s="33" t="inlineStr">
        <is>
          <t>D5</t>
        </is>
      </c>
      <c r="D756" s="33" t="n">
        <v>3</v>
      </c>
      <c r="E756" s="68" t="inlineStr">
        <is>
          <t>UPDATED from 2 → 3 after per-name /refresh-context research. NRG Q1 2026: 40 GW ERCOT load growth 2026-2030, TEF 1.5 GW dispatchable gen (deep research 2026-05-18)</t>
        </is>
      </c>
      <c r="F756" s="68" t="inlineStr">
        <is>
          <t>NRG Q1 2026: 40 GW ERCOT load growth 2026-2030, TEF 1.5 GW dispatchable gen (deep research 2026-05-18)</t>
        </is>
      </c>
      <c r="G756" s="33" t="inlineStr">
        <is>
          <t>High</t>
        </is>
      </c>
      <c r="H756" s="33" t="inlineStr">
        <is>
          <t>Update</t>
        </is>
      </c>
    </row>
    <row r="757">
      <c r="A757" s="33" t="inlineStr">
        <is>
          <t>2026-05-18</t>
        </is>
      </c>
      <c r="B757" s="33" t="inlineStr">
        <is>
          <t>NRG</t>
        </is>
      </c>
      <c r="C757" s="33" t="inlineStr">
        <is>
          <t>R3</t>
        </is>
      </c>
      <c r="D757" s="33" t="n">
        <v>3</v>
      </c>
      <c r="E757" s="68" t="inlineStr">
        <is>
          <t>UPDATED from 2 → 3 after per-name /refresh-context research. NRG Q1 2026: 40 GW ERCOT load growth 2026-2030, TEF 1.5 GW dispatchable gen (deep research 2026-05-18)</t>
        </is>
      </c>
      <c r="F757" s="68" t="inlineStr">
        <is>
          <t>NRG Q1 2026: 40 GW ERCOT load growth 2026-2030, TEF 1.5 GW dispatchable gen (deep research 2026-05-18)</t>
        </is>
      </c>
      <c r="G757" s="33" t="inlineStr">
        <is>
          <t>High</t>
        </is>
      </c>
      <c r="H757" s="33" t="inlineStr">
        <is>
          <t>Update</t>
        </is>
      </c>
    </row>
    <row r="758">
      <c r="A758" s="33" t="inlineStr">
        <is>
          <t>2026-05-18</t>
        </is>
      </c>
      <c r="B758" s="33" t="inlineStr">
        <is>
          <t>CCJ</t>
        </is>
      </c>
      <c r="C758" s="33" t="inlineStr">
        <is>
          <t>D1</t>
        </is>
      </c>
      <c r="D758" s="33" t="n">
        <v>4</v>
      </c>
      <c r="E758" s="68" t="inlineStr">
        <is>
          <t>UPDATED from 3 → 4 after per-name /refresh-context research. Cameco Q1 2026: net earnings +87% YoY; CEO explicitly cites AI/hyperscale as primary driver (deep research 2026-05-18)</t>
        </is>
      </c>
      <c r="F758" s="68" t="inlineStr">
        <is>
          <t>Cameco Q1 2026: net earnings +87% YoY; CEO explicitly cites AI/hyperscale as primary driver (deep research 2026-05-18)</t>
        </is>
      </c>
      <c r="G758" s="33" t="inlineStr">
        <is>
          <t>High</t>
        </is>
      </c>
      <c r="H758" s="33" t="inlineStr">
        <is>
          <t>Update</t>
        </is>
      </c>
    </row>
    <row r="759">
      <c r="A759" s="33" t="inlineStr">
        <is>
          <t>2026-05-18</t>
        </is>
      </c>
      <c r="B759" s="33" t="inlineStr">
        <is>
          <t>CCJ</t>
        </is>
      </c>
      <c r="C759" s="33" t="inlineStr">
        <is>
          <t>D5</t>
        </is>
      </c>
      <c r="D759" s="33" t="n">
        <v>3</v>
      </c>
      <c r="E759" s="68" t="inlineStr">
        <is>
          <t>UPDATED from 2 → 3 after per-name /refresh-context research. Cameco Q1 2026: net earnings +87% YoY; CEO explicitly cites AI/hyperscale as primary driver (deep research 2026-05-18)</t>
        </is>
      </c>
      <c r="F759" s="68" t="inlineStr">
        <is>
          <t>Cameco Q1 2026: net earnings +87% YoY; CEO explicitly cites AI/hyperscale as primary driver (deep research 2026-05-18)</t>
        </is>
      </c>
      <c r="G759" s="33" t="inlineStr">
        <is>
          <t>High</t>
        </is>
      </c>
      <c r="H759" s="33" t="inlineStr">
        <is>
          <t>Update</t>
        </is>
      </c>
    </row>
    <row r="760">
      <c r="A760" s="33" t="inlineStr">
        <is>
          <t>2026-05-18</t>
        </is>
      </c>
      <c r="B760" s="33" t="inlineStr">
        <is>
          <t>CCJ</t>
        </is>
      </c>
      <c r="C760" s="33" t="inlineStr">
        <is>
          <t>M1</t>
        </is>
      </c>
      <c r="D760" s="33" t="n">
        <v>4</v>
      </c>
      <c r="E760" s="68" t="inlineStr">
        <is>
          <t>UPDATED from 2 → 4 after per-name /refresh-context research. Cameco Q1 2026: net earnings +87% YoY; CEO explicitly cites AI/hyperscale as primary driver (deep research 2026-05-18)</t>
        </is>
      </c>
      <c r="F760" s="68" t="inlineStr">
        <is>
          <t>Cameco Q1 2026: net earnings +87% YoY; CEO explicitly cites AI/hyperscale as primary driver (deep research 2026-05-18)</t>
        </is>
      </c>
      <c r="G760" s="33" t="inlineStr">
        <is>
          <t>High</t>
        </is>
      </c>
      <c r="H760" s="33" t="inlineStr">
        <is>
          <t>Update</t>
        </is>
      </c>
    </row>
    <row r="761">
      <c r="A761" s="33" t="inlineStr">
        <is>
          <t>2026-05-18</t>
        </is>
      </c>
      <c r="B761" s="33" t="inlineStr">
        <is>
          <t>CCJ</t>
        </is>
      </c>
      <c r="C761" s="33" t="inlineStr">
        <is>
          <t>R1</t>
        </is>
      </c>
      <c r="D761" s="33" t="n">
        <v>5</v>
      </c>
      <c r="E761" s="68" t="inlineStr">
        <is>
          <t>UPDATED from 4 → 5 after per-name /refresh-context research. Cameco Q1 2026: net earnings +87% YoY; CEO explicitly cites AI/hyperscale as primary driver (deep research 2026-05-18)</t>
        </is>
      </c>
      <c r="F761" s="68" t="inlineStr">
        <is>
          <t>Cameco Q1 2026: net earnings +87% YoY; CEO explicitly cites AI/hyperscale as primary driver (deep research 2026-05-18)</t>
        </is>
      </c>
      <c r="G761" s="33" t="inlineStr">
        <is>
          <t>High</t>
        </is>
      </c>
      <c r="H761" s="33" t="inlineStr">
        <is>
          <t>Update</t>
        </is>
      </c>
    </row>
    <row r="762">
      <c r="A762" s="33" t="inlineStr">
        <is>
          <t>2026-05-18</t>
        </is>
      </c>
      <c r="B762" s="33" t="inlineStr">
        <is>
          <t>UEC</t>
        </is>
      </c>
      <c r="C762" s="33" t="inlineStr">
        <is>
          <t>D1</t>
        </is>
      </c>
      <c r="D762" s="33" t="n">
        <v>3</v>
      </c>
      <c r="E762" s="68" t="inlineStr">
        <is>
          <t>UPDATED from 2 → 3 after per-name /refresh-context research. UEC Q1 FY26: Burke Hollow first US ISR mine in decade + UF6 production + $698M cash no debt + 57%/64% growth forecast (deep research 2026-05-18)</t>
        </is>
      </c>
      <c r="F762" s="68" t="inlineStr">
        <is>
          <t>UEC Q1 FY26: Burke Hollow first US ISR mine in decade + UF6 production + $698M cash no debt + 57%/64% growth forecast (deep research 2026-05-18)</t>
        </is>
      </c>
      <c r="G762" s="33" t="inlineStr">
        <is>
          <t>High</t>
        </is>
      </c>
      <c r="H762" s="33" t="inlineStr">
        <is>
          <t>Update</t>
        </is>
      </c>
    </row>
    <row r="763">
      <c r="A763" s="33" t="inlineStr">
        <is>
          <t>2026-05-18</t>
        </is>
      </c>
      <c r="B763" s="33" t="inlineStr">
        <is>
          <t>UEC</t>
        </is>
      </c>
      <c r="C763" s="33" t="inlineStr">
        <is>
          <t>D2</t>
        </is>
      </c>
      <c r="D763" s="33" t="n">
        <v>4</v>
      </c>
      <c r="E763" s="68" t="inlineStr">
        <is>
          <t>UPDATED from 3 → 4 after per-name /refresh-context research. UEC Q1 FY26: Burke Hollow first US ISR mine in decade + UF6 production + $698M cash no debt + 57%/64% growth forecast (deep research 2026-05-18)</t>
        </is>
      </c>
      <c r="F763" s="68" t="inlineStr">
        <is>
          <t>UEC Q1 FY26: Burke Hollow first US ISR mine in decade + UF6 production + $698M cash no debt + 57%/64% growth forecast (deep research 2026-05-18)</t>
        </is>
      </c>
      <c r="G763" s="33" t="inlineStr">
        <is>
          <t>High</t>
        </is>
      </c>
      <c r="H763" s="33" t="inlineStr">
        <is>
          <t>Update</t>
        </is>
      </c>
    </row>
    <row r="764">
      <c r="A764" s="33" t="inlineStr">
        <is>
          <t>2026-05-18</t>
        </is>
      </c>
      <c r="B764" s="33" t="inlineStr">
        <is>
          <t>UEC</t>
        </is>
      </c>
      <c r="C764" s="33" t="inlineStr">
        <is>
          <t>D3</t>
        </is>
      </c>
      <c r="D764" s="33" t="n">
        <v>4</v>
      </c>
      <c r="E764" s="68" t="inlineStr">
        <is>
          <t>UPDATED from 3 → 4 after per-name /refresh-context research. UEC Q1 FY26: Burke Hollow first US ISR mine in decade + UF6 production + $698M cash no debt + 57%/64% growth forecast (deep research 2026-05-18)</t>
        </is>
      </c>
      <c r="F764" s="68" t="inlineStr">
        <is>
          <t>UEC Q1 FY26: Burke Hollow first US ISR mine in decade + UF6 production + $698M cash no debt + 57%/64% growth forecast (deep research 2026-05-18)</t>
        </is>
      </c>
      <c r="G764" s="33" t="inlineStr">
        <is>
          <t>High</t>
        </is>
      </c>
      <c r="H764" s="33" t="inlineStr">
        <is>
          <t>Update</t>
        </is>
      </c>
    </row>
    <row r="765">
      <c r="A765" s="33" t="inlineStr">
        <is>
          <t>2026-05-18</t>
        </is>
      </c>
      <c r="B765" s="33" t="inlineStr">
        <is>
          <t>UEC</t>
        </is>
      </c>
      <c r="C765" s="33" t="inlineStr">
        <is>
          <t>D4</t>
        </is>
      </c>
      <c r="D765" s="33" t="n">
        <v>4</v>
      </c>
      <c r="E765" s="68" t="inlineStr">
        <is>
          <t>UPDATED from 3 → 4 after per-name /refresh-context research. UEC Q1 FY26: Burke Hollow first US ISR mine in decade + UF6 production + $698M cash no debt + 57%/64% growth forecast (deep research 2026-05-18)</t>
        </is>
      </c>
      <c r="F765" s="68" t="inlineStr">
        <is>
          <t>UEC Q1 FY26: Burke Hollow first US ISR mine in decade + UF6 production + $698M cash no debt + 57%/64% growth forecast (deep research 2026-05-18)</t>
        </is>
      </c>
      <c r="G765" s="33" t="inlineStr">
        <is>
          <t>High</t>
        </is>
      </c>
      <c r="H765" s="33" t="inlineStr">
        <is>
          <t>Update</t>
        </is>
      </c>
    </row>
    <row r="766">
      <c r="A766" s="33" t="inlineStr">
        <is>
          <t>2026-05-18</t>
        </is>
      </c>
      <c r="B766" s="33" t="inlineStr">
        <is>
          <t>UEC</t>
        </is>
      </c>
      <c r="C766" s="33" t="inlineStr">
        <is>
          <t>D5</t>
        </is>
      </c>
      <c r="D766" s="33" t="n">
        <v>3</v>
      </c>
      <c r="E766" s="68" t="inlineStr">
        <is>
          <t>UPDATED from 2 → 3 after per-name /refresh-context research. UEC Q1 FY26: Burke Hollow first US ISR mine in decade + UF6 production + $698M cash no debt + 57%/64% growth forecast (deep research 2026-05-18)</t>
        </is>
      </c>
      <c r="F766" s="68" t="inlineStr">
        <is>
          <t>UEC Q1 FY26: Burke Hollow first US ISR mine in decade + UF6 production + $698M cash no debt + 57%/64% growth forecast (deep research 2026-05-18)</t>
        </is>
      </c>
      <c r="G766" s="33" t="inlineStr">
        <is>
          <t>High</t>
        </is>
      </c>
      <c r="H766" s="33" t="inlineStr">
        <is>
          <t>Update</t>
        </is>
      </c>
    </row>
    <row r="767">
      <c r="A767" s="33" t="inlineStr">
        <is>
          <t>2026-05-18</t>
        </is>
      </c>
      <c r="B767" s="33" t="inlineStr">
        <is>
          <t>UEC</t>
        </is>
      </c>
      <c r="C767" s="33" t="inlineStr">
        <is>
          <t>R1</t>
        </is>
      </c>
      <c r="D767" s="33" t="n">
        <v>4</v>
      </c>
      <c r="E767" s="68" t="inlineStr">
        <is>
          <t>UPDATED from 3 → 4 after per-name /refresh-context research. UEC Q1 FY26: Burke Hollow first US ISR mine in decade + UF6 production + $698M cash no debt + 57%/64% growth forecast (deep research 2026-05-18)</t>
        </is>
      </c>
      <c r="F767" s="68" t="inlineStr">
        <is>
          <t>UEC Q1 FY26: Burke Hollow first US ISR mine in decade + UF6 production + $698M cash no debt + 57%/64% growth forecast (deep research 2026-05-18)</t>
        </is>
      </c>
      <c r="G767" s="33" t="inlineStr">
        <is>
          <t>High</t>
        </is>
      </c>
      <c r="H767" s="33" t="inlineStr">
        <is>
          <t>Update</t>
        </is>
      </c>
    </row>
    <row r="768">
      <c r="A768" s="33" t="inlineStr">
        <is>
          <t>2026-05-18</t>
        </is>
      </c>
      <c r="B768" s="33" t="inlineStr">
        <is>
          <t>UEC</t>
        </is>
      </c>
      <c r="C768" s="33" t="inlineStr">
        <is>
          <t>R3</t>
        </is>
      </c>
      <c r="D768" s="33" t="n">
        <v>5</v>
      </c>
      <c r="E768" s="68" t="inlineStr">
        <is>
          <t>UPDATED from 4 → 5 after per-name /refresh-context research. UEC Q1 FY26: Burke Hollow first US ISR mine in decade + UF6 production + $698M cash no debt + 57%/64% growth forecast (deep research 2026-05-18)</t>
        </is>
      </c>
      <c r="F768" s="68" t="inlineStr">
        <is>
          <t>UEC Q1 FY26: Burke Hollow first US ISR mine in decade + UF6 production + $698M cash no debt + 57%/64% growth forecast (deep research 2026-05-18)</t>
        </is>
      </c>
      <c r="G768" s="33" t="inlineStr">
        <is>
          <t>High</t>
        </is>
      </c>
      <c r="H768" s="33" t="inlineStr">
        <is>
          <t>Update</t>
        </is>
      </c>
    </row>
    <row r="769">
      <c r="A769" s="33" t="inlineStr">
        <is>
          <t>2026-05-18</t>
        </is>
      </c>
      <c r="B769" s="33" t="inlineStr">
        <is>
          <t>LEU</t>
        </is>
      </c>
      <c r="C769" s="33" t="inlineStr">
        <is>
          <t>D1</t>
        </is>
      </c>
      <c r="D769" s="33" t="n">
        <v>4</v>
      </c>
      <c r="E769" s="68" t="inlineStr">
        <is>
          <t>UPDATED from 3 → 4 after per-name /refresh-context research. Centrus Q1 FY26: DOE $900M task order + $2.3B LEU backlog + only public American HALEU + Meta Natrium + NuScale TVA 6 GW (deep research 2026-05-18)</t>
        </is>
      </c>
      <c r="F769" s="68" t="inlineStr">
        <is>
          <t>Centrus Q1 FY26: DOE $900M task order + $2.3B LEU backlog + only public American HALEU + Meta Natrium + NuScale TVA 6 GW (deep research 2026-05-18)</t>
        </is>
      </c>
      <c r="G769" s="33" t="inlineStr">
        <is>
          <t>High</t>
        </is>
      </c>
      <c r="H769" s="33" t="inlineStr">
        <is>
          <t>Update</t>
        </is>
      </c>
    </row>
    <row r="770">
      <c r="A770" s="33" t="inlineStr">
        <is>
          <t>2026-05-18</t>
        </is>
      </c>
      <c r="B770" s="33" t="inlineStr">
        <is>
          <t>LEU</t>
        </is>
      </c>
      <c r="C770" s="33" t="inlineStr">
        <is>
          <t>D4</t>
        </is>
      </c>
      <c r="D770" s="33" t="n">
        <v>5</v>
      </c>
      <c r="E770" s="68" t="inlineStr">
        <is>
          <t>UPDATED from 4 → 5 after per-name /refresh-context research. Centrus Q1 FY26: DOE $900M task order + $2.3B LEU backlog + only public American HALEU + Meta Natrium + NuScale TVA 6 GW (deep research 2026-05-18)</t>
        </is>
      </c>
      <c r="F770" s="68" t="inlineStr">
        <is>
          <t>Centrus Q1 FY26: DOE $900M task order + $2.3B LEU backlog + only public American HALEU + Meta Natrium + NuScale TVA 6 GW (deep research 2026-05-18)</t>
        </is>
      </c>
      <c r="G770" s="33" t="inlineStr">
        <is>
          <t>High</t>
        </is>
      </c>
      <c r="H770" s="33" t="inlineStr">
        <is>
          <t>Update</t>
        </is>
      </c>
    </row>
    <row r="771">
      <c r="A771" s="33" t="inlineStr">
        <is>
          <t>2026-05-18</t>
        </is>
      </c>
      <c r="B771" s="33" t="inlineStr">
        <is>
          <t>LEU</t>
        </is>
      </c>
      <c r="C771" s="33" t="inlineStr">
        <is>
          <t>D5</t>
        </is>
      </c>
      <c r="D771" s="33" t="n">
        <v>4</v>
      </c>
      <c r="E771" s="68" t="inlineStr">
        <is>
          <t>UPDATED from 3 → 4 after per-name /refresh-context research. Centrus Q1 FY26: DOE $900M task order + $2.3B LEU backlog + only public American HALEU + Meta Natrium + NuScale TVA 6 GW (deep research 2026-05-18)</t>
        </is>
      </c>
      <c r="F771" s="68" t="inlineStr">
        <is>
          <t>Centrus Q1 FY26: DOE $900M task order + $2.3B LEU backlog + only public American HALEU + Meta Natrium + NuScale TVA 6 GW (deep research 2026-05-18)</t>
        </is>
      </c>
      <c r="G771" s="33" t="inlineStr">
        <is>
          <t>High</t>
        </is>
      </c>
      <c r="H771" s="33" t="inlineStr">
        <is>
          <t>Update</t>
        </is>
      </c>
    </row>
    <row r="772">
      <c r="A772" s="33" t="inlineStr">
        <is>
          <t>2026-05-18</t>
        </is>
      </c>
      <c r="B772" s="33" t="inlineStr">
        <is>
          <t>LEU</t>
        </is>
      </c>
      <c r="C772" s="33" t="inlineStr">
        <is>
          <t>R1</t>
        </is>
      </c>
      <c r="D772" s="33" t="n">
        <v>4</v>
      </c>
      <c r="E772" s="68" t="inlineStr">
        <is>
          <t>UPDATED from 3 → 4 after per-name /refresh-context research. Centrus Q1 FY26: DOE $900M task order + $2.3B LEU backlog + only public American HALEU + Meta Natrium + NuScale TVA 6 GW (deep research 2026-05-18)</t>
        </is>
      </c>
      <c r="F772" s="68" t="inlineStr">
        <is>
          <t>Centrus Q1 FY26: DOE $900M task order + $2.3B LEU backlog + only public American HALEU + Meta Natrium + NuScale TVA 6 GW (deep research 2026-05-18)</t>
        </is>
      </c>
      <c r="G772" s="33" t="inlineStr">
        <is>
          <t>High</t>
        </is>
      </c>
      <c r="H772" s="33" t="inlineStr">
        <is>
          <t>Update</t>
        </is>
      </c>
    </row>
    <row r="773">
      <c r="A773" s="33" t="inlineStr">
        <is>
          <t>2026-05-18</t>
        </is>
      </c>
      <c r="B773" s="33" t="inlineStr">
        <is>
          <t>LEU</t>
        </is>
      </c>
      <c r="C773" s="33" t="inlineStr">
        <is>
          <t>R3</t>
        </is>
      </c>
      <c r="D773" s="33" t="n">
        <v>4</v>
      </c>
      <c r="E773" s="68" t="inlineStr">
        <is>
          <t>UPDATED from 3 → 4 after per-name /refresh-context research. Centrus Q1 FY26: DOE $900M task order + $2.3B LEU backlog + only public American HALEU + Meta Natrium + NuScale TVA 6 GW (deep research 2026-05-18)</t>
        </is>
      </c>
      <c r="F773" s="68" t="inlineStr">
        <is>
          <t>Centrus Q1 FY26: DOE $900M task order + $2.3B LEU backlog + only public American HALEU + Meta Natrium + NuScale TVA 6 GW (deep research 2026-05-18)</t>
        </is>
      </c>
      <c r="G773" s="33" t="inlineStr">
        <is>
          <t>High</t>
        </is>
      </c>
      <c r="H773" s="33" t="inlineStr">
        <is>
          <t>Update</t>
        </is>
      </c>
    </row>
    <row r="774">
      <c r="A774" s="33" t="inlineStr">
        <is>
          <t>2026-05-18</t>
        </is>
      </c>
      <c r="B774" s="33" t="inlineStr">
        <is>
          <t>BWXT</t>
        </is>
      </c>
      <c r="C774" s="33" t="inlineStr">
        <is>
          <t>D1</t>
        </is>
      </c>
      <c r="D774" s="33" t="n">
        <v>3</v>
      </c>
      <c r="E774" s="68" t="inlineStr">
        <is>
          <t>UPDATED from 2 → 3 after per-name /refresh-context research. BWXT Q1 2026: $7.3B backlog +50% YoY + US-Japan $40B SMR + only large reactor mfg in NA + BANR 75 MW for AI DCs (deep research 2026-05-18)</t>
        </is>
      </c>
      <c r="F774" s="68" t="inlineStr">
        <is>
          <t>BWXT Q1 2026: $7.3B backlog +50% YoY + US-Japan $40B SMR + only large reactor mfg in NA + BANR 75 MW for AI DCs (deep research 2026-05-18)</t>
        </is>
      </c>
      <c r="G774" s="33" t="inlineStr">
        <is>
          <t>High</t>
        </is>
      </c>
      <c r="H774" s="33" t="inlineStr">
        <is>
          <t>Update</t>
        </is>
      </c>
    </row>
    <row r="775">
      <c r="A775" s="33" t="inlineStr">
        <is>
          <t>2026-05-18</t>
        </is>
      </c>
      <c r="B775" s="33" t="inlineStr">
        <is>
          <t>BWXT</t>
        </is>
      </c>
      <c r="C775" s="33" t="inlineStr">
        <is>
          <t>D2</t>
        </is>
      </c>
      <c r="D775" s="33" t="n">
        <v>5</v>
      </c>
      <c r="E775" s="68" t="inlineStr">
        <is>
          <t>UPDATED from 4 → 5 after per-name /refresh-context research. BWXT Q1 2026: $7.3B backlog +50% YoY + US-Japan $40B SMR + only large reactor mfg in NA + BANR 75 MW for AI DCs (deep research 2026-05-18)</t>
        </is>
      </c>
      <c r="F775" s="68" t="inlineStr">
        <is>
          <t>BWXT Q1 2026: $7.3B backlog +50% YoY + US-Japan $40B SMR + only large reactor mfg in NA + BANR 75 MW for AI DCs (deep research 2026-05-18)</t>
        </is>
      </c>
      <c r="G775" s="33" t="inlineStr">
        <is>
          <t>High</t>
        </is>
      </c>
      <c r="H775" s="33" t="inlineStr">
        <is>
          <t>Update</t>
        </is>
      </c>
    </row>
    <row r="776">
      <c r="A776" s="33" t="inlineStr">
        <is>
          <t>2026-05-18</t>
        </is>
      </c>
      <c r="B776" s="33" t="inlineStr">
        <is>
          <t>BWXT</t>
        </is>
      </c>
      <c r="C776" s="33" t="inlineStr">
        <is>
          <t>D3</t>
        </is>
      </c>
      <c r="D776" s="33" t="n">
        <v>5</v>
      </c>
      <c r="E776" s="68" t="inlineStr">
        <is>
          <t>UPDATED from 4 → 5 after per-name /refresh-context research. BWXT Q1 2026: $7.3B backlog +50% YoY + US-Japan $40B SMR + only large reactor mfg in NA + BANR 75 MW for AI DCs (deep research 2026-05-18)</t>
        </is>
      </c>
      <c r="F776" s="68" t="inlineStr">
        <is>
          <t>BWXT Q1 2026: $7.3B backlog +50% YoY + US-Japan $40B SMR + only large reactor mfg in NA + BANR 75 MW for AI DCs (deep research 2026-05-18)</t>
        </is>
      </c>
      <c r="G776" s="33" t="inlineStr">
        <is>
          <t>High</t>
        </is>
      </c>
      <c r="H776" s="33" t="inlineStr">
        <is>
          <t>Update</t>
        </is>
      </c>
    </row>
    <row r="777">
      <c r="A777" s="33" t="inlineStr">
        <is>
          <t>2026-05-18</t>
        </is>
      </c>
      <c r="B777" s="33" t="inlineStr">
        <is>
          <t>BWXT</t>
        </is>
      </c>
      <c r="C777" s="33" t="inlineStr">
        <is>
          <t>D4</t>
        </is>
      </c>
      <c r="D777" s="33" t="n">
        <v>5</v>
      </c>
      <c r="E777" s="68" t="inlineStr">
        <is>
          <t>UPDATED from 4 → 5 after per-name /refresh-context research. BWXT Q1 2026: $7.3B backlog +50% YoY + US-Japan $40B SMR + only large reactor mfg in NA + BANR 75 MW for AI DCs (deep research 2026-05-18)</t>
        </is>
      </c>
      <c r="F777" s="68" t="inlineStr">
        <is>
          <t>BWXT Q1 2026: $7.3B backlog +50% YoY + US-Japan $40B SMR + only large reactor mfg in NA + BANR 75 MW for AI DCs (deep research 2026-05-18)</t>
        </is>
      </c>
      <c r="G777" s="33" t="inlineStr">
        <is>
          <t>High</t>
        </is>
      </c>
      <c r="H777" s="33" t="inlineStr">
        <is>
          <t>Update</t>
        </is>
      </c>
    </row>
    <row r="778">
      <c r="A778" s="33" t="inlineStr">
        <is>
          <t>2026-05-18</t>
        </is>
      </c>
      <c r="B778" s="33" t="inlineStr">
        <is>
          <t>BWXT</t>
        </is>
      </c>
      <c r="C778" s="33" t="inlineStr">
        <is>
          <t>D5</t>
        </is>
      </c>
      <c r="D778" s="33" t="n">
        <v>4</v>
      </c>
      <c r="E778" s="68" t="inlineStr">
        <is>
          <t>UPDATED from 2 → 4 after per-name /refresh-context research. BWXT Q1 2026: $7.3B backlog +50% YoY + US-Japan $40B SMR + only large reactor mfg in NA + BANR 75 MW for AI DCs (deep research 2026-05-18)</t>
        </is>
      </c>
      <c r="F778" s="68" t="inlineStr">
        <is>
          <t>BWXT Q1 2026: $7.3B backlog +50% YoY + US-Japan $40B SMR + only large reactor mfg in NA + BANR 75 MW for AI DCs (deep research 2026-05-18)</t>
        </is>
      </c>
      <c r="G778" s="33" t="inlineStr">
        <is>
          <t>High</t>
        </is>
      </c>
      <c r="H778" s="33" t="inlineStr">
        <is>
          <t>Update</t>
        </is>
      </c>
    </row>
    <row r="779">
      <c r="A779" s="33" t="inlineStr">
        <is>
          <t>2026-05-18</t>
        </is>
      </c>
      <c r="B779" s="33" t="inlineStr">
        <is>
          <t>SMR</t>
        </is>
      </c>
      <c r="C779" s="33" t="inlineStr">
        <is>
          <t>D1</t>
        </is>
      </c>
      <c r="D779" s="33" t="n">
        <v>4</v>
      </c>
      <c r="E779" s="68" t="inlineStr">
        <is>
          <t>UPDATED from 3 → 4 after per-name /refresh-context research. NuScale Q1 2026: TVA 6 GW + Romania RoPower + Standard Power 24 modules / 1,848 MWe for Ohio+PA AI DCs (deep research 2026-05-18)</t>
        </is>
      </c>
      <c r="F779" s="68" t="inlineStr">
        <is>
          <t>NuScale Q1 2026: TVA 6 GW + Romania RoPower + Standard Power 24 modules / 1,848 MWe for Ohio+PA AI DCs (deep research 2026-05-18)</t>
        </is>
      </c>
      <c r="G779" s="33" t="inlineStr">
        <is>
          <t>High</t>
        </is>
      </c>
      <c r="H779" s="33" t="inlineStr">
        <is>
          <t>Update</t>
        </is>
      </c>
    </row>
    <row r="780">
      <c r="A780" s="33" t="inlineStr">
        <is>
          <t>2026-05-18</t>
        </is>
      </c>
      <c r="B780" s="33" t="inlineStr">
        <is>
          <t>SMR</t>
        </is>
      </c>
      <c r="C780" s="33" t="inlineStr">
        <is>
          <t>D2</t>
        </is>
      </c>
      <c r="D780" s="33" t="n">
        <v>3</v>
      </c>
      <c r="E780" s="68" t="inlineStr">
        <is>
          <t>UPDATED from 2 → 3 after per-name /refresh-context research. NuScale Q1 2026: TVA 6 GW + Romania RoPower + Standard Power 24 modules / 1,848 MWe for Ohio+PA AI DCs (deep research 2026-05-18)</t>
        </is>
      </c>
      <c r="F780" s="68" t="inlineStr">
        <is>
          <t>NuScale Q1 2026: TVA 6 GW + Romania RoPower + Standard Power 24 modules / 1,848 MWe for Ohio+PA AI DCs (deep research 2026-05-18)</t>
        </is>
      </c>
      <c r="G780" s="33" t="inlineStr">
        <is>
          <t>High</t>
        </is>
      </c>
      <c r="H780" s="33" t="inlineStr">
        <is>
          <t>Update</t>
        </is>
      </c>
    </row>
    <row r="781">
      <c r="A781" s="33" t="inlineStr">
        <is>
          <t>2026-05-18</t>
        </is>
      </c>
      <c r="B781" s="33" t="inlineStr">
        <is>
          <t>SMR</t>
        </is>
      </c>
      <c r="C781" s="33" t="inlineStr">
        <is>
          <t>D3</t>
        </is>
      </c>
      <c r="D781" s="33" t="n">
        <v>3</v>
      </c>
      <c r="E781" s="68" t="inlineStr">
        <is>
          <t>UPDATED from 2 → 3 after per-name /refresh-context research. NuScale Q1 2026: TVA 6 GW + Romania RoPower + Standard Power 24 modules / 1,848 MWe for Ohio+PA AI DCs (deep research 2026-05-18)</t>
        </is>
      </c>
      <c r="F781" s="68" t="inlineStr">
        <is>
          <t>NuScale Q1 2026: TVA 6 GW + Romania RoPower + Standard Power 24 modules / 1,848 MWe for Ohio+PA AI DCs (deep research 2026-05-18)</t>
        </is>
      </c>
      <c r="G781" s="33" t="inlineStr">
        <is>
          <t>High</t>
        </is>
      </c>
      <c r="H781" s="33" t="inlineStr">
        <is>
          <t>Update</t>
        </is>
      </c>
    </row>
    <row r="782">
      <c r="A782" s="33" t="inlineStr">
        <is>
          <t>2026-05-18</t>
        </is>
      </c>
      <c r="B782" s="33" t="inlineStr">
        <is>
          <t>SMR</t>
        </is>
      </c>
      <c r="C782" s="33" t="inlineStr">
        <is>
          <t>D4</t>
        </is>
      </c>
      <c r="D782" s="33" t="n">
        <v>4</v>
      </c>
      <c r="E782" s="68" t="inlineStr">
        <is>
          <t>UPDATED from 3 → 4 after per-name /refresh-context research. NuScale Q1 2026: TVA 6 GW + Romania RoPower + Standard Power 24 modules / 1,848 MWe for Ohio+PA AI DCs (deep research 2026-05-18)</t>
        </is>
      </c>
      <c r="F782" s="68" t="inlineStr">
        <is>
          <t>NuScale Q1 2026: TVA 6 GW + Romania RoPower + Standard Power 24 modules / 1,848 MWe for Ohio+PA AI DCs (deep research 2026-05-18)</t>
        </is>
      </c>
      <c r="G782" s="33" t="inlineStr">
        <is>
          <t>High</t>
        </is>
      </c>
      <c r="H782" s="33" t="inlineStr">
        <is>
          <t>Update</t>
        </is>
      </c>
    </row>
    <row r="783">
      <c r="A783" s="33" t="inlineStr">
        <is>
          <t>2026-05-18</t>
        </is>
      </c>
      <c r="B783" s="33" t="inlineStr">
        <is>
          <t>SMR</t>
        </is>
      </c>
      <c r="C783" s="33" t="inlineStr">
        <is>
          <t>D5</t>
        </is>
      </c>
      <c r="D783" s="33" t="n">
        <v>4</v>
      </c>
      <c r="E783" s="68" t="inlineStr">
        <is>
          <t>UPDATED from 3 → 4 after per-name /refresh-context research. NuScale Q1 2026: TVA 6 GW + Romania RoPower + Standard Power 24 modules / 1,848 MWe for Ohio+PA AI DCs (deep research 2026-05-18)</t>
        </is>
      </c>
      <c r="F783" s="68" t="inlineStr">
        <is>
          <t>NuScale Q1 2026: TVA 6 GW + Romania RoPower + Standard Power 24 modules / 1,848 MWe for Ohio+PA AI DCs (deep research 2026-05-18)</t>
        </is>
      </c>
      <c r="G783" s="33" t="inlineStr">
        <is>
          <t>High</t>
        </is>
      </c>
      <c r="H783" s="33" t="inlineStr">
        <is>
          <t>Update</t>
        </is>
      </c>
    </row>
    <row r="784">
      <c r="A784" s="33" t="inlineStr">
        <is>
          <t>2026-05-18</t>
        </is>
      </c>
      <c r="B784" s="33" t="inlineStr">
        <is>
          <t>OKLO</t>
        </is>
      </c>
      <c r="C784" s="33" t="inlineStr">
        <is>
          <t>D1</t>
        </is>
      </c>
      <c r="D784" s="33" t="n">
        <v>5</v>
      </c>
      <c r="E784" s="68" t="inlineStr">
        <is>
          <t>UPDATED from 3 → 5 after per-name /refresh-context research. Oklo: Switch 12 GW agreement + 14 GW pipeline + 75 MW Aurora design + Idaho INL 2027 (deep research 2026-05-18)</t>
        </is>
      </c>
      <c r="F784" s="68" t="inlineStr">
        <is>
          <t>Oklo: Switch 12 GW agreement + 14 GW pipeline + 75 MW Aurora design + Idaho INL 2027 (deep research 2026-05-18)</t>
        </is>
      </c>
      <c r="G784" s="33" t="inlineStr">
        <is>
          <t>High</t>
        </is>
      </c>
      <c r="H784" s="33" t="inlineStr">
        <is>
          <t>Update</t>
        </is>
      </c>
    </row>
    <row r="785">
      <c r="A785" s="33" t="inlineStr">
        <is>
          <t>2026-05-18</t>
        </is>
      </c>
      <c r="B785" s="33" t="inlineStr">
        <is>
          <t>OKLO</t>
        </is>
      </c>
      <c r="C785" s="33" t="inlineStr">
        <is>
          <t>D2</t>
        </is>
      </c>
      <c r="D785" s="33" t="n">
        <v>3</v>
      </c>
      <c r="E785" s="68" t="inlineStr">
        <is>
          <t>UPDATED from 2 → 3 after per-name /refresh-context research. Oklo: Switch 12 GW agreement + 14 GW pipeline + 75 MW Aurora design + Idaho INL 2027 (deep research 2026-05-18)</t>
        </is>
      </c>
      <c r="F785" s="68" t="inlineStr">
        <is>
          <t>Oklo: Switch 12 GW agreement + 14 GW pipeline + 75 MW Aurora design + Idaho INL 2027 (deep research 2026-05-18)</t>
        </is>
      </c>
      <c r="G785" s="33" t="inlineStr">
        <is>
          <t>High</t>
        </is>
      </c>
      <c r="H785" s="33" t="inlineStr">
        <is>
          <t>Update</t>
        </is>
      </c>
    </row>
    <row r="786">
      <c r="A786" s="33" t="inlineStr">
        <is>
          <t>2026-05-18</t>
        </is>
      </c>
      <c r="B786" s="33" t="inlineStr">
        <is>
          <t>OKLO</t>
        </is>
      </c>
      <c r="C786" s="33" t="inlineStr">
        <is>
          <t>D3</t>
        </is>
      </c>
      <c r="D786" s="33" t="n">
        <v>3</v>
      </c>
      <c r="E786" s="68" t="inlineStr">
        <is>
          <t>UPDATED from 2 → 3 after per-name /refresh-context research. Oklo: Switch 12 GW agreement + 14 GW pipeline + 75 MW Aurora design + Idaho INL 2027 (deep research 2026-05-18)</t>
        </is>
      </c>
      <c r="F786" s="68" t="inlineStr">
        <is>
          <t>Oklo: Switch 12 GW agreement + 14 GW pipeline + 75 MW Aurora design + Idaho INL 2027 (deep research 2026-05-18)</t>
        </is>
      </c>
      <c r="G786" s="33" t="inlineStr">
        <is>
          <t>High</t>
        </is>
      </c>
      <c r="H786" s="33" t="inlineStr">
        <is>
          <t>Update</t>
        </is>
      </c>
    </row>
    <row r="787">
      <c r="A787" s="33" t="inlineStr">
        <is>
          <t>2026-05-18</t>
        </is>
      </c>
      <c r="B787" s="33" t="inlineStr">
        <is>
          <t>OKLO</t>
        </is>
      </c>
      <c r="C787" s="33" t="inlineStr">
        <is>
          <t>D4</t>
        </is>
      </c>
      <c r="D787" s="33" t="n">
        <v>5</v>
      </c>
      <c r="E787" s="68" t="inlineStr">
        <is>
          <t>UPDATED from 3 → 5 after per-name /refresh-context research. Oklo: Switch 12 GW agreement + 14 GW pipeline + 75 MW Aurora design + Idaho INL 2027 (deep research 2026-05-18)</t>
        </is>
      </c>
      <c r="F787" s="68" t="inlineStr">
        <is>
          <t>Oklo: Switch 12 GW agreement + 14 GW pipeline + 75 MW Aurora design + Idaho INL 2027 (deep research 2026-05-18)</t>
        </is>
      </c>
      <c r="G787" s="33" t="inlineStr">
        <is>
          <t>High</t>
        </is>
      </c>
      <c r="H787" s="33" t="inlineStr">
        <is>
          <t>Update</t>
        </is>
      </c>
    </row>
    <row r="788">
      <c r="A788" s="33" t="inlineStr">
        <is>
          <t>2026-05-18</t>
        </is>
      </c>
      <c r="B788" s="33" t="inlineStr">
        <is>
          <t>OKLO</t>
        </is>
      </c>
      <c r="C788" s="33" t="inlineStr">
        <is>
          <t>D5</t>
        </is>
      </c>
      <c r="D788" s="33" t="n">
        <v>5</v>
      </c>
      <c r="E788" s="68" t="inlineStr">
        <is>
          <t>UPDATED from 4 → 5 after per-name /refresh-context research. Oklo: Switch 12 GW agreement + 14 GW pipeline + 75 MW Aurora design + Idaho INL 2027 (deep research 2026-05-18)</t>
        </is>
      </c>
      <c r="F788" s="68" t="inlineStr">
        <is>
          <t>Oklo: Switch 12 GW agreement + 14 GW pipeline + 75 MW Aurora design + Idaho INL 2027 (deep research 2026-05-18)</t>
        </is>
      </c>
      <c r="G788" s="33" t="inlineStr">
        <is>
          <t>High</t>
        </is>
      </c>
      <c r="H788" s="33" t="inlineStr">
        <is>
          <t>Update</t>
        </is>
      </c>
    </row>
    <row r="789">
      <c r="A789" s="33" t="inlineStr">
        <is>
          <t>2026-05-18</t>
        </is>
      </c>
      <c r="B789" s="33" t="inlineStr">
        <is>
          <t>NNE</t>
        </is>
      </c>
      <c r="C789" s="33" t="inlineStr">
        <is>
          <t>D1</t>
        </is>
      </c>
      <c r="D789" s="33" t="n">
        <v>4</v>
      </c>
      <c r="E789" s="68" t="inlineStr">
        <is>
          <t>UPDATED from 3 → 4 after per-name /refresh-context research. NANO Nuclear: Supermicro MOU May 2026 for on-site AI DC microreactor power + KRONOS 15 MW (deep research 2026-05-18)</t>
        </is>
      </c>
      <c r="F789" s="68" t="inlineStr">
        <is>
          <t>NANO Nuclear: Supermicro MOU May 2026 for on-site AI DC microreactor power + KRONOS 15 MW (deep research 2026-05-18)</t>
        </is>
      </c>
      <c r="G789" s="33" t="inlineStr">
        <is>
          <t>High</t>
        </is>
      </c>
      <c r="H789" s="33" t="inlineStr">
        <is>
          <t>Update</t>
        </is>
      </c>
    </row>
    <row r="790">
      <c r="A790" s="33" t="inlineStr">
        <is>
          <t>2026-05-18</t>
        </is>
      </c>
      <c r="B790" s="33" t="inlineStr">
        <is>
          <t>NNE</t>
        </is>
      </c>
      <c r="C790" s="33" t="inlineStr">
        <is>
          <t>D2</t>
        </is>
      </c>
      <c r="D790" s="33" t="n">
        <v>3</v>
      </c>
      <c r="E790" s="68" t="inlineStr">
        <is>
          <t>UPDATED from 2 → 3 after per-name /refresh-context research. NANO Nuclear: Supermicro MOU May 2026 for on-site AI DC microreactor power + KRONOS 15 MW (deep research 2026-05-18)</t>
        </is>
      </c>
      <c r="F790" s="68" t="inlineStr">
        <is>
          <t>NANO Nuclear: Supermicro MOU May 2026 for on-site AI DC microreactor power + KRONOS 15 MW (deep research 2026-05-18)</t>
        </is>
      </c>
      <c r="G790" s="33" t="inlineStr">
        <is>
          <t>High</t>
        </is>
      </c>
      <c r="H790" s="33" t="inlineStr">
        <is>
          <t>Update</t>
        </is>
      </c>
    </row>
    <row r="791">
      <c r="A791" s="33" t="inlineStr">
        <is>
          <t>2026-05-18</t>
        </is>
      </c>
      <c r="B791" s="33" t="inlineStr">
        <is>
          <t>NNE</t>
        </is>
      </c>
      <c r="C791" s="33" t="inlineStr">
        <is>
          <t>D3</t>
        </is>
      </c>
      <c r="D791" s="33" t="n">
        <v>3</v>
      </c>
      <c r="E791" s="68" t="inlineStr">
        <is>
          <t>UPDATED from 2 → 3 after per-name /refresh-context research. NANO Nuclear: Supermicro MOU May 2026 for on-site AI DC microreactor power + KRONOS 15 MW (deep research 2026-05-18)</t>
        </is>
      </c>
      <c r="F791" s="68" t="inlineStr">
        <is>
          <t>NANO Nuclear: Supermicro MOU May 2026 for on-site AI DC microreactor power + KRONOS 15 MW (deep research 2026-05-18)</t>
        </is>
      </c>
      <c r="G791" s="33" t="inlineStr">
        <is>
          <t>High</t>
        </is>
      </c>
      <c r="H791" s="33" t="inlineStr">
        <is>
          <t>Update</t>
        </is>
      </c>
    </row>
    <row r="792">
      <c r="A792" s="33" t="inlineStr">
        <is>
          <t>2026-05-18</t>
        </is>
      </c>
      <c r="B792" s="33" t="inlineStr">
        <is>
          <t>NNE</t>
        </is>
      </c>
      <c r="C792" s="33" t="inlineStr">
        <is>
          <t>D4</t>
        </is>
      </c>
      <c r="D792" s="33" t="n">
        <v>4</v>
      </c>
      <c r="E792" s="68" t="inlineStr">
        <is>
          <t>UPDATED from 3 → 4 after per-name /refresh-context research. NANO Nuclear: Supermicro MOU May 2026 for on-site AI DC microreactor power + KRONOS 15 MW (deep research 2026-05-18)</t>
        </is>
      </c>
      <c r="F792" s="68" t="inlineStr">
        <is>
          <t>NANO Nuclear: Supermicro MOU May 2026 for on-site AI DC microreactor power + KRONOS 15 MW (deep research 2026-05-18)</t>
        </is>
      </c>
      <c r="G792" s="33" t="inlineStr">
        <is>
          <t>High</t>
        </is>
      </c>
      <c r="H792" s="33" t="inlineStr">
        <is>
          <t>Update</t>
        </is>
      </c>
    </row>
    <row r="793">
      <c r="A793" s="33" t="inlineStr">
        <is>
          <t>2026-05-18</t>
        </is>
      </c>
      <c r="B793" s="33" t="inlineStr">
        <is>
          <t>NNE</t>
        </is>
      </c>
      <c r="C793" s="33" t="inlineStr">
        <is>
          <t>D5</t>
        </is>
      </c>
      <c r="D793" s="33" t="n">
        <v>4</v>
      </c>
      <c r="E793" s="68" t="inlineStr">
        <is>
          <t>UPDATED from 3 → 4 after per-name /refresh-context research. NANO Nuclear: Supermicro MOU May 2026 for on-site AI DC microreactor power + KRONOS 15 MW (deep research 2026-05-18)</t>
        </is>
      </c>
      <c r="F793" s="68" t="inlineStr">
        <is>
          <t>NANO Nuclear: Supermicro MOU May 2026 for on-site AI DC microreactor power + KRONOS 15 MW (deep research 2026-05-18)</t>
        </is>
      </c>
      <c r="G793" s="33" t="inlineStr">
        <is>
          <t>High</t>
        </is>
      </c>
      <c r="H793" s="33" t="inlineStr">
        <is>
          <t>Update</t>
        </is>
      </c>
    </row>
    <row r="794">
      <c r="A794" s="33" t="inlineStr">
        <is>
          <t>2026-05-18</t>
        </is>
      </c>
      <c r="B794" s="33" t="inlineStr">
        <is>
          <t>EQT</t>
        </is>
      </c>
      <c r="C794" s="33" t="inlineStr">
        <is>
          <t>D1</t>
        </is>
      </c>
      <c r="D794" s="33" t="n">
        <v>5</v>
      </c>
      <c r="E794" s="68" t="inlineStr">
        <is>
          <t>UPDATED from 3 → 5 after per-name /refresh-context research. EQT: Homer City 4.4 GW exclusive partner + Shippingport 2.7 GW + IEA leading integrated supplier for AI gas power (deep research 2026-05-18)</t>
        </is>
      </c>
      <c r="F794" s="68" t="inlineStr">
        <is>
          <t>EQT: Homer City 4.4 GW exclusive partner + Shippingport 2.7 GW + IEA leading integrated supplier for AI gas power (deep research 2026-05-18)</t>
        </is>
      </c>
      <c r="G794" s="33" t="inlineStr">
        <is>
          <t>High</t>
        </is>
      </c>
      <c r="H794" s="33" t="inlineStr">
        <is>
          <t>Update</t>
        </is>
      </c>
    </row>
    <row r="795">
      <c r="A795" s="33" t="inlineStr">
        <is>
          <t>2026-05-18</t>
        </is>
      </c>
      <c r="B795" s="33" t="inlineStr">
        <is>
          <t>EQT</t>
        </is>
      </c>
      <c r="C795" s="33" t="inlineStr">
        <is>
          <t>D2</t>
        </is>
      </c>
      <c r="D795" s="33" t="n">
        <v>5</v>
      </c>
      <c r="E795" s="68" t="inlineStr">
        <is>
          <t>UPDATED from 4 → 5 after per-name /refresh-context research. EQT: Homer City 4.4 GW exclusive partner + Shippingport 2.7 GW + IEA leading integrated supplier for AI gas power (deep research 2026-05-18)</t>
        </is>
      </c>
      <c r="F795" s="68" t="inlineStr">
        <is>
          <t>EQT: Homer City 4.4 GW exclusive partner + Shippingport 2.7 GW + IEA leading integrated supplier for AI gas power (deep research 2026-05-18)</t>
        </is>
      </c>
      <c r="G795" s="33" t="inlineStr">
        <is>
          <t>High</t>
        </is>
      </c>
      <c r="H795" s="33" t="inlineStr">
        <is>
          <t>Update</t>
        </is>
      </c>
    </row>
    <row r="796">
      <c r="A796" s="33" t="inlineStr">
        <is>
          <t>2026-05-18</t>
        </is>
      </c>
      <c r="B796" s="33" t="inlineStr">
        <is>
          <t>EQT</t>
        </is>
      </c>
      <c r="C796" s="33" t="inlineStr">
        <is>
          <t>D4</t>
        </is>
      </c>
      <c r="D796" s="33" t="n">
        <v>5</v>
      </c>
      <c r="E796" s="68" t="inlineStr">
        <is>
          <t>UPDATED from 4 → 5 after per-name /refresh-context research. EQT: Homer City 4.4 GW exclusive partner + Shippingport 2.7 GW + IEA leading integrated supplier for AI gas power (deep research 2026-05-18)</t>
        </is>
      </c>
      <c r="F796" s="68" t="inlineStr">
        <is>
          <t>EQT: Homer City 4.4 GW exclusive partner + Shippingport 2.7 GW + IEA leading integrated supplier for AI gas power (deep research 2026-05-18)</t>
        </is>
      </c>
      <c r="G796" s="33" t="inlineStr">
        <is>
          <t>High</t>
        </is>
      </c>
      <c r="H796" s="33" t="inlineStr">
        <is>
          <t>Update</t>
        </is>
      </c>
    </row>
    <row r="797">
      <c r="A797" s="33" t="inlineStr">
        <is>
          <t>2026-05-18</t>
        </is>
      </c>
      <c r="B797" s="33" t="inlineStr">
        <is>
          <t>EQT</t>
        </is>
      </c>
      <c r="C797" s="33" t="inlineStr">
        <is>
          <t>D5</t>
        </is>
      </c>
      <c r="D797" s="33" t="n">
        <v>5</v>
      </c>
      <c r="E797" s="68" t="inlineStr">
        <is>
          <t>UPDATED from 3 → 5 after per-name /refresh-context research. EQT: Homer City 4.4 GW exclusive partner + Shippingport 2.7 GW + IEA leading integrated supplier for AI gas power (deep research 2026-05-18)</t>
        </is>
      </c>
      <c r="F797" s="68" t="inlineStr">
        <is>
          <t>EQT: Homer City 4.4 GW exclusive partner + Shippingport 2.7 GW + IEA leading integrated supplier for AI gas power (deep research 2026-05-18)</t>
        </is>
      </c>
      <c r="G797" s="33" t="inlineStr">
        <is>
          <t>High</t>
        </is>
      </c>
      <c r="H797" s="33" t="inlineStr">
        <is>
          <t>Update</t>
        </is>
      </c>
    </row>
    <row r="798">
      <c r="A798" s="33" t="inlineStr">
        <is>
          <t>2026-05-18</t>
        </is>
      </c>
      <c r="B798" s="33" t="inlineStr">
        <is>
          <t>RRC</t>
        </is>
      </c>
      <c r="C798" s="33" t="inlineStr">
        <is>
          <t>D1</t>
        </is>
      </c>
      <c r="D798" s="33" t="n">
        <v>4</v>
      </c>
      <c r="E798" s="68" t="inlineStr">
        <is>
          <t>UPDATED from 3 → 4 after per-name /refresh-context research. Range Q1 2026: targeting 4-5 Bcf/d Appalachia AI demand + most remaining gas inventory in Lower 48 + Liberty/Imperial PA alliance (deep research 2026-05-18)</t>
        </is>
      </c>
      <c r="F798" s="68" t="inlineStr">
        <is>
          <t>Range Q1 2026: targeting 4-5 Bcf/d Appalachia AI demand + most remaining gas inventory in Lower 48 + Liberty/Imperial PA alliance (deep research 2026-05-18)</t>
        </is>
      </c>
      <c r="G798" s="33" t="inlineStr">
        <is>
          <t>High</t>
        </is>
      </c>
      <c r="H798" s="33" t="inlineStr">
        <is>
          <t>Update</t>
        </is>
      </c>
    </row>
    <row r="799">
      <c r="A799" s="33" t="inlineStr">
        <is>
          <t>2026-05-18</t>
        </is>
      </c>
      <c r="B799" s="33" t="inlineStr">
        <is>
          <t>RRC</t>
        </is>
      </c>
      <c r="C799" s="33" t="inlineStr">
        <is>
          <t>D2</t>
        </is>
      </c>
      <c r="D799" s="33" t="n">
        <v>4</v>
      </c>
      <c r="E799" s="68" t="inlineStr">
        <is>
          <t>UPDATED from 3 → 4 after per-name /refresh-context research. Range Q1 2026: targeting 4-5 Bcf/d Appalachia AI demand + most remaining gas inventory in Lower 48 + Liberty/Imperial PA alliance (deep research 2026-05-18)</t>
        </is>
      </c>
      <c r="F799" s="68" t="inlineStr">
        <is>
          <t>Range Q1 2026: targeting 4-5 Bcf/d Appalachia AI demand + most remaining gas inventory in Lower 48 + Liberty/Imperial PA alliance (deep research 2026-05-18)</t>
        </is>
      </c>
      <c r="G799" s="33" t="inlineStr">
        <is>
          <t>High</t>
        </is>
      </c>
      <c r="H799" s="33" t="inlineStr">
        <is>
          <t>Update</t>
        </is>
      </c>
    </row>
    <row r="800">
      <c r="A800" s="33" t="inlineStr">
        <is>
          <t>2026-05-18</t>
        </is>
      </c>
      <c r="B800" s="33" t="inlineStr">
        <is>
          <t>RRC</t>
        </is>
      </c>
      <c r="C800" s="33" t="inlineStr">
        <is>
          <t>D3</t>
        </is>
      </c>
      <c r="D800" s="33" t="n">
        <v>4</v>
      </c>
      <c r="E800" s="68" t="inlineStr">
        <is>
          <t>UPDATED from 3 → 4 after per-name /refresh-context research. Range Q1 2026: targeting 4-5 Bcf/d Appalachia AI demand + most remaining gas inventory in Lower 48 + Liberty/Imperial PA alliance (deep research 2026-05-18)</t>
        </is>
      </c>
      <c r="F800" s="68" t="inlineStr">
        <is>
          <t>Range Q1 2026: targeting 4-5 Bcf/d Appalachia AI demand + most remaining gas inventory in Lower 48 + Liberty/Imperial PA alliance (deep research 2026-05-18)</t>
        </is>
      </c>
      <c r="G800" s="33" t="inlineStr">
        <is>
          <t>High</t>
        </is>
      </c>
      <c r="H800" s="33" t="inlineStr">
        <is>
          <t>Update</t>
        </is>
      </c>
    </row>
    <row r="801">
      <c r="A801" s="33" t="inlineStr">
        <is>
          <t>2026-05-18</t>
        </is>
      </c>
      <c r="B801" s="33" t="inlineStr">
        <is>
          <t>RRC</t>
        </is>
      </c>
      <c r="C801" s="33" t="inlineStr">
        <is>
          <t>D5</t>
        </is>
      </c>
      <c r="D801" s="33" t="n">
        <v>4</v>
      </c>
      <c r="E801" s="68" t="inlineStr">
        <is>
          <t>UPDATED from 3 → 4 after per-name /refresh-context research. Range Q1 2026: targeting 4-5 Bcf/d Appalachia AI demand + most remaining gas inventory in Lower 48 + Liberty/Imperial PA alliance (deep research 2026-05-18)</t>
        </is>
      </c>
      <c r="F801" s="68" t="inlineStr">
        <is>
          <t>Range Q1 2026: targeting 4-5 Bcf/d Appalachia AI demand + most remaining gas inventory in Lower 48 + Liberty/Imperial PA alliance (deep research 2026-05-18)</t>
        </is>
      </c>
      <c r="G801" s="33" t="inlineStr">
        <is>
          <t>High</t>
        </is>
      </c>
      <c r="H801" s="33" t="inlineStr">
        <is>
          <t>Update</t>
        </is>
      </c>
    </row>
    <row r="802">
      <c r="A802" s="33" t="inlineStr">
        <is>
          <t>2026-05-18</t>
        </is>
      </c>
      <c r="B802" s="33" t="inlineStr">
        <is>
          <t>AR</t>
        </is>
      </c>
      <c r="C802" s="33" t="inlineStr">
        <is>
          <t>D1</t>
        </is>
      </c>
      <c r="D802" s="33" t="n">
        <v>4</v>
      </c>
      <c r="E802" s="68" t="inlineStr">
        <is>
          <t>UPDATED from 3 → 4 after per-name /refresh-context research. Antero Q1 2026: highest LNG exposure (2.3 Bcf/d) + 25 projects/44 GW Appalachia + Microsoft Monarch 8 GW WV (deep research 2026-05-18)</t>
        </is>
      </c>
      <c r="F802" s="68" t="inlineStr">
        <is>
          <t>Antero Q1 2026: highest LNG exposure (2.3 Bcf/d) + 25 projects/44 GW Appalachia + Microsoft Monarch 8 GW WV (deep research 2026-05-18)</t>
        </is>
      </c>
      <c r="G802" s="33" t="inlineStr">
        <is>
          <t>High</t>
        </is>
      </c>
      <c r="H802" s="33" t="inlineStr">
        <is>
          <t>Update</t>
        </is>
      </c>
    </row>
    <row r="803">
      <c r="A803" s="33" t="inlineStr">
        <is>
          <t>2026-05-18</t>
        </is>
      </c>
      <c r="B803" s="33" t="inlineStr">
        <is>
          <t>AR</t>
        </is>
      </c>
      <c r="C803" s="33" t="inlineStr">
        <is>
          <t>D2</t>
        </is>
      </c>
      <c r="D803" s="33" t="n">
        <v>4</v>
      </c>
      <c r="E803" s="68" t="inlineStr">
        <is>
          <t>UPDATED from 3 → 4 after per-name /refresh-context research. Antero Q1 2026: highest LNG exposure (2.3 Bcf/d) + 25 projects/44 GW Appalachia + Microsoft Monarch 8 GW WV (deep research 2026-05-18)</t>
        </is>
      </c>
      <c r="F803" s="68" t="inlineStr">
        <is>
          <t>Antero Q1 2026: highest LNG exposure (2.3 Bcf/d) + 25 projects/44 GW Appalachia + Microsoft Monarch 8 GW WV (deep research 2026-05-18)</t>
        </is>
      </c>
      <c r="G803" s="33" t="inlineStr">
        <is>
          <t>High</t>
        </is>
      </c>
      <c r="H803" s="33" t="inlineStr">
        <is>
          <t>Update</t>
        </is>
      </c>
    </row>
    <row r="804">
      <c r="A804" s="33" t="inlineStr">
        <is>
          <t>2026-05-18</t>
        </is>
      </c>
      <c r="B804" s="33" t="inlineStr">
        <is>
          <t>AR</t>
        </is>
      </c>
      <c r="C804" s="33" t="inlineStr">
        <is>
          <t>D3</t>
        </is>
      </c>
      <c r="D804" s="33" t="n">
        <v>4</v>
      </c>
      <c r="E804" s="68" t="inlineStr">
        <is>
          <t>UPDATED from 3 → 4 after per-name /refresh-context research. Antero Q1 2026: highest LNG exposure (2.3 Bcf/d) + 25 projects/44 GW Appalachia + Microsoft Monarch 8 GW WV (deep research 2026-05-18)</t>
        </is>
      </c>
      <c r="F804" s="68" t="inlineStr">
        <is>
          <t>Antero Q1 2026: highest LNG exposure (2.3 Bcf/d) + 25 projects/44 GW Appalachia + Microsoft Monarch 8 GW WV (deep research 2026-05-18)</t>
        </is>
      </c>
      <c r="G804" s="33" t="inlineStr">
        <is>
          <t>High</t>
        </is>
      </c>
      <c r="H804" s="33" t="inlineStr">
        <is>
          <t>Update</t>
        </is>
      </c>
    </row>
    <row r="805">
      <c r="A805" s="33" t="inlineStr">
        <is>
          <t>2026-05-18</t>
        </is>
      </c>
      <c r="B805" s="33" t="inlineStr">
        <is>
          <t>AR</t>
        </is>
      </c>
      <c r="C805" s="33" t="inlineStr">
        <is>
          <t>D4</t>
        </is>
      </c>
      <c r="D805" s="33" t="n">
        <v>5</v>
      </c>
      <c r="E805" s="68" t="inlineStr">
        <is>
          <t>UPDATED from 4 → 5 after per-name /refresh-context research. Antero Q1 2026: highest LNG exposure (2.3 Bcf/d) + 25 projects/44 GW Appalachia + Microsoft Monarch 8 GW WV (deep research 2026-05-18)</t>
        </is>
      </c>
      <c r="F805" s="68" t="inlineStr">
        <is>
          <t>Antero Q1 2026: highest LNG exposure (2.3 Bcf/d) + 25 projects/44 GW Appalachia + Microsoft Monarch 8 GW WV (deep research 2026-05-18)</t>
        </is>
      </c>
      <c r="G805" s="33" t="inlineStr">
        <is>
          <t>High</t>
        </is>
      </c>
      <c r="H805" s="33" t="inlineStr">
        <is>
          <t>Update</t>
        </is>
      </c>
    </row>
    <row r="806">
      <c r="A806" s="33" t="inlineStr">
        <is>
          <t>2026-05-18</t>
        </is>
      </c>
      <c r="B806" s="33" t="inlineStr">
        <is>
          <t>AR</t>
        </is>
      </c>
      <c r="C806" s="33" t="inlineStr">
        <is>
          <t>D5</t>
        </is>
      </c>
      <c r="D806" s="33" t="n">
        <v>4</v>
      </c>
      <c r="E806" s="68" t="inlineStr">
        <is>
          <t>UPDATED from 3 → 4 after per-name /refresh-context research. Antero Q1 2026: highest LNG exposure (2.3 Bcf/d) + 25 projects/44 GW Appalachia + Microsoft Monarch 8 GW WV (deep research 2026-05-18)</t>
        </is>
      </c>
      <c r="F806" s="68" t="inlineStr">
        <is>
          <t>Antero Q1 2026: highest LNG exposure (2.3 Bcf/d) + 25 projects/44 GW Appalachia + Microsoft Monarch 8 GW WV (deep research 2026-05-18)</t>
        </is>
      </c>
      <c r="G806" s="33" t="inlineStr">
        <is>
          <t>High</t>
        </is>
      </c>
      <c r="H806" s="33" t="inlineStr">
        <is>
          <t>Update</t>
        </is>
      </c>
    </row>
    <row r="807">
      <c r="A807" s="33" t="inlineStr">
        <is>
          <t>2026-05-18</t>
        </is>
      </c>
      <c r="B807" s="33" t="inlineStr">
        <is>
          <t>CTRA</t>
        </is>
      </c>
      <c r="C807" s="33" t="inlineStr">
        <is>
          <t>D1</t>
        </is>
      </c>
      <c r="D807" s="33" t="n">
        <v>4</v>
      </c>
      <c r="E807" s="68" t="inlineStr">
        <is>
          <t>UPDATED from 3 → 4 after per-name /refresh-context research. Coterra: $58B Devon merger close Q2 2026 + 4.3 Bcf/d pro forma + planned direct hyperscaler MSFT/META/GOOGL gas contracts (deep research 2026-05-18)</t>
        </is>
      </c>
      <c r="F807" s="68" t="inlineStr">
        <is>
          <t>Coterra: $58B Devon merger close Q2 2026 + 4.3 Bcf/d pro forma + planned direct hyperscaler MSFT/META/GOOGL gas contracts (deep research 2026-05-18)</t>
        </is>
      </c>
      <c r="G807" s="33" t="inlineStr">
        <is>
          <t>High</t>
        </is>
      </c>
      <c r="H807" s="33" t="inlineStr">
        <is>
          <t>Update</t>
        </is>
      </c>
    </row>
    <row r="808">
      <c r="A808" s="33" t="inlineStr">
        <is>
          <t>2026-05-18</t>
        </is>
      </c>
      <c r="B808" s="33" t="inlineStr">
        <is>
          <t>CTRA</t>
        </is>
      </c>
      <c r="C808" s="33" t="inlineStr">
        <is>
          <t>D2</t>
        </is>
      </c>
      <c r="D808" s="33" t="n">
        <v>5</v>
      </c>
      <c r="E808" s="68" t="inlineStr">
        <is>
          <t>UPDATED from 4 → 5 after per-name /refresh-context research. Coterra: $58B Devon merger close Q2 2026 + 4.3 Bcf/d pro forma + planned direct hyperscaler MSFT/META/GOOGL gas contracts (deep research 2026-05-18)</t>
        </is>
      </c>
      <c r="F808" s="68" t="inlineStr">
        <is>
          <t>Coterra: $58B Devon merger close Q2 2026 + 4.3 Bcf/d pro forma + planned direct hyperscaler MSFT/META/GOOGL gas contracts (deep research 2026-05-18)</t>
        </is>
      </c>
      <c r="G808" s="33" t="inlineStr">
        <is>
          <t>High</t>
        </is>
      </c>
      <c r="H808" s="33" t="inlineStr">
        <is>
          <t>Update</t>
        </is>
      </c>
    </row>
    <row r="809">
      <c r="A809" s="33" t="inlineStr">
        <is>
          <t>2026-05-18</t>
        </is>
      </c>
      <c r="B809" s="33" t="inlineStr">
        <is>
          <t>CTRA</t>
        </is>
      </c>
      <c r="C809" s="33" t="inlineStr">
        <is>
          <t>D3</t>
        </is>
      </c>
      <c r="D809" s="33" t="n">
        <v>5</v>
      </c>
      <c r="E809" s="68" t="inlineStr">
        <is>
          <t>UPDATED from 4 → 5 after per-name /refresh-context research. Coterra: $58B Devon merger close Q2 2026 + 4.3 Bcf/d pro forma + planned direct hyperscaler MSFT/META/GOOGL gas contracts (deep research 2026-05-18)</t>
        </is>
      </c>
      <c r="F809" s="68" t="inlineStr">
        <is>
          <t>Coterra: $58B Devon merger close Q2 2026 + 4.3 Bcf/d pro forma + planned direct hyperscaler MSFT/META/GOOGL gas contracts (deep research 2026-05-18)</t>
        </is>
      </c>
      <c r="G809" s="33" t="inlineStr">
        <is>
          <t>High</t>
        </is>
      </c>
      <c r="H809" s="33" t="inlineStr">
        <is>
          <t>Update</t>
        </is>
      </c>
    </row>
    <row r="810">
      <c r="A810" s="33" t="inlineStr">
        <is>
          <t>2026-05-18</t>
        </is>
      </c>
      <c r="B810" s="33" t="inlineStr">
        <is>
          <t>CTRA</t>
        </is>
      </c>
      <c r="C810" s="33" t="inlineStr">
        <is>
          <t>D5</t>
        </is>
      </c>
      <c r="D810" s="33" t="n">
        <v>5</v>
      </c>
      <c r="E810" s="68" t="inlineStr">
        <is>
          <t>UPDATED from 3 → 5 after per-name /refresh-context research. Coterra: $58B Devon merger close Q2 2026 + 4.3 Bcf/d pro forma + planned direct hyperscaler MSFT/META/GOOGL gas contracts (deep research 2026-05-18)</t>
        </is>
      </c>
      <c r="F810" s="68" t="inlineStr">
        <is>
          <t>Coterra: $58B Devon merger close Q2 2026 + 4.3 Bcf/d pro forma + planned direct hyperscaler MSFT/META/GOOGL gas contracts (deep research 2026-05-18)</t>
        </is>
      </c>
      <c r="G810" s="33" t="inlineStr">
        <is>
          <t>High</t>
        </is>
      </c>
      <c r="H810" s="33" t="inlineStr">
        <is>
          <t>Update</t>
        </is>
      </c>
    </row>
    <row r="811">
      <c r="A811" s="33" t="inlineStr">
        <is>
          <t>2026-05-18</t>
        </is>
      </c>
      <c r="B811" s="33" t="inlineStr">
        <is>
          <t>EXE</t>
        </is>
      </c>
      <c r="C811" s="33" t="inlineStr">
        <is>
          <t>D1</t>
        </is>
      </c>
      <c r="D811" s="33" t="n">
        <v>4</v>
      </c>
      <c r="E811" s="68" t="inlineStr">
        <is>
          <t>UPDATED from 3 → 4 after per-name /refresh-context research. Expand Energy Q1 2026: 4-6 Bcf/d Appalachia AI demand + Haynesville 72% lowest breakeven + 62.9% EPS growth forecast (deep research 2026-05-18)</t>
        </is>
      </c>
      <c r="F811" s="68" t="inlineStr">
        <is>
          <t>Expand Energy Q1 2026: 4-6 Bcf/d Appalachia AI demand + Haynesville 72% lowest breakeven + 62.9% EPS growth forecast (deep research 2026-05-18)</t>
        </is>
      </c>
      <c r="G811" s="33" t="inlineStr">
        <is>
          <t>High</t>
        </is>
      </c>
      <c r="H811" s="33" t="inlineStr">
        <is>
          <t>Update</t>
        </is>
      </c>
    </row>
    <row r="812">
      <c r="A812" s="33" t="inlineStr">
        <is>
          <t>2026-05-18</t>
        </is>
      </c>
      <c r="B812" s="33" t="inlineStr">
        <is>
          <t>EXE</t>
        </is>
      </c>
      <c r="C812" s="33" t="inlineStr">
        <is>
          <t>D2</t>
        </is>
      </c>
      <c r="D812" s="33" t="n">
        <v>4</v>
      </c>
      <c r="E812" s="68" t="inlineStr">
        <is>
          <t>UPDATED from 3 → 4 after per-name /refresh-context research. Expand Energy Q1 2026: 4-6 Bcf/d Appalachia AI demand + Haynesville 72% lowest breakeven + 62.9% EPS growth forecast (deep research 2026-05-18)</t>
        </is>
      </c>
      <c r="F812" s="68" t="inlineStr">
        <is>
          <t>Expand Energy Q1 2026: 4-6 Bcf/d Appalachia AI demand + Haynesville 72% lowest breakeven + 62.9% EPS growth forecast (deep research 2026-05-18)</t>
        </is>
      </c>
      <c r="G812" s="33" t="inlineStr">
        <is>
          <t>High</t>
        </is>
      </c>
      <c r="H812" s="33" t="inlineStr">
        <is>
          <t>Update</t>
        </is>
      </c>
    </row>
    <row r="813">
      <c r="A813" s="33" t="inlineStr">
        <is>
          <t>2026-05-18</t>
        </is>
      </c>
      <c r="B813" s="33" t="inlineStr">
        <is>
          <t>EXE</t>
        </is>
      </c>
      <c r="C813" s="33" t="inlineStr">
        <is>
          <t>D3</t>
        </is>
      </c>
      <c r="D813" s="33" t="n">
        <v>4</v>
      </c>
      <c r="E813" s="68" t="inlineStr">
        <is>
          <t>UPDATED from 3 → 4 after per-name /refresh-context research. Expand Energy Q1 2026: 4-6 Bcf/d Appalachia AI demand + Haynesville 72% lowest breakeven + 62.9% EPS growth forecast (deep research 2026-05-18)</t>
        </is>
      </c>
      <c r="F813" s="68" t="inlineStr">
        <is>
          <t>Expand Energy Q1 2026: 4-6 Bcf/d Appalachia AI demand + Haynesville 72% lowest breakeven + 62.9% EPS growth forecast (deep research 2026-05-18)</t>
        </is>
      </c>
      <c r="G813" s="33" t="inlineStr">
        <is>
          <t>High</t>
        </is>
      </c>
      <c r="H813" s="33" t="inlineStr">
        <is>
          <t>Update</t>
        </is>
      </c>
    </row>
    <row r="814">
      <c r="A814" s="33" t="inlineStr">
        <is>
          <t>2026-05-18</t>
        </is>
      </c>
      <c r="B814" s="33" t="inlineStr">
        <is>
          <t>EXE</t>
        </is>
      </c>
      <c r="C814" s="33" t="inlineStr">
        <is>
          <t>D4</t>
        </is>
      </c>
      <c r="D814" s="33" t="n">
        <v>5</v>
      </c>
      <c r="E814" s="68" t="inlineStr">
        <is>
          <t>UPDATED from 4 → 5 after per-name /refresh-context research. Expand Energy Q1 2026: 4-6 Bcf/d Appalachia AI demand + Haynesville 72% lowest breakeven + 62.9% EPS growth forecast (deep research 2026-05-18)</t>
        </is>
      </c>
      <c r="F814" s="68" t="inlineStr">
        <is>
          <t>Expand Energy Q1 2026: 4-6 Bcf/d Appalachia AI demand + Haynesville 72% lowest breakeven + 62.9% EPS growth forecast (deep research 2026-05-18)</t>
        </is>
      </c>
      <c r="G814" s="33" t="inlineStr">
        <is>
          <t>High</t>
        </is>
      </c>
      <c r="H814" s="33" t="inlineStr">
        <is>
          <t>Update</t>
        </is>
      </c>
    </row>
    <row r="815">
      <c r="A815" s="33" t="inlineStr">
        <is>
          <t>2026-05-18</t>
        </is>
      </c>
      <c r="B815" s="33" t="inlineStr">
        <is>
          <t>EXE</t>
        </is>
      </c>
      <c r="C815" s="33" t="inlineStr">
        <is>
          <t>D5</t>
        </is>
      </c>
      <c r="D815" s="33" t="n">
        <v>4</v>
      </c>
      <c r="E815" s="68" t="inlineStr">
        <is>
          <t>UPDATED from 3 → 4 after per-name /refresh-context research. Expand Energy Q1 2026: 4-6 Bcf/d Appalachia AI demand + Haynesville 72% lowest breakeven + 62.9% EPS growth forecast (deep research 2026-05-18)</t>
        </is>
      </c>
      <c r="F815" s="68" t="inlineStr">
        <is>
          <t>Expand Energy Q1 2026: 4-6 Bcf/d Appalachia AI demand + Haynesville 72% lowest breakeven + 62.9% EPS growth forecast (deep research 2026-05-18)</t>
        </is>
      </c>
      <c r="G815" s="33" t="inlineStr">
        <is>
          <t>High</t>
        </is>
      </c>
      <c r="H815" s="33" t="inlineStr">
        <is>
          <t>Update</t>
        </is>
      </c>
    </row>
    <row r="816">
      <c r="A816" s="33" t="inlineStr">
        <is>
          <t>2026-05-18</t>
        </is>
      </c>
      <c r="B816" s="33" t="inlineStr">
        <is>
          <t>EXE</t>
        </is>
      </c>
      <c r="C816" s="33" t="inlineStr">
        <is>
          <t>M1</t>
        </is>
      </c>
      <c r="D816" s="33" t="n">
        <v>5</v>
      </c>
      <c r="E816" s="68" t="inlineStr">
        <is>
          <t>UPDATED from 3 → 5 after per-name /refresh-context research. Expand Energy Q1 2026: 4-6 Bcf/d Appalachia AI demand + Haynesville 72% lowest breakeven + 62.9% EPS growth forecast (deep research 2026-05-18)</t>
        </is>
      </c>
      <c r="F816" s="68" t="inlineStr">
        <is>
          <t>Expand Energy Q1 2026: 4-6 Bcf/d Appalachia AI demand + Haynesville 72% lowest breakeven + 62.9% EPS growth forecast (deep research 2026-05-18)</t>
        </is>
      </c>
      <c r="G816" s="33" t="inlineStr">
        <is>
          <t>High</t>
        </is>
      </c>
      <c r="H816" s="33" t="inlineStr">
        <is>
          <t>Update</t>
        </is>
      </c>
    </row>
    <row r="817">
      <c r="A817" s="33" t="inlineStr">
        <is>
          <t>2026-05-18</t>
        </is>
      </c>
      <c r="B817" s="33" t="inlineStr">
        <is>
          <t>CMI</t>
        </is>
      </c>
      <c r="C817" s="33" t="inlineStr">
        <is>
          <t>D1</t>
        </is>
      </c>
      <c r="D817" s="33" t="n">
        <v>4</v>
      </c>
      <c r="E817" s="68" t="inlineStr">
        <is>
          <t>UPDATED from 3 → 4 after per-name /refresh-context research. Cummins Q1 2026: Power Systems record $1.96B (+19%); 29.5% margin; backlog stretches into 2028 + 2026 guidance raised (deep research 2026-05-18)</t>
        </is>
      </c>
      <c r="F817" s="68" t="inlineStr">
        <is>
          <t>Cummins Q1 2026: Power Systems record $1.96B (+19%); 29.5% margin; backlog stretches into 2028 + 2026 guidance raised (deep research 2026-05-18)</t>
        </is>
      </c>
      <c r="G817" s="33" t="inlineStr">
        <is>
          <t>High</t>
        </is>
      </c>
      <c r="H817" s="33" t="inlineStr">
        <is>
          <t>Update</t>
        </is>
      </c>
    </row>
    <row r="818">
      <c r="A818" s="33" t="inlineStr">
        <is>
          <t>2026-05-18</t>
        </is>
      </c>
      <c r="B818" s="33" t="inlineStr">
        <is>
          <t>CMI</t>
        </is>
      </c>
      <c r="C818" s="33" t="inlineStr">
        <is>
          <t>D4</t>
        </is>
      </c>
      <c r="D818" s="33" t="n">
        <v>5</v>
      </c>
      <c r="E818" s="68" t="inlineStr">
        <is>
          <t>UPDATED from 4 → 5 after per-name /refresh-context research. Cummins Q1 2026: Power Systems record $1.96B (+19%); 29.5% margin; backlog stretches into 2028 + 2026 guidance raised (deep research 2026-05-18)</t>
        </is>
      </c>
      <c r="F818" s="68" t="inlineStr">
        <is>
          <t>Cummins Q1 2026: Power Systems record $1.96B (+19%); 29.5% margin; backlog stretches into 2028 + 2026 guidance raised (deep research 2026-05-18)</t>
        </is>
      </c>
      <c r="G818" s="33" t="inlineStr">
        <is>
          <t>High</t>
        </is>
      </c>
      <c r="H818" s="33" t="inlineStr">
        <is>
          <t>Update</t>
        </is>
      </c>
    </row>
    <row r="819">
      <c r="A819" s="33" t="inlineStr">
        <is>
          <t>2026-05-18</t>
        </is>
      </c>
      <c r="B819" s="33" t="inlineStr">
        <is>
          <t>CMI</t>
        </is>
      </c>
      <c r="C819" s="33" t="inlineStr">
        <is>
          <t>D5</t>
        </is>
      </c>
      <c r="D819" s="33" t="n">
        <v>4</v>
      </c>
      <c r="E819" s="68" t="inlineStr">
        <is>
          <t>UPDATED from 3 → 4 after per-name /refresh-context research. Cummins Q1 2026: Power Systems record $1.96B (+19%); 29.5% margin; backlog stretches into 2028 + 2026 guidance raised (deep research 2026-05-18)</t>
        </is>
      </c>
      <c r="F819" s="68" t="inlineStr">
        <is>
          <t>Cummins Q1 2026: Power Systems record $1.96B (+19%); 29.5% margin; backlog stretches into 2028 + 2026 guidance raised (deep research 2026-05-18)</t>
        </is>
      </c>
      <c r="G819" s="33" t="inlineStr">
        <is>
          <t>High</t>
        </is>
      </c>
      <c r="H819" s="33" t="inlineStr">
        <is>
          <t>Update</t>
        </is>
      </c>
    </row>
    <row r="820">
      <c r="A820" s="33" t="inlineStr">
        <is>
          <t>2026-05-18</t>
        </is>
      </c>
      <c r="B820" s="33" t="inlineStr">
        <is>
          <t>GNRC</t>
        </is>
      </c>
      <c r="C820" s="33" t="inlineStr">
        <is>
          <t>D1</t>
        </is>
      </c>
      <c r="D820" s="33" t="n">
        <v>4</v>
      </c>
      <c r="E820" s="68" t="inlineStr">
        <is>
          <t>UPDATED from 3 → 4 after per-name /refresh-context research. Generac Q1 2026: $1B DC revenue path by 2028 + final-stage hyperscaler vendor approval + EPC Power AI DC partnership + 2026 outlook raised (deep research 2026-05-18)</t>
        </is>
      </c>
      <c r="F820" s="68" t="inlineStr">
        <is>
          <t>Generac Q1 2026: $1B DC revenue path by 2028 + final-stage hyperscaler vendor approval + EPC Power AI DC partnership + 2026 outlook raised (deep research 2026-05-18)</t>
        </is>
      </c>
      <c r="G820" s="33" t="inlineStr">
        <is>
          <t>High</t>
        </is>
      </c>
      <c r="H820" s="33" t="inlineStr">
        <is>
          <t>Update</t>
        </is>
      </c>
    </row>
    <row r="821">
      <c r="A821" s="33" t="inlineStr">
        <is>
          <t>2026-05-18</t>
        </is>
      </c>
      <c r="B821" s="33" t="inlineStr">
        <is>
          <t>GNRC</t>
        </is>
      </c>
      <c r="C821" s="33" t="inlineStr">
        <is>
          <t>D2</t>
        </is>
      </c>
      <c r="D821" s="33" t="n">
        <v>4</v>
      </c>
      <c r="E821" s="68" t="inlineStr">
        <is>
          <t>UPDATED from 3 → 4 after per-name /refresh-context research. Generac Q1 2026: $1B DC revenue path by 2028 + final-stage hyperscaler vendor approval + EPC Power AI DC partnership + 2026 outlook raised (deep research 2026-05-18)</t>
        </is>
      </c>
      <c r="F821" s="68" t="inlineStr">
        <is>
          <t>Generac Q1 2026: $1B DC revenue path by 2028 + final-stage hyperscaler vendor approval + EPC Power AI DC partnership + 2026 outlook raised (deep research 2026-05-18)</t>
        </is>
      </c>
      <c r="G821" s="33" t="inlineStr">
        <is>
          <t>High</t>
        </is>
      </c>
      <c r="H821" s="33" t="inlineStr">
        <is>
          <t>Update</t>
        </is>
      </c>
    </row>
    <row r="822">
      <c r="A822" s="33" t="inlineStr">
        <is>
          <t>2026-05-18</t>
        </is>
      </c>
      <c r="B822" s="33" t="inlineStr">
        <is>
          <t>GNRC</t>
        </is>
      </c>
      <c r="C822" s="33" t="inlineStr">
        <is>
          <t>D4</t>
        </is>
      </c>
      <c r="D822" s="33" t="n">
        <v>5</v>
      </c>
      <c r="E822" s="68" t="inlineStr">
        <is>
          <t>UPDATED from 4 → 5 after per-name /refresh-context research. Generac Q1 2026: $1B DC revenue path by 2028 + final-stage hyperscaler vendor approval + EPC Power AI DC partnership + 2026 outlook raised (deep research 2026-05-18)</t>
        </is>
      </c>
      <c r="F822" s="68" t="inlineStr">
        <is>
          <t>Generac Q1 2026: $1B DC revenue path by 2028 + final-stage hyperscaler vendor approval + EPC Power AI DC partnership + 2026 outlook raised (deep research 2026-05-18)</t>
        </is>
      </c>
      <c r="G822" s="33" t="inlineStr">
        <is>
          <t>High</t>
        </is>
      </c>
      <c r="H822" s="33" t="inlineStr">
        <is>
          <t>Update</t>
        </is>
      </c>
    </row>
    <row r="823">
      <c r="A823" s="33" t="inlineStr">
        <is>
          <t>2026-05-18</t>
        </is>
      </c>
      <c r="B823" s="33" t="inlineStr">
        <is>
          <t>GNRC</t>
        </is>
      </c>
      <c r="C823" s="33" t="inlineStr">
        <is>
          <t>D5</t>
        </is>
      </c>
      <c r="D823" s="33" t="n">
        <v>4</v>
      </c>
      <c r="E823" s="68" t="inlineStr">
        <is>
          <t>UPDATED from 3 → 4 after per-name /refresh-context research. Generac Q1 2026: $1B DC revenue path by 2028 + final-stage hyperscaler vendor approval + EPC Power AI DC partnership + 2026 outlook raised (deep research 2026-05-18)</t>
        </is>
      </c>
      <c r="F823" s="68" t="inlineStr">
        <is>
          <t>Generac Q1 2026: $1B DC revenue path by 2028 + final-stage hyperscaler vendor approval + EPC Power AI DC partnership + 2026 outlook raised (deep research 2026-05-18)</t>
        </is>
      </c>
      <c r="G823" s="33" t="inlineStr">
        <is>
          <t>High</t>
        </is>
      </c>
      <c r="H823" s="33" t="inlineStr">
        <is>
          <t>Update</t>
        </is>
      </c>
    </row>
    <row r="824">
      <c r="A824" s="33" t="inlineStr">
        <is>
          <t>2026-05-18</t>
        </is>
      </c>
      <c r="B824" s="33" t="inlineStr">
        <is>
          <t>DLR</t>
        </is>
      </c>
      <c r="C824" s="33" t="inlineStr">
        <is>
          <t>D1</t>
        </is>
      </c>
      <c r="D824" s="33" t="n">
        <v>5</v>
      </c>
      <c r="E824" s="68" t="inlineStr">
        <is>
          <t>DC pure-play REIT; 21% of signings AI-oriented; $98M zero-1MW interconnection bookings (record); rapidly increasing AI share.</t>
        </is>
      </c>
      <c r="F824" s="68" t="inlineStr">
        <is>
          <t>Digital Realty Q1 2026 8-K + record bookings $707M + 200 MW AI lease coverage (per-name research 2026-05-18)</t>
        </is>
      </c>
      <c r="G824" s="33" t="inlineStr">
        <is>
          <t>High</t>
        </is>
      </c>
      <c r="H824" s="33" t="inlineStr">
        <is>
          <t>Initial</t>
        </is>
      </c>
    </row>
    <row r="825">
      <c r="A825" s="33" t="inlineStr">
        <is>
          <t>2026-05-18</t>
        </is>
      </c>
      <c r="B825" s="33" t="inlineStr">
        <is>
          <t>DLR</t>
        </is>
      </c>
      <c r="C825" s="33" t="inlineStr">
        <is>
          <t>D2</t>
        </is>
      </c>
      <c r="D825" s="33" t="n">
        <v>5</v>
      </c>
      <c r="E825" s="68" t="inlineStr">
        <is>
          <t>Top DC REIT by capacity; bottleneck-tier in hyperscaler colocation real estate.</t>
        </is>
      </c>
      <c r="F825" s="68" t="inlineStr">
        <is>
          <t>Digital Realty Q1 2026 8-K + record bookings $707M + 200 MW AI lease coverage (per-name research 2026-05-18)</t>
        </is>
      </c>
      <c r="G825" s="33" t="inlineStr">
        <is>
          <t>High</t>
        </is>
      </c>
      <c r="H825" s="33" t="inlineStr">
        <is>
          <t>Initial</t>
        </is>
      </c>
    </row>
    <row r="826">
      <c r="A826" s="33" t="inlineStr">
        <is>
          <t>2026-05-18</t>
        </is>
      </c>
      <c r="B826" s="33" t="inlineStr">
        <is>
          <t>DLR</t>
        </is>
      </c>
      <c r="C826" s="33" t="inlineStr">
        <is>
          <t>D3</t>
        </is>
      </c>
      <c r="D826" s="33" t="n">
        <v>4</v>
      </c>
      <c r="E826" s="68" t="inlineStr">
        <is>
          <t>Scale + multi-decade hyperscaler relationships + global footprint. Not 5 because DC real estate inherently commoditizable on land/power side.</t>
        </is>
      </c>
      <c r="F826" s="68" t="inlineStr">
        <is>
          <t>Digital Realty Q1 2026 8-K + record bookings $707M + 200 MW AI lease coverage (per-name research 2026-05-18)</t>
        </is>
      </c>
      <c r="G826" s="33" t="inlineStr">
        <is>
          <t>High</t>
        </is>
      </c>
      <c r="H826" s="33" t="inlineStr">
        <is>
          <t>Initial</t>
        </is>
      </c>
    </row>
    <row r="827">
      <c r="A827" s="33" t="inlineStr">
        <is>
          <t>2026-05-18</t>
        </is>
      </c>
      <c r="B827" s="33" t="inlineStr">
        <is>
          <t>DLR</t>
        </is>
      </c>
      <c r="C827" s="33" t="inlineStr">
        <is>
          <t>D4</t>
        </is>
      </c>
      <c r="D827" s="33" t="n">
        <v>5</v>
      </c>
      <c r="E827" s="68" t="inlineStr">
        <is>
          <t>$1.8B backlog + 1.2 GW under construction (+50% sequential, 61% preleased at 11.4% yield).</t>
        </is>
      </c>
      <c r="F827" s="68" t="inlineStr">
        <is>
          <t>Digital Realty Q1 2026 8-K + record bookings $707M + 200 MW AI lease coverage (per-name research 2026-05-18)</t>
        </is>
      </c>
      <c r="G827" s="33" t="inlineStr">
        <is>
          <t>High</t>
        </is>
      </c>
      <c r="H827" s="33" t="inlineStr">
        <is>
          <t>Initial</t>
        </is>
      </c>
    </row>
    <row r="828">
      <c r="A828" s="33" t="inlineStr">
        <is>
          <t>2026-05-18</t>
        </is>
      </c>
      <c r="B828" s="33" t="inlineStr">
        <is>
          <t>DLR</t>
        </is>
      </c>
      <c r="C828" s="33" t="inlineStr">
        <is>
          <t>D5</t>
        </is>
      </c>
      <c r="D828" s="33" t="n">
        <v>5</v>
      </c>
      <c r="E828" s="68" t="inlineStr">
        <is>
          <t>200 MW AI inference lease — largest single lease in company history with AA-rated hyperscaler.</t>
        </is>
      </c>
      <c r="F828" s="68" t="inlineStr">
        <is>
          <t>Digital Realty Q1 2026 8-K + record bookings $707M + 200 MW AI lease coverage (per-name research 2026-05-18)</t>
        </is>
      </c>
      <c r="G828" s="33" t="inlineStr">
        <is>
          <t>High</t>
        </is>
      </c>
      <c r="H828" s="33" t="inlineStr">
        <is>
          <t>Initial</t>
        </is>
      </c>
    </row>
    <row r="829">
      <c r="A829" s="33" t="inlineStr">
        <is>
          <t>2026-05-18</t>
        </is>
      </c>
      <c r="B829" s="33" t="inlineStr">
        <is>
          <t>DLR</t>
        </is>
      </c>
      <c r="C829" s="33" t="inlineStr">
        <is>
          <t>M1</t>
        </is>
      </c>
      <c r="D829" s="33" t="n">
        <v>2</v>
      </c>
      <c r="E829" s="68" t="inlineStr">
        <is>
          <t>0 up / 1 down on +1Y; FY revision -5.5%. Net negative. Band 2.</t>
        </is>
      </c>
      <c r="F829" s="68" t="inlineStr">
        <is>
          <t>Digital Realty Q1 2026 8-K + record bookings $707M + 200 MW AI lease coverage (per-name research 2026-05-18)</t>
        </is>
      </c>
      <c r="G829" s="33" t="inlineStr">
        <is>
          <t>High</t>
        </is>
      </c>
      <c r="H829" s="33" t="inlineStr">
        <is>
          <t>Initial</t>
        </is>
      </c>
    </row>
    <row r="830">
      <c r="A830" s="33" t="inlineStr">
        <is>
          <t>2026-05-18</t>
        </is>
      </c>
      <c r="B830" s="33" t="inlineStr">
        <is>
          <t>DLR</t>
        </is>
      </c>
      <c r="C830" s="33" t="inlineStr">
        <is>
          <t>M2</t>
        </is>
      </c>
      <c r="D830" s="33" t="n">
        <v>4</v>
      </c>
      <c r="E830" s="68" t="inlineStr">
        <is>
          <t>+10pp vs XLRE 180d.</t>
        </is>
      </c>
      <c r="F830" s="68" t="inlineStr">
        <is>
          <t>Digital Realty Q1 2026 8-K + record bookings $707M + 200 MW AI lease coverage (per-name research 2026-05-18)</t>
        </is>
      </c>
      <c r="G830" s="33" t="inlineStr">
        <is>
          <t>High</t>
        </is>
      </c>
      <c r="H830" s="33" t="inlineStr">
        <is>
          <t>Initial</t>
        </is>
      </c>
    </row>
    <row r="831">
      <c r="A831" s="33" t="inlineStr">
        <is>
          <t>2026-05-18</t>
        </is>
      </c>
      <c r="B831" s="33" t="inlineStr">
        <is>
          <t>DLR</t>
        </is>
      </c>
      <c r="C831" s="33" t="inlineStr">
        <is>
          <t>M3</t>
        </is>
      </c>
      <c r="D831" s="33" t="n">
        <v>3</v>
      </c>
      <c r="E831" s="68" t="inlineStr">
        <is>
          <t>Routine; default 3.</t>
        </is>
      </c>
      <c r="F831" s="68" t="inlineStr">
        <is>
          <t>Digital Realty Q1 2026 8-K + record bookings $707M + 200 MW AI lease coverage (per-name research 2026-05-18)</t>
        </is>
      </c>
      <c r="G831" s="33" t="inlineStr">
        <is>
          <t>High</t>
        </is>
      </c>
      <c r="H831" s="33" t="inlineStr">
        <is>
          <t>Initial</t>
        </is>
      </c>
    </row>
    <row r="832">
      <c r="A832" s="33" t="inlineStr">
        <is>
          <t>2026-05-18</t>
        </is>
      </c>
      <c r="B832" s="33" t="inlineStr">
        <is>
          <t>DLR</t>
        </is>
      </c>
      <c r="C832" s="33" t="inlineStr">
        <is>
          <t>R1</t>
        </is>
      </c>
      <c r="D832" s="33" t="n">
        <v>4</v>
      </c>
      <c r="E832" s="68" t="inlineStr">
        <is>
          <t>Concentration in top hyperscaler customers but &gt;5 anchor relationships.</t>
        </is>
      </c>
      <c r="F832" s="68" t="inlineStr">
        <is>
          <t>Digital Realty Q1 2026 8-K + record bookings $707M + 200 MW AI lease coverage (per-name research 2026-05-18)</t>
        </is>
      </c>
      <c r="G832" s="33" t="inlineStr">
        <is>
          <t>High</t>
        </is>
      </c>
      <c r="H832" s="33" t="inlineStr">
        <is>
          <t>Initial</t>
        </is>
      </c>
    </row>
    <row r="833">
      <c r="A833" s="33" t="inlineStr">
        <is>
          <t>2026-05-18</t>
        </is>
      </c>
      <c r="B833" s="33" t="inlineStr">
        <is>
          <t>DLR</t>
        </is>
      </c>
      <c r="C833" s="33" t="inlineStr">
        <is>
          <t>R2</t>
        </is>
      </c>
      <c r="D833" s="33" t="n">
        <v>4</v>
      </c>
      <c r="E833" s="68" t="inlineStr">
        <is>
          <t>Global; minimal export-control exposure.</t>
        </is>
      </c>
      <c r="F833" s="68" t="inlineStr">
        <is>
          <t>Digital Realty Q1 2026 8-K + record bookings $707M + 200 MW AI lease coverage (per-name research 2026-05-18)</t>
        </is>
      </c>
      <c r="G833" s="33" t="inlineStr">
        <is>
          <t>High</t>
        </is>
      </c>
      <c r="H833" s="33" t="inlineStr">
        <is>
          <t>Initial</t>
        </is>
      </c>
    </row>
    <row r="834">
      <c r="A834" s="33" t="inlineStr">
        <is>
          <t>2026-05-18</t>
        </is>
      </c>
      <c r="B834" s="33" t="inlineStr">
        <is>
          <t>DLR</t>
        </is>
      </c>
      <c r="C834" s="33" t="inlineStr">
        <is>
          <t>R3</t>
        </is>
      </c>
      <c r="D834" s="33" t="n">
        <v>3</v>
      </c>
      <c r="E834" s="68" t="inlineStr">
        <is>
          <t>ND/EBITDA 5.9x — typical REIT leverage but high; band 3.</t>
        </is>
      </c>
      <c r="F834" s="68" t="inlineStr">
        <is>
          <t>Digital Realty Q1 2026 8-K + record bookings $707M + 200 MW AI lease coverage (per-name research 2026-05-18)</t>
        </is>
      </c>
      <c r="G834" s="33" t="inlineStr">
        <is>
          <t>High</t>
        </is>
      </c>
      <c r="H834" s="33" t="inlineStr">
        <is>
          <t>Initial</t>
        </is>
      </c>
    </row>
    <row r="835">
      <c r="A835" s="33" t="inlineStr">
        <is>
          <t>2026-05-18</t>
        </is>
      </c>
      <c r="B835" s="33" t="inlineStr">
        <is>
          <t>DLR</t>
        </is>
      </c>
      <c r="C835" s="33" t="inlineStr">
        <is>
          <t>R4</t>
        </is>
      </c>
      <c r="D835" s="33" t="n">
        <v>4</v>
      </c>
      <c r="E835" s="68" t="inlineStr">
        <is>
          <t>Routine.</t>
        </is>
      </c>
      <c r="F835" s="68" t="inlineStr">
        <is>
          <t>Digital Realty Q1 2026 8-K + record bookings $707M + 200 MW AI lease coverage (per-name research 2026-05-18)</t>
        </is>
      </c>
      <c r="G835" s="33" t="inlineStr">
        <is>
          <t>High</t>
        </is>
      </c>
      <c r="H835" s="33" t="inlineStr">
        <is>
          <t>Initial</t>
        </is>
      </c>
    </row>
    <row r="836">
      <c r="A836" s="33" t="inlineStr">
        <is>
          <t>2026-05-18</t>
        </is>
      </c>
      <c r="B836" s="33" t="inlineStr">
        <is>
          <t>EQIX</t>
        </is>
      </c>
      <c r="C836" s="33" t="inlineStr">
        <is>
          <t>D1</t>
        </is>
      </c>
      <c r="D836" s="33" t="n">
        <v>4</v>
      </c>
      <c r="E836" s="68" t="inlineStr">
        <is>
          <t>60% of Q1 largest deals AI-related; 8 of top 10 AI providers + 4 of top 5 neoclouds expanding; AI Fabric connections tripled YoY.</t>
        </is>
      </c>
      <c r="F836" s="68" t="inlineStr">
        <is>
          <t>Equinix Q1 2026 + 60% AI deals + 8/10 AI providers expanding (per-name research 2026-05-18)</t>
        </is>
      </c>
      <c r="G836" s="33" t="inlineStr">
        <is>
          <t>High</t>
        </is>
      </c>
      <c r="H836" s="33" t="inlineStr">
        <is>
          <t>Initial</t>
        </is>
      </c>
    </row>
    <row r="837">
      <c r="A837" s="33" t="inlineStr">
        <is>
          <t>2026-05-18</t>
        </is>
      </c>
      <c r="B837" s="33" t="inlineStr">
        <is>
          <t>EQIX</t>
        </is>
      </c>
      <c r="C837" s="33" t="inlineStr">
        <is>
          <t>D2</t>
        </is>
      </c>
      <c r="D837" s="33" t="n">
        <v>5</v>
      </c>
      <c r="E837" s="68" t="inlineStr">
        <is>
          <t>Top interconnection REIT globally; bottleneck-tier in carrier-neutral colocation.</t>
        </is>
      </c>
      <c r="F837" s="68" t="inlineStr">
        <is>
          <t>Equinix Q1 2026 + 60% AI deals + 8/10 AI providers expanding (per-name research 2026-05-18)</t>
        </is>
      </c>
      <c r="G837" s="33" t="inlineStr">
        <is>
          <t>High</t>
        </is>
      </c>
      <c r="H837" s="33" t="inlineStr">
        <is>
          <t>Initial</t>
        </is>
      </c>
    </row>
    <row r="838">
      <c r="A838" s="33" t="inlineStr">
        <is>
          <t>2026-05-18</t>
        </is>
      </c>
      <c r="B838" s="33" t="inlineStr">
        <is>
          <t>EQIX</t>
        </is>
      </c>
      <c r="C838" s="33" t="inlineStr">
        <is>
          <t>D3</t>
        </is>
      </c>
      <c r="D838" s="33" t="n">
        <v>5</v>
      </c>
      <c r="E838" s="68" t="inlineStr">
        <is>
          <t>Network effects via Fabric + interconnection ecosystem + 30+ year customer relationships. Could argue 5 for network effects; quarterly review item per Dom 2026-05-18.</t>
        </is>
      </c>
      <c r="F838" s="68" t="inlineStr">
        <is>
          <t>Equinix Q1 2026 + 60% AI deals + 8/10 AI providers expanding (per-name research 2026-05-18)</t>
        </is>
      </c>
      <c r="G838" s="33" t="inlineStr">
        <is>
          <t>High</t>
        </is>
      </c>
      <c r="H838" s="33" t="inlineStr">
        <is>
          <t>Initial</t>
        </is>
      </c>
    </row>
    <row r="839">
      <c r="A839" s="33" t="inlineStr">
        <is>
          <t>2026-05-18</t>
        </is>
      </c>
      <c r="B839" s="33" t="inlineStr">
        <is>
          <t>EQIX</t>
        </is>
      </c>
      <c r="C839" s="33" t="inlineStr">
        <is>
          <t>D4</t>
        </is>
      </c>
      <c r="D839" s="33" t="n">
        <v>5</v>
      </c>
      <c r="E839" s="68" t="inlineStr">
        <is>
          <t>46 major projects across 32 markets; 6 xScale builds; 25% of 2026 capacity pre-sold; raised guide.</t>
        </is>
      </c>
      <c r="F839" s="68" t="inlineStr">
        <is>
          <t>Equinix Q1 2026 + 60% AI deals + 8/10 AI providers expanding (per-name research 2026-05-18)</t>
        </is>
      </c>
      <c r="G839" s="33" t="inlineStr">
        <is>
          <t>High</t>
        </is>
      </c>
      <c r="H839" s="33" t="inlineStr">
        <is>
          <t>Initial</t>
        </is>
      </c>
    </row>
    <row r="840">
      <c r="A840" s="33" t="inlineStr">
        <is>
          <t>2026-05-18</t>
        </is>
      </c>
      <c r="B840" s="33" t="inlineStr">
        <is>
          <t>EQIX</t>
        </is>
      </c>
      <c r="C840" s="33" t="inlineStr">
        <is>
          <t>D5</t>
        </is>
      </c>
      <c r="D840" s="33" t="n">
        <v>5</v>
      </c>
      <c r="E840" s="68" t="inlineStr">
        <is>
          <t>8 of top 10 AI model providers + 4 of top 5 neoclouds; multiple hyperscalers anchor.</t>
        </is>
      </c>
      <c r="F840" s="68" t="inlineStr">
        <is>
          <t>Equinix Q1 2026 + 60% AI deals + 8/10 AI providers expanding (per-name research 2026-05-18)</t>
        </is>
      </c>
      <c r="G840" s="33" t="inlineStr">
        <is>
          <t>High</t>
        </is>
      </c>
      <c r="H840" s="33" t="inlineStr">
        <is>
          <t>Initial</t>
        </is>
      </c>
    </row>
    <row r="841">
      <c r="A841" s="33" t="inlineStr">
        <is>
          <t>2026-05-18</t>
        </is>
      </c>
      <c r="B841" s="33" t="inlineStr">
        <is>
          <t>EQIX</t>
        </is>
      </c>
      <c r="C841" s="33" t="inlineStr">
        <is>
          <t>M1</t>
        </is>
      </c>
      <c r="D841" s="33" t="n">
        <v>4</v>
      </c>
      <c r="E841" s="68" t="inlineStr">
        <is>
          <t>4 up / 0 down on +1Y; FY revision +6.9%.</t>
        </is>
      </c>
      <c r="F841" s="68" t="inlineStr">
        <is>
          <t>Equinix Q1 2026 + 60% AI deals + 8/10 AI providers expanding (per-name research 2026-05-18)</t>
        </is>
      </c>
      <c r="G841" s="33" t="inlineStr">
        <is>
          <t>High</t>
        </is>
      </c>
      <c r="H841" s="33" t="inlineStr">
        <is>
          <t>Initial</t>
        </is>
      </c>
    </row>
    <row r="842">
      <c r="A842" s="33" t="inlineStr">
        <is>
          <t>2026-05-18</t>
        </is>
      </c>
      <c r="B842" s="33" t="inlineStr">
        <is>
          <t>EQIX</t>
        </is>
      </c>
      <c r="C842" s="33" t="inlineStr">
        <is>
          <t>M2</t>
        </is>
      </c>
      <c r="D842" s="33" t="n">
        <v>5</v>
      </c>
      <c r="E842" s="68" t="inlineStr">
        <is>
          <t>+30pp vs XLRE 180d.</t>
        </is>
      </c>
      <c r="F842" s="68" t="inlineStr">
        <is>
          <t>Equinix Q1 2026 + 60% AI deals + 8/10 AI providers expanding (per-name research 2026-05-18)</t>
        </is>
      </c>
      <c r="G842" s="33" t="inlineStr">
        <is>
          <t>High</t>
        </is>
      </c>
      <c r="H842" s="33" t="inlineStr">
        <is>
          <t>Initial</t>
        </is>
      </c>
    </row>
    <row r="843">
      <c r="A843" s="33" t="inlineStr">
        <is>
          <t>2026-05-18</t>
        </is>
      </c>
      <c r="B843" s="33" t="inlineStr">
        <is>
          <t>EQIX</t>
        </is>
      </c>
      <c r="C843" s="33" t="inlineStr">
        <is>
          <t>M3</t>
        </is>
      </c>
      <c r="D843" s="33" t="n">
        <v>3</v>
      </c>
      <c r="E843" s="68" t="inlineStr">
        <is>
          <t>Routine; default 3.</t>
        </is>
      </c>
      <c r="F843" s="68" t="inlineStr">
        <is>
          <t>Equinix Q1 2026 + 60% AI deals + 8/10 AI providers expanding (per-name research 2026-05-18)</t>
        </is>
      </c>
      <c r="G843" s="33" t="inlineStr">
        <is>
          <t>High</t>
        </is>
      </c>
      <c r="H843" s="33" t="inlineStr">
        <is>
          <t>Initial</t>
        </is>
      </c>
    </row>
    <row r="844">
      <c r="A844" s="33" t="inlineStr">
        <is>
          <t>2026-05-18</t>
        </is>
      </c>
      <c r="B844" s="33" t="inlineStr">
        <is>
          <t>EQIX</t>
        </is>
      </c>
      <c r="C844" s="33" t="inlineStr">
        <is>
          <t>R1</t>
        </is>
      </c>
      <c r="D844" s="33" t="n">
        <v>4</v>
      </c>
      <c r="E844" s="68" t="inlineStr">
        <is>
          <t>Diversified across 10,000+ customers.</t>
        </is>
      </c>
      <c r="F844" s="68" t="inlineStr">
        <is>
          <t>Equinix Q1 2026 + 60% AI deals + 8/10 AI providers expanding (per-name research 2026-05-18)</t>
        </is>
      </c>
      <c r="G844" s="33" t="inlineStr">
        <is>
          <t>High</t>
        </is>
      </c>
      <c r="H844" s="33" t="inlineStr">
        <is>
          <t>Initial</t>
        </is>
      </c>
    </row>
    <row r="845">
      <c r="A845" s="33" t="inlineStr">
        <is>
          <t>2026-05-18</t>
        </is>
      </c>
      <c r="B845" s="33" t="inlineStr">
        <is>
          <t>EQIX</t>
        </is>
      </c>
      <c r="C845" s="33" t="inlineStr">
        <is>
          <t>R2</t>
        </is>
      </c>
      <c r="D845" s="33" t="n">
        <v>4</v>
      </c>
      <c r="E845" s="68" t="inlineStr">
        <is>
          <t>Global.</t>
        </is>
      </c>
      <c r="F845" s="68" t="inlineStr">
        <is>
          <t>Equinix Q1 2026 + 60% AI deals + 8/10 AI providers expanding (per-name research 2026-05-18)</t>
        </is>
      </c>
      <c r="G845" s="33" t="inlineStr">
        <is>
          <t>High</t>
        </is>
      </c>
      <c r="H845" s="33" t="inlineStr">
        <is>
          <t>Initial</t>
        </is>
      </c>
    </row>
    <row r="846">
      <c r="A846" s="33" t="inlineStr">
        <is>
          <t>2026-05-18</t>
        </is>
      </c>
      <c r="B846" s="33" t="inlineStr">
        <is>
          <t>EQIX</t>
        </is>
      </c>
      <c r="C846" s="33" t="inlineStr">
        <is>
          <t>R3</t>
        </is>
      </c>
      <c r="D846" s="33" t="n">
        <v>3</v>
      </c>
      <c r="E846" s="68" t="inlineStr">
        <is>
          <t>ND/EBITDA 5.1x — typical REIT.</t>
        </is>
      </c>
      <c r="F846" s="68" t="inlineStr">
        <is>
          <t>Equinix Q1 2026 + 60% AI deals + 8/10 AI providers expanding (per-name research 2026-05-18)</t>
        </is>
      </c>
      <c r="G846" s="33" t="inlineStr">
        <is>
          <t>High</t>
        </is>
      </c>
      <c r="H846" s="33" t="inlineStr">
        <is>
          <t>Initial</t>
        </is>
      </c>
    </row>
    <row r="847">
      <c r="A847" s="33" t="inlineStr">
        <is>
          <t>2026-05-18</t>
        </is>
      </c>
      <c r="B847" s="33" t="inlineStr">
        <is>
          <t>EQIX</t>
        </is>
      </c>
      <c r="C847" s="33" t="inlineStr">
        <is>
          <t>R4</t>
        </is>
      </c>
      <c r="D847" s="33" t="n">
        <v>4</v>
      </c>
      <c r="E847" s="68" t="inlineStr">
        <is>
          <t>Routine.</t>
        </is>
      </c>
      <c r="F847" s="68" t="inlineStr">
        <is>
          <t>Equinix Q1 2026 + 60% AI deals + 8/10 AI providers expanding (per-name research 2026-05-18)</t>
        </is>
      </c>
      <c r="G847" s="33" t="inlineStr">
        <is>
          <t>High</t>
        </is>
      </c>
      <c r="H847" s="33" t="inlineStr">
        <is>
          <t>Initial</t>
        </is>
      </c>
    </row>
    <row r="848">
      <c r="A848" s="33" t="inlineStr">
        <is>
          <t>2026-05-18</t>
        </is>
      </c>
      <c r="B848" s="33" t="inlineStr">
        <is>
          <t>IRM</t>
        </is>
      </c>
      <c r="C848" s="33" t="inlineStr">
        <is>
          <t>D1</t>
        </is>
      </c>
      <c r="D848" s="33" t="n">
        <v>4</v>
      </c>
      <c r="E848" s="68" t="inlineStr">
        <is>
          <t>Data center revenue +47% YoY; 22 MW Q1 leases + 10 MW Amsterdam; ~25%+ segment growth target.</t>
        </is>
      </c>
      <c r="F848" s="68" t="inlineStr">
        <is>
          <t>Iron Mountain Q1 2026 + DC +47% + 1.4 GW developable (per-name research 2026-05-18)</t>
        </is>
      </c>
      <c r="G848" s="33" t="inlineStr">
        <is>
          <t>High</t>
        </is>
      </c>
      <c r="H848" s="33" t="inlineStr">
        <is>
          <t>Initial</t>
        </is>
      </c>
    </row>
    <row r="849">
      <c r="A849" s="33" t="inlineStr">
        <is>
          <t>2026-05-18</t>
        </is>
      </c>
      <c r="B849" s="33" t="inlineStr">
        <is>
          <t>IRM</t>
        </is>
      </c>
      <c r="C849" s="33" t="inlineStr">
        <is>
          <t>D2</t>
        </is>
      </c>
      <c r="D849" s="33" t="n">
        <v>3</v>
      </c>
      <c r="E849" s="68" t="inlineStr">
        <is>
          <t>Smaller DC REIT; pivot from storage to data center underway; mid-tier vs DLR/EQIX scale.</t>
        </is>
      </c>
      <c r="F849" s="68" t="inlineStr">
        <is>
          <t>Iron Mountain Q1 2026 + DC +47% + 1.4 GW developable (per-name research 2026-05-18)</t>
        </is>
      </c>
      <c r="G849" s="33" t="inlineStr">
        <is>
          <t>High</t>
        </is>
      </c>
      <c r="H849" s="33" t="inlineStr">
        <is>
          <t>Initial</t>
        </is>
      </c>
    </row>
    <row r="850">
      <c r="A850" s="33" t="inlineStr">
        <is>
          <t>2026-05-18</t>
        </is>
      </c>
      <c r="B850" s="33" t="inlineStr">
        <is>
          <t>IRM</t>
        </is>
      </c>
      <c r="C850" s="33" t="inlineStr">
        <is>
          <t>D3</t>
        </is>
      </c>
      <c r="D850" s="33" t="n">
        <v>3</v>
      </c>
      <c r="E850" s="68" t="inlineStr">
        <is>
          <t>Brand from storage business + 1.4 GW developable capacity. Mid-tier moat.</t>
        </is>
      </c>
      <c r="F850" s="68" t="inlineStr">
        <is>
          <t>Iron Mountain Q1 2026 + DC +47% + 1.4 GW developable (per-name research 2026-05-18)</t>
        </is>
      </c>
      <c r="G850" s="33" t="inlineStr">
        <is>
          <t>High</t>
        </is>
      </c>
      <c r="H850" s="33" t="inlineStr">
        <is>
          <t>Initial</t>
        </is>
      </c>
    </row>
    <row r="851">
      <c r="A851" s="33" t="inlineStr">
        <is>
          <t>2026-05-18</t>
        </is>
      </c>
      <c r="B851" s="33" t="inlineStr">
        <is>
          <t>IRM</t>
        </is>
      </c>
      <c r="C851" s="33" t="inlineStr">
        <is>
          <t>D4</t>
        </is>
      </c>
      <c r="D851" s="33" t="n">
        <v>5</v>
      </c>
      <c r="E851" s="68" t="inlineStr">
        <is>
          <t>1.4 GW developable + 400 MW energizing in 24 months + 100 MW lease target. Strong pipeline.</t>
        </is>
      </c>
      <c r="F851" s="68" t="inlineStr">
        <is>
          <t>Iron Mountain Q1 2026 + DC +47% + 1.4 GW developable (per-name research 2026-05-18)</t>
        </is>
      </c>
      <c r="G851" s="33" t="inlineStr">
        <is>
          <t>High</t>
        </is>
      </c>
      <c r="H851" s="33" t="inlineStr">
        <is>
          <t>Initial</t>
        </is>
      </c>
    </row>
    <row r="852">
      <c r="A852" s="33" t="inlineStr">
        <is>
          <t>2026-05-18</t>
        </is>
      </c>
      <c r="B852" s="33" t="inlineStr">
        <is>
          <t>IRM</t>
        </is>
      </c>
      <c r="C852" s="33" t="inlineStr">
        <is>
          <t>D5</t>
        </is>
      </c>
      <c r="D852" s="33" t="n">
        <v>4</v>
      </c>
      <c r="E852" s="68" t="inlineStr">
        <is>
          <t>10-15 year hyperscaler durations; pre-leased model.</t>
        </is>
      </c>
      <c r="F852" s="68" t="inlineStr">
        <is>
          <t>Iron Mountain Q1 2026 + DC +47% + 1.4 GW developable (per-name research 2026-05-18)</t>
        </is>
      </c>
      <c r="G852" s="33" t="inlineStr">
        <is>
          <t>High</t>
        </is>
      </c>
      <c r="H852" s="33" t="inlineStr">
        <is>
          <t>Initial</t>
        </is>
      </c>
    </row>
    <row r="853">
      <c r="A853" s="33" t="inlineStr">
        <is>
          <t>2026-05-18</t>
        </is>
      </c>
      <c r="B853" s="33" t="inlineStr">
        <is>
          <t>IRM</t>
        </is>
      </c>
      <c r="C853" s="33" t="inlineStr">
        <is>
          <t>M1</t>
        </is>
      </c>
      <c r="D853" s="33" t="n">
        <v>4</v>
      </c>
      <c r="E853" s="68" t="inlineStr">
        <is>
          <t>6 up / 0 down on +1Y; FY revision +7.4%.</t>
        </is>
      </c>
      <c r="F853" s="68" t="inlineStr">
        <is>
          <t>Iron Mountain Q1 2026 + DC +47% + 1.4 GW developable (per-name research 2026-05-18)</t>
        </is>
      </c>
      <c r="G853" s="33" t="inlineStr">
        <is>
          <t>High</t>
        </is>
      </c>
      <c r="H853" s="33" t="inlineStr">
        <is>
          <t>Initial</t>
        </is>
      </c>
    </row>
    <row r="854">
      <c r="A854" s="33" t="inlineStr">
        <is>
          <t>2026-05-18</t>
        </is>
      </c>
      <c r="B854" s="33" t="inlineStr">
        <is>
          <t>IRM</t>
        </is>
      </c>
      <c r="C854" s="33" t="inlineStr">
        <is>
          <t>M2</t>
        </is>
      </c>
      <c r="D854" s="33" t="n">
        <v>5</v>
      </c>
      <c r="E854" s="68" t="inlineStr">
        <is>
          <t>+36pp vs XLRE 180d.</t>
        </is>
      </c>
      <c r="F854" s="68" t="inlineStr">
        <is>
          <t>Iron Mountain Q1 2026 + DC +47% + 1.4 GW developable (per-name research 2026-05-18)</t>
        </is>
      </c>
      <c r="G854" s="33" t="inlineStr">
        <is>
          <t>High</t>
        </is>
      </c>
      <c r="H854" s="33" t="inlineStr">
        <is>
          <t>Initial</t>
        </is>
      </c>
    </row>
    <row r="855">
      <c r="A855" s="33" t="inlineStr">
        <is>
          <t>2026-05-18</t>
        </is>
      </c>
      <c r="B855" s="33" t="inlineStr">
        <is>
          <t>IRM</t>
        </is>
      </c>
      <c r="C855" s="33" t="inlineStr">
        <is>
          <t>M3</t>
        </is>
      </c>
      <c r="D855" s="33" t="n">
        <v>3</v>
      </c>
      <c r="E855" s="68" t="inlineStr">
        <is>
          <t>Routine; default 3.</t>
        </is>
      </c>
      <c r="F855" s="68" t="inlineStr">
        <is>
          <t>Iron Mountain Q1 2026 + DC +47% + 1.4 GW developable (per-name research 2026-05-18)</t>
        </is>
      </c>
      <c r="G855" s="33" t="inlineStr">
        <is>
          <t>High</t>
        </is>
      </c>
      <c r="H855" s="33" t="inlineStr">
        <is>
          <t>Initial</t>
        </is>
      </c>
    </row>
    <row r="856">
      <c r="A856" s="33" t="inlineStr">
        <is>
          <t>2026-05-18</t>
        </is>
      </c>
      <c r="B856" s="33" t="inlineStr">
        <is>
          <t>IRM</t>
        </is>
      </c>
      <c r="C856" s="33" t="inlineStr">
        <is>
          <t>R1</t>
        </is>
      </c>
      <c r="D856" s="33" t="n">
        <v>4</v>
      </c>
      <c r="E856" s="68" t="inlineStr">
        <is>
          <t>Diversified across storage + DC customer base.</t>
        </is>
      </c>
      <c r="F856" s="68" t="inlineStr">
        <is>
          <t>Iron Mountain Q1 2026 + DC +47% + 1.4 GW developable (per-name research 2026-05-18)</t>
        </is>
      </c>
      <c r="G856" s="33" t="inlineStr">
        <is>
          <t>High</t>
        </is>
      </c>
      <c r="H856" s="33" t="inlineStr">
        <is>
          <t>Initial</t>
        </is>
      </c>
    </row>
    <row r="857">
      <c r="A857" s="33" t="inlineStr">
        <is>
          <t>2026-05-18</t>
        </is>
      </c>
      <c r="B857" s="33" t="inlineStr">
        <is>
          <t>IRM</t>
        </is>
      </c>
      <c r="C857" s="33" t="inlineStr">
        <is>
          <t>R2</t>
        </is>
      </c>
      <c r="D857" s="33" t="n">
        <v>4</v>
      </c>
      <c r="E857" s="68" t="inlineStr">
        <is>
          <t>Global.</t>
        </is>
      </c>
      <c r="F857" s="68" t="inlineStr">
        <is>
          <t>Iron Mountain Q1 2026 + DC +47% + 1.4 GW developable (per-name research 2026-05-18)</t>
        </is>
      </c>
      <c r="G857" s="33" t="inlineStr">
        <is>
          <t>High</t>
        </is>
      </c>
      <c r="H857" s="33" t="inlineStr">
        <is>
          <t>Initial</t>
        </is>
      </c>
    </row>
    <row r="858">
      <c r="A858" s="33" t="inlineStr">
        <is>
          <t>2026-05-18</t>
        </is>
      </c>
      <c r="B858" s="33" t="inlineStr">
        <is>
          <t>IRM</t>
        </is>
      </c>
      <c r="C858" s="33" t="inlineStr">
        <is>
          <t>R3</t>
        </is>
      </c>
      <c r="D858" s="33" t="n">
        <v>2</v>
      </c>
      <c r="E858" s="68" t="inlineStr">
        <is>
          <t>ND/EBITDA 7.9x — high; REIT leverage but at the upper end. Quarterly review item per Dom 2026-05-18.</t>
        </is>
      </c>
      <c r="F858" s="68" t="inlineStr">
        <is>
          <t>Iron Mountain Q1 2026 + DC +47% + 1.4 GW developable (per-name research 2026-05-18)</t>
        </is>
      </c>
      <c r="G858" s="33" t="inlineStr">
        <is>
          <t>High</t>
        </is>
      </c>
      <c r="H858" s="33" t="inlineStr">
        <is>
          <t>Initial</t>
        </is>
      </c>
    </row>
    <row r="859">
      <c r="A859" s="33" t="inlineStr">
        <is>
          <t>2026-05-18</t>
        </is>
      </c>
      <c r="B859" s="33" t="inlineStr">
        <is>
          <t>IRM</t>
        </is>
      </c>
      <c r="C859" s="33" t="inlineStr">
        <is>
          <t>R4</t>
        </is>
      </c>
      <c r="D859" s="33" t="n">
        <v>4</v>
      </c>
      <c r="E859" s="68" t="inlineStr">
        <is>
          <t>Routine.</t>
        </is>
      </c>
      <c r="F859" s="68" t="inlineStr">
        <is>
          <t>Iron Mountain Q1 2026 + DC +47% + 1.4 GW developable (per-name research 2026-05-18)</t>
        </is>
      </c>
      <c r="G859" s="33" t="inlineStr">
        <is>
          <t>High</t>
        </is>
      </c>
      <c r="H859" s="33" t="inlineStr">
        <is>
          <t>Initial</t>
        </is>
      </c>
    </row>
    <row r="860">
      <c r="A860" s="33" t="inlineStr">
        <is>
          <t>2026-05-18</t>
        </is>
      </c>
      <c r="B860" s="33" t="inlineStr">
        <is>
          <t>FIX</t>
        </is>
      </c>
      <c r="C860" s="33" t="inlineStr">
        <is>
          <t>D1</t>
        </is>
      </c>
      <c r="D860" s="33" t="n">
        <v>5</v>
      </c>
      <c r="E860" s="68" t="inlineStr">
        <is>
          <t>45% of revenue from data centers (2025); ~50%+ trajectory with 109% backlog growth driven by hyperscalers. Crosses rubric &gt;50% threshold structurally.</t>
        </is>
      </c>
      <c r="F860" s="68" t="inlineStr">
        <is>
          <t>Comfort Systems Q1 2026 + $15B backlog +109% + 45% DC revenue (per-name research 2026-05-18)</t>
        </is>
      </c>
      <c r="G860" s="33" t="inlineStr">
        <is>
          <t>High</t>
        </is>
      </c>
      <c r="H860" s="33" t="inlineStr">
        <is>
          <t>Initial</t>
        </is>
      </c>
    </row>
    <row r="861">
      <c r="A861" s="33" t="inlineStr">
        <is>
          <t>2026-05-18</t>
        </is>
      </c>
      <c r="B861" s="33" t="inlineStr">
        <is>
          <t>FIX</t>
        </is>
      </c>
      <c r="C861" s="33" t="inlineStr">
        <is>
          <t>D2</t>
        </is>
      </c>
      <c r="D861" s="33" t="n">
        <v>4</v>
      </c>
      <c r="E861" s="68" t="inlineStr">
        <is>
          <t>Major mechanical/electrical contractor; multiple peer-level competitors (EME, etc.) but executes for every major hyperscaler.</t>
        </is>
      </c>
      <c r="F861" s="68" t="inlineStr">
        <is>
          <t>Comfort Systems Q1 2026 + $15B backlog +109% + 45% DC revenue (per-name research 2026-05-18)</t>
        </is>
      </c>
      <c r="G861" s="33" t="inlineStr">
        <is>
          <t>High</t>
        </is>
      </c>
      <c r="H861" s="33" t="inlineStr">
        <is>
          <t>Initial</t>
        </is>
      </c>
    </row>
    <row r="862">
      <c r="A862" s="33" t="inlineStr">
        <is>
          <t>2026-05-18</t>
        </is>
      </c>
      <c r="B862" s="33" t="inlineStr">
        <is>
          <t>FIX</t>
        </is>
      </c>
      <c r="C862" s="33" t="inlineStr">
        <is>
          <t>D3</t>
        </is>
      </c>
      <c r="D862" s="33" t="n">
        <v>4</v>
      </c>
      <c r="E862" s="68" t="inlineStr">
        <is>
          <t>Workforce scale + safety record + multi-decade hyperscaler relationships. Not 5 because services are competitive at the bid level.</t>
        </is>
      </c>
      <c r="F862" s="68" t="inlineStr">
        <is>
          <t>Comfort Systems Q1 2026 + $15B backlog +109% + 45% DC revenue (per-name research 2026-05-18)</t>
        </is>
      </c>
      <c r="G862" s="33" t="inlineStr">
        <is>
          <t>High</t>
        </is>
      </c>
      <c r="H862" s="33" t="inlineStr">
        <is>
          <t>Initial</t>
        </is>
      </c>
    </row>
    <row r="863">
      <c r="A863" s="33" t="inlineStr">
        <is>
          <t>2026-05-18</t>
        </is>
      </c>
      <c r="B863" s="33" t="inlineStr">
        <is>
          <t>FIX</t>
        </is>
      </c>
      <c r="C863" s="33" t="inlineStr">
        <is>
          <t>D4</t>
        </is>
      </c>
      <c r="D863" s="33" t="n">
        <v>5</v>
      </c>
      <c r="E863" s="68" t="inlineStr">
        <is>
          <t>$15.0B backlog (+109% YoY); 51% organic growth; doubled DC exposure.</t>
        </is>
      </c>
      <c r="F863" s="68" t="inlineStr">
        <is>
          <t>Comfort Systems Q1 2026 + $15B backlog +109% + 45% DC revenue (per-name research 2026-05-18)</t>
        </is>
      </c>
      <c r="G863" s="33" t="inlineStr">
        <is>
          <t>High</t>
        </is>
      </c>
      <c r="H863" s="33" t="inlineStr">
        <is>
          <t>Initial</t>
        </is>
      </c>
    </row>
    <row r="864">
      <c r="A864" s="33" t="inlineStr">
        <is>
          <t>2026-05-18</t>
        </is>
      </c>
      <c r="B864" s="33" t="inlineStr">
        <is>
          <t>FIX</t>
        </is>
      </c>
      <c r="C864" s="33" t="inlineStr">
        <is>
          <t>D5</t>
        </is>
      </c>
      <c r="D864" s="33" t="n">
        <v>5</v>
      </c>
      <c r="E864" s="68" t="inlineStr">
        <is>
          <t>'Pouring concrete for every hyperscaler' per industry framing; multiple hyperscaler anchor relationships.</t>
        </is>
      </c>
      <c r="F864" s="68" t="inlineStr">
        <is>
          <t>Comfort Systems Q1 2026 + $15B backlog +109% + 45% DC revenue (per-name research 2026-05-18)</t>
        </is>
      </c>
      <c r="G864" s="33" t="inlineStr">
        <is>
          <t>High</t>
        </is>
      </c>
      <c r="H864" s="33" t="inlineStr">
        <is>
          <t>Initial</t>
        </is>
      </c>
    </row>
    <row r="865">
      <c r="A865" s="33" t="inlineStr">
        <is>
          <t>2026-05-18</t>
        </is>
      </c>
      <c r="B865" s="33" t="inlineStr">
        <is>
          <t>FIX</t>
        </is>
      </c>
      <c r="C865" s="33" t="inlineStr">
        <is>
          <t>M1</t>
        </is>
      </c>
      <c r="D865" s="33" t="n">
        <v>5</v>
      </c>
      <c r="E865" s="68" t="inlineStr">
        <is>
          <t>6 up / 0 down on +1Y; FY revision +39%. Textbook beat-and-raise.</t>
        </is>
      </c>
      <c r="F865" s="68" t="inlineStr">
        <is>
          <t>Comfort Systems Q1 2026 + $15B backlog +109% + 45% DC revenue (per-name research 2026-05-18)</t>
        </is>
      </c>
      <c r="G865" s="33" t="inlineStr">
        <is>
          <t>High</t>
        </is>
      </c>
      <c r="H865" s="33" t="inlineStr">
        <is>
          <t>Initial</t>
        </is>
      </c>
    </row>
    <row r="866">
      <c r="A866" s="33" t="inlineStr">
        <is>
          <t>2026-05-18</t>
        </is>
      </c>
      <c r="B866" s="33" t="inlineStr">
        <is>
          <t>FIX</t>
        </is>
      </c>
      <c r="C866" s="33" t="inlineStr">
        <is>
          <t>M2</t>
        </is>
      </c>
      <c r="D866" s="33" t="n">
        <v>5</v>
      </c>
      <c r="E866" s="68" t="inlineStr">
        <is>
          <t>+85pp vs XLI 180d — extreme outperformance.</t>
        </is>
      </c>
      <c r="F866" s="68" t="inlineStr">
        <is>
          <t>Comfort Systems Q1 2026 + $15B backlog +109% + 45% DC revenue (per-name research 2026-05-18)</t>
        </is>
      </c>
      <c r="G866" s="33" t="inlineStr">
        <is>
          <t>High</t>
        </is>
      </c>
      <c r="H866" s="33" t="inlineStr">
        <is>
          <t>Initial</t>
        </is>
      </c>
    </row>
    <row r="867">
      <c r="A867" s="33" t="inlineStr">
        <is>
          <t>2026-05-18</t>
        </is>
      </c>
      <c r="B867" s="33" t="inlineStr">
        <is>
          <t>FIX</t>
        </is>
      </c>
      <c r="C867" s="33" t="inlineStr">
        <is>
          <t>M3</t>
        </is>
      </c>
      <c r="D867" s="33" t="n">
        <v>3</v>
      </c>
      <c r="E867" s="68" t="inlineStr">
        <is>
          <t>Routine; default 3.</t>
        </is>
      </c>
      <c r="F867" s="68" t="inlineStr">
        <is>
          <t>Comfort Systems Q1 2026 + $15B backlog +109% + 45% DC revenue (per-name research 2026-05-18)</t>
        </is>
      </c>
      <c r="G867" s="33" t="inlineStr">
        <is>
          <t>High</t>
        </is>
      </c>
      <c r="H867" s="33" t="inlineStr">
        <is>
          <t>Initial</t>
        </is>
      </c>
    </row>
    <row r="868">
      <c r="A868" s="33" t="inlineStr">
        <is>
          <t>2026-05-18</t>
        </is>
      </c>
      <c r="B868" s="33" t="inlineStr">
        <is>
          <t>FIX</t>
        </is>
      </c>
      <c r="C868" s="33" t="inlineStr">
        <is>
          <t>R1</t>
        </is>
      </c>
      <c r="D868" s="33" t="n">
        <v>5</v>
      </c>
      <c r="E868" s="68" t="inlineStr">
        <is>
          <t>Diversified hyperscaler + general contractor work.</t>
        </is>
      </c>
      <c r="F868" s="68" t="inlineStr">
        <is>
          <t>Comfort Systems Q1 2026 + $15B backlog +109% + 45% DC revenue (per-name research 2026-05-18)</t>
        </is>
      </c>
      <c r="G868" s="33" t="inlineStr">
        <is>
          <t>High</t>
        </is>
      </c>
      <c r="H868" s="33" t="inlineStr">
        <is>
          <t>Initial</t>
        </is>
      </c>
    </row>
    <row r="869">
      <c r="A869" s="33" t="inlineStr">
        <is>
          <t>2026-05-18</t>
        </is>
      </c>
      <c r="B869" s="33" t="inlineStr">
        <is>
          <t>FIX</t>
        </is>
      </c>
      <c r="C869" s="33" t="inlineStr">
        <is>
          <t>R2</t>
        </is>
      </c>
      <c r="D869" s="33" t="n">
        <v>5</v>
      </c>
      <c r="E869" s="68" t="inlineStr">
        <is>
          <t>US-focused.</t>
        </is>
      </c>
      <c r="F869" s="68" t="inlineStr">
        <is>
          <t>Comfort Systems Q1 2026 + $15B backlog +109% + 45% DC revenue (per-name research 2026-05-18)</t>
        </is>
      </c>
      <c r="G869" s="33" t="inlineStr">
        <is>
          <t>High</t>
        </is>
      </c>
      <c r="H869" s="33" t="inlineStr">
        <is>
          <t>Initial</t>
        </is>
      </c>
    </row>
    <row r="870">
      <c r="A870" s="33" t="inlineStr">
        <is>
          <t>2026-05-18</t>
        </is>
      </c>
      <c r="B870" s="33" t="inlineStr">
        <is>
          <t>FIX</t>
        </is>
      </c>
      <c r="C870" s="33" t="inlineStr">
        <is>
          <t>R3</t>
        </is>
      </c>
      <c r="D870" s="33" t="n">
        <v>4</v>
      </c>
      <c r="E870" s="68" t="inlineStr">
        <is>
          <t>ND/EBITDA 0.1x — essentially net cash. Strong.</t>
        </is>
      </c>
      <c r="F870" s="68" t="inlineStr">
        <is>
          <t>Comfort Systems Q1 2026 + $15B backlog +109% + 45% DC revenue (per-name research 2026-05-18)</t>
        </is>
      </c>
      <c r="G870" s="33" t="inlineStr">
        <is>
          <t>High</t>
        </is>
      </c>
      <c r="H870" s="33" t="inlineStr">
        <is>
          <t>Initial</t>
        </is>
      </c>
    </row>
    <row r="871">
      <c r="A871" s="33" t="inlineStr">
        <is>
          <t>2026-05-18</t>
        </is>
      </c>
      <c r="B871" s="33" t="inlineStr">
        <is>
          <t>FIX</t>
        </is>
      </c>
      <c r="C871" s="33" t="inlineStr">
        <is>
          <t>R4</t>
        </is>
      </c>
      <c r="D871" s="33" t="n">
        <v>4</v>
      </c>
      <c r="E871" s="68" t="inlineStr">
        <is>
          <t>Routine.</t>
        </is>
      </c>
      <c r="F871" s="68" t="inlineStr">
        <is>
          <t>Comfort Systems Q1 2026 + $15B backlog +109% + 45% DC revenue (per-name research 2026-05-18)</t>
        </is>
      </c>
      <c r="G871" s="33" t="inlineStr">
        <is>
          <t>High</t>
        </is>
      </c>
      <c r="H871" s="33" t="inlineStr">
        <is>
          <t>Initial</t>
        </is>
      </c>
    </row>
    <row r="872">
      <c r="A872" s="33" t="inlineStr">
        <is>
          <t>2026-05-18</t>
        </is>
      </c>
      <c r="B872" s="33" t="inlineStr">
        <is>
          <t>EME</t>
        </is>
      </c>
      <c r="C872" s="33" t="inlineStr">
        <is>
          <t>D1</t>
        </is>
      </c>
      <c r="D872" s="33" t="n">
        <v>4</v>
      </c>
      <c r="E872" s="68" t="inlineStr">
        <is>
          <t>Combined construction +30.6% (electrical +33%, mechanical +29%); AI/cloud DCs explicit driver. Per share of revenue ~30%+.</t>
        </is>
      </c>
      <c r="F872" s="68" t="inlineStr">
        <is>
          <t>EMCOR Q1 2026 + $15.62B backlog +33% + AI/cloud DC driver (per-name research 2026-05-18)</t>
        </is>
      </c>
      <c r="G872" s="33" t="inlineStr">
        <is>
          <t>High</t>
        </is>
      </c>
      <c r="H872" s="33" t="inlineStr">
        <is>
          <t>Initial</t>
        </is>
      </c>
    </row>
    <row r="873">
      <c r="A873" s="33" t="inlineStr">
        <is>
          <t>2026-05-18</t>
        </is>
      </c>
      <c r="B873" s="33" t="inlineStr">
        <is>
          <t>EME</t>
        </is>
      </c>
      <c r="C873" s="33" t="inlineStr">
        <is>
          <t>D2</t>
        </is>
      </c>
      <c r="D873" s="33" t="n">
        <v>4</v>
      </c>
      <c r="E873" s="68" t="inlineStr">
        <is>
          <t>Premier electrical + mechanical contractor for data center construction.</t>
        </is>
      </c>
      <c r="F873" s="68" t="inlineStr">
        <is>
          <t>EMCOR Q1 2026 + $15.62B backlog +33% + AI/cloud DC driver (per-name research 2026-05-18)</t>
        </is>
      </c>
      <c r="G873" s="33" t="inlineStr">
        <is>
          <t>High</t>
        </is>
      </c>
      <c r="H873" s="33" t="inlineStr">
        <is>
          <t>Initial</t>
        </is>
      </c>
    </row>
    <row r="874">
      <c r="A874" s="33" t="inlineStr">
        <is>
          <t>2026-05-18</t>
        </is>
      </c>
      <c r="B874" s="33" t="inlineStr">
        <is>
          <t>EME</t>
        </is>
      </c>
      <c r="C874" s="33" t="inlineStr">
        <is>
          <t>D3</t>
        </is>
      </c>
      <c r="D874" s="33" t="n">
        <v>4</v>
      </c>
      <c r="E874" s="68" t="inlineStr">
        <is>
          <t>Workforce + reputation + multi-decade relationships.</t>
        </is>
      </c>
      <c r="F874" s="68" t="inlineStr">
        <is>
          <t>EMCOR Q1 2026 + $15.62B backlog +33% + AI/cloud DC driver (per-name research 2026-05-18)</t>
        </is>
      </c>
      <c r="G874" s="33" t="inlineStr">
        <is>
          <t>High</t>
        </is>
      </c>
      <c r="H874" s="33" t="inlineStr">
        <is>
          <t>Initial</t>
        </is>
      </c>
    </row>
    <row r="875">
      <c r="A875" s="33" t="inlineStr">
        <is>
          <t>2026-05-18</t>
        </is>
      </c>
      <c r="B875" s="33" t="inlineStr">
        <is>
          <t>EME</t>
        </is>
      </c>
      <c r="C875" s="33" t="inlineStr">
        <is>
          <t>D4</t>
        </is>
      </c>
      <c r="D875" s="33" t="n">
        <v>5</v>
      </c>
      <c r="E875" s="68" t="inlineStr">
        <is>
          <t>$15.62B backlog (+33% YoY); raised 2026 EPS guide to $28.25-29.75.</t>
        </is>
      </c>
      <c r="F875" s="68" t="inlineStr">
        <is>
          <t>EMCOR Q1 2026 + $15.62B backlog +33% + AI/cloud DC driver (per-name research 2026-05-18)</t>
        </is>
      </c>
      <c r="G875" s="33" t="inlineStr">
        <is>
          <t>High</t>
        </is>
      </c>
      <c r="H875" s="33" t="inlineStr">
        <is>
          <t>Initial</t>
        </is>
      </c>
    </row>
    <row r="876">
      <c r="A876" s="33" t="inlineStr">
        <is>
          <t>2026-05-18</t>
        </is>
      </c>
      <c r="B876" s="33" t="inlineStr">
        <is>
          <t>EME</t>
        </is>
      </c>
      <c r="C876" s="33" t="inlineStr">
        <is>
          <t>D5</t>
        </is>
      </c>
      <c r="D876" s="33" t="n">
        <v>4</v>
      </c>
      <c r="E876" s="68" t="inlineStr">
        <is>
          <t>Hyperscaler customers via DC general contracting.</t>
        </is>
      </c>
      <c r="F876" s="68" t="inlineStr">
        <is>
          <t>EMCOR Q1 2026 + $15.62B backlog +33% + AI/cloud DC driver (per-name research 2026-05-18)</t>
        </is>
      </c>
      <c r="G876" s="33" t="inlineStr">
        <is>
          <t>High</t>
        </is>
      </c>
      <c r="H876" s="33" t="inlineStr">
        <is>
          <t>Initial</t>
        </is>
      </c>
    </row>
    <row r="877">
      <c r="A877" s="33" t="inlineStr">
        <is>
          <t>2026-05-18</t>
        </is>
      </c>
      <c r="B877" s="33" t="inlineStr">
        <is>
          <t>EME</t>
        </is>
      </c>
      <c r="C877" s="33" t="inlineStr">
        <is>
          <t>M1</t>
        </is>
      </c>
      <c r="D877" s="33" t="n">
        <v>5</v>
      </c>
      <c r="E877" s="68" t="inlineStr">
        <is>
          <t>6 up / 0 down on +1Y; FY revision +5.5%; raised guide.</t>
        </is>
      </c>
      <c r="F877" s="68" t="inlineStr">
        <is>
          <t>EMCOR Q1 2026 + $15.62B backlog +33% + AI/cloud DC driver (per-name research 2026-05-18)</t>
        </is>
      </c>
      <c r="G877" s="33" t="inlineStr">
        <is>
          <t>High</t>
        </is>
      </c>
      <c r="H877" s="33" t="inlineStr">
        <is>
          <t>Initial</t>
        </is>
      </c>
    </row>
    <row r="878">
      <c r="A878" s="33" t="inlineStr">
        <is>
          <t>2026-05-18</t>
        </is>
      </c>
      <c r="B878" s="33" t="inlineStr">
        <is>
          <t>EME</t>
        </is>
      </c>
      <c r="C878" s="33" t="inlineStr">
        <is>
          <t>M2</t>
        </is>
      </c>
      <c r="D878" s="33" t="n">
        <v>5</v>
      </c>
      <c r="E878" s="68" t="inlineStr">
        <is>
          <t>+31pp vs XLI 180d.</t>
        </is>
      </c>
      <c r="F878" s="68" t="inlineStr">
        <is>
          <t>EMCOR Q1 2026 + $15.62B backlog +33% + AI/cloud DC driver (per-name research 2026-05-18)</t>
        </is>
      </c>
      <c r="G878" s="33" t="inlineStr">
        <is>
          <t>High</t>
        </is>
      </c>
      <c r="H878" s="33" t="inlineStr">
        <is>
          <t>Initial</t>
        </is>
      </c>
    </row>
    <row r="879">
      <c r="A879" s="33" t="inlineStr">
        <is>
          <t>2026-05-18</t>
        </is>
      </c>
      <c r="B879" s="33" t="inlineStr">
        <is>
          <t>EME</t>
        </is>
      </c>
      <c r="C879" s="33" t="inlineStr">
        <is>
          <t>M3</t>
        </is>
      </c>
      <c r="D879" s="33" t="n">
        <v>3</v>
      </c>
      <c r="E879" s="68" t="inlineStr">
        <is>
          <t>Routine; default 3.</t>
        </is>
      </c>
      <c r="F879" s="68" t="inlineStr">
        <is>
          <t>EMCOR Q1 2026 + $15.62B backlog +33% + AI/cloud DC driver (per-name research 2026-05-18)</t>
        </is>
      </c>
      <c r="G879" s="33" t="inlineStr">
        <is>
          <t>High</t>
        </is>
      </c>
      <c r="H879" s="33" t="inlineStr">
        <is>
          <t>Initial</t>
        </is>
      </c>
    </row>
    <row r="880">
      <c r="A880" s="33" t="inlineStr">
        <is>
          <t>2026-05-18</t>
        </is>
      </c>
      <c r="B880" s="33" t="inlineStr">
        <is>
          <t>EME</t>
        </is>
      </c>
      <c r="C880" s="33" t="inlineStr">
        <is>
          <t>R1</t>
        </is>
      </c>
      <c r="D880" s="33" t="n">
        <v>5</v>
      </c>
      <c r="E880" s="68" t="inlineStr">
        <is>
          <t>Diversified.</t>
        </is>
      </c>
      <c r="F880" s="68" t="inlineStr">
        <is>
          <t>EMCOR Q1 2026 + $15.62B backlog +33% + AI/cloud DC driver (per-name research 2026-05-18)</t>
        </is>
      </c>
      <c r="G880" s="33" t="inlineStr">
        <is>
          <t>High</t>
        </is>
      </c>
      <c r="H880" s="33" t="inlineStr">
        <is>
          <t>Initial</t>
        </is>
      </c>
    </row>
    <row r="881">
      <c r="A881" s="33" t="inlineStr">
        <is>
          <t>2026-05-18</t>
        </is>
      </c>
      <c r="B881" s="33" t="inlineStr">
        <is>
          <t>EME</t>
        </is>
      </c>
      <c r="C881" s="33" t="inlineStr">
        <is>
          <t>R2</t>
        </is>
      </c>
      <c r="D881" s="33" t="n">
        <v>5</v>
      </c>
      <c r="E881" s="68" t="inlineStr">
        <is>
          <t>US-focused.</t>
        </is>
      </c>
      <c r="F881" s="68" t="inlineStr">
        <is>
          <t>EMCOR Q1 2026 + $15.62B backlog +33% + AI/cloud DC driver (per-name research 2026-05-18)</t>
        </is>
      </c>
      <c r="G881" s="33" t="inlineStr">
        <is>
          <t>High</t>
        </is>
      </c>
      <c r="H881" s="33" t="inlineStr">
        <is>
          <t>Initial</t>
        </is>
      </c>
    </row>
    <row r="882">
      <c r="A882" s="33" t="inlineStr">
        <is>
          <t>2026-05-18</t>
        </is>
      </c>
      <c r="B882" s="33" t="inlineStr">
        <is>
          <t>EME</t>
        </is>
      </c>
      <c r="C882" s="33" t="inlineStr">
        <is>
          <t>R3</t>
        </is>
      </c>
      <c r="D882" s="33" t="n">
        <v>5</v>
      </c>
      <c r="E882" s="68" t="inlineStr">
        <is>
          <t>ND/EBITDA -0.2x — net cash. Fortress.</t>
        </is>
      </c>
      <c r="F882" s="68" t="inlineStr">
        <is>
          <t>EMCOR Q1 2026 + $15.62B backlog +33% + AI/cloud DC driver (per-name research 2026-05-18)</t>
        </is>
      </c>
      <c r="G882" s="33" t="inlineStr">
        <is>
          <t>High</t>
        </is>
      </c>
      <c r="H882" s="33" t="inlineStr">
        <is>
          <t>Initial</t>
        </is>
      </c>
    </row>
    <row r="883">
      <c r="A883" s="33" t="inlineStr">
        <is>
          <t>2026-05-18</t>
        </is>
      </c>
      <c r="B883" s="33" t="inlineStr">
        <is>
          <t>EME</t>
        </is>
      </c>
      <c r="C883" s="33" t="inlineStr">
        <is>
          <t>R4</t>
        </is>
      </c>
      <c r="D883" s="33" t="n">
        <v>4</v>
      </c>
      <c r="E883" s="68" t="inlineStr">
        <is>
          <t>Routine.</t>
        </is>
      </c>
      <c r="F883" s="68" t="inlineStr">
        <is>
          <t>EMCOR Q1 2026 + $15.62B backlog +33% + AI/cloud DC driver (per-name research 2026-05-18)</t>
        </is>
      </c>
      <c r="G883" s="33" t="inlineStr">
        <is>
          <t>High</t>
        </is>
      </c>
      <c r="H883" s="33" t="inlineStr">
        <is>
          <t>Initial</t>
        </is>
      </c>
    </row>
    <row r="884">
      <c r="A884" s="33" t="inlineStr">
        <is>
          <t>2026-05-18</t>
        </is>
      </c>
      <c r="B884" s="33" t="inlineStr">
        <is>
          <t>MOD</t>
        </is>
      </c>
      <c r="C884" s="33" t="inlineStr">
        <is>
          <t>D1</t>
        </is>
      </c>
      <c r="D884" s="33" t="n">
        <v>4</v>
      </c>
      <c r="E884" s="68" t="inlineStr">
        <is>
          <t>DC pure-play pivot underway; data center revenue +78% Q3 FY26; targeting $2B FY28 DC revenue (will dominate revenue mix).</t>
        </is>
      </c>
      <c r="F884" s="68" t="inlineStr">
        <is>
          <t>Modine FY26 + DC +78% Q3 + $2B FY28 target + pure-play pivot (per-name research 2026-05-18)</t>
        </is>
      </c>
      <c r="G884" s="33" t="inlineStr">
        <is>
          <t>High</t>
        </is>
      </c>
      <c r="H884" s="33" t="inlineStr">
        <is>
          <t>Initial</t>
        </is>
      </c>
    </row>
    <row r="885">
      <c r="A885" s="33" t="inlineStr">
        <is>
          <t>2026-05-18</t>
        </is>
      </c>
      <c r="B885" s="33" t="inlineStr">
        <is>
          <t>MOD</t>
        </is>
      </c>
      <c r="C885" s="33" t="inlineStr">
        <is>
          <t>D2</t>
        </is>
      </c>
      <c r="D885" s="33" t="n">
        <v>4</v>
      </c>
      <c r="E885" s="68" t="inlineStr">
        <is>
          <t>Data center cooling specialist post-pivot; competes with VRT but differentiated chiller IP.</t>
        </is>
      </c>
      <c r="F885" s="68" t="inlineStr">
        <is>
          <t>Modine FY26 + DC +78% Q3 + $2B FY28 target + pure-play pivot (per-name research 2026-05-18)</t>
        </is>
      </c>
      <c r="G885" s="33" t="inlineStr">
        <is>
          <t>High</t>
        </is>
      </c>
      <c r="H885" s="33" t="inlineStr">
        <is>
          <t>Initial</t>
        </is>
      </c>
    </row>
    <row r="886">
      <c r="A886" s="33" t="inlineStr">
        <is>
          <t>2026-05-18</t>
        </is>
      </c>
      <c r="B886" s="33" t="inlineStr">
        <is>
          <t>MOD</t>
        </is>
      </c>
      <c r="C886" s="33" t="inlineStr">
        <is>
          <t>D3</t>
        </is>
      </c>
      <c r="D886" s="33" t="n">
        <v>3</v>
      </c>
      <c r="E886" s="68" t="inlineStr">
        <is>
          <t>Climate Solutions IP + scale; not 4 because liquid cooling space contested.</t>
        </is>
      </c>
      <c r="F886" s="68" t="inlineStr">
        <is>
          <t>Modine FY26 + DC +78% Q3 + $2B FY28 target + pure-play pivot (per-name research 2026-05-18)</t>
        </is>
      </c>
      <c r="G886" s="33" t="inlineStr">
        <is>
          <t>High</t>
        </is>
      </c>
      <c r="H886" s="33" t="inlineStr">
        <is>
          <t>Initial</t>
        </is>
      </c>
    </row>
    <row r="887">
      <c r="A887" s="33" t="inlineStr">
        <is>
          <t>2026-05-18</t>
        </is>
      </c>
      <c r="B887" s="33" t="inlineStr">
        <is>
          <t>MOD</t>
        </is>
      </c>
      <c r="C887" s="33" t="inlineStr">
        <is>
          <t>D4</t>
        </is>
      </c>
      <c r="D887" s="33" t="n">
        <v>5</v>
      </c>
      <c r="E887" s="68" t="inlineStr">
        <is>
          <t>Demand visibility 5 years out; record intake; spinning off legacy auto via Reverse Morris Trust.</t>
        </is>
      </c>
      <c r="F887" s="68" t="inlineStr">
        <is>
          <t>Modine FY26 + DC +78% Q3 + $2B FY28 target + pure-play pivot (per-name research 2026-05-18)</t>
        </is>
      </c>
      <c r="G887" s="33" t="inlineStr">
        <is>
          <t>High</t>
        </is>
      </c>
      <c r="H887" s="33" t="inlineStr">
        <is>
          <t>Initial</t>
        </is>
      </c>
    </row>
    <row r="888">
      <c r="A888" s="33" t="inlineStr">
        <is>
          <t>2026-05-18</t>
        </is>
      </c>
      <c r="B888" s="33" t="inlineStr">
        <is>
          <t>MOD</t>
        </is>
      </c>
      <c r="C888" s="33" t="inlineStr">
        <is>
          <t>D5</t>
        </is>
      </c>
      <c r="D888" s="33" t="n">
        <v>5</v>
      </c>
      <c r="E888" s="68" t="inlineStr">
        <is>
          <t>Direct hyperscaler customers expanding.</t>
        </is>
      </c>
      <c r="F888" s="68" t="inlineStr">
        <is>
          <t>Modine FY26 + DC +78% Q3 + $2B FY28 target + pure-play pivot (per-name research 2026-05-18)</t>
        </is>
      </c>
      <c r="G888" s="33" t="inlineStr">
        <is>
          <t>High</t>
        </is>
      </c>
      <c r="H888" s="33" t="inlineStr">
        <is>
          <t>Initial</t>
        </is>
      </c>
    </row>
    <row r="889">
      <c r="A889" s="33" t="inlineStr">
        <is>
          <t>2026-05-18</t>
        </is>
      </c>
      <c r="B889" s="33" t="inlineStr">
        <is>
          <t>MOD</t>
        </is>
      </c>
      <c r="C889" s="33" t="inlineStr">
        <is>
          <t>M1</t>
        </is>
      </c>
      <c r="D889" s="33" t="n">
        <v>4</v>
      </c>
      <c r="E889" s="68" t="inlineStr">
        <is>
          <t>1 up / 0 down on +1Y; FY revision +4.1%; limited revision activity.</t>
        </is>
      </c>
      <c r="F889" s="68" t="inlineStr">
        <is>
          <t>Modine FY26 + DC +78% Q3 + $2B FY28 target + pure-play pivot (per-name research 2026-05-18)</t>
        </is>
      </c>
      <c r="G889" s="33" t="inlineStr">
        <is>
          <t>High</t>
        </is>
      </c>
      <c r="H889" s="33" t="inlineStr">
        <is>
          <t>Initial</t>
        </is>
      </c>
    </row>
    <row r="890">
      <c r="A890" s="33" t="inlineStr">
        <is>
          <t>2026-05-18</t>
        </is>
      </c>
      <c r="B890" s="33" t="inlineStr">
        <is>
          <t>MOD</t>
        </is>
      </c>
      <c r="C890" s="33" t="inlineStr">
        <is>
          <t>M2</t>
        </is>
      </c>
      <c r="D890" s="33" t="n">
        <v>5</v>
      </c>
      <c r="E890" s="68" t="inlineStr">
        <is>
          <t>+60pp vs XLI 180d.</t>
        </is>
      </c>
      <c r="F890" s="68" t="inlineStr">
        <is>
          <t>Modine FY26 + DC +78% Q3 + $2B FY28 target + pure-play pivot (per-name research 2026-05-18)</t>
        </is>
      </c>
      <c r="G890" s="33" t="inlineStr">
        <is>
          <t>High</t>
        </is>
      </c>
      <c r="H890" s="33" t="inlineStr">
        <is>
          <t>Initial</t>
        </is>
      </c>
    </row>
    <row r="891">
      <c r="A891" s="33" t="inlineStr">
        <is>
          <t>2026-05-18</t>
        </is>
      </c>
      <c r="B891" s="33" t="inlineStr">
        <is>
          <t>MOD</t>
        </is>
      </c>
      <c r="C891" s="33" t="inlineStr">
        <is>
          <t>M3</t>
        </is>
      </c>
      <c r="D891" s="33" t="n">
        <v>3</v>
      </c>
      <c r="E891" s="68" t="inlineStr">
        <is>
          <t>Routine; default 3.</t>
        </is>
      </c>
      <c r="F891" s="68" t="inlineStr">
        <is>
          <t>Modine FY26 + DC +78% Q3 + $2B FY28 target + pure-play pivot (per-name research 2026-05-18)</t>
        </is>
      </c>
      <c r="G891" s="33" t="inlineStr">
        <is>
          <t>High</t>
        </is>
      </c>
      <c r="H891" s="33" t="inlineStr">
        <is>
          <t>Initial</t>
        </is>
      </c>
    </row>
    <row r="892">
      <c r="A892" s="33" t="inlineStr">
        <is>
          <t>2026-05-18</t>
        </is>
      </c>
      <c r="B892" s="33" t="inlineStr">
        <is>
          <t>MOD</t>
        </is>
      </c>
      <c r="C892" s="33" t="inlineStr">
        <is>
          <t>R1</t>
        </is>
      </c>
      <c r="D892" s="33" t="n">
        <v>4</v>
      </c>
      <c r="E892" s="68" t="inlineStr">
        <is>
          <t>DC customer concentration emerging.</t>
        </is>
      </c>
      <c r="F892" s="68" t="inlineStr">
        <is>
          <t>Modine FY26 + DC +78% Q3 + $2B FY28 target + pure-play pivot (per-name research 2026-05-18)</t>
        </is>
      </c>
      <c r="G892" s="33" t="inlineStr">
        <is>
          <t>High</t>
        </is>
      </c>
      <c r="H892" s="33" t="inlineStr">
        <is>
          <t>Initial</t>
        </is>
      </c>
    </row>
    <row r="893">
      <c r="A893" s="33" t="inlineStr">
        <is>
          <t>2026-05-18</t>
        </is>
      </c>
      <c r="B893" s="33" t="inlineStr">
        <is>
          <t>MOD</t>
        </is>
      </c>
      <c r="C893" s="33" t="inlineStr">
        <is>
          <t>R2</t>
        </is>
      </c>
      <c r="D893" s="33" t="n">
        <v>4</v>
      </c>
      <c r="E893" s="68" t="inlineStr">
        <is>
          <t>Global.</t>
        </is>
      </c>
      <c r="F893" s="68" t="inlineStr">
        <is>
          <t>Modine FY26 + DC +78% Q3 + $2B FY28 target + pure-play pivot (per-name research 2026-05-18)</t>
        </is>
      </c>
      <c r="G893" s="33" t="inlineStr">
        <is>
          <t>High</t>
        </is>
      </c>
      <c r="H893" s="33" t="inlineStr">
        <is>
          <t>Initial</t>
        </is>
      </c>
    </row>
    <row r="894">
      <c r="A894" s="33" t="inlineStr">
        <is>
          <t>2026-05-18</t>
        </is>
      </c>
      <c r="B894" s="33" t="inlineStr">
        <is>
          <t>MOD</t>
        </is>
      </c>
      <c r="C894" s="33" t="inlineStr">
        <is>
          <t>R3</t>
        </is>
      </c>
      <c r="D894" s="33" t="n">
        <v>4</v>
      </c>
      <c r="E894" s="68" t="inlineStr">
        <is>
          <t>Reasonable leverage.</t>
        </is>
      </c>
      <c r="F894" s="68" t="inlineStr">
        <is>
          <t>Modine FY26 + DC +78% Q3 + $2B FY28 target + pure-play pivot (per-name research 2026-05-18)</t>
        </is>
      </c>
      <c r="G894" s="33" t="inlineStr">
        <is>
          <t>High</t>
        </is>
      </c>
      <c r="H894" s="33" t="inlineStr">
        <is>
          <t>Initial</t>
        </is>
      </c>
    </row>
    <row r="895">
      <c r="A895" s="33" t="inlineStr">
        <is>
          <t>2026-05-18</t>
        </is>
      </c>
      <c r="B895" s="33" t="inlineStr">
        <is>
          <t>MOD</t>
        </is>
      </c>
      <c r="C895" s="33" t="inlineStr">
        <is>
          <t>R4</t>
        </is>
      </c>
      <c r="D895" s="33" t="n">
        <v>4</v>
      </c>
      <c r="E895" s="68" t="inlineStr">
        <is>
          <t>Routine.</t>
        </is>
      </c>
      <c r="F895" s="68" t="inlineStr">
        <is>
          <t>Modine FY26 + DC +78% Q3 + $2B FY28 target + pure-play pivot (per-name research 2026-05-18)</t>
        </is>
      </c>
      <c r="G895" s="33" t="inlineStr">
        <is>
          <t>High</t>
        </is>
      </c>
      <c r="H895" s="33" t="inlineStr">
        <is>
          <t>Initial</t>
        </is>
      </c>
    </row>
    <row r="896">
      <c r="A896" s="33" t="inlineStr">
        <is>
          <t>2026-05-18</t>
        </is>
      </c>
      <c r="B896" s="33" t="inlineStr">
        <is>
          <t>CARR</t>
        </is>
      </c>
      <c r="C896" s="33" t="inlineStr">
        <is>
          <t>D1</t>
        </is>
      </c>
      <c r="D896" s="33" t="n">
        <v>3</v>
      </c>
      <c r="E896" s="68" t="inlineStr">
        <is>
          <t>DC orders +500% Q1 but $1.5B guide / $22B total = ~7%. Band 3.</t>
        </is>
      </c>
      <c r="F896" s="68" t="inlineStr">
        <is>
          <t>Carrier Q1 2026 + DC orders +500% + $1.5B 2026 DC guide (per-name research 2026-05-18)</t>
        </is>
      </c>
      <c r="G896" s="33" t="inlineStr">
        <is>
          <t>High</t>
        </is>
      </c>
      <c r="H896" s="33" t="inlineStr">
        <is>
          <t>Initial</t>
        </is>
      </c>
    </row>
    <row r="897">
      <c r="A897" s="33" t="inlineStr">
        <is>
          <t>2026-05-18</t>
        </is>
      </c>
      <c r="B897" s="33" t="inlineStr">
        <is>
          <t>CARR</t>
        </is>
      </c>
      <c r="C897" s="33" t="inlineStr">
        <is>
          <t>D2</t>
        </is>
      </c>
      <c r="D897" s="33" t="n">
        <v>4</v>
      </c>
      <c r="E897" s="68" t="inlineStr">
        <is>
          <t>Major HVAC commercial player; QuantumLeap portfolio.</t>
        </is>
      </c>
      <c r="F897" s="68" t="inlineStr">
        <is>
          <t>Carrier Q1 2026 + DC orders +500% + $1.5B 2026 DC guide (per-name research 2026-05-18)</t>
        </is>
      </c>
      <c r="G897" s="33" t="inlineStr">
        <is>
          <t>High</t>
        </is>
      </c>
      <c r="H897" s="33" t="inlineStr">
        <is>
          <t>Initial</t>
        </is>
      </c>
    </row>
    <row r="898">
      <c r="A898" s="33" t="inlineStr">
        <is>
          <t>2026-05-18</t>
        </is>
      </c>
      <c r="B898" s="33" t="inlineStr">
        <is>
          <t>CARR</t>
        </is>
      </c>
      <c r="C898" s="33" t="inlineStr">
        <is>
          <t>D3</t>
        </is>
      </c>
      <c r="D898" s="33" t="n">
        <v>3</v>
      </c>
      <c r="E898" s="68" t="inlineStr">
        <is>
          <t>Brand + scale + 100yr customer base. Some commoditization.</t>
        </is>
      </c>
      <c r="F898" s="68" t="inlineStr">
        <is>
          <t>Carrier Q1 2026 + DC orders +500% + $1.5B 2026 DC guide (per-name research 2026-05-18)</t>
        </is>
      </c>
      <c r="G898" s="33" t="inlineStr">
        <is>
          <t>High</t>
        </is>
      </c>
      <c r="H898" s="33" t="inlineStr">
        <is>
          <t>Initial</t>
        </is>
      </c>
    </row>
    <row r="899">
      <c r="A899" s="33" t="inlineStr">
        <is>
          <t>2026-05-18</t>
        </is>
      </c>
      <c r="B899" s="33" t="inlineStr">
        <is>
          <t>CARR</t>
        </is>
      </c>
      <c r="C899" s="33" t="inlineStr">
        <is>
          <t>D4</t>
        </is>
      </c>
      <c r="D899" s="33" t="n">
        <v>4</v>
      </c>
      <c r="E899" s="68" t="inlineStr">
        <is>
          <t>Strong DC orders but smaller % of total business; $450M Monterrey chiller investment.</t>
        </is>
      </c>
      <c r="F899" s="68" t="inlineStr">
        <is>
          <t>Carrier Q1 2026 + DC orders +500% + $1.5B 2026 DC guide (per-name research 2026-05-18)</t>
        </is>
      </c>
      <c r="G899" s="33" t="inlineStr">
        <is>
          <t>High</t>
        </is>
      </c>
      <c r="H899" s="33" t="inlineStr">
        <is>
          <t>Initial</t>
        </is>
      </c>
    </row>
    <row r="900">
      <c r="A900" s="33" t="inlineStr">
        <is>
          <t>2026-05-18</t>
        </is>
      </c>
      <c r="B900" s="33" t="inlineStr">
        <is>
          <t>CARR</t>
        </is>
      </c>
      <c r="C900" s="33" t="inlineStr">
        <is>
          <t>D5</t>
        </is>
      </c>
      <c r="D900" s="33" t="n">
        <v>4</v>
      </c>
      <c r="E900" s="68" t="inlineStr">
        <is>
          <t>Hyperscaler/colo customers growing fast.</t>
        </is>
      </c>
      <c r="F900" s="68" t="inlineStr">
        <is>
          <t>Carrier Q1 2026 + DC orders +500% + $1.5B 2026 DC guide (per-name research 2026-05-18)</t>
        </is>
      </c>
      <c r="G900" s="33" t="inlineStr">
        <is>
          <t>High</t>
        </is>
      </c>
      <c r="H900" s="33" t="inlineStr">
        <is>
          <t>Initial</t>
        </is>
      </c>
    </row>
    <row r="901">
      <c r="A901" s="33" t="inlineStr">
        <is>
          <t>2026-05-18</t>
        </is>
      </c>
      <c r="B901" s="33" t="inlineStr">
        <is>
          <t>CARR</t>
        </is>
      </c>
      <c r="C901" s="33" t="inlineStr">
        <is>
          <t>M1</t>
        </is>
      </c>
      <c r="D901" s="33" t="n">
        <v>3</v>
      </c>
      <c r="E901" s="68" t="inlineStr">
        <is>
          <t>8 up / 4 down — mixed.</t>
        </is>
      </c>
      <c r="F901" s="68" t="inlineStr">
        <is>
          <t>Carrier Q1 2026 + DC orders +500% + $1.5B 2026 DC guide (per-name research 2026-05-18)</t>
        </is>
      </c>
      <c r="G901" s="33" t="inlineStr">
        <is>
          <t>High</t>
        </is>
      </c>
      <c r="H901" s="33" t="inlineStr">
        <is>
          <t>Initial</t>
        </is>
      </c>
    </row>
    <row r="902">
      <c r="A902" s="33" t="inlineStr">
        <is>
          <t>2026-05-18</t>
        </is>
      </c>
      <c r="B902" s="33" t="inlineStr">
        <is>
          <t>CARR</t>
        </is>
      </c>
      <c r="C902" s="33" t="inlineStr">
        <is>
          <t>M2</t>
        </is>
      </c>
      <c r="D902" s="33" t="n">
        <v>4</v>
      </c>
      <c r="E902" s="68" t="inlineStr">
        <is>
          <t>+13pp vs XLI 180d.</t>
        </is>
      </c>
      <c r="F902" s="68" t="inlineStr">
        <is>
          <t>Carrier Q1 2026 + DC orders +500% + $1.5B 2026 DC guide (per-name research 2026-05-18)</t>
        </is>
      </c>
      <c r="G902" s="33" t="inlineStr">
        <is>
          <t>High</t>
        </is>
      </c>
      <c r="H902" s="33" t="inlineStr">
        <is>
          <t>Initial</t>
        </is>
      </c>
    </row>
    <row r="903">
      <c r="A903" s="33" t="inlineStr">
        <is>
          <t>2026-05-18</t>
        </is>
      </c>
      <c r="B903" s="33" t="inlineStr">
        <is>
          <t>CARR</t>
        </is>
      </c>
      <c r="C903" s="33" t="inlineStr">
        <is>
          <t>M3</t>
        </is>
      </c>
      <c r="D903" s="33" t="n">
        <v>3</v>
      </c>
      <c r="E903" s="68" t="inlineStr">
        <is>
          <t>Routine; default 3.</t>
        </is>
      </c>
      <c r="F903" s="68" t="inlineStr">
        <is>
          <t>Carrier Q1 2026 + DC orders +500% + $1.5B 2026 DC guide (per-name research 2026-05-18)</t>
        </is>
      </c>
      <c r="G903" s="33" t="inlineStr">
        <is>
          <t>High</t>
        </is>
      </c>
      <c r="H903" s="33" t="inlineStr">
        <is>
          <t>Initial</t>
        </is>
      </c>
    </row>
    <row r="904">
      <c r="A904" s="33" t="inlineStr">
        <is>
          <t>2026-05-18</t>
        </is>
      </c>
      <c r="B904" s="33" t="inlineStr">
        <is>
          <t>CARR</t>
        </is>
      </c>
      <c r="C904" s="33" t="inlineStr">
        <is>
          <t>R1</t>
        </is>
      </c>
      <c r="D904" s="33" t="n">
        <v>5</v>
      </c>
      <c r="E904" s="68" t="inlineStr">
        <is>
          <t>Highly diversified globally.</t>
        </is>
      </c>
      <c r="F904" s="68" t="inlineStr">
        <is>
          <t>Carrier Q1 2026 + DC orders +500% + $1.5B 2026 DC guide (per-name research 2026-05-18)</t>
        </is>
      </c>
      <c r="G904" s="33" t="inlineStr">
        <is>
          <t>High</t>
        </is>
      </c>
      <c r="H904" s="33" t="inlineStr">
        <is>
          <t>Initial</t>
        </is>
      </c>
    </row>
    <row r="905">
      <c r="A905" s="33" t="inlineStr">
        <is>
          <t>2026-05-18</t>
        </is>
      </c>
      <c r="B905" s="33" t="inlineStr">
        <is>
          <t>CARR</t>
        </is>
      </c>
      <c r="C905" s="33" t="inlineStr">
        <is>
          <t>R2</t>
        </is>
      </c>
      <c r="D905" s="33" t="n">
        <v>4</v>
      </c>
      <c r="E905" s="68" t="inlineStr">
        <is>
          <t>Global.</t>
        </is>
      </c>
      <c r="F905" s="68" t="inlineStr">
        <is>
          <t>Carrier Q1 2026 + DC orders +500% + $1.5B 2026 DC guide (per-name research 2026-05-18)</t>
        </is>
      </c>
      <c r="G905" s="33" t="inlineStr">
        <is>
          <t>High</t>
        </is>
      </c>
      <c r="H905" s="33" t="inlineStr">
        <is>
          <t>Initial</t>
        </is>
      </c>
    </row>
    <row r="906">
      <c r="A906" s="33" t="inlineStr">
        <is>
          <t>2026-05-18</t>
        </is>
      </c>
      <c r="B906" s="33" t="inlineStr">
        <is>
          <t>CARR</t>
        </is>
      </c>
      <c r="C906" s="33" t="inlineStr">
        <is>
          <t>R3</t>
        </is>
      </c>
      <c r="D906" s="33" t="n">
        <v>3</v>
      </c>
      <c r="E906" s="68" t="inlineStr">
        <is>
          <t>ND/EBITDA 3.6x — moderate.</t>
        </is>
      </c>
      <c r="F906" s="68" t="inlineStr">
        <is>
          <t>Carrier Q1 2026 + DC orders +500% + $1.5B 2026 DC guide (per-name research 2026-05-18)</t>
        </is>
      </c>
      <c r="G906" s="33" t="inlineStr">
        <is>
          <t>High</t>
        </is>
      </c>
      <c r="H906" s="33" t="inlineStr">
        <is>
          <t>Initial</t>
        </is>
      </c>
    </row>
    <row r="907">
      <c r="A907" s="33" t="inlineStr">
        <is>
          <t>2026-05-18</t>
        </is>
      </c>
      <c r="B907" s="33" t="inlineStr">
        <is>
          <t>CARR</t>
        </is>
      </c>
      <c r="C907" s="33" t="inlineStr">
        <is>
          <t>R4</t>
        </is>
      </c>
      <c r="D907" s="33" t="n">
        <v>4</v>
      </c>
      <c r="E907" s="68" t="inlineStr">
        <is>
          <t>Routine.</t>
        </is>
      </c>
      <c r="F907" s="68" t="inlineStr">
        <is>
          <t>Carrier Q1 2026 + DC orders +500% + $1.5B 2026 DC guide (per-name research 2026-05-18)</t>
        </is>
      </c>
      <c r="G907" s="33" t="inlineStr">
        <is>
          <t>High</t>
        </is>
      </c>
      <c r="H907" s="33" t="inlineStr">
        <is>
          <t>Initial</t>
        </is>
      </c>
    </row>
    <row r="908">
      <c r="A908" s="33" t="inlineStr">
        <is>
          <t>2026-05-18</t>
        </is>
      </c>
      <c r="B908" s="33" t="inlineStr">
        <is>
          <t>TT</t>
        </is>
      </c>
      <c r="C908" s="33" t="inlineStr">
        <is>
          <t>D1</t>
        </is>
      </c>
      <c r="D908" s="33" t="n">
        <v>3</v>
      </c>
      <c r="E908" s="68" t="inlineStr">
        <is>
          <t>Cooling growing but not majority; Trane is bigger HVAC business with DC growing segment. Band 3.</t>
        </is>
      </c>
      <c r="F908" s="68" t="inlineStr">
        <is>
          <t>Trane Q1 2026 + $7.3B backlog + LiquidStack + Stellar acquisitions + market share data (per-name research 2026-05-18 + Dom HVAC moat call)</t>
        </is>
      </c>
      <c r="G908" s="33" t="inlineStr">
        <is>
          <t>High</t>
        </is>
      </c>
      <c r="H908" s="33" t="inlineStr">
        <is>
          <t>Initial</t>
        </is>
      </c>
    </row>
    <row r="909">
      <c r="A909" s="33" t="inlineStr">
        <is>
          <t>2026-05-18</t>
        </is>
      </c>
      <c r="B909" s="33" t="inlineStr">
        <is>
          <t>TT</t>
        </is>
      </c>
      <c r="C909" s="33" t="inlineStr">
        <is>
          <t>D2</t>
        </is>
      </c>
      <c r="D909" s="33" t="n">
        <v>4</v>
      </c>
      <c r="E909" s="68" t="inlineStr">
        <is>
          <t>Top-3 NA commercial HVAC; LiquidStack + Stellar Energy acquisitions in 2026.</t>
        </is>
      </c>
      <c r="F909" s="68" t="inlineStr">
        <is>
          <t>Trane Q1 2026 + $7.3B backlog + LiquidStack + Stellar acquisitions + market share data (per-name research 2026-05-18 + Dom HVAC moat call)</t>
        </is>
      </c>
      <c r="G909" s="33" t="inlineStr">
        <is>
          <t>High</t>
        </is>
      </c>
      <c r="H909" s="33" t="inlineStr">
        <is>
          <t>Initial</t>
        </is>
      </c>
    </row>
    <row r="910">
      <c r="A910" s="33" t="inlineStr">
        <is>
          <t>2026-05-18</t>
        </is>
      </c>
      <c r="B910" s="33" t="inlineStr">
        <is>
          <t>TT</t>
        </is>
      </c>
      <c r="C910" s="33" t="inlineStr">
        <is>
          <t>D3</t>
        </is>
      </c>
      <c r="D910" s="33" t="n">
        <v>4</v>
      </c>
      <c r="E910" s="68" t="inlineStr">
        <is>
          <t>Overall HVAC moat — top-3 NA commercial chiller, top-5 global. Note (Dom 2026-05-18): In AI data center cooling specifically TT is fast-follower (Vertiv leads at 11.3% share; JCI established). HVAC diversification is valuable hedge — if AI cooling demand slows, TT still has strong traditional HVAC. Quarterly review item: if TT fails to gain AI cooling share despite acquisitions, downgrade D3 to 3.</t>
        </is>
      </c>
      <c r="F910" s="68" t="inlineStr">
        <is>
          <t>Trane Q1 2026 + $7.3B backlog + LiquidStack + Stellar acquisitions + market share data (per-name research 2026-05-18 + Dom HVAC moat call)</t>
        </is>
      </c>
      <c r="G910" s="33" t="inlineStr">
        <is>
          <t>High</t>
        </is>
      </c>
      <c r="H910" s="33" t="inlineStr">
        <is>
          <t>Initial</t>
        </is>
      </c>
    </row>
    <row r="911">
      <c r="A911" s="33" t="inlineStr">
        <is>
          <t>2026-05-18</t>
        </is>
      </c>
      <c r="B911" s="33" t="inlineStr">
        <is>
          <t>TT</t>
        </is>
      </c>
      <c r="C911" s="33" t="inlineStr">
        <is>
          <t>D4</t>
        </is>
      </c>
      <c r="D911" s="33" t="n">
        <v>5</v>
      </c>
      <c r="E911" s="68" t="inlineStr">
        <is>
          <t>$7.3B backlog; Commercial HVAC bookings +120% Q4 2025; 2x book-to-bill; LiquidStack + Stellar Energy acquisitions.</t>
        </is>
      </c>
      <c r="F911" s="68" t="inlineStr">
        <is>
          <t>Trane Q1 2026 + $7.3B backlog + LiquidStack + Stellar acquisitions + market share data (per-name research 2026-05-18 + Dom HVAC moat call)</t>
        </is>
      </c>
      <c r="G911" s="33" t="inlineStr">
        <is>
          <t>High</t>
        </is>
      </c>
      <c r="H911" s="33" t="inlineStr">
        <is>
          <t>Initial</t>
        </is>
      </c>
    </row>
    <row r="912">
      <c r="A912" s="33" t="inlineStr">
        <is>
          <t>2026-05-18</t>
        </is>
      </c>
      <c r="B912" s="33" t="inlineStr">
        <is>
          <t>TT</t>
        </is>
      </c>
      <c r="C912" s="33" t="inlineStr">
        <is>
          <t>D5</t>
        </is>
      </c>
      <c r="D912" s="33" t="n">
        <v>4</v>
      </c>
      <c r="E912" s="68" t="inlineStr">
        <is>
          <t>Hyperscaler exposure via cooling + acquired liquid cooling players.</t>
        </is>
      </c>
      <c r="F912" s="68" t="inlineStr">
        <is>
          <t>Trane Q1 2026 + $7.3B backlog + LiquidStack + Stellar acquisitions + market share data (per-name research 2026-05-18 + Dom HVAC moat call)</t>
        </is>
      </c>
      <c r="G912" s="33" t="inlineStr">
        <is>
          <t>High</t>
        </is>
      </c>
      <c r="H912" s="33" t="inlineStr">
        <is>
          <t>Initial</t>
        </is>
      </c>
    </row>
    <row r="913">
      <c r="A913" s="33" t="inlineStr">
        <is>
          <t>2026-05-18</t>
        </is>
      </c>
      <c r="B913" s="33" t="inlineStr">
        <is>
          <t>TT</t>
        </is>
      </c>
      <c r="C913" s="33" t="inlineStr">
        <is>
          <t>M1</t>
        </is>
      </c>
      <c r="D913" s="33" t="n">
        <v>5</v>
      </c>
      <c r="E913" s="68" t="inlineStr">
        <is>
          <t>15 up / 2 down on +1Y; strong revisions.</t>
        </is>
      </c>
      <c r="F913" s="68" t="inlineStr">
        <is>
          <t>Trane Q1 2026 + $7.3B backlog + LiquidStack + Stellar acquisitions + market share data (per-name research 2026-05-18 + Dom HVAC moat call)</t>
        </is>
      </c>
      <c r="G913" s="33" t="inlineStr">
        <is>
          <t>High</t>
        </is>
      </c>
      <c r="H913" s="33" t="inlineStr">
        <is>
          <t>Initial</t>
        </is>
      </c>
    </row>
    <row r="914">
      <c r="A914" s="33" t="inlineStr">
        <is>
          <t>2026-05-18</t>
        </is>
      </c>
      <c r="B914" s="33" t="inlineStr">
        <is>
          <t>TT</t>
        </is>
      </c>
      <c r="C914" s="33" t="inlineStr">
        <is>
          <t>M2</t>
        </is>
      </c>
      <c r="D914" s="33" t="n">
        <v>3</v>
      </c>
      <c r="E914" s="68" t="inlineStr">
        <is>
          <t>-1pp vs XLI 180d. In-line.</t>
        </is>
      </c>
      <c r="F914" s="68" t="inlineStr">
        <is>
          <t>Trane Q1 2026 + $7.3B backlog + LiquidStack + Stellar acquisitions + market share data (per-name research 2026-05-18 + Dom HVAC moat call)</t>
        </is>
      </c>
      <c r="G914" s="33" t="inlineStr">
        <is>
          <t>High</t>
        </is>
      </c>
      <c r="H914" s="33" t="inlineStr">
        <is>
          <t>Initial</t>
        </is>
      </c>
    </row>
    <row r="915">
      <c r="A915" s="33" t="inlineStr">
        <is>
          <t>2026-05-18</t>
        </is>
      </c>
      <c r="B915" s="33" t="inlineStr">
        <is>
          <t>TT</t>
        </is>
      </c>
      <c r="C915" s="33" t="inlineStr">
        <is>
          <t>M3</t>
        </is>
      </c>
      <c r="D915" s="33" t="n">
        <v>3</v>
      </c>
      <c r="E915" s="68" t="inlineStr">
        <is>
          <t>Routine; default 3.</t>
        </is>
      </c>
      <c r="F915" s="68" t="inlineStr">
        <is>
          <t>Trane Q1 2026 + $7.3B backlog + LiquidStack + Stellar acquisitions + market share data (per-name research 2026-05-18 + Dom HVAC moat call)</t>
        </is>
      </c>
      <c r="G915" s="33" t="inlineStr">
        <is>
          <t>High</t>
        </is>
      </c>
      <c r="H915" s="33" t="inlineStr">
        <is>
          <t>Initial</t>
        </is>
      </c>
    </row>
    <row r="916">
      <c r="A916" s="33" t="inlineStr">
        <is>
          <t>2026-05-18</t>
        </is>
      </c>
      <c r="B916" s="33" t="inlineStr">
        <is>
          <t>TT</t>
        </is>
      </c>
      <c r="C916" s="33" t="inlineStr">
        <is>
          <t>R1</t>
        </is>
      </c>
      <c r="D916" s="33" t="n">
        <v>5</v>
      </c>
      <c r="E916" s="68" t="inlineStr">
        <is>
          <t>Highly diversified.</t>
        </is>
      </c>
      <c r="F916" s="68" t="inlineStr">
        <is>
          <t>Trane Q1 2026 + $7.3B backlog + LiquidStack + Stellar acquisitions + market share data (per-name research 2026-05-18 + Dom HVAC moat call)</t>
        </is>
      </c>
      <c r="G916" s="33" t="inlineStr">
        <is>
          <t>High</t>
        </is>
      </c>
      <c r="H916" s="33" t="inlineStr">
        <is>
          <t>Initial</t>
        </is>
      </c>
    </row>
    <row r="917">
      <c r="A917" s="33" t="inlineStr">
        <is>
          <t>2026-05-18</t>
        </is>
      </c>
      <c r="B917" s="33" t="inlineStr">
        <is>
          <t>TT</t>
        </is>
      </c>
      <c r="C917" s="33" t="inlineStr">
        <is>
          <t>R2</t>
        </is>
      </c>
      <c r="D917" s="33" t="n">
        <v>4</v>
      </c>
      <c r="E917" s="68" t="inlineStr">
        <is>
          <t>Global.</t>
        </is>
      </c>
      <c r="F917" s="68" t="inlineStr">
        <is>
          <t>Trane Q1 2026 + $7.3B backlog + LiquidStack + Stellar acquisitions + market share data (per-name research 2026-05-18 + Dom HVAC moat call)</t>
        </is>
      </c>
      <c r="G917" s="33" t="inlineStr">
        <is>
          <t>High</t>
        </is>
      </c>
      <c r="H917" s="33" t="inlineStr">
        <is>
          <t>Initial</t>
        </is>
      </c>
    </row>
    <row r="918">
      <c r="A918" s="33" t="inlineStr">
        <is>
          <t>2026-05-18</t>
        </is>
      </c>
      <c r="B918" s="33" t="inlineStr">
        <is>
          <t>TT</t>
        </is>
      </c>
      <c r="C918" s="33" t="inlineStr">
        <is>
          <t>R3</t>
        </is>
      </c>
      <c r="D918" s="33" t="n">
        <v>4</v>
      </c>
      <c r="E918" s="68" t="inlineStr">
        <is>
          <t>ND/EBITDA 0.8x — strong.</t>
        </is>
      </c>
      <c r="F918" s="68" t="inlineStr">
        <is>
          <t>Trane Q1 2026 + $7.3B backlog + LiquidStack + Stellar acquisitions + market share data (per-name research 2026-05-18 + Dom HVAC moat call)</t>
        </is>
      </c>
      <c r="G918" s="33" t="inlineStr">
        <is>
          <t>High</t>
        </is>
      </c>
      <c r="H918" s="33" t="inlineStr">
        <is>
          <t>Initial</t>
        </is>
      </c>
    </row>
    <row r="919">
      <c r="A919" s="33" t="inlineStr">
        <is>
          <t>2026-05-18</t>
        </is>
      </c>
      <c r="B919" s="33" t="inlineStr">
        <is>
          <t>TT</t>
        </is>
      </c>
      <c r="C919" s="33" t="inlineStr">
        <is>
          <t>R4</t>
        </is>
      </c>
      <c r="D919" s="33" t="n">
        <v>4</v>
      </c>
      <c r="E919" s="68" t="inlineStr">
        <is>
          <t>Routine.</t>
        </is>
      </c>
      <c r="F919" s="68" t="inlineStr">
        <is>
          <t>Trane Q1 2026 + $7.3B backlog + LiquidStack + Stellar acquisitions + market share data (per-name research 2026-05-18 + Dom HVAC moat call)</t>
        </is>
      </c>
      <c r="G919" s="33" t="inlineStr">
        <is>
          <t>High</t>
        </is>
      </c>
      <c r="H919" s="33" t="inlineStr">
        <is>
          <t>Initial</t>
        </is>
      </c>
    </row>
    <row r="920">
      <c r="A920" s="33" t="inlineStr">
        <is>
          <t>2026-05-18</t>
        </is>
      </c>
      <c r="B920" s="33" t="inlineStr">
        <is>
          <t>JCI</t>
        </is>
      </c>
      <c r="C920" s="33" t="inlineStr">
        <is>
          <t>D1</t>
        </is>
      </c>
      <c r="D920" s="33" t="n">
        <v>3</v>
      </c>
      <c r="E920" s="68" t="inlineStr">
        <is>
          <t>DC cooling growing but mid-single-digit % of revenue.</t>
        </is>
      </c>
      <c r="F920" s="68" t="inlineStr">
        <is>
          <t>Johnson Controls Q1 2026 + NVDA collaboration + 1 GW reference designs + raised guide (per-name research 2026-05-18)</t>
        </is>
      </c>
      <c r="G920" s="33" t="inlineStr">
        <is>
          <t>High</t>
        </is>
      </c>
      <c r="H920" s="33" t="inlineStr">
        <is>
          <t>Initial</t>
        </is>
      </c>
    </row>
    <row r="921">
      <c r="A921" s="33" t="inlineStr">
        <is>
          <t>2026-05-18</t>
        </is>
      </c>
      <c r="B921" s="33" t="inlineStr">
        <is>
          <t>JCI</t>
        </is>
      </c>
      <c r="C921" s="33" t="inlineStr">
        <is>
          <t>D2</t>
        </is>
      </c>
      <c r="D921" s="33" t="n">
        <v>4</v>
      </c>
      <c r="E921" s="68" t="inlineStr">
        <is>
          <t>Major HVAC + building automation player; Silent-Aire CDU platform.</t>
        </is>
      </c>
      <c r="F921" s="68" t="inlineStr">
        <is>
          <t>Johnson Controls Q1 2026 + NVDA collaboration + 1 GW reference designs + raised guide (per-name research 2026-05-18)</t>
        </is>
      </c>
      <c r="G921" s="33" t="inlineStr">
        <is>
          <t>High</t>
        </is>
      </c>
      <c r="H921" s="33" t="inlineStr">
        <is>
          <t>Initial</t>
        </is>
      </c>
    </row>
    <row r="922">
      <c r="A922" s="33" t="inlineStr">
        <is>
          <t>2026-05-18</t>
        </is>
      </c>
      <c r="B922" s="33" t="inlineStr">
        <is>
          <t>JCI</t>
        </is>
      </c>
      <c r="C922" s="33" t="inlineStr">
        <is>
          <t>D3</t>
        </is>
      </c>
      <c r="D922" s="33" t="n">
        <v>4</v>
      </c>
      <c r="E922" s="68" t="inlineStr">
        <is>
          <t>Brand + scale + building automation ecosystem.</t>
        </is>
      </c>
      <c r="F922" s="68" t="inlineStr">
        <is>
          <t>Johnson Controls Q1 2026 + NVDA collaboration + 1 GW reference designs + raised guide (per-name research 2026-05-18)</t>
        </is>
      </c>
      <c r="G922" s="33" t="inlineStr">
        <is>
          <t>High</t>
        </is>
      </c>
      <c r="H922" s="33" t="inlineStr">
        <is>
          <t>Initial</t>
        </is>
      </c>
    </row>
    <row r="923">
      <c r="A923" s="33" t="inlineStr">
        <is>
          <t>2026-05-18</t>
        </is>
      </c>
      <c r="B923" s="33" t="inlineStr">
        <is>
          <t>JCI</t>
        </is>
      </c>
      <c r="C923" s="33" t="inlineStr">
        <is>
          <t>D4</t>
        </is>
      </c>
      <c r="D923" s="33" t="n">
        <v>4</v>
      </c>
      <c r="E923" s="68" t="inlineStr">
        <is>
          <t>Active expansion; NVDA collaboration for AI infra.</t>
        </is>
      </c>
      <c r="F923" s="68" t="inlineStr">
        <is>
          <t>Johnson Controls Q1 2026 + NVDA collaboration + 1 GW reference designs + raised guide (per-name research 2026-05-18)</t>
        </is>
      </c>
      <c r="G923" s="33" t="inlineStr">
        <is>
          <t>High</t>
        </is>
      </c>
      <c r="H923" s="33" t="inlineStr">
        <is>
          <t>Initial</t>
        </is>
      </c>
    </row>
    <row r="924">
      <c r="A924" s="33" t="inlineStr">
        <is>
          <t>2026-05-18</t>
        </is>
      </c>
      <c r="B924" s="33" t="inlineStr">
        <is>
          <t>JCI</t>
        </is>
      </c>
      <c r="C924" s="33" t="inlineStr">
        <is>
          <t>D5</t>
        </is>
      </c>
      <c r="D924" s="33" t="n">
        <v>4</v>
      </c>
      <c r="E924" s="68" t="inlineStr">
        <is>
          <t>NVIDIA collaboration for next-gen computing infrastructure — direct hyperscaler-adjacent relationship.</t>
        </is>
      </c>
      <c r="F924" s="68" t="inlineStr">
        <is>
          <t>Johnson Controls Q1 2026 + NVDA collaboration + 1 GW reference designs + raised guide (per-name research 2026-05-18)</t>
        </is>
      </c>
      <c r="G924" s="33" t="inlineStr">
        <is>
          <t>High</t>
        </is>
      </c>
      <c r="H924" s="33" t="inlineStr">
        <is>
          <t>Initial</t>
        </is>
      </c>
    </row>
    <row r="925">
      <c r="A925" s="33" t="inlineStr">
        <is>
          <t>2026-05-18</t>
        </is>
      </c>
      <c r="B925" s="33" t="inlineStr">
        <is>
          <t>JCI</t>
        </is>
      </c>
      <c r="C925" s="33" t="inlineStr">
        <is>
          <t>M1</t>
        </is>
      </c>
      <c r="D925" s="33" t="n">
        <v>5</v>
      </c>
      <c r="E925" s="68" t="inlineStr">
        <is>
          <t>17 up / 0 down on +1Y — best in cooling cluster.</t>
        </is>
      </c>
      <c r="F925" s="68" t="inlineStr">
        <is>
          <t>Johnson Controls Q1 2026 + NVDA collaboration + 1 GW reference designs + raised guide (per-name research 2026-05-18)</t>
        </is>
      </c>
      <c r="G925" s="33" t="inlineStr">
        <is>
          <t>High</t>
        </is>
      </c>
      <c r="H925" s="33" t="inlineStr">
        <is>
          <t>Initial</t>
        </is>
      </c>
    </row>
    <row r="926">
      <c r="A926" s="33" t="inlineStr">
        <is>
          <t>2026-05-18</t>
        </is>
      </c>
      <c r="B926" s="33" t="inlineStr">
        <is>
          <t>JCI</t>
        </is>
      </c>
      <c r="C926" s="33" t="inlineStr">
        <is>
          <t>M2</t>
        </is>
      </c>
      <c r="D926" s="33" t="n">
        <v>4</v>
      </c>
      <c r="E926" s="68" t="inlineStr">
        <is>
          <t>+6pp vs XLI 180d.</t>
        </is>
      </c>
      <c r="F926" s="68" t="inlineStr">
        <is>
          <t>Johnson Controls Q1 2026 + NVDA collaboration + 1 GW reference designs + raised guide (per-name research 2026-05-18)</t>
        </is>
      </c>
      <c r="G926" s="33" t="inlineStr">
        <is>
          <t>High</t>
        </is>
      </c>
      <c r="H926" s="33" t="inlineStr">
        <is>
          <t>Initial</t>
        </is>
      </c>
    </row>
    <row r="927">
      <c r="A927" s="33" t="inlineStr">
        <is>
          <t>2026-05-18</t>
        </is>
      </c>
      <c r="B927" s="33" t="inlineStr">
        <is>
          <t>JCI</t>
        </is>
      </c>
      <c r="C927" s="33" t="inlineStr">
        <is>
          <t>M3</t>
        </is>
      </c>
      <c r="D927" s="33" t="n">
        <v>3</v>
      </c>
      <c r="E927" s="68" t="inlineStr">
        <is>
          <t>Routine; default 3.</t>
        </is>
      </c>
      <c r="F927" s="68" t="inlineStr">
        <is>
          <t>Johnson Controls Q1 2026 + NVDA collaboration + 1 GW reference designs + raised guide (per-name research 2026-05-18)</t>
        </is>
      </c>
      <c r="G927" s="33" t="inlineStr">
        <is>
          <t>High</t>
        </is>
      </c>
      <c r="H927" s="33" t="inlineStr">
        <is>
          <t>Initial</t>
        </is>
      </c>
    </row>
    <row r="928">
      <c r="A928" s="33" t="inlineStr">
        <is>
          <t>2026-05-18</t>
        </is>
      </c>
      <c r="B928" s="33" t="inlineStr">
        <is>
          <t>JCI</t>
        </is>
      </c>
      <c r="C928" s="33" t="inlineStr">
        <is>
          <t>R1</t>
        </is>
      </c>
      <c r="D928" s="33" t="n">
        <v>5</v>
      </c>
      <c r="E928" s="68" t="inlineStr">
        <is>
          <t>Highly diversified.</t>
        </is>
      </c>
      <c r="F928" s="68" t="inlineStr">
        <is>
          <t>Johnson Controls Q1 2026 + NVDA collaboration + 1 GW reference designs + raised guide (per-name research 2026-05-18)</t>
        </is>
      </c>
      <c r="G928" s="33" t="inlineStr">
        <is>
          <t>High</t>
        </is>
      </c>
      <c r="H928" s="33" t="inlineStr">
        <is>
          <t>Initial</t>
        </is>
      </c>
    </row>
    <row r="929">
      <c r="A929" s="33" t="inlineStr">
        <is>
          <t>2026-05-18</t>
        </is>
      </c>
      <c r="B929" s="33" t="inlineStr">
        <is>
          <t>JCI</t>
        </is>
      </c>
      <c r="C929" s="33" t="inlineStr">
        <is>
          <t>R2</t>
        </is>
      </c>
      <c r="D929" s="33" t="n">
        <v>4</v>
      </c>
      <c r="E929" s="68" t="inlineStr">
        <is>
          <t>Global.</t>
        </is>
      </c>
      <c r="F929" s="68" t="inlineStr">
        <is>
          <t>Johnson Controls Q1 2026 + NVDA collaboration + 1 GW reference designs + raised guide (per-name research 2026-05-18)</t>
        </is>
      </c>
      <c r="G929" s="33" t="inlineStr">
        <is>
          <t>High</t>
        </is>
      </c>
      <c r="H929" s="33" t="inlineStr">
        <is>
          <t>Initial</t>
        </is>
      </c>
    </row>
    <row r="930">
      <c r="A930" s="33" t="inlineStr">
        <is>
          <t>2026-05-18</t>
        </is>
      </c>
      <c r="B930" s="33" t="inlineStr">
        <is>
          <t>JCI</t>
        </is>
      </c>
      <c r="C930" s="33" t="inlineStr">
        <is>
          <t>R3</t>
        </is>
      </c>
      <c r="D930" s="33" t="n">
        <v>4</v>
      </c>
      <c r="E930" s="68" t="inlineStr">
        <is>
          <t>ND/EBITDA 2.0x — moderate.</t>
        </is>
      </c>
      <c r="F930" s="68" t="inlineStr">
        <is>
          <t>Johnson Controls Q1 2026 + NVDA collaboration + 1 GW reference designs + raised guide (per-name research 2026-05-18)</t>
        </is>
      </c>
      <c r="G930" s="33" t="inlineStr">
        <is>
          <t>High</t>
        </is>
      </c>
      <c r="H930" s="33" t="inlineStr">
        <is>
          <t>Initial</t>
        </is>
      </c>
    </row>
    <row r="931">
      <c r="A931" s="33" t="inlineStr">
        <is>
          <t>2026-05-18</t>
        </is>
      </c>
      <c r="B931" s="33" t="inlineStr">
        <is>
          <t>JCI</t>
        </is>
      </c>
      <c r="C931" s="33" t="inlineStr">
        <is>
          <t>R4</t>
        </is>
      </c>
      <c r="D931" s="33" t="n">
        <v>4</v>
      </c>
      <c r="E931" s="68" t="inlineStr">
        <is>
          <t>Routine.</t>
        </is>
      </c>
      <c r="F931" s="68" t="inlineStr">
        <is>
          <t>Johnson Controls Q1 2026 + NVDA collaboration + 1 GW reference designs + raised guide (per-name research 2026-05-18)</t>
        </is>
      </c>
      <c r="G931" s="33" t="inlineStr">
        <is>
          <t>High</t>
        </is>
      </c>
      <c r="H931" s="33" t="inlineStr">
        <is>
          <t>Initial</t>
        </is>
      </c>
    </row>
    <row r="932">
      <c r="A932" s="33" t="inlineStr">
        <is>
          <t>2026-05-18</t>
        </is>
      </c>
      <c r="B932" s="33" t="inlineStr">
        <is>
          <t>ASML</t>
        </is>
      </c>
      <c r="C932" s="33" t="inlineStr">
        <is>
          <t>D1</t>
        </is>
      </c>
      <c r="D932" s="33" t="n">
        <v>4</v>
      </c>
      <c r="E932" s="68" t="inlineStr">
        <is>
          <t>AI chip demand drives EUV/High-NA orders; ~30-40% AI-tied revenue.</t>
        </is>
      </c>
      <c r="F932" s="68" t="inlineStr">
        <is>
          <t>ASML Q1/Q4 2026 + AI infrastructure coverage (per-name research 2026-05-18)</t>
        </is>
      </c>
      <c r="G932" s="33" t="inlineStr">
        <is>
          <t>High</t>
        </is>
      </c>
      <c r="H932" s="33" t="inlineStr">
        <is>
          <t>Initial</t>
        </is>
      </c>
    </row>
    <row r="933">
      <c r="A933" s="33" t="inlineStr">
        <is>
          <t>2026-05-18</t>
        </is>
      </c>
      <c r="B933" s="33" t="inlineStr">
        <is>
          <t>ASML</t>
        </is>
      </c>
      <c r="C933" s="33" t="inlineStr">
        <is>
          <t>D2</t>
        </is>
      </c>
      <c r="D933" s="33" t="n">
        <v>5</v>
      </c>
      <c r="E933" s="68" t="inlineStr">
        <is>
          <t>EUV literal monopoly — rubric anchor. 100% market share in EUV lithography.</t>
        </is>
      </c>
      <c r="F933" s="68" t="inlineStr">
        <is>
          <t>ASML Q1/Q4 2026 + AI infrastructure coverage (per-name research 2026-05-18)</t>
        </is>
      </c>
      <c r="G933" s="33" t="inlineStr">
        <is>
          <t>High</t>
        </is>
      </c>
      <c r="H933" s="33" t="inlineStr">
        <is>
          <t>Initial</t>
        </is>
      </c>
    </row>
    <row r="934">
      <c r="A934" s="33" t="inlineStr">
        <is>
          <t>2026-05-18</t>
        </is>
      </c>
      <c r="B934" s="33" t="inlineStr">
        <is>
          <t>ASML</t>
        </is>
      </c>
      <c r="C934" s="33" t="inlineStr">
        <is>
          <t>D3</t>
        </is>
      </c>
      <c r="D934" s="33" t="n">
        <v>5</v>
      </c>
      <c r="E934" s="68" t="inlineStr">
        <is>
          <t>Multi-decade IP + manufacturing lead + customer integration. Rubric anchor.</t>
        </is>
      </c>
      <c r="F934" s="68" t="inlineStr">
        <is>
          <t>ASML Q1/Q4 2026 + AI infrastructure coverage (per-name research 2026-05-18)</t>
        </is>
      </c>
      <c r="G934" s="33" t="inlineStr">
        <is>
          <t>High</t>
        </is>
      </c>
      <c r="H934" s="33" t="inlineStr">
        <is>
          <t>Initial</t>
        </is>
      </c>
    </row>
    <row r="935">
      <c r="A935" s="33" t="inlineStr">
        <is>
          <t>2026-05-18</t>
        </is>
      </c>
      <c r="B935" s="33" t="inlineStr">
        <is>
          <t>ASML</t>
        </is>
      </c>
      <c r="C935" s="33" t="inlineStr">
        <is>
          <t>D4</t>
        </is>
      </c>
      <c r="D935" s="33" t="n">
        <v>4</v>
      </c>
      <c r="E935" s="68" t="inlineStr">
        <is>
          <t>€38.8B backlog + bookings +48%. NOT 5 because ASML's own production capacity is a constraint (~16 High-NA units/yr) — that's a self-imposed limit on D4 (Dom call 2026-05-18).</t>
        </is>
      </c>
      <c r="F935" s="68" t="inlineStr">
        <is>
          <t>ASML Q1/Q4 2026 + AI infrastructure coverage (per-name research 2026-05-18)</t>
        </is>
      </c>
      <c r="G935" s="33" t="inlineStr">
        <is>
          <t>High</t>
        </is>
      </c>
      <c r="H935" s="33" t="inlineStr">
        <is>
          <t>Initial</t>
        </is>
      </c>
    </row>
    <row r="936">
      <c r="A936" s="33" t="inlineStr">
        <is>
          <t>2026-05-18</t>
        </is>
      </c>
      <c r="B936" s="33" t="inlineStr">
        <is>
          <t>ASML</t>
        </is>
      </c>
      <c r="C936" s="33" t="inlineStr">
        <is>
          <t>D5</t>
        </is>
      </c>
      <c r="D936" s="33" t="n">
        <v>4</v>
      </c>
      <c r="E936" s="68" t="inlineStr">
        <is>
          <t>TSMC + Intel + Samsung + memory makers — anchor customers; TSMC NOT adopting High-NA for 1.4nm is mild concern.</t>
        </is>
      </c>
      <c r="F936" s="68" t="inlineStr">
        <is>
          <t>ASML Q1/Q4 2026 + AI infrastructure coverage (per-name research 2026-05-18)</t>
        </is>
      </c>
      <c r="G936" s="33" t="inlineStr">
        <is>
          <t>High</t>
        </is>
      </c>
      <c r="H936" s="33" t="inlineStr">
        <is>
          <t>Initial</t>
        </is>
      </c>
    </row>
    <row r="937">
      <c r="A937" s="33" t="inlineStr">
        <is>
          <t>2026-05-18</t>
        </is>
      </c>
      <c r="B937" s="33" t="inlineStr">
        <is>
          <t>ASML</t>
        </is>
      </c>
      <c r="C937" s="33" t="inlineStr">
        <is>
          <t>M1</t>
        </is>
      </c>
      <c r="D937" s="33" t="n">
        <v>4</v>
      </c>
      <c r="E937" s="68" t="inlineStr">
        <is>
          <t>28 up / 1 down on +1Y; FY revision +6.5%.</t>
        </is>
      </c>
      <c r="F937" s="68" t="inlineStr">
        <is>
          <t>ASML Q1/Q4 2026 + AI infrastructure coverage (per-name research 2026-05-18)</t>
        </is>
      </c>
      <c r="G937" s="33" t="inlineStr">
        <is>
          <t>High</t>
        </is>
      </c>
      <c r="H937" s="33" t="inlineStr">
        <is>
          <t>Initial</t>
        </is>
      </c>
    </row>
    <row r="938">
      <c r="A938" s="33" t="inlineStr">
        <is>
          <t>2026-05-18</t>
        </is>
      </c>
      <c r="B938" s="33" t="inlineStr">
        <is>
          <t>ASML</t>
        </is>
      </c>
      <c r="C938" s="33" t="inlineStr">
        <is>
          <t>M2</t>
        </is>
      </c>
      <c r="D938" s="33" t="n">
        <v>2</v>
      </c>
      <c r="E938" s="68" t="inlineStr">
        <is>
          <t>-34pp vs SOXX 180d — sector rotation hurting.</t>
        </is>
      </c>
      <c r="F938" s="68" t="inlineStr">
        <is>
          <t>ASML Q1/Q4 2026 + AI infrastructure coverage (per-name research 2026-05-18)</t>
        </is>
      </c>
      <c r="G938" s="33" t="inlineStr">
        <is>
          <t>High</t>
        </is>
      </c>
      <c r="H938" s="33" t="inlineStr">
        <is>
          <t>Initial</t>
        </is>
      </c>
    </row>
    <row r="939">
      <c r="A939" s="33" t="inlineStr">
        <is>
          <t>2026-05-18</t>
        </is>
      </c>
      <c r="B939" s="33" t="inlineStr">
        <is>
          <t>ASML</t>
        </is>
      </c>
      <c r="C939" s="33" t="inlineStr">
        <is>
          <t>M3</t>
        </is>
      </c>
      <c r="D939" s="33" t="n">
        <v>3</v>
      </c>
      <c r="E939" s="68" t="inlineStr">
        <is>
          <t>Routine; default 3.</t>
        </is>
      </c>
      <c r="F939" s="68" t="inlineStr">
        <is>
          <t>ASML Q1/Q4 2026 + AI infrastructure coverage (per-name research 2026-05-18)</t>
        </is>
      </c>
      <c r="G939" s="33" t="inlineStr">
        <is>
          <t>High</t>
        </is>
      </c>
      <c r="H939" s="33" t="inlineStr">
        <is>
          <t>Initial</t>
        </is>
      </c>
    </row>
    <row r="940">
      <c r="A940" s="33" t="inlineStr">
        <is>
          <t>2026-05-18</t>
        </is>
      </c>
      <c r="B940" s="33" t="inlineStr">
        <is>
          <t>ASML</t>
        </is>
      </c>
      <c r="C940" s="33" t="inlineStr">
        <is>
          <t>R1</t>
        </is>
      </c>
      <c r="D940" s="33" t="n">
        <v>4</v>
      </c>
      <c r="E940" s="68" t="inlineStr">
        <is>
          <t>Top 5 customers concentrated (TSMC, Samsung, Intel, SK Hynix, Micron).</t>
        </is>
      </c>
      <c r="F940" s="68" t="inlineStr">
        <is>
          <t>ASML Q1/Q4 2026 + AI infrastructure coverage (per-name research 2026-05-18)</t>
        </is>
      </c>
      <c r="G940" s="33" t="inlineStr">
        <is>
          <t>High</t>
        </is>
      </c>
      <c r="H940" s="33" t="inlineStr">
        <is>
          <t>Initial</t>
        </is>
      </c>
    </row>
    <row r="941">
      <c r="A941" s="33" t="inlineStr">
        <is>
          <t>2026-05-18</t>
        </is>
      </c>
      <c r="B941" s="33" t="inlineStr">
        <is>
          <t>ASML</t>
        </is>
      </c>
      <c r="C941" s="33" t="inlineStr">
        <is>
          <t>R2</t>
        </is>
      </c>
      <c r="D941" s="33" t="n">
        <v>3</v>
      </c>
      <c r="E941" s="68" t="inlineStr">
        <is>
          <t>China export controls active; Netherlands government coordinates. Material exposure.</t>
        </is>
      </c>
      <c r="F941" s="68" t="inlineStr">
        <is>
          <t>ASML Q1/Q4 2026 + AI infrastructure coverage (per-name research 2026-05-18)</t>
        </is>
      </c>
      <c r="G941" s="33" t="inlineStr">
        <is>
          <t>High</t>
        </is>
      </c>
      <c r="H941" s="33" t="inlineStr">
        <is>
          <t>Initial</t>
        </is>
      </c>
    </row>
    <row r="942">
      <c r="A942" s="33" t="inlineStr">
        <is>
          <t>2026-05-18</t>
        </is>
      </c>
      <c r="B942" s="33" t="inlineStr">
        <is>
          <t>ASML</t>
        </is>
      </c>
      <c r="C942" s="33" t="inlineStr">
        <is>
          <t>R3</t>
        </is>
      </c>
      <c r="D942" s="33" t="n">
        <v>5</v>
      </c>
      <c r="E942" s="68" t="inlineStr">
        <is>
          <t>Net cash + strong FCF.</t>
        </is>
      </c>
      <c r="F942" s="68" t="inlineStr">
        <is>
          <t>ASML Q1/Q4 2026 + AI infrastructure coverage (per-name research 2026-05-18)</t>
        </is>
      </c>
      <c r="G942" s="33" t="inlineStr">
        <is>
          <t>High</t>
        </is>
      </c>
      <c r="H942" s="33" t="inlineStr">
        <is>
          <t>Initial</t>
        </is>
      </c>
    </row>
    <row r="943">
      <c r="A943" s="33" t="inlineStr">
        <is>
          <t>2026-05-18</t>
        </is>
      </c>
      <c r="B943" s="33" t="inlineStr">
        <is>
          <t>ASML</t>
        </is>
      </c>
      <c r="C943" s="33" t="inlineStr">
        <is>
          <t>R4</t>
        </is>
      </c>
      <c r="D943" s="33" t="n">
        <v>3</v>
      </c>
      <c r="E943" s="68" t="inlineStr">
        <is>
          <t>EU/China export control scrutiny ongoing but no enforcement. **Dom 2026-05-18: log rationale, revisit quarterly.** Defensible 3 (pending matters) or 4 (no enforcement) — staying 3 conservatively.</t>
        </is>
      </c>
      <c r="F943" s="68" t="inlineStr">
        <is>
          <t>ASML Q1/Q4 2026 + AI infrastructure coverage (per-name research 2026-05-18)</t>
        </is>
      </c>
      <c r="G943" s="33" t="inlineStr">
        <is>
          <t>High</t>
        </is>
      </c>
      <c r="H943" s="33" t="inlineStr">
        <is>
          <t>Initial</t>
        </is>
      </c>
    </row>
    <row r="944">
      <c r="A944" s="33" t="inlineStr">
        <is>
          <t>2026-05-18</t>
        </is>
      </c>
      <c r="B944" s="33" t="inlineStr">
        <is>
          <t>AMAT</t>
        </is>
      </c>
      <c r="C944" s="33" t="inlineStr">
        <is>
          <t>D1</t>
        </is>
      </c>
      <c r="D944" s="33" t="n">
        <v>4</v>
      </c>
      <c r="E944" s="68" t="inlineStr">
        <is>
          <t>AI logic + HBM + AP — ~30%+ AI-tied; 20%+ growth guide.</t>
        </is>
      </c>
      <c r="F944" s="68" t="inlineStr">
        <is>
          <t>AMAT Q1/Q4 2026 + AI infrastructure coverage (per-name research 2026-05-18)</t>
        </is>
      </c>
      <c r="G944" s="33" t="inlineStr">
        <is>
          <t>High</t>
        </is>
      </c>
      <c r="H944" s="33" t="inlineStr">
        <is>
          <t>Initial</t>
        </is>
      </c>
    </row>
    <row r="945">
      <c r="A945" s="33" t="inlineStr">
        <is>
          <t>2026-05-18</t>
        </is>
      </c>
      <c r="B945" s="33" t="inlineStr">
        <is>
          <t>AMAT</t>
        </is>
      </c>
      <c r="C945" s="33" t="inlineStr">
        <is>
          <t>D2</t>
        </is>
      </c>
      <c r="D945" s="33" t="n">
        <v>4</v>
      </c>
      <c r="E945" s="68" t="inlineStr">
        <is>
          <t>#1 in leading-edge logic process equipment.</t>
        </is>
      </c>
      <c r="F945" s="68" t="inlineStr">
        <is>
          <t>AMAT Q1/Q4 2026 + AI infrastructure coverage (per-name research 2026-05-18)</t>
        </is>
      </c>
      <c r="G945" s="33" t="inlineStr">
        <is>
          <t>High</t>
        </is>
      </c>
      <c r="H945" s="33" t="inlineStr">
        <is>
          <t>Initial</t>
        </is>
      </c>
    </row>
    <row r="946">
      <c r="A946" s="33" t="inlineStr">
        <is>
          <t>2026-05-18</t>
        </is>
      </c>
      <c r="B946" s="33" t="inlineStr">
        <is>
          <t>AMAT</t>
        </is>
      </c>
      <c r="C946" s="33" t="inlineStr">
        <is>
          <t>D3</t>
        </is>
      </c>
      <c r="D946" s="33" t="n">
        <v>4</v>
      </c>
      <c r="E946" s="68" t="inlineStr">
        <is>
          <t>Scale + IP + multi-decade customer relationships.</t>
        </is>
      </c>
      <c r="F946" s="68" t="inlineStr">
        <is>
          <t>AMAT Q1/Q4 2026 + AI infrastructure coverage (per-name research 2026-05-18)</t>
        </is>
      </c>
      <c r="G946" s="33" t="inlineStr">
        <is>
          <t>High</t>
        </is>
      </c>
      <c r="H946" s="33" t="inlineStr">
        <is>
          <t>Initial</t>
        </is>
      </c>
    </row>
    <row r="947">
      <c r="A947" s="33" t="inlineStr">
        <is>
          <t>2026-05-18</t>
        </is>
      </c>
      <c r="B947" s="33" t="inlineStr">
        <is>
          <t>AMAT</t>
        </is>
      </c>
      <c r="C947" s="33" t="inlineStr">
        <is>
          <t>D4</t>
        </is>
      </c>
      <c r="D947" s="33" t="n">
        <v>5</v>
      </c>
      <c r="E947" s="68" t="inlineStr">
        <is>
          <t>20%+ semi equipment growth guide; record AP business this year.</t>
        </is>
      </c>
      <c r="F947" s="68" t="inlineStr">
        <is>
          <t>AMAT Q1/Q4 2026 + AI infrastructure coverage (per-name research 2026-05-18)</t>
        </is>
      </c>
      <c r="G947" s="33" t="inlineStr">
        <is>
          <t>High</t>
        </is>
      </c>
      <c r="H947" s="33" t="inlineStr">
        <is>
          <t>Initial</t>
        </is>
      </c>
    </row>
    <row r="948">
      <c r="A948" s="33" t="inlineStr">
        <is>
          <t>2026-05-18</t>
        </is>
      </c>
      <c r="B948" s="33" t="inlineStr">
        <is>
          <t>AMAT</t>
        </is>
      </c>
      <c r="C948" s="33" t="inlineStr">
        <is>
          <t>D5</t>
        </is>
      </c>
      <c r="D948" s="33" t="n">
        <v>4</v>
      </c>
      <c r="E948" s="68" t="inlineStr">
        <is>
          <t>Hyperscaler-adjacent via TSMC/Samsung/Intel.</t>
        </is>
      </c>
      <c r="F948" s="68" t="inlineStr">
        <is>
          <t>AMAT Q1/Q4 2026 + AI infrastructure coverage (per-name research 2026-05-18)</t>
        </is>
      </c>
      <c r="G948" s="33" t="inlineStr">
        <is>
          <t>High</t>
        </is>
      </c>
      <c r="H948" s="33" t="inlineStr">
        <is>
          <t>Initial</t>
        </is>
      </c>
    </row>
    <row r="949">
      <c r="A949" s="33" t="inlineStr">
        <is>
          <t>2026-05-18</t>
        </is>
      </c>
      <c r="B949" s="33" t="inlineStr">
        <is>
          <t>AMAT</t>
        </is>
      </c>
      <c r="C949" s="33" t="inlineStr">
        <is>
          <t>M1</t>
        </is>
      </c>
      <c r="D949" s="33" t="n">
        <v>4</v>
      </c>
      <c r="E949" s="68" t="inlineStr">
        <is>
          <t>6 up / 1 down on +1Y; FY +10.8%.</t>
        </is>
      </c>
      <c r="F949" s="68" t="inlineStr">
        <is>
          <t>AMAT Q1/Q4 2026 + AI infrastructure coverage (per-name research 2026-05-18)</t>
        </is>
      </c>
      <c r="G949" s="33" t="inlineStr">
        <is>
          <t>High</t>
        </is>
      </c>
      <c r="H949" s="33" t="inlineStr">
        <is>
          <t>Initial</t>
        </is>
      </c>
    </row>
    <row r="950">
      <c r="A950" s="33" t="inlineStr">
        <is>
          <t>2026-05-18</t>
        </is>
      </c>
      <c r="B950" s="33" t="inlineStr">
        <is>
          <t>AMAT</t>
        </is>
      </c>
      <c r="C950" s="33" t="inlineStr">
        <is>
          <t>M2</t>
        </is>
      </c>
      <c r="D950" s="33" t="n">
        <v>3</v>
      </c>
      <c r="E950" s="68" t="inlineStr">
        <is>
          <t>+0pp vs SOXX 180d (in-line).</t>
        </is>
      </c>
      <c r="F950" s="68" t="inlineStr">
        <is>
          <t>AMAT Q1/Q4 2026 + AI infrastructure coverage (per-name research 2026-05-18)</t>
        </is>
      </c>
      <c r="G950" s="33" t="inlineStr">
        <is>
          <t>High</t>
        </is>
      </c>
      <c r="H950" s="33" t="inlineStr">
        <is>
          <t>Initial</t>
        </is>
      </c>
    </row>
    <row r="951">
      <c r="A951" s="33" t="inlineStr">
        <is>
          <t>2026-05-18</t>
        </is>
      </c>
      <c r="B951" s="33" t="inlineStr">
        <is>
          <t>AMAT</t>
        </is>
      </c>
      <c r="C951" s="33" t="inlineStr">
        <is>
          <t>M3</t>
        </is>
      </c>
      <c r="D951" s="33" t="n">
        <v>3</v>
      </c>
      <c r="E951" s="68" t="inlineStr">
        <is>
          <t>Routine; default 3.</t>
        </is>
      </c>
      <c r="F951" s="68" t="inlineStr">
        <is>
          <t>AMAT Q1/Q4 2026 + AI infrastructure coverage (per-name research 2026-05-18)</t>
        </is>
      </c>
      <c r="G951" s="33" t="inlineStr">
        <is>
          <t>High</t>
        </is>
      </c>
      <c r="H951" s="33" t="inlineStr">
        <is>
          <t>Initial</t>
        </is>
      </c>
    </row>
    <row r="952">
      <c r="A952" s="33" t="inlineStr">
        <is>
          <t>2026-05-18</t>
        </is>
      </c>
      <c r="B952" s="33" t="inlineStr">
        <is>
          <t>AMAT</t>
        </is>
      </c>
      <c r="C952" s="33" t="inlineStr">
        <is>
          <t>R1</t>
        </is>
      </c>
      <c r="D952" s="33" t="n">
        <v>4</v>
      </c>
      <c r="E952" s="68" t="inlineStr">
        <is>
          <t>Top customers concentrated.</t>
        </is>
      </c>
      <c r="F952" s="68" t="inlineStr">
        <is>
          <t>AMAT Q1/Q4 2026 + AI infrastructure coverage (per-name research 2026-05-18)</t>
        </is>
      </c>
      <c r="G952" s="33" t="inlineStr">
        <is>
          <t>High</t>
        </is>
      </c>
      <c r="H952" s="33" t="inlineStr">
        <is>
          <t>Initial</t>
        </is>
      </c>
    </row>
    <row r="953">
      <c r="A953" s="33" t="inlineStr">
        <is>
          <t>2026-05-18</t>
        </is>
      </c>
      <c r="B953" s="33" t="inlineStr">
        <is>
          <t>AMAT</t>
        </is>
      </c>
      <c r="C953" s="33" t="inlineStr">
        <is>
          <t>R2</t>
        </is>
      </c>
      <c r="D953" s="33" t="n">
        <v>3</v>
      </c>
      <c r="E953" s="68" t="inlineStr">
        <is>
          <t>China export controls real but smaller than ASML.</t>
        </is>
      </c>
      <c r="F953" s="68" t="inlineStr">
        <is>
          <t>AMAT Q1/Q4 2026 + AI infrastructure coverage (per-name research 2026-05-18)</t>
        </is>
      </c>
      <c r="G953" s="33" t="inlineStr">
        <is>
          <t>High</t>
        </is>
      </c>
      <c r="H953" s="33" t="inlineStr">
        <is>
          <t>Initial</t>
        </is>
      </c>
    </row>
    <row r="954">
      <c r="A954" s="33" t="inlineStr">
        <is>
          <t>2026-05-18</t>
        </is>
      </c>
      <c r="B954" s="33" t="inlineStr">
        <is>
          <t>AMAT</t>
        </is>
      </c>
      <c r="C954" s="33" t="inlineStr">
        <is>
          <t>R3</t>
        </is>
      </c>
      <c r="D954" s="33" t="n">
        <v>5</v>
      </c>
      <c r="E954" s="68" t="inlineStr">
        <is>
          <t>Net cash, strong FCF.</t>
        </is>
      </c>
      <c r="F954" s="68" t="inlineStr">
        <is>
          <t>AMAT Q1/Q4 2026 + AI infrastructure coverage (per-name research 2026-05-18)</t>
        </is>
      </c>
      <c r="G954" s="33" t="inlineStr">
        <is>
          <t>High</t>
        </is>
      </c>
      <c r="H954" s="33" t="inlineStr">
        <is>
          <t>Initial</t>
        </is>
      </c>
    </row>
    <row r="955">
      <c r="A955" s="33" t="inlineStr">
        <is>
          <t>2026-05-18</t>
        </is>
      </c>
      <c r="B955" s="33" t="inlineStr">
        <is>
          <t>AMAT</t>
        </is>
      </c>
      <c r="C955" s="33" t="inlineStr">
        <is>
          <t>R4</t>
        </is>
      </c>
      <c r="D955" s="33" t="n">
        <v>4</v>
      </c>
      <c r="E955" s="68" t="inlineStr">
        <is>
          <t>Routine.</t>
        </is>
      </c>
      <c r="F955" s="68" t="inlineStr">
        <is>
          <t>AMAT Q1/Q4 2026 + AI infrastructure coverage (per-name research 2026-05-18)</t>
        </is>
      </c>
      <c r="G955" s="33" t="inlineStr">
        <is>
          <t>High</t>
        </is>
      </c>
      <c r="H955" s="33" t="inlineStr">
        <is>
          <t>Initial</t>
        </is>
      </c>
    </row>
    <row r="956">
      <c r="A956" s="33" t="inlineStr">
        <is>
          <t>2026-05-18</t>
        </is>
      </c>
      <c r="B956" s="33" t="inlineStr">
        <is>
          <t>LRCX</t>
        </is>
      </c>
      <c r="C956" s="33" t="inlineStr">
        <is>
          <t>D1</t>
        </is>
      </c>
      <c r="D956" s="33" t="n">
        <v>4</v>
      </c>
      <c r="E956" s="68" t="inlineStr">
        <is>
          <t>AI-driven AP + HBM tools; ~30-40% AI revenue.</t>
        </is>
      </c>
      <c r="F956" s="68" t="inlineStr">
        <is>
          <t>LRCX Q1/Q4 2026 + AI infrastructure coverage (per-name research 2026-05-18)</t>
        </is>
      </c>
      <c r="G956" s="33" t="inlineStr">
        <is>
          <t>High</t>
        </is>
      </c>
      <c r="H956" s="33" t="inlineStr">
        <is>
          <t>Initial</t>
        </is>
      </c>
    </row>
    <row r="957">
      <c r="A957" s="33" t="inlineStr">
        <is>
          <t>2026-05-18</t>
        </is>
      </c>
      <c r="B957" s="33" t="inlineStr">
        <is>
          <t>LRCX</t>
        </is>
      </c>
      <c r="C957" s="33" t="inlineStr">
        <is>
          <t>D2</t>
        </is>
      </c>
      <c r="D957" s="33" t="n">
        <v>4</v>
      </c>
      <c r="E957" s="68" t="inlineStr">
        <is>
          <t>#1 etch, #2 deposition.</t>
        </is>
      </c>
      <c r="F957" s="68" t="inlineStr">
        <is>
          <t>LRCX Q1/Q4 2026 + AI infrastructure coverage (per-name research 2026-05-18)</t>
        </is>
      </c>
      <c r="G957" s="33" t="inlineStr">
        <is>
          <t>High</t>
        </is>
      </c>
      <c r="H957" s="33" t="inlineStr">
        <is>
          <t>Initial</t>
        </is>
      </c>
    </row>
    <row r="958">
      <c r="A958" s="33" t="inlineStr">
        <is>
          <t>2026-05-18</t>
        </is>
      </c>
      <c r="B958" s="33" t="inlineStr">
        <is>
          <t>LRCX</t>
        </is>
      </c>
      <c r="C958" s="33" t="inlineStr">
        <is>
          <t>D3</t>
        </is>
      </c>
      <c r="D958" s="33" t="n">
        <v>4</v>
      </c>
      <c r="E958" s="68" t="inlineStr">
        <is>
          <t>Etch + deposition IP + customer integration.</t>
        </is>
      </c>
      <c r="F958" s="68" t="inlineStr">
        <is>
          <t>LRCX Q1/Q4 2026 + AI infrastructure coverage (per-name research 2026-05-18)</t>
        </is>
      </c>
      <c r="G958" s="33" t="inlineStr">
        <is>
          <t>High</t>
        </is>
      </c>
      <c r="H958" s="33" t="inlineStr">
        <is>
          <t>Initial</t>
        </is>
      </c>
    </row>
    <row r="959">
      <c r="A959" s="33" t="inlineStr">
        <is>
          <t>2026-05-18</t>
        </is>
      </c>
      <c r="B959" s="33" t="inlineStr">
        <is>
          <t>LRCX</t>
        </is>
      </c>
      <c r="C959" s="33" t="inlineStr">
        <is>
          <t>D4</t>
        </is>
      </c>
      <c r="D959" s="33" t="n">
        <v>5</v>
      </c>
      <c r="E959" s="68" t="inlineStr">
        <is>
          <t>AP revenue +50% expected 2026.</t>
        </is>
      </c>
      <c r="F959" s="68" t="inlineStr">
        <is>
          <t>LRCX Q1/Q4 2026 + AI infrastructure coverage (per-name research 2026-05-18)</t>
        </is>
      </c>
      <c r="G959" s="33" t="inlineStr">
        <is>
          <t>High</t>
        </is>
      </c>
      <c r="H959" s="33" t="inlineStr">
        <is>
          <t>Initial</t>
        </is>
      </c>
    </row>
    <row r="960">
      <c r="A960" s="33" t="inlineStr">
        <is>
          <t>2026-05-18</t>
        </is>
      </c>
      <c r="B960" s="33" t="inlineStr">
        <is>
          <t>LRCX</t>
        </is>
      </c>
      <c r="C960" s="33" t="inlineStr">
        <is>
          <t>D5</t>
        </is>
      </c>
      <c r="D960" s="33" t="n">
        <v>4</v>
      </c>
      <c r="E960" s="68" t="inlineStr">
        <is>
          <t>Hyperscaler-adjacent.</t>
        </is>
      </c>
      <c r="F960" s="68" t="inlineStr">
        <is>
          <t>LRCX Q1/Q4 2026 + AI infrastructure coverage (per-name research 2026-05-18)</t>
        </is>
      </c>
      <c r="G960" s="33" t="inlineStr">
        <is>
          <t>High</t>
        </is>
      </c>
      <c r="H960" s="33" t="inlineStr">
        <is>
          <t>Initial</t>
        </is>
      </c>
    </row>
    <row r="961">
      <c r="A961" s="33" t="inlineStr">
        <is>
          <t>2026-05-18</t>
        </is>
      </c>
      <c r="B961" s="33" t="inlineStr">
        <is>
          <t>LRCX</t>
        </is>
      </c>
      <c r="C961" s="33" t="inlineStr">
        <is>
          <t>M1</t>
        </is>
      </c>
      <c r="D961" s="33" t="n">
        <v>5</v>
      </c>
      <c r="E961" s="68" t="inlineStr">
        <is>
          <t>31 up / 1 down on +1Y; FY +7.1%.</t>
        </is>
      </c>
      <c r="F961" s="68" t="inlineStr">
        <is>
          <t>LRCX Q1/Q4 2026 + AI infrastructure coverage (per-name research 2026-05-18)</t>
        </is>
      </c>
      <c r="G961" s="33" t="inlineStr">
        <is>
          <t>High</t>
        </is>
      </c>
      <c r="H961" s="33" t="inlineStr">
        <is>
          <t>Initial</t>
        </is>
      </c>
    </row>
    <row r="962">
      <c r="A962" s="33" t="inlineStr">
        <is>
          <t>2026-05-18</t>
        </is>
      </c>
      <c r="B962" s="33" t="inlineStr">
        <is>
          <t>LRCX</t>
        </is>
      </c>
      <c r="C962" s="33" t="inlineStr">
        <is>
          <t>M2</t>
        </is>
      </c>
      <c r="D962" s="33" t="n">
        <v>4</v>
      </c>
      <c r="E962" s="68" t="inlineStr">
        <is>
          <t>+11pp vs SOXX 180d.</t>
        </is>
      </c>
      <c r="F962" s="68" t="inlineStr">
        <is>
          <t>LRCX Q1/Q4 2026 + AI infrastructure coverage (per-name research 2026-05-18)</t>
        </is>
      </c>
      <c r="G962" s="33" t="inlineStr">
        <is>
          <t>High</t>
        </is>
      </c>
      <c r="H962" s="33" t="inlineStr">
        <is>
          <t>Initial</t>
        </is>
      </c>
    </row>
    <row r="963">
      <c r="A963" s="33" t="inlineStr">
        <is>
          <t>2026-05-18</t>
        </is>
      </c>
      <c r="B963" s="33" t="inlineStr">
        <is>
          <t>LRCX</t>
        </is>
      </c>
      <c r="C963" s="33" t="inlineStr">
        <is>
          <t>M3</t>
        </is>
      </c>
      <c r="D963" s="33" t="n">
        <v>3</v>
      </c>
      <c r="E963" s="68" t="inlineStr">
        <is>
          <t>Routine; default 3.</t>
        </is>
      </c>
      <c r="F963" s="68" t="inlineStr">
        <is>
          <t>LRCX Q1/Q4 2026 + AI infrastructure coverage (per-name research 2026-05-18)</t>
        </is>
      </c>
      <c r="G963" s="33" t="inlineStr">
        <is>
          <t>High</t>
        </is>
      </c>
      <c r="H963" s="33" t="inlineStr">
        <is>
          <t>Initial</t>
        </is>
      </c>
    </row>
    <row r="964">
      <c r="A964" s="33" t="inlineStr">
        <is>
          <t>2026-05-18</t>
        </is>
      </c>
      <c r="B964" s="33" t="inlineStr">
        <is>
          <t>LRCX</t>
        </is>
      </c>
      <c r="C964" s="33" t="inlineStr">
        <is>
          <t>R1</t>
        </is>
      </c>
      <c r="D964" s="33" t="n">
        <v>4</v>
      </c>
      <c r="E964" s="68" t="inlineStr">
        <is>
          <t>Top customers concentrated.</t>
        </is>
      </c>
      <c r="F964" s="68" t="inlineStr">
        <is>
          <t>LRCX Q1/Q4 2026 + AI infrastructure coverage (per-name research 2026-05-18)</t>
        </is>
      </c>
      <c r="G964" s="33" t="inlineStr">
        <is>
          <t>High</t>
        </is>
      </c>
      <c r="H964" s="33" t="inlineStr">
        <is>
          <t>Initial</t>
        </is>
      </c>
    </row>
    <row r="965">
      <c r="A965" s="33" t="inlineStr">
        <is>
          <t>2026-05-18</t>
        </is>
      </c>
      <c r="B965" s="33" t="inlineStr">
        <is>
          <t>LRCX</t>
        </is>
      </c>
      <c r="C965" s="33" t="inlineStr">
        <is>
          <t>R2</t>
        </is>
      </c>
      <c r="D965" s="33" t="n">
        <v>3</v>
      </c>
      <c r="E965" s="68" t="inlineStr">
        <is>
          <t>China exposure.</t>
        </is>
      </c>
      <c r="F965" s="68" t="inlineStr">
        <is>
          <t>LRCX Q1/Q4 2026 + AI infrastructure coverage (per-name research 2026-05-18)</t>
        </is>
      </c>
      <c r="G965" s="33" t="inlineStr">
        <is>
          <t>High</t>
        </is>
      </c>
      <c r="H965" s="33" t="inlineStr">
        <is>
          <t>Initial</t>
        </is>
      </c>
    </row>
    <row r="966">
      <c r="A966" s="33" t="inlineStr">
        <is>
          <t>2026-05-18</t>
        </is>
      </c>
      <c r="B966" s="33" t="inlineStr">
        <is>
          <t>LRCX</t>
        </is>
      </c>
      <c r="C966" s="33" t="inlineStr">
        <is>
          <t>R3</t>
        </is>
      </c>
      <c r="D966" s="33" t="n">
        <v>5</v>
      </c>
      <c r="E966" s="68" t="inlineStr">
        <is>
          <t>Strong.</t>
        </is>
      </c>
      <c r="F966" s="68" t="inlineStr">
        <is>
          <t>LRCX Q1/Q4 2026 + AI infrastructure coverage (per-name research 2026-05-18)</t>
        </is>
      </c>
      <c r="G966" s="33" t="inlineStr">
        <is>
          <t>High</t>
        </is>
      </c>
      <c r="H966" s="33" t="inlineStr">
        <is>
          <t>Initial</t>
        </is>
      </c>
    </row>
    <row r="967">
      <c r="A967" s="33" t="inlineStr">
        <is>
          <t>2026-05-18</t>
        </is>
      </c>
      <c r="B967" s="33" t="inlineStr">
        <is>
          <t>LRCX</t>
        </is>
      </c>
      <c r="C967" s="33" t="inlineStr">
        <is>
          <t>R4</t>
        </is>
      </c>
      <c r="D967" s="33" t="n">
        <v>4</v>
      </c>
      <c r="E967" s="68" t="inlineStr">
        <is>
          <t>Routine.</t>
        </is>
      </c>
      <c r="F967" s="68" t="inlineStr">
        <is>
          <t>LRCX Q1/Q4 2026 + AI infrastructure coverage (per-name research 2026-05-18)</t>
        </is>
      </c>
      <c r="G967" s="33" t="inlineStr">
        <is>
          <t>High</t>
        </is>
      </c>
      <c r="H967" s="33" t="inlineStr">
        <is>
          <t>Initial</t>
        </is>
      </c>
    </row>
    <row r="968">
      <c r="A968" s="33" t="inlineStr">
        <is>
          <t>2026-05-18</t>
        </is>
      </c>
      <c r="B968" s="33" t="inlineStr">
        <is>
          <t>KLAC</t>
        </is>
      </c>
      <c r="C968" s="33" t="inlineStr">
        <is>
          <t>D1</t>
        </is>
      </c>
      <c r="D968" s="33" t="n">
        <v>4</v>
      </c>
      <c r="E968" s="68" t="inlineStr">
        <is>
          <t>PCB/Component +37% on AI packaging; ~30% AI revenue.</t>
        </is>
      </c>
      <c r="F968" s="68" t="inlineStr">
        <is>
          <t>KLAC Q1/Q4 2026 + AI infrastructure coverage (per-name research 2026-05-18)</t>
        </is>
      </c>
      <c r="G968" s="33" t="inlineStr">
        <is>
          <t>High</t>
        </is>
      </c>
      <c r="H968" s="33" t="inlineStr">
        <is>
          <t>Initial</t>
        </is>
      </c>
    </row>
    <row r="969">
      <c r="A969" s="33" t="inlineStr">
        <is>
          <t>2026-05-18</t>
        </is>
      </c>
      <c r="B969" s="33" t="inlineStr">
        <is>
          <t>KLAC</t>
        </is>
      </c>
      <c r="C969" s="33" t="inlineStr">
        <is>
          <t>D2</t>
        </is>
      </c>
      <c r="D969" s="33" t="n">
        <v>5</v>
      </c>
      <c r="E969" s="68" t="inlineStr">
        <is>
          <t>Process control mission-critical for sub-2nm/AI chips.</t>
        </is>
      </c>
      <c r="F969" s="68" t="inlineStr">
        <is>
          <t>KLAC Q1/Q4 2026 + AI infrastructure coverage (per-name research 2026-05-18)</t>
        </is>
      </c>
      <c r="G969" s="33" t="inlineStr">
        <is>
          <t>High</t>
        </is>
      </c>
      <c r="H969" s="33" t="inlineStr">
        <is>
          <t>Initial</t>
        </is>
      </c>
    </row>
    <row r="970">
      <c r="A970" s="33" t="inlineStr">
        <is>
          <t>2026-05-18</t>
        </is>
      </c>
      <c r="B970" s="33" t="inlineStr">
        <is>
          <t>KLAC</t>
        </is>
      </c>
      <c r="C970" s="33" t="inlineStr">
        <is>
          <t>D3</t>
        </is>
      </c>
      <c r="D970" s="33" t="n">
        <v>5</v>
      </c>
      <c r="E970" s="68" t="inlineStr">
        <is>
          <t>Yield + metrology IP — rubric-level moat in inspection.</t>
        </is>
      </c>
      <c r="F970" s="68" t="inlineStr">
        <is>
          <t>KLAC Q1/Q4 2026 + AI infrastructure coverage (per-name research 2026-05-18)</t>
        </is>
      </c>
      <c r="G970" s="33" t="inlineStr">
        <is>
          <t>High</t>
        </is>
      </c>
      <c r="H970" s="33" t="inlineStr">
        <is>
          <t>Initial</t>
        </is>
      </c>
    </row>
    <row r="971">
      <c r="A971" s="33" t="inlineStr">
        <is>
          <t>2026-05-18</t>
        </is>
      </c>
      <c r="B971" s="33" t="inlineStr">
        <is>
          <t>KLAC</t>
        </is>
      </c>
      <c r="C971" s="33" t="inlineStr">
        <is>
          <t>D4</t>
        </is>
      </c>
      <c r="D971" s="33" t="n">
        <v>4</v>
      </c>
      <c r="E971" s="68" t="inlineStr">
        <is>
          <t>Steady capex aligned with demand.</t>
        </is>
      </c>
      <c r="F971" s="68" t="inlineStr">
        <is>
          <t>KLAC Q1/Q4 2026 + AI infrastructure coverage (per-name research 2026-05-18)</t>
        </is>
      </c>
      <c r="G971" s="33" t="inlineStr">
        <is>
          <t>High</t>
        </is>
      </c>
      <c r="H971" s="33" t="inlineStr">
        <is>
          <t>Initial</t>
        </is>
      </c>
    </row>
    <row r="972">
      <c r="A972" s="33" t="inlineStr">
        <is>
          <t>2026-05-18</t>
        </is>
      </c>
      <c r="B972" s="33" t="inlineStr">
        <is>
          <t>KLAC</t>
        </is>
      </c>
      <c r="C972" s="33" t="inlineStr">
        <is>
          <t>D5</t>
        </is>
      </c>
      <c r="D972" s="33" t="n">
        <v>4</v>
      </c>
      <c r="E972" s="68" t="inlineStr">
        <is>
          <t>All major foundries.</t>
        </is>
      </c>
      <c r="F972" s="68" t="inlineStr">
        <is>
          <t>KLAC Q1/Q4 2026 + AI infrastructure coverage (per-name research 2026-05-18)</t>
        </is>
      </c>
      <c r="G972" s="33" t="inlineStr">
        <is>
          <t>High</t>
        </is>
      </c>
      <c r="H972" s="33" t="inlineStr">
        <is>
          <t>Initial</t>
        </is>
      </c>
    </row>
    <row r="973">
      <c r="A973" s="33" t="inlineStr">
        <is>
          <t>2026-05-18</t>
        </is>
      </c>
      <c r="B973" s="33" t="inlineStr">
        <is>
          <t>KLAC</t>
        </is>
      </c>
      <c r="C973" s="33" t="inlineStr">
        <is>
          <t>M1</t>
        </is>
      </c>
      <c r="D973" s="33" t="n">
        <v>5</v>
      </c>
      <c r="E973" s="68" t="inlineStr">
        <is>
          <t>24 up / 1 down on +1Y.</t>
        </is>
      </c>
      <c r="F973" s="68" t="inlineStr">
        <is>
          <t>KLAC Q1/Q4 2026 + AI infrastructure coverage (per-name research 2026-05-18)</t>
        </is>
      </c>
      <c r="G973" s="33" t="inlineStr">
        <is>
          <t>High</t>
        </is>
      </c>
      <c r="H973" s="33" t="inlineStr">
        <is>
          <t>Initial</t>
        </is>
      </c>
    </row>
    <row r="974">
      <c r="A974" s="33" t="inlineStr">
        <is>
          <t>2026-05-18</t>
        </is>
      </c>
      <c r="B974" s="33" t="inlineStr">
        <is>
          <t>KLAC</t>
        </is>
      </c>
      <c r="C974" s="33" t="inlineStr">
        <is>
          <t>M2</t>
        </is>
      </c>
      <c r="D974" s="33" t="n">
        <v>2</v>
      </c>
      <c r="E974" s="68" t="inlineStr">
        <is>
          <t>-26pp vs SOXX — sector rotation.</t>
        </is>
      </c>
      <c r="F974" s="68" t="inlineStr">
        <is>
          <t>KLAC Q1/Q4 2026 + AI infrastructure coverage (per-name research 2026-05-18)</t>
        </is>
      </c>
      <c r="G974" s="33" t="inlineStr">
        <is>
          <t>High</t>
        </is>
      </c>
      <c r="H974" s="33" t="inlineStr">
        <is>
          <t>Initial</t>
        </is>
      </c>
    </row>
    <row r="975">
      <c r="A975" s="33" t="inlineStr">
        <is>
          <t>2026-05-18</t>
        </is>
      </c>
      <c r="B975" s="33" t="inlineStr">
        <is>
          <t>KLAC</t>
        </is>
      </c>
      <c r="C975" s="33" t="inlineStr">
        <is>
          <t>M3</t>
        </is>
      </c>
      <c r="D975" s="33" t="n">
        <v>3</v>
      </c>
      <c r="E975" s="68" t="inlineStr">
        <is>
          <t>Routine; default 3.</t>
        </is>
      </c>
      <c r="F975" s="68" t="inlineStr">
        <is>
          <t>KLAC Q1/Q4 2026 + AI infrastructure coverage (per-name research 2026-05-18)</t>
        </is>
      </c>
      <c r="G975" s="33" t="inlineStr">
        <is>
          <t>High</t>
        </is>
      </c>
      <c r="H975" s="33" t="inlineStr">
        <is>
          <t>Initial</t>
        </is>
      </c>
    </row>
    <row r="976">
      <c r="A976" s="33" t="inlineStr">
        <is>
          <t>2026-05-18</t>
        </is>
      </c>
      <c r="B976" s="33" t="inlineStr">
        <is>
          <t>KLAC</t>
        </is>
      </c>
      <c r="C976" s="33" t="inlineStr">
        <is>
          <t>R1</t>
        </is>
      </c>
      <c r="D976" s="33" t="n">
        <v>4</v>
      </c>
      <c r="E976" s="68" t="inlineStr">
        <is>
          <t>Top customers concentrated.</t>
        </is>
      </c>
      <c r="F976" s="68" t="inlineStr">
        <is>
          <t>KLAC Q1/Q4 2026 + AI infrastructure coverage (per-name research 2026-05-18)</t>
        </is>
      </c>
      <c r="G976" s="33" t="inlineStr">
        <is>
          <t>High</t>
        </is>
      </c>
      <c r="H976" s="33" t="inlineStr">
        <is>
          <t>Initial</t>
        </is>
      </c>
    </row>
    <row r="977">
      <c r="A977" s="33" t="inlineStr">
        <is>
          <t>2026-05-18</t>
        </is>
      </c>
      <c r="B977" s="33" t="inlineStr">
        <is>
          <t>KLAC</t>
        </is>
      </c>
      <c r="C977" s="33" t="inlineStr">
        <is>
          <t>R2</t>
        </is>
      </c>
      <c r="D977" s="33" t="n">
        <v>3</v>
      </c>
      <c r="E977" s="68" t="inlineStr">
        <is>
          <t>China exposure.</t>
        </is>
      </c>
      <c r="F977" s="68" t="inlineStr">
        <is>
          <t>KLAC Q1/Q4 2026 + AI infrastructure coverage (per-name research 2026-05-18)</t>
        </is>
      </c>
      <c r="G977" s="33" t="inlineStr">
        <is>
          <t>High</t>
        </is>
      </c>
      <c r="H977" s="33" t="inlineStr">
        <is>
          <t>Initial</t>
        </is>
      </c>
    </row>
    <row r="978">
      <c r="A978" s="33" t="inlineStr">
        <is>
          <t>2026-05-18</t>
        </is>
      </c>
      <c r="B978" s="33" t="inlineStr">
        <is>
          <t>KLAC</t>
        </is>
      </c>
      <c r="C978" s="33" t="inlineStr">
        <is>
          <t>R3</t>
        </is>
      </c>
      <c r="D978" s="33" t="n">
        <v>5</v>
      </c>
      <c r="E978" s="68" t="inlineStr">
        <is>
          <t>Strong.</t>
        </is>
      </c>
      <c r="F978" s="68" t="inlineStr">
        <is>
          <t>KLAC Q1/Q4 2026 + AI infrastructure coverage (per-name research 2026-05-18)</t>
        </is>
      </c>
      <c r="G978" s="33" t="inlineStr">
        <is>
          <t>High</t>
        </is>
      </c>
      <c r="H978" s="33" t="inlineStr">
        <is>
          <t>Initial</t>
        </is>
      </c>
    </row>
    <row r="979">
      <c r="A979" s="33" t="inlineStr">
        <is>
          <t>2026-05-18</t>
        </is>
      </c>
      <c r="B979" s="33" t="inlineStr">
        <is>
          <t>KLAC</t>
        </is>
      </c>
      <c r="C979" s="33" t="inlineStr">
        <is>
          <t>R4</t>
        </is>
      </c>
      <c r="D979" s="33" t="n">
        <v>4</v>
      </c>
      <c r="E979" s="68" t="inlineStr">
        <is>
          <t>Routine.</t>
        </is>
      </c>
      <c r="F979" s="68" t="inlineStr">
        <is>
          <t>KLAC Q1/Q4 2026 + AI infrastructure coverage (per-name research 2026-05-18)</t>
        </is>
      </c>
      <c r="G979" s="33" t="inlineStr">
        <is>
          <t>High</t>
        </is>
      </c>
      <c r="H979" s="33" t="inlineStr">
        <is>
          <t>Initial</t>
        </is>
      </c>
    </row>
    <row r="980">
      <c r="A980" s="33" t="inlineStr">
        <is>
          <t>2026-05-18</t>
        </is>
      </c>
      <c r="B980" s="33" t="inlineStr">
        <is>
          <t>TOELY</t>
        </is>
      </c>
      <c r="C980" s="33" t="inlineStr">
        <is>
          <t>D1</t>
        </is>
      </c>
      <c r="D980" s="33" t="n">
        <v>3</v>
      </c>
      <c r="E980" s="68" t="inlineStr">
        <is>
          <t>AP +60% to ¥200B; broader portfolio diversification.</t>
        </is>
      </c>
      <c r="F980" s="68" t="inlineStr">
        <is>
          <t>TOELY Q1/Q4 2026 + AI infrastructure coverage (per-name research 2026-05-18)</t>
        </is>
      </c>
      <c r="G980" s="33" t="inlineStr">
        <is>
          <t>High</t>
        </is>
      </c>
      <c r="H980" s="33" t="inlineStr">
        <is>
          <t>Initial</t>
        </is>
      </c>
    </row>
    <row r="981">
      <c r="A981" s="33" t="inlineStr">
        <is>
          <t>2026-05-18</t>
        </is>
      </c>
      <c r="B981" s="33" t="inlineStr">
        <is>
          <t>TOELY</t>
        </is>
      </c>
      <c r="C981" s="33" t="inlineStr">
        <is>
          <t>D2</t>
        </is>
      </c>
      <c r="D981" s="33" t="n">
        <v>4</v>
      </c>
      <c r="E981" s="68" t="inlineStr">
        <is>
          <t>91% coater/developer + #2 etch/depo.</t>
        </is>
      </c>
      <c r="F981" s="68" t="inlineStr">
        <is>
          <t>TOELY Q1/Q4 2026 + AI infrastructure coverage (per-name research 2026-05-18)</t>
        </is>
      </c>
      <c r="G981" s="33" t="inlineStr">
        <is>
          <t>High</t>
        </is>
      </c>
      <c r="H981" s="33" t="inlineStr">
        <is>
          <t>Initial</t>
        </is>
      </c>
    </row>
    <row r="982">
      <c r="A982" s="33" t="inlineStr">
        <is>
          <t>2026-05-18</t>
        </is>
      </c>
      <c r="B982" s="33" t="inlineStr">
        <is>
          <t>TOELY</t>
        </is>
      </c>
      <c r="C982" s="33" t="inlineStr">
        <is>
          <t>D3</t>
        </is>
      </c>
      <c r="D982" s="33" t="n">
        <v>4</v>
      </c>
      <c r="E982" s="68" t="inlineStr">
        <is>
          <t>Multi-decade JP customer relationships + IP.</t>
        </is>
      </c>
      <c r="F982" s="68" t="inlineStr">
        <is>
          <t>TOELY Q1/Q4 2026 + AI infrastructure coverage (per-name research 2026-05-18)</t>
        </is>
      </c>
      <c r="G982" s="33" t="inlineStr">
        <is>
          <t>High</t>
        </is>
      </c>
      <c r="H982" s="33" t="inlineStr">
        <is>
          <t>Initial</t>
        </is>
      </c>
    </row>
    <row r="983">
      <c r="A983" s="33" t="inlineStr">
        <is>
          <t>2026-05-18</t>
        </is>
      </c>
      <c r="B983" s="33" t="inlineStr">
        <is>
          <t>TOELY</t>
        </is>
      </c>
      <c r="C983" s="33" t="inlineStr">
        <is>
          <t>D4</t>
        </is>
      </c>
      <c r="D983" s="33" t="n">
        <v>4</v>
      </c>
      <c r="E983" s="68" t="inlineStr">
        <is>
          <t>Active expansion; ¥1.5T 5-yr R&amp;D push.</t>
        </is>
      </c>
      <c r="F983" s="68" t="inlineStr">
        <is>
          <t>TOELY Q1/Q4 2026 + AI infrastructure coverage (per-name research 2026-05-18)</t>
        </is>
      </c>
      <c r="G983" s="33" t="inlineStr">
        <is>
          <t>High</t>
        </is>
      </c>
      <c r="H983" s="33" t="inlineStr">
        <is>
          <t>Initial</t>
        </is>
      </c>
    </row>
    <row r="984">
      <c r="A984" s="33" t="inlineStr">
        <is>
          <t>2026-05-18</t>
        </is>
      </c>
      <c r="B984" s="33" t="inlineStr">
        <is>
          <t>TOELY</t>
        </is>
      </c>
      <c r="C984" s="33" t="inlineStr">
        <is>
          <t>D5</t>
        </is>
      </c>
      <c r="D984" s="33" t="n">
        <v>3</v>
      </c>
      <c r="E984" s="68" t="inlineStr">
        <is>
          <t>All major foundries indirect.</t>
        </is>
      </c>
      <c r="F984" s="68" t="inlineStr">
        <is>
          <t>TOELY Q1/Q4 2026 + AI infrastructure coverage (per-name research 2026-05-18)</t>
        </is>
      </c>
      <c r="G984" s="33" t="inlineStr">
        <is>
          <t>High</t>
        </is>
      </c>
      <c r="H984" s="33" t="inlineStr">
        <is>
          <t>Initial</t>
        </is>
      </c>
    </row>
    <row r="985">
      <c r="A985" s="33" t="inlineStr">
        <is>
          <t>2026-05-18</t>
        </is>
      </c>
      <c r="B985" s="33" t="inlineStr">
        <is>
          <t>TOELY</t>
        </is>
      </c>
      <c r="C985" s="33" t="inlineStr">
        <is>
          <t>M1</t>
        </is>
      </c>
      <c r="D985" s="33" t="n">
        <v>3</v>
      </c>
      <c r="E985" s="68" t="inlineStr">
        <is>
          <t>Limited revision data.</t>
        </is>
      </c>
      <c r="F985" s="68" t="inlineStr">
        <is>
          <t>TOELY Q1/Q4 2026 + AI infrastructure coverage (per-name research 2026-05-18)</t>
        </is>
      </c>
      <c r="G985" s="33" t="inlineStr">
        <is>
          <t>High</t>
        </is>
      </c>
      <c r="H985" s="33" t="inlineStr">
        <is>
          <t>Initial</t>
        </is>
      </c>
    </row>
    <row r="986">
      <c r="A986" s="33" t="inlineStr">
        <is>
          <t>2026-05-18</t>
        </is>
      </c>
      <c r="B986" s="33" t="inlineStr">
        <is>
          <t>TOELY</t>
        </is>
      </c>
      <c r="C986" s="33" t="inlineStr">
        <is>
          <t>M2</t>
        </is>
      </c>
      <c r="D986" s="33" t="n">
        <v>2</v>
      </c>
      <c r="E986" s="68" t="inlineStr">
        <is>
          <t>-22pp vs SOXX.</t>
        </is>
      </c>
      <c r="F986" s="68" t="inlineStr">
        <is>
          <t>TOELY Q1/Q4 2026 + AI infrastructure coverage (per-name research 2026-05-18)</t>
        </is>
      </c>
      <c r="G986" s="33" t="inlineStr">
        <is>
          <t>High</t>
        </is>
      </c>
      <c r="H986" s="33" t="inlineStr">
        <is>
          <t>Initial</t>
        </is>
      </c>
    </row>
    <row r="987">
      <c r="A987" s="33" t="inlineStr">
        <is>
          <t>2026-05-18</t>
        </is>
      </c>
      <c r="B987" s="33" t="inlineStr">
        <is>
          <t>TOELY</t>
        </is>
      </c>
      <c r="C987" s="33" t="inlineStr">
        <is>
          <t>M3</t>
        </is>
      </c>
      <c r="D987" s="33" t="n">
        <v>3</v>
      </c>
      <c r="E987" s="68" t="inlineStr">
        <is>
          <t>Routine.</t>
        </is>
      </c>
      <c r="F987" s="68" t="inlineStr">
        <is>
          <t>TOELY Q1/Q4 2026 + AI infrastructure coverage (per-name research 2026-05-18)</t>
        </is>
      </c>
      <c r="G987" s="33" t="inlineStr">
        <is>
          <t>High</t>
        </is>
      </c>
      <c r="H987" s="33" t="inlineStr">
        <is>
          <t>Initial</t>
        </is>
      </c>
    </row>
    <row r="988">
      <c r="A988" s="33" t="inlineStr">
        <is>
          <t>2026-05-18</t>
        </is>
      </c>
      <c r="B988" s="33" t="inlineStr">
        <is>
          <t>TOELY</t>
        </is>
      </c>
      <c r="C988" s="33" t="inlineStr">
        <is>
          <t>R1</t>
        </is>
      </c>
      <c r="D988" s="33" t="n">
        <v>4</v>
      </c>
      <c r="E988" s="68" t="inlineStr">
        <is>
          <t>Concentrated.</t>
        </is>
      </c>
      <c r="F988" s="68" t="inlineStr">
        <is>
          <t>TOELY Q1/Q4 2026 + AI infrastructure coverage (per-name research 2026-05-18)</t>
        </is>
      </c>
      <c r="G988" s="33" t="inlineStr">
        <is>
          <t>High</t>
        </is>
      </c>
      <c r="H988" s="33" t="inlineStr">
        <is>
          <t>Initial</t>
        </is>
      </c>
    </row>
    <row r="989">
      <c r="A989" s="33" t="inlineStr">
        <is>
          <t>2026-05-18</t>
        </is>
      </c>
      <c r="B989" s="33" t="inlineStr">
        <is>
          <t>TOELY</t>
        </is>
      </c>
      <c r="C989" s="33" t="inlineStr">
        <is>
          <t>R2</t>
        </is>
      </c>
      <c r="D989" s="33" t="n">
        <v>3</v>
      </c>
      <c r="E989" s="68" t="inlineStr">
        <is>
          <t>Japanese ADR; some China.</t>
        </is>
      </c>
      <c r="F989" s="68" t="inlineStr">
        <is>
          <t>TOELY Q1/Q4 2026 + AI infrastructure coverage (per-name research 2026-05-18)</t>
        </is>
      </c>
      <c r="G989" s="33" t="inlineStr">
        <is>
          <t>High</t>
        </is>
      </c>
      <c r="H989" s="33" t="inlineStr">
        <is>
          <t>Initial</t>
        </is>
      </c>
    </row>
    <row r="990">
      <c r="A990" s="33" t="inlineStr">
        <is>
          <t>2026-05-18</t>
        </is>
      </c>
      <c r="B990" s="33" t="inlineStr">
        <is>
          <t>TOELY</t>
        </is>
      </c>
      <c r="C990" s="33" t="inlineStr">
        <is>
          <t>R3</t>
        </is>
      </c>
      <c r="D990" s="33" t="n">
        <v>5</v>
      </c>
      <c r="E990" s="68" t="inlineStr">
        <is>
          <t>Strong.</t>
        </is>
      </c>
      <c r="F990" s="68" t="inlineStr">
        <is>
          <t>TOELY Q1/Q4 2026 + AI infrastructure coverage (per-name research 2026-05-18)</t>
        </is>
      </c>
      <c r="G990" s="33" t="inlineStr">
        <is>
          <t>High</t>
        </is>
      </c>
      <c r="H990" s="33" t="inlineStr">
        <is>
          <t>Initial</t>
        </is>
      </c>
    </row>
    <row r="991">
      <c r="A991" s="33" t="inlineStr">
        <is>
          <t>2026-05-18</t>
        </is>
      </c>
      <c r="B991" s="33" t="inlineStr">
        <is>
          <t>TOELY</t>
        </is>
      </c>
      <c r="C991" s="33" t="inlineStr">
        <is>
          <t>R4</t>
        </is>
      </c>
      <c r="D991" s="33" t="n">
        <v>4</v>
      </c>
      <c r="E991" s="68" t="inlineStr">
        <is>
          <t>Routine.</t>
        </is>
      </c>
      <c r="F991" s="68" t="inlineStr">
        <is>
          <t>TOELY Q1/Q4 2026 + AI infrastructure coverage (per-name research 2026-05-18)</t>
        </is>
      </c>
      <c r="G991" s="33" t="inlineStr">
        <is>
          <t>High</t>
        </is>
      </c>
      <c r="H991" s="33" t="inlineStr">
        <is>
          <t>Initial</t>
        </is>
      </c>
    </row>
    <row r="992">
      <c r="A992" s="33" t="inlineStr">
        <is>
          <t>2026-05-18</t>
        </is>
      </c>
      <c r="B992" s="33" t="inlineStr">
        <is>
          <t>TER</t>
        </is>
      </c>
      <c r="C992" s="33" t="inlineStr">
        <is>
          <t>D1</t>
        </is>
      </c>
      <c r="D992" s="33" t="n">
        <v>5</v>
      </c>
      <c r="E992" s="68" t="inlineStr">
        <is>
          <t>**Company disclosed 70% of revenue AI-related** (compute + memory test). Highest D1 in equipment cluster. **Dom 2026-05-18: note in logs; revisit if mix changes.**</t>
        </is>
      </c>
      <c r="F992" s="68" t="inlineStr">
        <is>
          <t>TER Q1/Q4 2026 + AI infrastructure coverage (per-name research 2026-05-18)</t>
        </is>
      </c>
      <c r="G992" s="33" t="inlineStr">
        <is>
          <t>High</t>
        </is>
      </c>
      <c r="H992" s="33" t="inlineStr">
        <is>
          <t>Initial</t>
        </is>
      </c>
    </row>
    <row r="993">
      <c r="A993" s="33" t="inlineStr">
        <is>
          <t>2026-05-18</t>
        </is>
      </c>
      <c r="B993" s="33" t="inlineStr">
        <is>
          <t>TER</t>
        </is>
      </c>
      <c r="C993" s="33" t="inlineStr">
        <is>
          <t>D2</t>
        </is>
      </c>
      <c r="D993" s="33" t="n">
        <v>4</v>
      </c>
      <c r="E993" s="68" t="inlineStr">
        <is>
          <t>Test equipment leader; competitive vs Advantest.</t>
        </is>
      </c>
      <c r="F993" s="68" t="inlineStr">
        <is>
          <t>TER Q1/Q4 2026 + AI infrastructure coverage (per-name research 2026-05-18)</t>
        </is>
      </c>
      <c r="G993" s="33" t="inlineStr">
        <is>
          <t>High</t>
        </is>
      </c>
      <c r="H993" s="33" t="inlineStr">
        <is>
          <t>Initial</t>
        </is>
      </c>
    </row>
    <row r="994">
      <c r="A994" s="33" t="inlineStr">
        <is>
          <t>2026-05-18</t>
        </is>
      </c>
      <c r="B994" s="33" t="inlineStr">
        <is>
          <t>TER</t>
        </is>
      </c>
      <c r="C994" s="33" t="inlineStr">
        <is>
          <t>D3</t>
        </is>
      </c>
      <c r="D994" s="33" t="n">
        <v>4</v>
      </c>
      <c r="E994" s="68" t="inlineStr">
        <is>
          <t>Test IP + scale.</t>
        </is>
      </c>
      <c r="F994" s="68" t="inlineStr">
        <is>
          <t>TER Q1/Q4 2026 + AI infrastructure coverage (per-name research 2026-05-18)</t>
        </is>
      </c>
      <c r="G994" s="33" t="inlineStr">
        <is>
          <t>High</t>
        </is>
      </c>
      <c r="H994" s="33" t="inlineStr">
        <is>
          <t>Initial</t>
        </is>
      </c>
    </row>
    <row r="995">
      <c r="A995" s="33" t="inlineStr">
        <is>
          <t>2026-05-18</t>
        </is>
      </c>
      <c r="B995" s="33" t="inlineStr">
        <is>
          <t>TER</t>
        </is>
      </c>
      <c r="C995" s="33" t="inlineStr">
        <is>
          <t>D4</t>
        </is>
      </c>
      <c r="D995" s="33" t="n">
        <v>5</v>
      </c>
      <c r="E995" s="68" t="inlineStr">
        <is>
          <t>+87% Q1 revenue; 2 hyperscaler ASIC programs in queue.</t>
        </is>
      </c>
      <c r="F995" s="68" t="inlineStr">
        <is>
          <t>TER Q1/Q4 2026 + AI infrastructure coverage (per-name research 2026-05-18)</t>
        </is>
      </c>
      <c r="G995" s="33" t="inlineStr">
        <is>
          <t>High</t>
        </is>
      </c>
      <c r="H995" s="33" t="inlineStr">
        <is>
          <t>Initial</t>
        </is>
      </c>
    </row>
    <row r="996">
      <c r="A996" s="33" t="inlineStr">
        <is>
          <t>2026-05-18</t>
        </is>
      </c>
      <c r="B996" s="33" t="inlineStr">
        <is>
          <t>TER</t>
        </is>
      </c>
      <c r="C996" s="33" t="inlineStr">
        <is>
          <t>D5</t>
        </is>
      </c>
      <c r="D996" s="33" t="n">
        <v>4</v>
      </c>
      <c r="E996" s="68" t="inlineStr">
        <is>
          <t>Hyperscaler custom ASIC + merchant GPU test wins.</t>
        </is>
      </c>
      <c r="F996" s="68" t="inlineStr">
        <is>
          <t>TER Q1/Q4 2026 + AI infrastructure coverage (per-name research 2026-05-18)</t>
        </is>
      </c>
      <c r="G996" s="33" t="inlineStr">
        <is>
          <t>High</t>
        </is>
      </c>
      <c r="H996" s="33" t="inlineStr">
        <is>
          <t>Initial</t>
        </is>
      </c>
    </row>
    <row r="997">
      <c r="A997" s="33" t="inlineStr">
        <is>
          <t>2026-05-18</t>
        </is>
      </c>
      <c r="B997" s="33" t="inlineStr">
        <is>
          <t>TER</t>
        </is>
      </c>
      <c r="C997" s="33" t="inlineStr">
        <is>
          <t>M1</t>
        </is>
      </c>
      <c r="D997" s="33" t="n">
        <v>5</v>
      </c>
      <c r="E997" s="68" t="inlineStr">
        <is>
          <t>15 up / 0 down on +1Y; FY +13.9%.</t>
        </is>
      </c>
      <c r="F997" s="68" t="inlineStr">
        <is>
          <t>TER Q1/Q4 2026 + AI infrastructure coverage (per-name research 2026-05-18)</t>
        </is>
      </c>
      <c r="G997" s="33" t="inlineStr">
        <is>
          <t>High</t>
        </is>
      </c>
      <c r="H997" s="33" t="inlineStr">
        <is>
          <t>Initial</t>
        </is>
      </c>
    </row>
    <row r="998">
      <c r="A998" s="33" t="inlineStr">
        <is>
          <t>2026-05-18</t>
        </is>
      </c>
      <c r="B998" s="33" t="inlineStr">
        <is>
          <t>TER</t>
        </is>
      </c>
      <c r="C998" s="33" t="inlineStr">
        <is>
          <t>M2</t>
        </is>
      </c>
      <c r="D998" s="33" t="n">
        <v>5</v>
      </c>
      <c r="E998" s="68" t="inlineStr">
        <is>
          <t>+15pp vs SOXX 180d.</t>
        </is>
      </c>
      <c r="F998" s="68" t="inlineStr">
        <is>
          <t>TER Q1/Q4 2026 + AI infrastructure coverage (per-name research 2026-05-18)</t>
        </is>
      </c>
      <c r="G998" s="33" t="inlineStr">
        <is>
          <t>High</t>
        </is>
      </c>
      <c r="H998" s="33" t="inlineStr">
        <is>
          <t>Initial</t>
        </is>
      </c>
    </row>
    <row r="999">
      <c r="A999" s="33" t="inlineStr">
        <is>
          <t>2026-05-18</t>
        </is>
      </c>
      <c r="B999" s="33" t="inlineStr">
        <is>
          <t>TER</t>
        </is>
      </c>
      <c r="C999" s="33" t="inlineStr">
        <is>
          <t>M3</t>
        </is>
      </c>
      <c r="D999" s="33" t="n">
        <v>3</v>
      </c>
      <c r="E999" s="68" t="inlineStr">
        <is>
          <t>Routine.</t>
        </is>
      </c>
      <c r="F999" s="68" t="inlineStr">
        <is>
          <t>TER Q1/Q4 2026 + AI infrastructure coverage (per-name research 2026-05-18)</t>
        </is>
      </c>
      <c r="G999" s="33" t="inlineStr">
        <is>
          <t>High</t>
        </is>
      </c>
      <c r="H999" s="33" t="inlineStr">
        <is>
          <t>Initial</t>
        </is>
      </c>
    </row>
    <row r="1000">
      <c r="A1000" s="33" t="inlineStr">
        <is>
          <t>2026-05-18</t>
        </is>
      </c>
      <c r="B1000" s="33" t="inlineStr">
        <is>
          <t>TER</t>
        </is>
      </c>
      <c r="C1000" s="33" t="inlineStr">
        <is>
          <t>R1</t>
        </is>
      </c>
      <c r="D1000" s="33" t="n">
        <v>4</v>
      </c>
      <c r="E1000" s="68" t="inlineStr">
        <is>
          <t>Diversified test customer base.</t>
        </is>
      </c>
      <c r="F1000" s="68" t="inlineStr">
        <is>
          <t>TER Q1/Q4 2026 + AI infrastructure coverage (per-name research 2026-05-18)</t>
        </is>
      </c>
      <c r="G1000" s="33" t="inlineStr">
        <is>
          <t>High</t>
        </is>
      </c>
      <c r="H1000" s="33" t="inlineStr">
        <is>
          <t>Initial</t>
        </is>
      </c>
    </row>
    <row r="1001">
      <c r="A1001" s="33" t="inlineStr">
        <is>
          <t>2026-05-18</t>
        </is>
      </c>
      <c r="B1001" s="33" t="inlineStr">
        <is>
          <t>TER</t>
        </is>
      </c>
      <c r="C1001" s="33" t="inlineStr">
        <is>
          <t>R2</t>
        </is>
      </c>
      <c r="D1001" s="33" t="n">
        <v>4</v>
      </c>
      <c r="E1001" s="68" t="inlineStr">
        <is>
          <t>Global; minimal export controls.</t>
        </is>
      </c>
      <c r="F1001" s="68" t="inlineStr">
        <is>
          <t>TER Q1/Q4 2026 + AI infrastructure coverage (per-name research 2026-05-18)</t>
        </is>
      </c>
      <c r="G1001" s="33" t="inlineStr">
        <is>
          <t>High</t>
        </is>
      </c>
      <c r="H1001" s="33" t="inlineStr">
        <is>
          <t>Initial</t>
        </is>
      </c>
    </row>
    <row r="1002">
      <c r="A1002" s="33" t="inlineStr">
        <is>
          <t>2026-05-18</t>
        </is>
      </c>
      <c r="B1002" s="33" t="inlineStr">
        <is>
          <t>TER</t>
        </is>
      </c>
      <c r="C1002" s="33" t="inlineStr">
        <is>
          <t>R3</t>
        </is>
      </c>
      <c r="D1002" s="33" t="n">
        <v>5</v>
      </c>
      <c r="E1002" s="68" t="inlineStr">
        <is>
          <t>Strong.</t>
        </is>
      </c>
      <c r="F1002" s="68" t="inlineStr">
        <is>
          <t>TER Q1/Q4 2026 + AI infrastructure coverage (per-name research 2026-05-18)</t>
        </is>
      </c>
      <c r="G1002" s="33" t="inlineStr">
        <is>
          <t>High</t>
        </is>
      </c>
      <c r="H1002" s="33" t="inlineStr">
        <is>
          <t>Initial</t>
        </is>
      </c>
    </row>
    <row r="1003">
      <c r="A1003" s="33" t="inlineStr">
        <is>
          <t>2026-05-18</t>
        </is>
      </c>
      <c r="B1003" s="33" t="inlineStr">
        <is>
          <t>TER</t>
        </is>
      </c>
      <c r="C1003" s="33" t="inlineStr">
        <is>
          <t>R4</t>
        </is>
      </c>
      <c r="D1003" s="33" t="n">
        <v>4</v>
      </c>
      <c r="E1003" s="68" t="inlineStr">
        <is>
          <t>Routine.</t>
        </is>
      </c>
      <c r="F1003" s="68" t="inlineStr">
        <is>
          <t>TER Q1/Q4 2026 + AI infrastructure coverage (per-name research 2026-05-18)</t>
        </is>
      </c>
      <c r="G1003" s="33" t="inlineStr">
        <is>
          <t>High</t>
        </is>
      </c>
      <c r="H1003" s="33" t="inlineStr">
        <is>
          <t>Initial</t>
        </is>
      </c>
    </row>
    <row r="1004">
      <c r="A1004" s="33" t="inlineStr">
        <is>
          <t>2026-05-18</t>
        </is>
      </c>
      <c r="B1004" s="33" t="inlineStr">
        <is>
          <t>ONTO</t>
        </is>
      </c>
      <c r="C1004" s="33" t="inlineStr">
        <is>
          <t>D1</t>
        </is>
      </c>
      <c r="D1004" s="33" t="n">
        <v>5</v>
      </c>
      <c r="E1004" s="68" t="inlineStr">
        <is>
          <t>AP metrology revenue tripled YoY; &gt;$50M AP revenue.</t>
        </is>
      </c>
      <c r="F1004" s="68" t="inlineStr">
        <is>
          <t>ONTO Q1/Q4 2026 + AI infrastructure coverage (per-name research 2026-05-18)</t>
        </is>
      </c>
      <c r="G1004" s="33" t="inlineStr">
        <is>
          <t>High</t>
        </is>
      </c>
      <c r="H1004" s="33" t="inlineStr">
        <is>
          <t>Initial</t>
        </is>
      </c>
    </row>
    <row r="1005">
      <c r="A1005" s="33" t="inlineStr">
        <is>
          <t>2026-05-18</t>
        </is>
      </c>
      <c r="B1005" s="33" t="inlineStr">
        <is>
          <t>ONTO</t>
        </is>
      </c>
      <c r="C1005" s="33" t="inlineStr">
        <is>
          <t>D2</t>
        </is>
      </c>
      <c r="D1005" s="33" t="n">
        <v>4</v>
      </c>
      <c r="E1005" s="68" t="inlineStr">
        <is>
          <t>AP metrology specialist; Dragonfly leader.</t>
        </is>
      </c>
      <c r="F1005" s="68" t="inlineStr">
        <is>
          <t>ONTO Q1/Q4 2026 + AI infrastructure coverage (per-name research 2026-05-18)</t>
        </is>
      </c>
      <c r="G1005" s="33" t="inlineStr">
        <is>
          <t>High</t>
        </is>
      </c>
      <c r="H1005" s="33" t="inlineStr">
        <is>
          <t>Initial</t>
        </is>
      </c>
    </row>
    <row r="1006">
      <c r="A1006" s="33" t="inlineStr">
        <is>
          <t>2026-05-18</t>
        </is>
      </c>
      <c r="B1006" s="33" t="inlineStr">
        <is>
          <t>ONTO</t>
        </is>
      </c>
      <c r="C1006" s="33" t="inlineStr">
        <is>
          <t>D3</t>
        </is>
      </c>
      <c r="D1006" s="33" t="n">
        <v>4</v>
      </c>
      <c r="E1006" s="68" t="inlineStr">
        <is>
          <t>Hybrid bonding + metrology IP.</t>
        </is>
      </c>
      <c r="F1006" s="68" t="inlineStr">
        <is>
          <t>ONTO Q1/Q4 2026 + AI infrastructure coverage (per-name research 2026-05-18)</t>
        </is>
      </c>
      <c r="G1006" s="33" t="inlineStr">
        <is>
          <t>High</t>
        </is>
      </c>
      <c r="H1006" s="33" t="inlineStr">
        <is>
          <t>Initial</t>
        </is>
      </c>
    </row>
    <row r="1007">
      <c r="A1007" s="33" t="inlineStr">
        <is>
          <t>2026-05-18</t>
        </is>
      </c>
      <c r="B1007" s="33" t="inlineStr">
        <is>
          <t>ONTO</t>
        </is>
      </c>
      <c r="C1007" s="33" t="inlineStr">
        <is>
          <t>D4</t>
        </is>
      </c>
      <c r="D1007" s="33" t="n">
        <v>5</v>
      </c>
      <c r="E1007" s="68" t="inlineStr">
        <is>
          <t>30%+ AP revenue growth 2026; record backlog.</t>
        </is>
      </c>
      <c r="F1007" s="68" t="inlineStr">
        <is>
          <t>ONTO Q1/Q4 2026 + AI infrastructure coverage (per-name research 2026-05-18)</t>
        </is>
      </c>
      <c r="G1007" s="33" t="inlineStr">
        <is>
          <t>High</t>
        </is>
      </c>
      <c r="H1007" s="33" t="inlineStr">
        <is>
          <t>Initial</t>
        </is>
      </c>
    </row>
    <row r="1008">
      <c r="A1008" s="33" t="inlineStr">
        <is>
          <t>2026-05-18</t>
        </is>
      </c>
      <c r="B1008" s="33" t="inlineStr">
        <is>
          <t>ONTO</t>
        </is>
      </c>
      <c r="C1008" s="33" t="inlineStr">
        <is>
          <t>D5</t>
        </is>
      </c>
      <c r="D1008" s="33" t="n">
        <v>4</v>
      </c>
      <c r="E1008" s="68" t="inlineStr">
        <is>
          <t>HBM makers; CoWoS suppliers.</t>
        </is>
      </c>
      <c r="F1008" s="68" t="inlineStr">
        <is>
          <t>ONTO Q1/Q4 2026 + AI infrastructure coverage (per-name research 2026-05-18)</t>
        </is>
      </c>
      <c r="G1008" s="33" t="inlineStr">
        <is>
          <t>High</t>
        </is>
      </c>
      <c r="H1008" s="33" t="inlineStr">
        <is>
          <t>Initial</t>
        </is>
      </c>
    </row>
    <row r="1009">
      <c r="A1009" s="33" t="inlineStr">
        <is>
          <t>2026-05-18</t>
        </is>
      </c>
      <c r="B1009" s="33" t="inlineStr">
        <is>
          <t>ONTO</t>
        </is>
      </c>
      <c r="C1009" s="33" t="inlineStr">
        <is>
          <t>M1</t>
        </is>
      </c>
      <c r="D1009" s="33" t="n">
        <v>5</v>
      </c>
      <c r="E1009" s="68" t="inlineStr">
        <is>
          <t>7 up / 0 down.</t>
        </is>
      </c>
      <c r="F1009" s="68" t="inlineStr">
        <is>
          <t>ONTO Q1/Q4 2026 + AI infrastructure coverage (per-name research 2026-05-18)</t>
        </is>
      </c>
      <c r="G1009" s="33" t="inlineStr">
        <is>
          <t>High</t>
        </is>
      </c>
      <c r="H1009" s="33" t="inlineStr">
        <is>
          <t>Initial</t>
        </is>
      </c>
    </row>
    <row r="1010">
      <c r="A1010" s="33" t="inlineStr">
        <is>
          <t>2026-05-18</t>
        </is>
      </c>
      <c r="B1010" s="33" t="inlineStr">
        <is>
          <t>ONTO</t>
        </is>
      </c>
      <c r="C1010" s="33" t="inlineStr">
        <is>
          <t>M2</t>
        </is>
      </c>
      <c r="D1010" s="33" t="n">
        <v>5</v>
      </c>
      <c r="E1010" s="68" t="inlineStr">
        <is>
          <t>+18pp vs SOXX.</t>
        </is>
      </c>
      <c r="F1010" s="68" t="inlineStr">
        <is>
          <t>ONTO Q1/Q4 2026 + AI infrastructure coverage (per-name research 2026-05-18)</t>
        </is>
      </c>
      <c r="G1010" s="33" t="inlineStr">
        <is>
          <t>High</t>
        </is>
      </c>
      <c r="H1010" s="33" t="inlineStr">
        <is>
          <t>Initial</t>
        </is>
      </c>
    </row>
    <row r="1011">
      <c r="A1011" s="33" t="inlineStr">
        <is>
          <t>2026-05-18</t>
        </is>
      </c>
      <c r="B1011" s="33" t="inlineStr">
        <is>
          <t>ONTO</t>
        </is>
      </c>
      <c r="C1011" s="33" t="inlineStr">
        <is>
          <t>M3</t>
        </is>
      </c>
      <c r="D1011" s="33" t="n">
        <v>3</v>
      </c>
      <c r="E1011" s="68" t="inlineStr">
        <is>
          <t>Routine.</t>
        </is>
      </c>
      <c r="F1011" s="68" t="inlineStr">
        <is>
          <t>ONTO Q1/Q4 2026 + AI infrastructure coverage (per-name research 2026-05-18)</t>
        </is>
      </c>
      <c r="G1011" s="33" t="inlineStr">
        <is>
          <t>High</t>
        </is>
      </c>
      <c r="H1011" s="33" t="inlineStr">
        <is>
          <t>Initial</t>
        </is>
      </c>
    </row>
    <row r="1012">
      <c r="A1012" s="33" t="inlineStr">
        <is>
          <t>2026-05-18</t>
        </is>
      </c>
      <c r="B1012" s="33" t="inlineStr">
        <is>
          <t>ONTO</t>
        </is>
      </c>
      <c r="C1012" s="33" t="inlineStr">
        <is>
          <t>R1</t>
        </is>
      </c>
      <c r="D1012" s="33" t="n">
        <v>4</v>
      </c>
      <c r="E1012" s="68" t="inlineStr">
        <is>
          <t>Concentrated AP customer base.</t>
        </is>
      </c>
      <c r="F1012" s="68" t="inlineStr">
        <is>
          <t>ONTO Q1/Q4 2026 + AI infrastructure coverage (per-name research 2026-05-18)</t>
        </is>
      </c>
      <c r="G1012" s="33" t="inlineStr">
        <is>
          <t>High</t>
        </is>
      </c>
      <c r="H1012" s="33" t="inlineStr">
        <is>
          <t>Initial</t>
        </is>
      </c>
    </row>
    <row r="1013">
      <c r="A1013" s="33" t="inlineStr">
        <is>
          <t>2026-05-18</t>
        </is>
      </c>
      <c r="B1013" s="33" t="inlineStr">
        <is>
          <t>ONTO</t>
        </is>
      </c>
      <c r="C1013" s="33" t="inlineStr">
        <is>
          <t>R2</t>
        </is>
      </c>
      <c r="D1013" s="33" t="n">
        <v>4</v>
      </c>
      <c r="E1013" s="68" t="inlineStr">
        <is>
          <t>Asian mfg ramp.</t>
        </is>
      </c>
      <c r="F1013" s="68" t="inlineStr">
        <is>
          <t>ONTO Q1/Q4 2026 + AI infrastructure coverage (per-name research 2026-05-18)</t>
        </is>
      </c>
      <c r="G1013" s="33" t="inlineStr">
        <is>
          <t>High</t>
        </is>
      </c>
      <c r="H1013" s="33" t="inlineStr">
        <is>
          <t>Initial</t>
        </is>
      </c>
    </row>
    <row r="1014">
      <c r="A1014" s="33" t="inlineStr">
        <is>
          <t>2026-05-18</t>
        </is>
      </c>
      <c r="B1014" s="33" t="inlineStr">
        <is>
          <t>ONTO</t>
        </is>
      </c>
      <c r="C1014" s="33" t="inlineStr">
        <is>
          <t>R3</t>
        </is>
      </c>
      <c r="D1014" s="33" t="n">
        <v>5</v>
      </c>
      <c r="E1014" s="68" t="inlineStr">
        <is>
          <t>Strong.</t>
        </is>
      </c>
      <c r="F1014" s="68" t="inlineStr">
        <is>
          <t>ONTO Q1/Q4 2026 + AI infrastructure coverage (per-name research 2026-05-18)</t>
        </is>
      </c>
      <c r="G1014" s="33" t="inlineStr">
        <is>
          <t>High</t>
        </is>
      </c>
      <c r="H1014" s="33" t="inlineStr">
        <is>
          <t>Initial</t>
        </is>
      </c>
    </row>
    <row r="1015">
      <c r="A1015" s="33" t="inlineStr">
        <is>
          <t>2026-05-18</t>
        </is>
      </c>
      <c r="B1015" s="33" t="inlineStr">
        <is>
          <t>ONTO</t>
        </is>
      </c>
      <c r="C1015" s="33" t="inlineStr">
        <is>
          <t>R4</t>
        </is>
      </c>
      <c r="D1015" s="33" t="n">
        <v>4</v>
      </c>
      <c r="E1015" s="68" t="inlineStr">
        <is>
          <t>Routine.</t>
        </is>
      </c>
      <c r="F1015" s="68" t="inlineStr">
        <is>
          <t>ONTO Q1/Q4 2026 + AI infrastructure coverage (per-name research 2026-05-18)</t>
        </is>
      </c>
      <c r="G1015" s="33" t="inlineStr">
        <is>
          <t>High</t>
        </is>
      </c>
      <c r="H1015" s="33" t="inlineStr">
        <is>
          <t>Initial</t>
        </is>
      </c>
    </row>
    <row r="1016">
      <c r="A1016" s="33" t="inlineStr">
        <is>
          <t>2026-05-18</t>
        </is>
      </c>
      <c r="B1016" s="33" t="inlineStr">
        <is>
          <t>CAMT</t>
        </is>
      </c>
      <c r="C1016" s="33" t="inlineStr">
        <is>
          <t>D1</t>
        </is>
      </c>
      <c r="D1016" s="33" t="n">
        <v>5</v>
      </c>
      <c r="E1016" s="68" t="inlineStr">
        <is>
          <t>HPC = 45-50% of revenue; AI-focused.</t>
        </is>
      </c>
      <c r="F1016" s="68" t="inlineStr">
        <is>
          <t>CAMT Q1/Q4 2026 + AI infrastructure coverage (per-name research 2026-05-18)</t>
        </is>
      </c>
      <c r="G1016" s="33" t="inlineStr">
        <is>
          <t>High</t>
        </is>
      </c>
      <c r="H1016" s="33" t="inlineStr">
        <is>
          <t>Initial</t>
        </is>
      </c>
    </row>
    <row r="1017">
      <c r="A1017" s="33" t="inlineStr">
        <is>
          <t>2026-05-18</t>
        </is>
      </c>
      <c r="B1017" s="33" t="inlineStr">
        <is>
          <t>CAMT</t>
        </is>
      </c>
      <c r="C1017" s="33" t="inlineStr">
        <is>
          <t>D2</t>
        </is>
      </c>
      <c r="D1017" s="33" t="n">
        <v>3</v>
      </c>
      <c r="E1017" s="68" t="inlineStr">
        <is>
          <t>Hawk platform niche; smaller scale.</t>
        </is>
      </c>
      <c r="F1017" s="68" t="inlineStr">
        <is>
          <t>CAMT Q1/Q4 2026 + AI infrastructure coverage (per-name research 2026-05-18)</t>
        </is>
      </c>
      <c r="G1017" s="33" t="inlineStr">
        <is>
          <t>High</t>
        </is>
      </c>
      <c r="H1017" s="33" t="inlineStr">
        <is>
          <t>Initial</t>
        </is>
      </c>
    </row>
    <row r="1018">
      <c r="A1018" s="33" t="inlineStr">
        <is>
          <t>2026-05-18</t>
        </is>
      </c>
      <c r="B1018" s="33" t="inlineStr">
        <is>
          <t>CAMT</t>
        </is>
      </c>
      <c r="C1018" s="33" t="inlineStr">
        <is>
          <t>D3</t>
        </is>
      </c>
      <c r="D1018" s="33" t="n">
        <v>3</v>
      </c>
      <c r="E1018" s="68" t="inlineStr">
        <is>
          <t>Visual Layer AI acquisition extends IP; Hawk leadership.</t>
        </is>
      </c>
      <c r="F1018" s="68" t="inlineStr">
        <is>
          <t>CAMT Q1/Q4 2026 + AI infrastructure coverage (per-name research 2026-05-18)</t>
        </is>
      </c>
      <c r="G1018" s="33" t="inlineStr">
        <is>
          <t>High</t>
        </is>
      </c>
      <c r="H1018" s="33" t="inlineStr">
        <is>
          <t>Initial</t>
        </is>
      </c>
    </row>
    <row r="1019">
      <c r="A1019" s="33" t="inlineStr">
        <is>
          <t>2026-05-18</t>
        </is>
      </c>
      <c r="B1019" s="33" t="inlineStr">
        <is>
          <t>CAMT</t>
        </is>
      </c>
      <c r="C1019" s="33" t="inlineStr">
        <is>
          <t>D4</t>
        </is>
      </c>
      <c r="D1019" s="33" t="n">
        <v>4</v>
      </c>
      <c r="E1019" s="68" t="inlineStr">
        <is>
          <t>$90M Q1 OSAT orders for AI; capacity expansion.</t>
        </is>
      </c>
      <c r="F1019" s="68" t="inlineStr">
        <is>
          <t>CAMT Q1/Q4 2026 + AI infrastructure coverage (per-name research 2026-05-18)</t>
        </is>
      </c>
      <c r="G1019" s="33" t="inlineStr">
        <is>
          <t>High</t>
        </is>
      </c>
      <c r="H1019" s="33" t="inlineStr">
        <is>
          <t>Initial</t>
        </is>
      </c>
    </row>
    <row r="1020">
      <c r="A1020" s="33" t="inlineStr">
        <is>
          <t>2026-05-18</t>
        </is>
      </c>
      <c r="B1020" s="33" t="inlineStr">
        <is>
          <t>CAMT</t>
        </is>
      </c>
      <c r="C1020" s="33" t="inlineStr">
        <is>
          <t>D5</t>
        </is>
      </c>
      <c r="D1020" s="33" t="n">
        <v>4</v>
      </c>
      <c r="E1020" s="68" t="inlineStr">
        <is>
          <t>OSATs + IDMs for AI/CoWoS.</t>
        </is>
      </c>
      <c r="F1020" s="68" t="inlineStr">
        <is>
          <t>CAMT Q1/Q4 2026 + AI infrastructure coverage (per-name research 2026-05-18)</t>
        </is>
      </c>
      <c r="G1020" s="33" t="inlineStr">
        <is>
          <t>High</t>
        </is>
      </c>
      <c r="H1020" s="33" t="inlineStr">
        <is>
          <t>Initial</t>
        </is>
      </c>
    </row>
    <row r="1021">
      <c r="A1021" s="33" t="inlineStr">
        <is>
          <t>2026-05-18</t>
        </is>
      </c>
      <c r="B1021" s="33" t="inlineStr">
        <is>
          <t>CAMT</t>
        </is>
      </c>
      <c r="C1021" s="33" t="inlineStr">
        <is>
          <t>M1</t>
        </is>
      </c>
      <c r="D1021" s="33" t="n">
        <v>3</v>
      </c>
      <c r="E1021" s="68" t="inlineStr">
        <is>
          <t>1 up / 0 down — limited.</t>
        </is>
      </c>
      <c r="F1021" s="68" t="inlineStr">
        <is>
          <t>CAMT Q1/Q4 2026 + AI infrastructure coverage (per-name research 2026-05-18)</t>
        </is>
      </c>
      <c r="G1021" s="33" t="inlineStr">
        <is>
          <t>High</t>
        </is>
      </c>
      <c r="H1021" s="33" t="inlineStr">
        <is>
          <t>Initial</t>
        </is>
      </c>
    </row>
    <row r="1022">
      <c r="A1022" s="33" t="inlineStr">
        <is>
          <t>2026-05-18</t>
        </is>
      </c>
      <c r="B1022" s="33" t="inlineStr">
        <is>
          <t>CAMT</t>
        </is>
      </c>
      <c r="C1022" s="33" t="inlineStr">
        <is>
          <t>M2</t>
        </is>
      </c>
      <c r="D1022" s="33" t="n">
        <v>2</v>
      </c>
      <c r="E1022" s="68" t="inlineStr">
        <is>
          <t>-21pp vs SOXX.</t>
        </is>
      </c>
      <c r="F1022" s="68" t="inlineStr">
        <is>
          <t>CAMT Q1/Q4 2026 + AI infrastructure coverage (per-name research 2026-05-18)</t>
        </is>
      </c>
      <c r="G1022" s="33" t="inlineStr">
        <is>
          <t>High</t>
        </is>
      </c>
      <c r="H1022" s="33" t="inlineStr">
        <is>
          <t>Initial</t>
        </is>
      </c>
    </row>
    <row r="1023">
      <c r="A1023" s="33" t="inlineStr">
        <is>
          <t>2026-05-18</t>
        </is>
      </c>
      <c r="B1023" s="33" t="inlineStr">
        <is>
          <t>CAMT</t>
        </is>
      </c>
      <c r="C1023" s="33" t="inlineStr">
        <is>
          <t>M3</t>
        </is>
      </c>
      <c r="D1023" s="33" t="n">
        <v>3</v>
      </c>
      <c r="E1023" s="68" t="inlineStr">
        <is>
          <t>Routine.</t>
        </is>
      </c>
      <c r="F1023" s="68" t="inlineStr">
        <is>
          <t>CAMT Q1/Q4 2026 + AI infrastructure coverage (per-name research 2026-05-18)</t>
        </is>
      </c>
      <c r="G1023" s="33" t="inlineStr">
        <is>
          <t>High</t>
        </is>
      </c>
      <c r="H1023" s="33" t="inlineStr">
        <is>
          <t>Initial</t>
        </is>
      </c>
    </row>
    <row r="1024">
      <c r="A1024" s="33" t="inlineStr">
        <is>
          <t>2026-05-18</t>
        </is>
      </c>
      <c r="B1024" s="33" t="inlineStr">
        <is>
          <t>CAMT</t>
        </is>
      </c>
      <c r="C1024" s="33" t="inlineStr">
        <is>
          <t>R1</t>
        </is>
      </c>
      <c r="D1024" s="33" t="n">
        <v>4</v>
      </c>
      <c r="E1024" s="68" t="inlineStr">
        <is>
          <t>OSAT customers concentrated.</t>
        </is>
      </c>
      <c r="F1024" s="68" t="inlineStr">
        <is>
          <t>CAMT Q1/Q4 2026 + AI infrastructure coverage (per-name research 2026-05-18)</t>
        </is>
      </c>
      <c r="G1024" s="33" t="inlineStr">
        <is>
          <t>High</t>
        </is>
      </c>
      <c r="H1024" s="33" t="inlineStr">
        <is>
          <t>Initial</t>
        </is>
      </c>
    </row>
    <row r="1025">
      <c r="A1025" s="33" t="inlineStr">
        <is>
          <t>2026-05-18</t>
        </is>
      </c>
      <c r="B1025" s="33" t="inlineStr">
        <is>
          <t>CAMT</t>
        </is>
      </c>
      <c r="C1025" s="33" t="inlineStr">
        <is>
          <t>R2</t>
        </is>
      </c>
      <c r="D1025" s="33" t="n">
        <v>4</v>
      </c>
      <c r="E1025" s="68" t="inlineStr">
        <is>
          <t>Israel-based; global.</t>
        </is>
      </c>
      <c r="F1025" s="68" t="inlineStr">
        <is>
          <t>CAMT Q1/Q4 2026 + AI infrastructure coverage (per-name research 2026-05-18)</t>
        </is>
      </c>
      <c r="G1025" s="33" t="inlineStr">
        <is>
          <t>High</t>
        </is>
      </c>
      <c r="H1025" s="33" t="inlineStr">
        <is>
          <t>Initial</t>
        </is>
      </c>
    </row>
    <row r="1026">
      <c r="A1026" s="33" t="inlineStr">
        <is>
          <t>2026-05-18</t>
        </is>
      </c>
      <c r="B1026" s="33" t="inlineStr">
        <is>
          <t>CAMT</t>
        </is>
      </c>
      <c r="C1026" s="33" t="inlineStr">
        <is>
          <t>R3</t>
        </is>
      </c>
      <c r="D1026" s="33" t="n">
        <v>4</v>
      </c>
      <c r="E1026" s="68" t="inlineStr">
        <is>
          <t>Reasonable.</t>
        </is>
      </c>
      <c r="F1026" s="68" t="inlineStr">
        <is>
          <t>CAMT Q1/Q4 2026 + AI infrastructure coverage (per-name research 2026-05-18)</t>
        </is>
      </c>
      <c r="G1026" s="33" t="inlineStr">
        <is>
          <t>High</t>
        </is>
      </c>
      <c r="H1026" s="33" t="inlineStr">
        <is>
          <t>Initial</t>
        </is>
      </c>
    </row>
    <row r="1027">
      <c r="A1027" s="33" t="inlineStr">
        <is>
          <t>2026-05-18</t>
        </is>
      </c>
      <c r="B1027" s="33" t="inlineStr">
        <is>
          <t>CAMT</t>
        </is>
      </c>
      <c r="C1027" s="33" t="inlineStr">
        <is>
          <t>R4</t>
        </is>
      </c>
      <c r="D1027" s="33" t="n">
        <v>4</v>
      </c>
      <c r="E1027" s="68" t="inlineStr">
        <is>
          <t>Routine.</t>
        </is>
      </c>
      <c r="F1027" s="68" t="inlineStr">
        <is>
          <t>CAMT Q1/Q4 2026 + AI infrastructure coverage (per-name research 2026-05-18)</t>
        </is>
      </c>
      <c r="G1027" s="33" t="inlineStr">
        <is>
          <t>High</t>
        </is>
      </c>
      <c r="H1027" s="33" t="inlineStr">
        <is>
          <t>Initial</t>
        </is>
      </c>
    </row>
    <row r="1028">
      <c r="A1028" s="33" t="inlineStr">
        <is>
          <t>2026-05-18</t>
        </is>
      </c>
      <c r="B1028" s="33" t="inlineStr">
        <is>
          <t>KLIC</t>
        </is>
      </c>
      <c r="C1028" s="33" t="inlineStr">
        <is>
          <t>D1</t>
        </is>
      </c>
      <c r="D1028" s="33" t="n">
        <v>4</v>
      </c>
      <c r="E1028" s="68" t="inlineStr">
        <is>
          <t>HBM TCB ramp + memory; +70% sequential FY26.</t>
        </is>
      </c>
      <c r="F1028" s="68" t="inlineStr">
        <is>
          <t>KLIC Q1/Q4 2026 + AI infrastructure coverage (per-name research 2026-05-18)</t>
        </is>
      </c>
      <c r="G1028" s="33" t="inlineStr">
        <is>
          <t>High</t>
        </is>
      </c>
      <c r="H1028" s="33" t="inlineStr">
        <is>
          <t>Initial</t>
        </is>
      </c>
    </row>
    <row r="1029">
      <c r="A1029" s="33" t="inlineStr">
        <is>
          <t>2026-05-18</t>
        </is>
      </c>
      <c r="B1029" s="33" t="inlineStr">
        <is>
          <t>KLIC</t>
        </is>
      </c>
      <c r="C1029" s="33" t="inlineStr">
        <is>
          <t>D2</t>
        </is>
      </c>
      <c r="D1029" s="33" t="n">
        <v>3</v>
      </c>
      <c r="E1029" s="68" t="inlineStr">
        <is>
          <t>Wire bond + TCB mid-tier.</t>
        </is>
      </c>
      <c r="F1029" s="68" t="inlineStr">
        <is>
          <t>KLIC Q1/Q4 2026 + AI infrastructure coverage (per-name research 2026-05-18)</t>
        </is>
      </c>
      <c r="G1029" s="33" t="inlineStr">
        <is>
          <t>High</t>
        </is>
      </c>
      <c r="H1029" s="33" t="inlineStr">
        <is>
          <t>Initial</t>
        </is>
      </c>
    </row>
    <row r="1030">
      <c r="A1030" s="33" t="inlineStr">
        <is>
          <t>2026-05-18</t>
        </is>
      </c>
      <c r="B1030" s="33" t="inlineStr">
        <is>
          <t>KLIC</t>
        </is>
      </c>
      <c r="C1030" s="33" t="inlineStr">
        <is>
          <t>D3</t>
        </is>
      </c>
      <c r="D1030" s="33" t="n">
        <v>3</v>
      </c>
      <c r="E1030" s="68" t="inlineStr">
        <is>
          <t>TCB IP growing.</t>
        </is>
      </c>
      <c r="F1030" s="68" t="inlineStr">
        <is>
          <t>KLIC Q1/Q4 2026 + AI infrastructure coverage (per-name research 2026-05-18)</t>
        </is>
      </c>
      <c r="G1030" s="33" t="inlineStr">
        <is>
          <t>High</t>
        </is>
      </c>
      <c r="H1030" s="33" t="inlineStr">
        <is>
          <t>Initial</t>
        </is>
      </c>
    </row>
    <row r="1031">
      <c r="A1031" s="33" t="inlineStr">
        <is>
          <t>2026-05-18</t>
        </is>
      </c>
      <c r="B1031" s="33" t="inlineStr">
        <is>
          <t>KLIC</t>
        </is>
      </c>
      <c r="C1031" s="33" t="inlineStr">
        <is>
          <t>D4</t>
        </is>
      </c>
      <c r="D1031" s="33" t="n">
        <v>5</v>
      </c>
      <c r="E1031" s="68" t="inlineStr">
        <is>
          <t>First HBM TCB in qualification; $400M TCB sales target.</t>
        </is>
      </c>
      <c r="F1031" s="68" t="inlineStr">
        <is>
          <t>KLIC Q1/Q4 2026 + AI infrastructure coverage (per-name research 2026-05-18)</t>
        </is>
      </c>
      <c r="G1031" s="33" t="inlineStr">
        <is>
          <t>High</t>
        </is>
      </c>
      <c r="H1031" s="33" t="inlineStr">
        <is>
          <t>Initial</t>
        </is>
      </c>
    </row>
    <row r="1032">
      <c r="A1032" s="33" t="inlineStr">
        <is>
          <t>2026-05-18</t>
        </is>
      </c>
      <c r="B1032" s="33" t="inlineStr">
        <is>
          <t>KLIC</t>
        </is>
      </c>
      <c r="C1032" s="33" t="inlineStr">
        <is>
          <t>D5</t>
        </is>
      </c>
      <c r="D1032" s="33" t="n">
        <v>4</v>
      </c>
      <c r="E1032" s="68" t="inlineStr">
        <is>
          <t>HBM makers ramping.</t>
        </is>
      </c>
      <c r="F1032" s="68" t="inlineStr">
        <is>
          <t>KLIC Q1/Q4 2026 + AI infrastructure coverage (per-name research 2026-05-18)</t>
        </is>
      </c>
      <c r="G1032" s="33" t="inlineStr">
        <is>
          <t>High</t>
        </is>
      </c>
      <c r="H1032" s="33" t="inlineStr">
        <is>
          <t>Initial</t>
        </is>
      </c>
    </row>
    <row r="1033">
      <c r="A1033" s="33" t="inlineStr">
        <is>
          <t>2026-05-18</t>
        </is>
      </c>
      <c r="B1033" s="33" t="inlineStr">
        <is>
          <t>KLIC</t>
        </is>
      </c>
      <c r="C1033" s="33" t="inlineStr">
        <is>
          <t>M1</t>
        </is>
      </c>
      <c r="D1033" s="33" t="n">
        <v>3</v>
      </c>
      <c r="E1033" s="68" t="inlineStr">
        <is>
          <t>1 up / 0 down — limited.</t>
        </is>
      </c>
      <c r="F1033" s="68" t="inlineStr">
        <is>
          <t>KLIC Q1/Q4 2026 + AI infrastructure coverage (per-name research 2026-05-18)</t>
        </is>
      </c>
      <c r="G1033" s="33" t="inlineStr">
        <is>
          <t>High</t>
        </is>
      </c>
      <c r="H1033" s="33" t="inlineStr">
        <is>
          <t>Initial</t>
        </is>
      </c>
    </row>
    <row r="1034">
      <c r="A1034" s="33" t="inlineStr">
        <is>
          <t>2026-05-18</t>
        </is>
      </c>
      <c r="B1034" s="33" t="inlineStr">
        <is>
          <t>KLIC</t>
        </is>
      </c>
      <c r="C1034" s="33" t="inlineStr">
        <is>
          <t>M2</t>
        </is>
      </c>
      <c r="D1034" s="33" t="n">
        <v>5</v>
      </c>
      <c r="E1034" s="68" t="inlineStr">
        <is>
          <t>+107pp vs SOXX — extreme small-cap rally.</t>
        </is>
      </c>
      <c r="F1034" s="68" t="inlineStr">
        <is>
          <t>KLIC Q1/Q4 2026 + AI infrastructure coverage (per-name research 2026-05-18)</t>
        </is>
      </c>
      <c r="G1034" s="33" t="inlineStr">
        <is>
          <t>High</t>
        </is>
      </c>
      <c r="H1034" s="33" t="inlineStr">
        <is>
          <t>Initial</t>
        </is>
      </c>
    </row>
    <row r="1035">
      <c r="A1035" s="33" t="inlineStr">
        <is>
          <t>2026-05-18</t>
        </is>
      </c>
      <c r="B1035" s="33" t="inlineStr">
        <is>
          <t>KLIC</t>
        </is>
      </c>
      <c r="C1035" s="33" t="inlineStr">
        <is>
          <t>M3</t>
        </is>
      </c>
      <c r="D1035" s="33" t="n">
        <v>3</v>
      </c>
      <c r="E1035" s="68" t="inlineStr">
        <is>
          <t>Routine.</t>
        </is>
      </c>
      <c r="F1035" s="68" t="inlineStr">
        <is>
          <t>KLIC Q1/Q4 2026 + AI infrastructure coverage (per-name research 2026-05-18)</t>
        </is>
      </c>
      <c r="G1035" s="33" t="inlineStr">
        <is>
          <t>High</t>
        </is>
      </c>
      <c r="H1035" s="33" t="inlineStr">
        <is>
          <t>Initial</t>
        </is>
      </c>
    </row>
    <row r="1036">
      <c r="A1036" s="33" t="inlineStr">
        <is>
          <t>2026-05-18</t>
        </is>
      </c>
      <c r="B1036" s="33" t="inlineStr">
        <is>
          <t>KLIC</t>
        </is>
      </c>
      <c r="C1036" s="33" t="inlineStr">
        <is>
          <t>R1</t>
        </is>
      </c>
      <c r="D1036" s="33" t="n">
        <v>4</v>
      </c>
      <c r="E1036" s="68" t="inlineStr">
        <is>
          <t>Concentrated TCB customers.</t>
        </is>
      </c>
      <c r="F1036" s="68" t="inlineStr">
        <is>
          <t>KLIC Q1/Q4 2026 + AI infrastructure coverage (per-name research 2026-05-18)</t>
        </is>
      </c>
      <c r="G1036" s="33" t="inlineStr">
        <is>
          <t>High</t>
        </is>
      </c>
      <c r="H1036" s="33" t="inlineStr">
        <is>
          <t>Initial</t>
        </is>
      </c>
    </row>
    <row r="1037">
      <c r="A1037" s="33" t="inlineStr">
        <is>
          <t>2026-05-18</t>
        </is>
      </c>
      <c r="B1037" s="33" t="inlineStr">
        <is>
          <t>KLIC</t>
        </is>
      </c>
      <c r="C1037" s="33" t="inlineStr">
        <is>
          <t>R2</t>
        </is>
      </c>
      <c r="D1037" s="33" t="n">
        <v>4</v>
      </c>
      <c r="E1037" s="68" t="inlineStr">
        <is>
          <t>Global.</t>
        </is>
      </c>
      <c r="F1037" s="68" t="inlineStr">
        <is>
          <t>KLIC Q1/Q4 2026 + AI infrastructure coverage (per-name research 2026-05-18)</t>
        </is>
      </c>
      <c r="G1037" s="33" t="inlineStr">
        <is>
          <t>High</t>
        </is>
      </c>
      <c r="H1037" s="33" t="inlineStr">
        <is>
          <t>Initial</t>
        </is>
      </c>
    </row>
    <row r="1038">
      <c r="A1038" s="33" t="inlineStr">
        <is>
          <t>2026-05-18</t>
        </is>
      </c>
      <c r="B1038" s="33" t="inlineStr">
        <is>
          <t>KLIC</t>
        </is>
      </c>
      <c r="C1038" s="33" t="inlineStr">
        <is>
          <t>R3</t>
        </is>
      </c>
      <c r="D1038" s="33" t="n">
        <v>4</v>
      </c>
      <c r="E1038" s="68" t="inlineStr">
        <is>
          <t>Reasonable.</t>
        </is>
      </c>
      <c r="F1038" s="68" t="inlineStr">
        <is>
          <t>KLIC Q1/Q4 2026 + AI infrastructure coverage (per-name research 2026-05-18)</t>
        </is>
      </c>
      <c r="G1038" s="33" t="inlineStr">
        <is>
          <t>High</t>
        </is>
      </c>
      <c r="H1038" s="33" t="inlineStr">
        <is>
          <t>Initial</t>
        </is>
      </c>
    </row>
    <row r="1039">
      <c r="A1039" s="33" t="inlineStr">
        <is>
          <t>2026-05-18</t>
        </is>
      </c>
      <c r="B1039" s="33" t="inlineStr">
        <is>
          <t>KLIC</t>
        </is>
      </c>
      <c r="C1039" s="33" t="inlineStr">
        <is>
          <t>R4</t>
        </is>
      </c>
      <c r="D1039" s="33" t="n">
        <v>4</v>
      </c>
      <c r="E1039" s="68" t="inlineStr">
        <is>
          <t>Routine.</t>
        </is>
      </c>
      <c r="F1039" s="68" t="inlineStr">
        <is>
          <t>KLIC Q1/Q4 2026 + AI infrastructure coverage (per-name research 2026-05-18)</t>
        </is>
      </c>
      <c r="G1039" s="33" t="inlineStr">
        <is>
          <t>High</t>
        </is>
      </c>
      <c r="H1039" s="33" t="inlineStr">
        <is>
          <t>Initial</t>
        </is>
      </c>
    </row>
    <row r="1040">
      <c r="A1040" s="33" t="inlineStr">
        <is>
          <t>2026-05-18</t>
        </is>
      </c>
      <c r="B1040" s="33" t="inlineStr">
        <is>
          <t>ENTG</t>
        </is>
      </c>
      <c r="C1040" s="33" t="inlineStr">
        <is>
          <t>D1</t>
        </is>
      </c>
      <c r="D1040" s="33" t="n">
        <v>4</v>
      </c>
      <c r="E1040" s="68" t="inlineStr">
        <is>
          <t>HBM4 + sub-2nm strategic focus; AP $100M+ run rate.</t>
        </is>
      </c>
      <c r="F1040" s="68" t="inlineStr">
        <is>
          <t>ENTG Q1/Q4 2026 + AI infrastructure coverage (per-name research 2026-05-18)</t>
        </is>
      </c>
      <c r="G1040" s="33" t="inlineStr">
        <is>
          <t>High</t>
        </is>
      </c>
      <c r="H1040" s="33" t="inlineStr">
        <is>
          <t>Initial</t>
        </is>
      </c>
    </row>
    <row r="1041">
      <c r="A1041" s="33" t="inlineStr">
        <is>
          <t>2026-05-18</t>
        </is>
      </c>
      <c r="B1041" s="33" t="inlineStr">
        <is>
          <t>ENTG</t>
        </is>
      </c>
      <c r="C1041" s="33" t="inlineStr">
        <is>
          <t>D2</t>
        </is>
      </c>
      <c r="D1041" s="33" t="n">
        <v>4</v>
      </c>
      <c r="E1041" s="68" t="inlineStr">
        <is>
          <t>Specialty materials breadth; multiple competitors.</t>
        </is>
      </c>
      <c r="F1041" s="68" t="inlineStr">
        <is>
          <t>ENTG Q1/Q4 2026 + AI infrastructure coverage (per-name research 2026-05-18)</t>
        </is>
      </c>
      <c r="G1041" s="33" t="inlineStr">
        <is>
          <t>High</t>
        </is>
      </c>
      <c r="H1041" s="33" t="inlineStr">
        <is>
          <t>Initial</t>
        </is>
      </c>
    </row>
    <row r="1042">
      <c r="A1042" s="33" t="inlineStr">
        <is>
          <t>2026-05-18</t>
        </is>
      </c>
      <c r="B1042" s="33" t="inlineStr">
        <is>
          <t>ENTG</t>
        </is>
      </c>
      <c r="C1042" s="33" t="inlineStr">
        <is>
          <t>D3</t>
        </is>
      </c>
      <c r="D1042" s="33" t="n">
        <v>4</v>
      </c>
      <c r="E1042" s="68" t="inlineStr">
        <is>
          <t>Process integration moat + scale.</t>
        </is>
      </c>
      <c r="F1042" s="68" t="inlineStr">
        <is>
          <t>ENTG Q1/Q4 2026 + AI infrastructure coverage (per-name research 2026-05-18)</t>
        </is>
      </c>
      <c r="G1042" s="33" t="inlineStr">
        <is>
          <t>High</t>
        </is>
      </c>
      <c r="H1042" s="33" t="inlineStr">
        <is>
          <t>Initial</t>
        </is>
      </c>
    </row>
    <row r="1043">
      <c r="A1043" s="33" t="inlineStr">
        <is>
          <t>2026-05-18</t>
        </is>
      </c>
      <c r="B1043" s="33" t="inlineStr">
        <is>
          <t>ENTG</t>
        </is>
      </c>
      <c r="C1043" s="33" t="inlineStr">
        <is>
          <t>D4</t>
        </is>
      </c>
      <c r="D1043" s="33" t="n">
        <v>4</v>
      </c>
      <c r="E1043" s="68" t="inlineStr">
        <is>
          <t>KSP + Colorado facility ramp 2026-2027.</t>
        </is>
      </c>
      <c r="F1043" s="68" t="inlineStr">
        <is>
          <t>ENTG Q1/Q4 2026 + AI infrastructure coverage (per-name research 2026-05-18)</t>
        </is>
      </c>
      <c r="G1043" s="33" t="inlineStr">
        <is>
          <t>High</t>
        </is>
      </c>
      <c r="H1043" s="33" t="inlineStr">
        <is>
          <t>Initial</t>
        </is>
      </c>
    </row>
    <row r="1044">
      <c r="A1044" s="33" t="inlineStr">
        <is>
          <t>2026-05-18</t>
        </is>
      </c>
      <c r="B1044" s="33" t="inlineStr">
        <is>
          <t>ENTG</t>
        </is>
      </c>
      <c r="C1044" s="33" t="inlineStr">
        <is>
          <t>D5</t>
        </is>
      </c>
      <c r="D1044" s="33" t="n">
        <v>4</v>
      </c>
      <c r="E1044" s="68" t="inlineStr">
        <is>
          <t>All foundries indirect.</t>
        </is>
      </c>
      <c r="F1044" s="68" t="inlineStr">
        <is>
          <t>ENTG Q1/Q4 2026 + AI infrastructure coverage (per-name research 2026-05-18)</t>
        </is>
      </c>
      <c r="G1044" s="33" t="inlineStr">
        <is>
          <t>High</t>
        </is>
      </c>
      <c r="H1044" s="33" t="inlineStr">
        <is>
          <t>Initial</t>
        </is>
      </c>
    </row>
    <row r="1045">
      <c r="A1045" s="33" t="inlineStr">
        <is>
          <t>2026-05-18</t>
        </is>
      </c>
      <c r="B1045" s="33" t="inlineStr">
        <is>
          <t>ENTG</t>
        </is>
      </c>
      <c r="C1045" s="33" t="inlineStr">
        <is>
          <t>M1</t>
        </is>
      </c>
      <c r="D1045" s="33" t="n">
        <v>4</v>
      </c>
      <c r="E1045" s="68" t="inlineStr">
        <is>
          <t>10 up / 1 down.</t>
        </is>
      </c>
      <c r="F1045" s="68" t="inlineStr">
        <is>
          <t>ENTG Q1/Q4 2026 + AI infrastructure coverage (per-name research 2026-05-18)</t>
        </is>
      </c>
      <c r="G1045" s="33" t="inlineStr">
        <is>
          <t>High</t>
        </is>
      </c>
      <c r="H1045" s="33" t="inlineStr">
        <is>
          <t>Initial</t>
        </is>
      </c>
    </row>
    <row r="1046">
      <c r="A1046" s="33" t="inlineStr">
        <is>
          <t>2026-05-18</t>
        </is>
      </c>
      <c r="B1046" s="33" t="inlineStr">
        <is>
          <t>ENTG</t>
        </is>
      </c>
      <c r="C1046" s="33" t="inlineStr">
        <is>
          <t>M2</t>
        </is>
      </c>
      <c r="D1046" s="33" t="n">
        <v>3</v>
      </c>
      <c r="E1046" s="68" t="inlineStr">
        <is>
          <t>-4pp vs SOXX.</t>
        </is>
      </c>
      <c r="F1046" s="68" t="inlineStr">
        <is>
          <t>ENTG Q1/Q4 2026 + AI infrastructure coverage (per-name research 2026-05-18)</t>
        </is>
      </c>
      <c r="G1046" s="33" t="inlineStr">
        <is>
          <t>High</t>
        </is>
      </c>
      <c r="H1046" s="33" t="inlineStr">
        <is>
          <t>Initial</t>
        </is>
      </c>
    </row>
    <row r="1047">
      <c r="A1047" s="33" t="inlineStr">
        <is>
          <t>2026-05-18</t>
        </is>
      </c>
      <c r="B1047" s="33" t="inlineStr">
        <is>
          <t>ENTG</t>
        </is>
      </c>
      <c r="C1047" s="33" t="inlineStr">
        <is>
          <t>M3</t>
        </is>
      </c>
      <c r="D1047" s="33" t="n">
        <v>3</v>
      </c>
      <c r="E1047" s="68" t="inlineStr">
        <is>
          <t>Routine.</t>
        </is>
      </c>
      <c r="F1047" s="68" t="inlineStr">
        <is>
          <t>ENTG Q1/Q4 2026 + AI infrastructure coverage (per-name research 2026-05-18)</t>
        </is>
      </c>
      <c r="G1047" s="33" t="inlineStr">
        <is>
          <t>High</t>
        </is>
      </c>
      <c r="H1047" s="33" t="inlineStr">
        <is>
          <t>Initial</t>
        </is>
      </c>
    </row>
    <row r="1048">
      <c r="A1048" s="33" t="inlineStr">
        <is>
          <t>2026-05-18</t>
        </is>
      </c>
      <c r="B1048" s="33" t="inlineStr">
        <is>
          <t>ENTG</t>
        </is>
      </c>
      <c r="C1048" s="33" t="inlineStr">
        <is>
          <t>R1</t>
        </is>
      </c>
      <c r="D1048" s="33" t="n">
        <v>4</v>
      </c>
      <c r="E1048" s="68" t="inlineStr">
        <is>
          <t>Diversified.</t>
        </is>
      </c>
      <c r="F1048" s="68" t="inlineStr">
        <is>
          <t>ENTG Q1/Q4 2026 + AI infrastructure coverage (per-name research 2026-05-18)</t>
        </is>
      </c>
      <c r="G1048" s="33" t="inlineStr">
        <is>
          <t>High</t>
        </is>
      </c>
      <c r="H1048" s="33" t="inlineStr">
        <is>
          <t>Initial</t>
        </is>
      </c>
    </row>
    <row r="1049">
      <c r="A1049" s="33" t="inlineStr">
        <is>
          <t>2026-05-18</t>
        </is>
      </c>
      <c r="B1049" s="33" t="inlineStr">
        <is>
          <t>ENTG</t>
        </is>
      </c>
      <c r="C1049" s="33" t="inlineStr">
        <is>
          <t>R2</t>
        </is>
      </c>
      <c r="D1049" s="33" t="n">
        <v>4</v>
      </c>
      <c r="E1049" s="68" t="inlineStr">
        <is>
          <t>Global.</t>
        </is>
      </c>
      <c r="F1049" s="68" t="inlineStr">
        <is>
          <t>ENTG Q1/Q4 2026 + AI infrastructure coverage (per-name research 2026-05-18)</t>
        </is>
      </c>
      <c r="G1049" s="33" t="inlineStr">
        <is>
          <t>High</t>
        </is>
      </c>
      <c r="H1049" s="33" t="inlineStr">
        <is>
          <t>Initial</t>
        </is>
      </c>
    </row>
    <row r="1050">
      <c r="A1050" s="33" t="inlineStr">
        <is>
          <t>2026-05-18</t>
        </is>
      </c>
      <c r="B1050" s="33" t="inlineStr">
        <is>
          <t>ENTG</t>
        </is>
      </c>
      <c r="C1050" s="33" t="inlineStr">
        <is>
          <t>R3</t>
        </is>
      </c>
      <c r="D1050" s="33" t="n">
        <v>4</v>
      </c>
      <c r="E1050" s="68" t="inlineStr">
        <is>
          <t>Moderate leverage.</t>
        </is>
      </c>
      <c r="F1050" s="68" t="inlineStr">
        <is>
          <t>ENTG Q1/Q4 2026 + AI infrastructure coverage (per-name research 2026-05-18)</t>
        </is>
      </c>
      <c r="G1050" s="33" t="inlineStr">
        <is>
          <t>High</t>
        </is>
      </c>
      <c r="H1050" s="33" t="inlineStr">
        <is>
          <t>Initial</t>
        </is>
      </c>
    </row>
    <row r="1051">
      <c r="A1051" s="33" t="inlineStr">
        <is>
          <t>2026-05-18</t>
        </is>
      </c>
      <c r="B1051" s="33" t="inlineStr">
        <is>
          <t>ENTG</t>
        </is>
      </c>
      <c r="C1051" s="33" t="inlineStr">
        <is>
          <t>R4</t>
        </is>
      </c>
      <c r="D1051" s="33" t="n">
        <v>4</v>
      </c>
      <c r="E1051" s="68" t="inlineStr">
        <is>
          <t>Routine.</t>
        </is>
      </c>
      <c r="F1051" s="68" t="inlineStr">
        <is>
          <t>ENTG Q1/Q4 2026 + AI infrastructure coverage (per-name research 2026-05-18)</t>
        </is>
      </c>
      <c r="G1051" s="33" t="inlineStr">
        <is>
          <t>High</t>
        </is>
      </c>
      <c r="H1051" s="33" t="inlineStr">
        <is>
          <t>Initial</t>
        </is>
      </c>
    </row>
    <row r="1052">
      <c r="A1052" s="33" t="inlineStr">
        <is>
          <t>2026-05-18</t>
        </is>
      </c>
      <c r="B1052" s="33" t="inlineStr">
        <is>
          <t>MKSI</t>
        </is>
      </c>
      <c r="C1052" s="33" t="inlineStr">
        <is>
          <t>D1</t>
        </is>
      </c>
      <c r="D1052" s="33" t="n">
        <v>4</v>
      </c>
      <c r="E1052" s="68" t="inlineStr">
        <is>
          <t>Semi 43% of revenue; HBM4 + sub-3nm; plasma/microwave/laser for AI.</t>
        </is>
      </c>
      <c r="F1052" s="68" t="inlineStr">
        <is>
          <t>MKSI Q1/Q4 2026 + AI infrastructure coverage (per-name research 2026-05-18)</t>
        </is>
      </c>
      <c r="G1052" s="33" t="inlineStr">
        <is>
          <t>High</t>
        </is>
      </c>
      <c r="H1052" s="33" t="inlineStr">
        <is>
          <t>Initial</t>
        </is>
      </c>
    </row>
    <row r="1053">
      <c r="A1053" s="33" t="inlineStr">
        <is>
          <t>2026-05-18</t>
        </is>
      </c>
      <c r="B1053" s="33" t="inlineStr">
        <is>
          <t>MKSI</t>
        </is>
      </c>
      <c r="C1053" s="33" t="inlineStr">
        <is>
          <t>D2</t>
        </is>
      </c>
      <c r="D1053" s="33" t="n">
        <v>3</v>
      </c>
      <c r="E1053" s="68" t="inlineStr">
        <is>
          <t>Mid-tier in vacuum + photonics + lasers.</t>
        </is>
      </c>
      <c r="F1053" s="68" t="inlineStr">
        <is>
          <t>MKSI Q1/Q4 2026 + AI infrastructure coverage (per-name research 2026-05-18)</t>
        </is>
      </c>
      <c r="G1053" s="33" t="inlineStr">
        <is>
          <t>High</t>
        </is>
      </c>
      <c r="H1053" s="33" t="inlineStr">
        <is>
          <t>Initial</t>
        </is>
      </c>
    </row>
    <row r="1054">
      <c r="A1054" s="33" t="inlineStr">
        <is>
          <t>2026-05-18</t>
        </is>
      </c>
      <c r="B1054" s="33" t="inlineStr">
        <is>
          <t>MKSI</t>
        </is>
      </c>
      <c r="C1054" s="33" t="inlineStr">
        <is>
          <t>D3</t>
        </is>
      </c>
      <c r="D1054" s="33" t="n">
        <v>3</v>
      </c>
      <c r="E1054" s="68" t="inlineStr">
        <is>
          <t>Vacuum + photonics IP.</t>
        </is>
      </c>
      <c r="F1054" s="68" t="inlineStr">
        <is>
          <t>MKSI Q1/Q4 2026 + AI infrastructure coverage (per-name research 2026-05-18)</t>
        </is>
      </c>
      <c r="G1054" s="33" t="inlineStr">
        <is>
          <t>High</t>
        </is>
      </c>
      <c r="H1054" s="33" t="inlineStr">
        <is>
          <t>Initial</t>
        </is>
      </c>
    </row>
    <row r="1055">
      <c r="A1055" s="33" t="inlineStr">
        <is>
          <t>2026-05-18</t>
        </is>
      </c>
      <c r="B1055" s="33" t="inlineStr">
        <is>
          <t>MKSI</t>
        </is>
      </c>
      <c r="C1055" s="33" t="inlineStr">
        <is>
          <t>D4</t>
        </is>
      </c>
      <c r="D1055" s="33" t="n">
        <v>4</v>
      </c>
      <c r="E1055" s="68" t="inlineStr">
        <is>
          <t>Active expansion.</t>
        </is>
      </c>
      <c r="F1055" s="68" t="inlineStr">
        <is>
          <t>MKSI Q1/Q4 2026 + AI infrastructure coverage (per-name research 2026-05-18)</t>
        </is>
      </c>
      <c r="G1055" s="33" t="inlineStr">
        <is>
          <t>High</t>
        </is>
      </c>
      <c r="H1055" s="33" t="inlineStr">
        <is>
          <t>Initial</t>
        </is>
      </c>
    </row>
    <row r="1056">
      <c r="A1056" s="33" t="inlineStr">
        <is>
          <t>2026-05-18</t>
        </is>
      </c>
      <c r="B1056" s="33" t="inlineStr">
        <is>
          <t>MKSI</t>
        </is>
      </c>
      <c r="C1056" s="33" t="inlineStr">
        <is>
          <t>D5</t>
        </is>
      </c>
      <c r="D1056" s="33" t="n">
        <v>4</v>
      </c>
      <c r="E1056" s="68" t="inlineStr">
        <is>
          <t>HBM + foundry customers.</t>
        </is>
      </c>
      <c r="F1056" s="68" t="inlineStr">
        <is>
          <t>MKSI Q1/Q4 2026 + AI infrastructure coverage (per-name research 2026-05-18)</t>
        </is>
      </c>
      <c r="G1056" s="33" t="inlineStr">
        <is>
          <t>High</t>
        </is>
      </c>
      <c r="H1056" s="33" t="inlineStr">
        <is>
          <t>Initial</t>
        </is>
      </c>
    </row>
    <row r="1057">
      <c r="A1057" s="33" t="inlineStr">
        <is>
          <t>2026-05-18</t>
        </is>
      </c>
      <c r="B1057" s="33" t="inlineStr">
        <is>
          <t>MKSI</t>
        </is>
      </c>
      <c r="C1057" s="33" t="inlineStr">
        <is>
          <t>M1</t>
        </is>
      </c>
      <c r="D1057" s="33" t="n">
        <v>5</v>
      </c>
      <c r="E1057" s="68" t="inlineStr">
        <is>
          <t>11 up / 0 down; FY +28%.</t>
        </is>
      </c>
      <c r="F1057" s="68" t="inlineStr">
        <is>
          <t>MKSI Q1/Q4 2026 + AI infrastructure coverage (per-name research 2026-05-18)</t>
        </is>
      </c>
      <c r="G1057" s="33" t="inlineStr">
        <is>
          <t>High</t>
        </is>
      </c>
      <c r="H1057" s="33" t="inlineStr">
        <is>
          <t>Initial</t>
        </is>
      </c>
    </row>
    <row r="1058">
      <c r="A1058" s="33" t="inlineStr">
        <is>
          <t>2026-05-18</t>
        </is>
      </c>
      <c r="B1058" s="33" t="inlineStr">
        <is>
          <t>MKSI</t>
        </is>
      </c>
      <c r="C1058" s="33" t="inlineStr">
        <is>
          <t>M2</t>
        </is>
      </c>
      <c r="D1058" s="33" t="n">
        <v>5</v>
      </c>
      <c r="E1058" s="68" t="inlineStr">
        <is>
          <t>+30pp vs SOXX.</t>
        </is>
      </c>
      <c r="F1058" s="68" t="inlineStr">
        <is>
          <t>MKSI Q1/Q4 2026 + AI infrastructure coverage (per-name research 2026-05-18)</t>
        </is>
      </c>
      <c r="G1058" s="33" t="inlineStr">
        <is>
          <t>High</t>
        </is>
      </c>
      <c r="H1058" s="33" t="inlineStr">
        <is>
          <t>Initial</t>
        </is>
      </c>
    </row>
    <row r="1059">
      <c r="A1059" s="33" t="inlineStr">
        <is>
          <t>2026-05-18</t>
        </is>
      </c>
      <c r="B1059" s="33" t="inlineStr">
        <is>
          <t>MKSI</t>
        </is>
      </c>
      <c r="C1059" s="33" t="inlineStr">
        <is>
          <t>M3</t>
        </is>
      </c>
      <c r="D1059" s="33" t="n">
        <v>3</v>
      </c>
      <c r="E1059" s="68" t="inlineStr">
        <is>
          <t>Routine.</t>
        </is>
      </c>
      <c r="F1059" s="68" t="inlineStr">
        <is>
          <t>MKSI Q1/Q4 2026 + AI infrastructure coverage (per-name research 2026-05-18)</t>
        </is>
      </c>
      <c r="G1059" s="33" t="inlineStr">
        <is>
          <t>High</t>
        </is>
      </c>
      <c r="H1059" s="33" t="inlineStr">
        <is>
          <t>Initial</t>
        </is>
      </c>
    </row>
    <row r="1060">
      <c r="A1060" s="33" t="inlineStr">
        <is>
          <t>2026-05-18</t>
        </is>
      </c>
      <c r="B1060" s="33" t="inlineStr">
        <is>
          <t>MKSI</t>
        </is>
      </c>
      <c r="C1060" s="33" t="inlineStr">
        <is>
          <t>R1</t>
        </is>
      </c>
      <c r="D1060" s="33" t="n">
        <v>4</v>
      </c>
      <c r="E1060" s="68" t="inlineStr">
        <is>
          <t>Diversified.</t>
        </is>
      </c>
      <c r="F1060" s="68" t="inlineStr">
        <is>
          <t>MKSI Q1/Q4 2026 + AI infrastructure coverage (per-name research 2026-05-18)</t>
        </is>
      </c>
      <c r="G1060" s="33" t="inlineStr">
        <is>
          <t>High</t>
        </is>
      </c>
      <c r="H1060" s="33" t="inlineStr">
        <is>
          <t>Initial</t>
        </is>
      </c>
    </row>
    <row r="1061">
      <c r="A1061" s="33" t="inlineStr">
        <is>
          <t>2026-05-18</t>
        </is>
      </c>
      <c r="B1061" s="33" t="inlineStr">
        <is>
          <t>MKSI</t>
        </is>
      </c>
      <c r="C1061" s="33" t="inlineStr">
        <is>
          <t>R2</t>
        </is>
      </c>
      <c r="D1061" s="33" t="n">
        <v>4</v>
      </c>
      <c r="E1061" s="68" t="inlineStr">
        <is>
          <t>Global.</t>
        </is>
      </c>
      <c r="F1061" s="68" t="inlineStr">
        <is>
          <t>MKSI Q1/Q4 2026 + AI infrastructure coverage (per-name research 2026-05-18)</t>
        </is>
      </c>
      <c r="G1061" s="33" t="inlineStr">
        <is>
          <t>High</t>
        </is>
      </c>
      <c r="H1061" s="33" t="inlineStr">
        <is>
          <t>Initial</t>
        </is>
      </c>
    </row>
    <row r="1062">
      <c r="A1062" s="33" t="inlineStr">
        <is>
          <t>2026-05-18</t>
        </is>
      </c>
      <c r="B1062" s="33" t="inlineStr">
        <is>
          <t>MKSI</t>
        </is>
      </c>
      <c r="C1062" s="33" t="inlineStr">
        <is>
          <t>R3</t>
        </is>
      </c>
      <c r="D1062" s="33" t="n">
        <v>4</v>
      </c>
      <c r="E1062" s="68" t="inlineStr">
        <is>
          <t>Moderate.</t>
        </is>
      </c>
      <c r="F1062" s="68" t="inlineStr">
        <is>
          <t>MKSI Q1/Q4 2026 + AI infrastructure coverage (per-name research 2026-05-18)</t>
        </is>
      </c>
      <c r="G1062" s="33" t="inlineStr">
        <is>
          <t>High</t>
        </is>
      </c>
      <c r="H1062" s="33" t="inlineStr">
        <is>
          <t>Initial</t>
        </is>
      </c>
    </row>
    <row r="1063">
      <c r="A1063" s="33" t="inlineStr">
        <is>
          <t>2026-05-18</t>
        </is>
      </c>
      <c r="B1063" s="33" t="inlineStr">
        <is>
          <t>MKSI</t>
        </is>
      </c>
      <c r="C1063" s="33" t="inlineStr">
        <is>
          <t>R4</t>
        </is>
      </c>
      <c r="D1063" s="33" t="n">
        <v>4</v>
      </c>
      <c r="E1063" s="68" t="inlineStr">
        <is>
          <t>Routine.</t>
        </is>
      </c>
      <c r="F1063" s="68" t="inlineStr">
        <is>
          <t>MKSI Q1/Q4 2026 + AI infrastructure coverage (per-name research 2026-05-18)</t>
        </is>
      </c>
      <c r="G1063" s="33" t="inlineStr">
        <is>
          <t>High</t>
        </is>
      </c>
      <c r="H1063" s="33" t="inlineStr">
        <is>
          <t>Initial</t>
        </is>
      </c>
    </row>
    <row r="1064">
      <c r="A1064" s="33" t="inlineStr">
        <is>
          <t>2026-05-18</t>
        </is>
      </c>
      <c r="B1064" s="33" t="inlineStr">
        <is>
          <t>PLAB</t>
        </is>
      </c>
      <c r="C1064" s="33" t="inlineStr">
        <is>
          <t>D1</t>
        </is>
      </c>
      <c r="D1064" s="33" t="n">
        <v>3</v>
      </c>
      <c r="E1064" s="68" t="inlineStr">
        <is>
          <t>Photomask + display; mixed AI exposure.</t>
        </is>
      </c>
      <c r="F1064" s="68" t="inlineStr">
        <is>
          <t>PLAB Q1/Q4 2026 + AI infrastructure coverage (per-name research 2026-05-18)</t>
        </is>
      </c>
      <c r="G1064" s="33" t="inlineStr">
        <is>
          <t>High</t>
        </is>
      </c>
      <c r="H1064" s="33" t="inlineStr">
        <is>
          <t>Initial</t>
        </is>
      </c>
    </row>
    <row r="1065">
      <c r="A1065" s="33" t="inlineStr">
        <is>
          <t>2026-05-18</t>
        </is>
      </c>
      <c r="B1065" s="33" t="inlineStr">
        <is>
          <t>PLAB</t>
        </is>
      </c>
      <c r="C1065" s="33" t="inlineStr">
        <is>
          <t>D2</t>
        </is>
      </c>
      <c r="D1065" s="33" t="n">
        <v>3</v>
      </c>
      <c r="E1065" s="68" t="inlineStr">
        <is>
          <t>Mid-tier photomask vendor.</t>
        </is>
      </c>
      <c r="F1065" s="68" t="inlineStr">
        <is>
          <t>PLAB Q1/Q4 2026 + AI infrastructure coverage (per-name research 2026-05-18)</t>
        </is>
      </c>
      <c r="G1065" s="33" t="inlineStr">
        <is>
          <t>High</t>
        </is>
      </c>
      <c r="H1065" s="33" t="inlineStr">
        <is>
          <t>Initial</t>
        </is>
      </c>
    </row>
    <row r="1066">
      <c r="A1066" s="33" t="inlineStr">
        <is>
          <t>2026-05-18</t>
        </is>
      </c>
      <c r="B1066" s="33" t="inlineStr">
        <is>
          <t>PLAB</t>
        </is>
      </c>
      <c r="C1066" s="33" t="inlineStr">
        <is>
          <t>D3</t>
        </is>
      </c>
      <c r="D1066" s="33" t="n">
        <v>3</v>
      </c>
      <c r="E1066" s="68" t="inlineStr">
        <is>
          <t>Brand + scale.</t>
        </is>
      </c>
      <c r="F1066" s="68" t="inlineStr">
        <is>
          <t>PLAB Q1/Q4 2026 + AI infrastructure coverage (per-name research 2026-05-18)</t>
        </is>
      </c>
      <c r="G1066" s="33" t="inlineStr">
        <is>
          <t>High</t>
        </is>
      </c>
      <c r="H1066" s="33" t="inlineStr">
        <is>
          <t>Initial</t>
        </is>
      </c>
    </row>
    <row r="1067">
      <c r="A1067" s="33" t="inlineStr">
        <is>
          <t>2026-05-18</t>
        </is>
      </c>
      <c r="B1067" s="33" t="inlineStr">
        <is>
          <t>PLAB</t>
        </is>
      </c>
      <c r="C1067" s="33" t="inlineStr">
        <is>
          <t>D4</t>
        </is>
      </c>
      <c r="D1067" s="33" t="n">
        <v>4</v>
      </c>
      <c r="E1067" s="68" t="inlineStr">
        <is>
          <t>Allen TX + Korea mask writer.</t>
        </is>
      </c>
      <c r="F1067" s="68" t="inlineStr">
        <is>
          <t>PLAB Q1/Q4 2026 + AI infrastructure coverage (per-name research 2026-05-18)</t>
        </is>
      </c>
      <c r="G1067" s="33" t="inlineStr">
        <is>
          <t>High</t>
        </is>
      </c>
      <c r="H1067" s="33" t="inlineStr">
        <is>
          <t>Initial</t>
        </is>
      </c>
    </row>
    <row r="1068">
      <c r="A1068" s="33" t="inlineStr">
        <is>
          <t>2026-05-18</t>
        </is>
      </c>
      <c r="B1068" s="33" t="inlineStr">
        <is>
          <t>PLAB</t>
        </is>
      </c>
      <c r="C1068" s="33" t="inlineStr">
        <is>
          <t>D5</t>
        </is>
      </c>
      <c r="D1068" s="33" t="n">
        <v>3</v>
      </c>
      <c r="E1068" s="68" t="inlineStr">
        <is>
          <t>Indirect.</t>
        </is>
      </c>
      <c r="F1068" s="68" t="inlineStr">
        <is>
          <t>PLAB Q1/Q4 2026 + AI infrastructure coverage (per-name research 2026-05-18)</t>
        </is>
      </c>
      <c r="G1068" s="33" t="inlineStr">
        <is>
          <t>High</t>
        </is>
      </c>
      <c r="H1068" s="33" t="inlineStr">
        <is>
          <t>Initial</t>
        </is>
      </c>
    </row>
    <row r="1069">
      <c r="A1069" s="33" t="inlineStr">
        <is>
          <t>2026-05-18</t>
        </is>
      </c>
      <c r="B1069" s="33" t="inlineStr">
        <is>
          <t>PLAB</t>
        </is>
      </c>
      <c r="C1069" s="33" t="inlineStr">
        <is>
          <t>M1</t>
        </is>
      </c>
      <c r="D1069" s="33" t="n">
        <v>3</v>
      </c>
      <c r="E1069" s="68" t="inlineStr">
        <is>
          <t>1 up / 0 down — limited.</t>
        </is>
      </c>
      <c r="F1069" s="68" t="inlineStr">
        <is>
          <t>PLAB Q1/Q4 2026 + AI infrastructure coverage (per-name research 2026-05-18)</t>
        </is>
      </c>
      <c r="G1069" s="33" t="inlineStr">
        <is>
          <t>High</t>
        </is>
      </c>
      <c r="H1069" s="33" t="inlineStr">
        <is>
          <t>Initial</t>
        </is>
      </c>
    </row>
    <row r="1070">
      <c r="A1070" s="33" t="inlineStr">
        <is>
          <t>2026-05-18</t>
        </is>
      </c>
      <c r="B1070" s="33" t="inlineStr">
        <is>
          <t>PLAB</t>
        </is>
      </c>
      <c r="C1070" s="33" t="inlineStr">
        <is>
          <t>M2</t>
        </is>
      </c>
      <c r="D1070" s="33" t="n">
        <v>5</v>
      </c>
      <c r="E1070" s="68" t="inlineStr">
        <is>
          <t>+55pp vs SOXX.</t>
        </is>
      </c>
      <c r="F1070" s="68" t="inlineStr">
        <is>
          <t>PLAB Q1/Q4 2026 + AI infrastructure coverage (per-name research 2026-05-18)</t>
        </is>
      </c>
      <c r="G1070" s="33" t="inlineStr">
        <is>
          <t>High</t>
        </is>
      </c>
      <c r="H1070" s="33" t="inlineStr">
        <is>
          <t>Initial</t>
        </is>
      </c>
    </row>
    <row r="1071">
      <c r="A1071" s="33" t="inlineStr">
        <is>
          <t>2026-05-18</t>
        </is>
      </c>
      <c r="B1071" s="33" t="inlineStr">
        <is>
          <t>PLAB</t>
        </is>
      </c>
      <c r="C1071" s="33" t="inlineStr">
        <is>
          <t>M3</t>
        </is>
      </c>
      <c r="D1071" s="33" t="n">
        <v>3</v>
      </c>
      <c r="E1071" s="68" t="inlineStr">
        <is>
          <t>Routine.</t>
        </is>
      </c>
      <c r="F1071" s="68" t="inlineStr">
        <is>
          <t>PLAB Q1/Q4 2026 + AI infrastructure coverage (per-name research 2026-05-18)</t>
        </is>
      </c>
      <c r="G1071" s="33" t="inlineStr">
        <is>
          <t>High</t>
        </is>
      </c>
      <c r="H1071" s="33" t="inlineStr">
        <is>
          <t>Initial</t>
        </is>
      </c>
    </row>
    <row r="1072">
      <c r="A1072" s="33" t="inlineStr">
        <is>
          <t>2026-05-18</t>
        </is>
      </c>
      <c r="B1072" s="33" t="inlineStr">
        <is>
          <t>PLAB</t>
        </is>
      </c>
      <c r="C1072" s="33" t="inlineStr">
        <is>
          <t>R1</t>
        </is>
      </c>
      <c r="D1072" s="33" t="n">
        <v>4</v>
      </c>
      <c r="E1072" s="68" t="inlineStr">
        <is>
          <t>Diversified.</t>
        </is>
      </c>
      <c r="F1072" s="68" t="inlineStr">
        <is>
          <t>PLAB Q1/Q4 2026 + AI infrastructure coverage (per-name research 2026-05-18)</t>
        </is>
      </c>
      <c r="G1072" s="33" t="inlineStr">
        <is>
          <t>High</t>
        </is>
      </c>
      <c r="H1072" s="33" t="inlineStr">
        <is>
          <t>Initial</t>
        </is>
      </c>
    </row>
    <row r="1073">
      <c r="A1073" s="33" t="inlineStr">
        <is>
          <t>2026-05-18</t>
        </is>
      </c>
      <c r="B1073" s="33" t="inlineStr">
        <is>
          <t>PLAB</t>
        </is>
      </c>
      <c r="C1073" s="33" t="inlineStr">
        <is>
          <t>R2</t>
        </is>
      </c>
      <c r="D1073" s="33" t="n">
        <v>4</v>
      </c>
      <c r="E1073" s="68" t="inlineStr">
        <is>
          <t>Global; some Asia.</t>
        </is>
      </c>
      <c r="F1073" s="68" t="inlineStr">
        <is>
          <t>PLAB Q1/Q4 2026 + AI infrastructure coverage (per-name research 2026-05-18)</t>
        </is>
      </c>
      <c r="G1073" s="33" t="inlineStr">
        <is>
          <t>High</t>
        </is>
      </c>
      <c r="H1073" s="33" t="inlineStr">
        <is>
          <t>Initial</t>
        </is>
      </c>
    </row>
    <row r="1074">
      <c r="A1074" s="33" t="inlineStr">
        <is>
          <t>2026-05-18</t>
        </is>
      </c>
      <c r="B1074" s="33" t="inlineStr">
        <is>
          <t>PLAB</t>
        </is>
      </c>
      <c r="C1074" s="33" t="inlineStr">
        <is>
          <t>R3</t>
        </is>
      </c>
      <c r="D1074" s="33" t="n">
        <v>5</v>
      </c>
      <c r="E1074" s="68" t="inlineStr">
        <is>
          <t>$588M cash, strong.</t>
        </is>
      </c>
      <c r="F1074" s="68" t="inlineStr">
        <is>
          <t>PLAB Q1/Q4 2026 + AI infrastructure coverage (per-name research 2026-05-18)</t>
        </is>
      </c>
      <c r="G1074" s="33" t="inlineStr">
        <is>
          <t>High</t>
        </is>
      </c>
      <c r="H1074" s="33" t="inlineStr">
        <is>
          <t>Initial</t>
        </is>
      </c>
    </row>
    <row r="1075">
      <c r="A1075" s="33" t="inlineStr">
        <is>
          <t>2026-05-18</t>
        </is>
      </c>
      <c r="B1075" s="33" t="inlineStr">
        <is>
          <t>PLAB</t>
        </is>
      </c>
      <c r="C1075" s="33" t="inlineStr">
        <is>
          <t>R4</t>
        </is>
      </c>
      <c r="D1075" s="33" t="n">
        <v>4</v>
      </c>
      <c r="E1075" s="68" t="inlineStr">
        <is>
          <t>Routine.</t>
        </is>
      </c>
      <c r="F1075" s="68" t="inlineStr">
        <is>
          <t>PLAB Q1/Q4 2026 + AI infrastructure coverage (per-name research 2026-05-18)</t>
        </is>
      </c>
      <c r="G1075" s="33" t="inlineStr">
        <is>
          <t>High</t>
        </is>
      </c>
      <c r="H1075" s="33" t="inlineStr">
        <is>
          <t>Initial</t>
        </is>
      </c>
    </row>
    <row r="1076">
      <c r="A1076" s="33" t="inlineStr">
        <is>
          <t>2026-05-18</t>
        </is>
      </c>
      <c r="B1076" s="33" t="inlineStr">
        <is>
          <t>UCTT</t>
        </is>
      </c>
      <c r="C1076" s="33" t="inlineStr">
        <is>
          <t>D1</t>
        </is>
      </c>
      <c r="D1076" s="33" t="n">
        <v>4</v>
      </c>
      <c r="E1076" s="68" t="inlineStr">
        <is>
          <t>Critical subsystems for AI chip mfg; growing AI exposure.</t>
        </is>
      </c>
      <c r="F1076" s="68" t="inlineStr">
        <is>
          <t>UCTT Q1/Q4 2026 + AI infrastructure coverage (per-name research 2026-05-18)</t>
        </is>
      </c>
      <c r="G1076" s="33" t="inlineStr">
        <is>
          <t>High</t>
        </is>
      </c>
      <c r="H1076" s="33" t="inlineStr">
        <is>
          <t>Initial</t>
        </is>
      </c>
    </row>
    <row r="1077">
      <c r="A1077" s="33" t="inlineStr">
        <is>
          <t>2026-05-18</t>
        </is>
      </c>
      <c r="B1077" s="33" t="inlineStr">
        <is>
          <t>UCTT</t>
        </is>
      </c>
      <c r="C1077" s="33" t="inlineStr">
        <is>
          <t>D2</t>
        </is>
      </c>
      <c r="D1077" s="33" t="n">
        <v>3</v>
      </c>
      <c r="E1077" s="68" t="inlineStr">
        <is>
          <t>Subsystem supplier — multiple competitors.</t>
        </is>
      </c>
      <c r="F1077" s="68" t="inlineStr">
        <is>
          <t>UCTT Q1/Q4 2026 + AI infrastructure coverage (per-name research 2026-05-18)</t>
        </is>
      </c>
      <c r="G1077" s="33" t="inlineStr">
        <is>
          <t>High</t>
        </is>
      </c>
      <c r="H1077" s="33" t="inlineStr">
        <is>
          <t>Initial</t>
        </is>
      </c>
    </row>
    <row r="1078">
      <c r="A1078" s="33" t="inlineStr">
        <is>
          <t>2026-05-18</t>
        </is>
      </c>
      <c r="B1078" s="33" t="inlineStr">
        <is>
          <t>UCTT</t>
        </is>
      </c>
      <c r="C1078" s="33" t="inlineStr">
        <is>
          <t>D3</t>
        </is>
      </c>
      <c r="D1078" s="33" t="n">
        <v>3</v>
      </c>
      <c r="E1078" s="68" t="inlineStr">
        <is>
          <t>Limited moat.</t>
        </is>
      </c>
      <c r="F1078" s="68" t="inlineStr">
        <is>
          <t>UCTT Q1/Q4 2026 + AI infrastructure coverage (per-name research 2026-05-18)</t>
        </is>
      </c>
      <c r="G1078" s="33" t="inlineStr">
        <is>
          <t>High</t>
        </is>
      </c>
      <c r="H1078" s="33" t="inlineStr">
        <is>
          <t>Initial</t>
        </is>
      </c>
    </row>
    <row r="1079">
      <c r="A1079" s="33" t="inlineStr">
        <is>
          <t>2026-05-18</t>
        </is>
      </c>
      <c r="B1079" s="33" t="inlineStr">
        <is>
          <t>UCTT</t>
        </is>
      </c>
      <c r="C1079" s="33" t="inlineStr">
        <is>
          <t>D4</t>
        </is>
      </c>
      <c r="D1079" s="33" t="n">
        <v>4</v>
      </c>
      <c r="E1079" s="68" t="inlineStr">
        <is>
          <t>+60% Asian capacity for AI; FY26 guide raised.</t>
        </is>
      </c>
      <c r="F1079" s="68" t="inlineStr">
        <is>
          <t>UCTT Q1/Q4 2026 + AI infrastructure coverage (per-name research 2026-05-18)</t>
        </is>
      </c>
      <c r="G1079" s="33" t="inlineStr">
        <is>
          <t>High</t>
        </is>
      </c>
      <c r="H1079" s="33" t="inlineStr">
        <is>
          <t>Initial</t>
        </is>
      </c>
    </row>
    <row r="1080">
      <c r="A1080" s="33" t="inlineStr">
        <is>
          <t>2026-05-18</t>
        </is>
      </c>
      <c r="B1080" s="33" t="inlineStr">
        <is>
          <t>UCTT</t>
        </is>
      </c>
      <c r="C1080" s="33" t="inlineStr">
        <is>
          <t>D5</t>
        </is>
      </c>
      <c r="D1080" s="33" t="n">
        <v>4</v>
      </c>
      <c r="E1080" s="68" t="inlineStr">
        <is>
          <t>WFE OEM customers indirect anchor.</t>
        </is>
      </c>
      <c r="F1080" s="68" t="inlineStr">
        <is>
          <t>UCTT Q1/Q4 2026 + AI infrastructure coverage (per-name research 2026-05-18)</t>
        </is>
      </c>
      <c r="G1080" s="33" t="inlineStr">
        <is>
          <t>High</t>
        </is>
      </c>
      <c r="H1080" s="33" t="inlineStr">
        <is>
          <t>Initial</t>
        </is>
      </c>
    </row>
    <row r="1081">
      <c r="A1081" s="33" t="inlineStr">
        <is>
          <t>2026-05-18</t>
        </is>
      </c>
      <c r="B1081" s="33" t="inlineStr">
        <is>
          <t>UCTT</t>
        </is>
      </c>
      <c r="C1081" s="33" t="inlineStr">
        <is>
          <t>M1</t>
        </is>
      </c>
      <c r="D1081" s="33" t="n">
        <v>4</v>
      </c>
      <c r="E1081" s="68" t="inlineStr">
        <is>
          <t>4 up / 0 down; FY +55%.</t>
        </is>
      </c>
      <c r="F1081" s="68" t="inlineStr">
        <is>
          <t>UCTT Q1/Q4 2026 + AI infrastructure coverage (per-name research 2026-05-18)</t>
        </is>
      </c>
      <c r="G1081" s="33" t="inlineStr">
        <is>
          <t>High</t>
        </is>
      </c>
      <c r="H1081" s="33" t="inlineStr">
        <is>
          <t>Initial</t>
        </is>
      </c>
    </row>
    <row r="1082">
      <c r="A1082" s="33" t="inlineStr">
        <is>
          <t>2026-05-18</t>
        </is>
      </c>
      <c r="B1082" s="33" t="inlineStr">
        <is>
          <t>UCTT</t>
        </is>
      </c>
      <c r="C1082" s="33" t="inlineStr">
        <is>
          <t>M2</t>
        </is>
      </c>
      <c r="D1082" s="33" t="n">
        <v>5</v>
      </c>
      <c r="E1082" s="68" t="inlineStr">
        <is>
          <t>+174pp vs SOXX — extreme.</t>
        </is>
      </c>
      <c r="F1082" s="68" t="inlineStr">
        <is>
          <t>UCTT Q1/Q4 2026 + AI infrastructure coverage (per-name research 2026-05-18)</t>
        </is>
      </c>
      <c r="G1082" s="33" t="inlineStr">
        <is>
          <t>High</t>
        </is>
      </c>
      <c r="H1082" s="33" t="inlineStr">
        <is>
          <t>Initial</t>
        </is>
      </c>
    </row>
    <row r="1083">
      <c r="A1083" s="33" t="inlineStr">
        <is>
          <t>2026-05-18</t>
        </is>
      </c>
      <c r="B1083" s="33" t="inlineStr">
        <is>
          <t>UCTT</t>
        </is>
      </c>
      <c r="C1083" s="33" t="inlineStr">
        <is>
          <t>M3</t>
        </is>
      </c>
      <c r="D1083" s="33" t="n">
        <v>3</v>
      </c>
      <c r="E1083" s="68" t="inlineStr">
        <is>
          <t>Routine.</t>
        </is>
      </c>
      <c r="F1083" s="68" t="inlineStr">
        <is>
          <t>UCTT Q1/Q4 2026 + AI infrastructure coverage (per-name research 2026-05-18)</t>
        </is>
      </c>
      <c r="G1083" s="33" t="inlineStr">
        <is>
          <t>High</t>
        </is>
      </c>
      <c r="H1083" s="33" t="inlineStr">
        <is>
          <t>Initial</t>
        </is>
      </c>
    </row>
    <row r="1084">
      <c r="A1084" s="33" t="inlineStr">
        <is>
          <t>2026-05-18</t>
        </is>
      </c>
      <c r="B1084" s="33" t="inlineStr">
        <is>
          <t>UCTT</t>
        </is>
      </c>
      <c r="C1084" s="33" t="inlineStr">
        <is>
          <t>R1</t>
        </is>
      </c>
      <c r="D1084" s="33" t="n">
        <v>4</v>
      </c>
      <c r="E1084" s="68" t="inlineStr">
        <is>
          <t>OEM customers concentrated.</t>
        </is>
      </c>
      <c r="F1084" s="68" t="inlineStr">
        <is>
          <t>UCTT Q1/Q4 2026 + AI infrastructure coverage (per-name research 2026-05-18)</t>
        </is>
      </c>
      <c r="G1084" s="33" t="inlineStr">
        <is>
          <t>High</t>
        </is>
      </c>
      <c r="H1084" s="33" t="inlineStr">
        <is>
          <t>Initial</t>
        </is>
      </c>
    </row>
    <row r="1085">
      <c r="A1085" s="33" t="inlineStr">
        <is>
          <t>2026-05-18</t>
        </is>
      </c>
      <c r="B1085" s="33" t="inlineStr">
        <is>
          <t>UCTT</t>
        </is>
      </c>
      <c r="C1085" s="33" t="inlineStr">
        <is>
          <t>R2</t>
        </is>
      </c>
      <c r="D1085" s="33" t="n">
        <v>4</v>
      </c>
      <c r="E1085" s="68" t="inlineStr">
        <is>
          <t>Global.</t>
        </is>
      </c>
      <c r="F1085" s="68" t="inlineStr">
        <is>
          <t>UCTT Q1/Q4 2026 + AI infrastructure coverage (per-name research 2026-05-18)</t>
        </is>
      </c>
      <c r="G1085" s="33" t="inlineStr">
        <is>
          <t>High</t>
        </is>
      </c>
      <c r="H1085" s="33" t="inlineStr">
        <is>
          <t>Initial</t>
        </is>
      </c>
    </row>
    <row r="1086">
      <c r="A1086" s="33" t="inlineStr">
        <is>
          <t>2026-05-18</t>
        </is>
      </c>
      <c r="B1086" s="33" t="inlineStr">
        <is>
          <t>UCTT</t>
        </is>
      </c>
      <c r="C1086" s="33" t="inlineStr">
        <is>
          <t>R3</t>
        </is>
      </c>
      <c r="D1086" s="33" t="n">
        <v>4</v>
      </c>
      <c r="E1086" s="68" t="inlineStr">
        <is>
          <t>Reasonable.</t>
        </is>
      </c>
      <c r="F1086" s="68" t="inlineStr">
        <is>
          <t>UCTT Q1/Q4 2026 + AI infrastructure coverage (per-name research 2026-05-18)</t>
        </is>
      </c>
      <c r="G1086" s="33" t="inlineStr">
        <is>
          <t>High</t>
        </is>
      </c>
      <c r="H1086" s="33" t="inlineStr">
        <is>
          <t>Initial</t>
        </is>
      </c>
    </row>
    <row r="1087">
      <c r="A1087" s="33" t="inlineStr">
        <is>
          <t>2026-05-18</t>
        </is>
      </c>
      <c r="B1087" s="33" t="inlineStr">
        <is>
          <t>UCTT</t>
        </is>
      </c>
      <c r="C1087" s="33" t="inlineStr">
        <is>
          <t>R4</t>
        </is>
      </c>
      <c r="D1087" s="33" t="n">
        <v>4</v>
      </c>
      <c r="E1087" s="68" t="inlineStr">
        <is>
          <t>Routine.</t>
        </is>
      </c>
      <c r="F1087" s="68" t="inlineStr">
        <is>
          <t>UCTT Q1/Q4 2026 + AI infrastructure coverage (per-name research 2026-05-18)</t>
        </is>
      </c>
      <c r="G1087" s="33" t="inlineStr">
        <is>
          <t>High</t>
        </is>
      </c>
      <c r="H1087" s="33" t="inlineStr">
        <is>
          <t>Initial</t>
        </is>
      </c>
    </row>
    <row r="1088">
      <c r="A1088" s="33" t="inlineStr">
        <is>
          <t>2026-05-18</t>
        </is>
      </c>
      <c r="B1088" s="33" t="inlineStr">
        <is>
          <t>CDNS</t>
        </is>
      </c>
      <c r="C1088" s="33" t="inlineStr">
        <is>
          <t>D1</t>
        </is>
      </c>
      <c r="D1088" s="33" t="n">
        <v>4</v>
      </c>
      <c r="E1088" s="68" t="inlineStr">
        <is>
          <t>AI chip design + EDA + IP; broad AI exposure across customer base.</t>
        </is>
      </c>
      <c r="F1088" s="68" t="inlineStr">
        <is>
          <t>CDNS Q1/Q4 2026 + AI infrastructure coverage (per-name research 2026-05-18)</t>
        </is>
      </c>
      <c r="G1088" s="33" t="inlineStr">
        <is>
          <t>High</t>
        </is>
      </c>
      <c r="H1088" s="33" t="inlineStr">
        <is>
          <t>Initial</t>
        </is>
      </c>
    </row>
    <row r="1089">
      <c r="A1089" s="33" t="inlineStr">
        <is>
          <t>2026-05-18</t>
        </is>
      </c>
      <c r="B1089" s="33" t="inlineStr">
        <is>
          <t>CDNS</t>
        </is>
      </c>
      <c r="C1089" s="33" t="inlineStr">
        <is>
          <t>D2</t>
        </is>
      </c>
      <c r="D1089" s="33" t="n">
        <v>4</v>
      </c>
      <c r="E1089" s="68" t="inlineStr">
        <is>
          <t>Duopoly with SNPS in EDA.</t>
        </is>
      </c>
      <c r="F1089" s="68" t="inlineStr">
        <is>
          <t>CDNS Q1/Q4 2026 + AI infrastructure coverage (per-name research 2026-05-18)</t>
        </is>
      </c>
      <c r="G1089" s="33" t="inlineStr">
        <is>
          <t>High</t>
        </is>
      </c>
      <c r="H1089" s="33" t="inlineStr">
        <is>
          <t>Initial</t>
        </is>
      </c>
    </row>
    <row r="1090">
      <c r="A1090" s="33" t="inlineStr">
        <is>
          <t>2026-05-18</t>
        </is>
      </c>
      <c r="B1090" s="33" t="inlineStr">
        <is>
          <t>CDNS</t>
        </is>
      </c>
      <c r="C1090" s="33" t="inlineStr">
        <is>
          <t>D3</t>
        </is>
      </c>
      <c r="D1090" s="33" t="n">
        <v>5</v>
      </c>
      <c r="E1090" s="68" t="inlineStr">
        <is>
          <t>EDA software moat + high switching costs — rubric-level 5.</t>
        </is>
      </c>
      <c r="F1090" s="68" t="inlineStr">
        <is>
          <t>CDNS Q1/Q4 2026 + AI infrastructure coverage (per-name research 2026-05-18)</t>
        </is>
      </c>
      <c r="G1090" s="33" t="inlineStr">
        <is>
          <t>High</t>
        </is>
      </c>
      <c r="H1090" s="33" t="inlineStr">
        <is>
          <t>Initial</t>
        </is>
      </c>
    </row>
    <row r="1091">
      <c r="A1091" s="33" t="inlineStr">
        <is>
          <t>2026-05-18</t>
        </is>
      </c>
      <c r="B1091" s="33" t="inlineStr">
        <is>
          <t>CDNS</t>
        </is>
      </c>
      <c r="C1091" s="33" t="inlineStr">
        <is>
          <t>D4</t>
        </is>
      </c>
      <c r="D1091" s="33" t="n">
        <v>4</v>
      </c>
      <c r="E1091" s="68" t="inlineStr">
        <is>
          <t>$8B record backlog; AI Super Agents.</t>
        </is>
      </c>
      <c r="F1091" s="68" t="inlineStr">
        <is>
          <t>CDNS Q1/Q4 2026 + AI infrastructure coverage (per-name research 2026-05-18)</t>
        </is>
      </c>
      <c r="G1091" s="33" t="inlineStr">
        <is>
          <t>High</t>
        </is>
      </c>
      <c r="H1091" s="33" t="inlineStr">
        <is>
          <t>Initial</t>
        </is>
      </c>
    </row>
    <row r="1092">
      <c r="A1092" s="33" t="inlineStr">
        <is>
          <t>2026-05-18</t>
        </is>
      </c>
      <c r="B1092" s="33" t="inlineStr">
        <is>
          <t>CDNS</t>
        </is>
      </c>
      <c r="C1092" s="33" t="inlineStr">
        <is>
          <t>D5</t>
        </is>
      </c>
      <c r="D1092" s="33" t="n">
        <v>4</v>
      </c>
      <c r="E1092" s="68" t="inlineStr">
        <is>
          <t>Every chip designer customer (including all AI players).</t>
        </is>
      </c>
      <c r="F1092" s="68" t="inlineStr">
        <is>
          <t>CDNS Q1/Q4 2026 + AI infrastructure coverage (per-name research 2026-05-18)</t>
        </is>
      </c>
      <c r="G1092" s="33" t="inlineStr">
        <is>
          <t>High</t>
        </is>
      </c>
      <c r="H1092" s="33" t="inlineStr">
        <is>
          <t>Initial</t>
        </is>
      </c>
    </row>
    <row r="1093">
      <c r="A1093" s="33" t="inlineStr">
        <is>
          <t>2026-05-18</t>
        </is>
      </c>
      <c r="B1093" s="33" t="inlineStr">
        <is>
          <t>CDNS</t>
        </is>
      </c>
      <c r="C1093" s="33" t="inlineStr">
        <is>
          <t>M1</t>
        </is>
      </c>
      <c r="D1093" s="33" t="n">
        <v>3</v>
      </c>
      <c r="E1093" s="68" t="inlineStr">
        <is>
          <t>6 up / 2 down — mixed.</t>
        </is>
      </c>
      <c r="F1093" s="68" t="inlineStr">
        <is>
          <t>CDNS Q1/Q4 2026 + AI infrastructure coverage (per-name research 2026-05-18)</t>
        </is>
      </c>
      <c r="G1093" s="33" t="inlineStr">
        <is>
          <t>High</t>
        </is>
      </c>
      <c r="H1093" s="33" t="inlineStr">
        <is>
          <t>Initial</t>
        </is>
      </c>
    </row>
    <row r="1094">
      <c r="A1094" s="33" t="inlineStr">
        <is>
          <t>2026-05-18</t>
        </is>
      </c>
      <c r="B1094" s="33" t="inlineStr">
        <is>
          <t>CDNS</t>
        </is>
      </c>
      <c r="C1094" s="33" t="inlineStr">
        <is>
          <t>M2</t>
        </is>
      </c>
      <c r="D1094" s="33" t="n">
        <v>1</v>
      </c>
      <c r="E1094" s="68" t="inlineStr">
        <is>
          <t>-64pp vs SOXX 180d — extreme lag; rubric strict band 1.</t>
        </is>
      </c>
      <c r="F1094" s="68" t="inlineStr">
        <is>
          <t>CDNS Q1/Q4 2026 + AI infrastructure coverage (per-name research 2026-05-18)</t>
        </is>
      </c>
      <c r="G1094" s="33" t="inlineStr">
        <is>
          <t>High</t>
        </is>
      </c>
      <c r="H1094" s="33" t="inlineStr">
        <is>
          <t>Initial</t>
        </is>
      </c>
    </row>
    <row r="1095">
      <c r="A1095" s="33" t="inlineStr">
        <is>
          <t>2026-05-18</t>
        </is>
      </c>
      <c r="B1095" s="33" t="inlineStr">
        <is>
          <t>CDNS</t>
        </is>
      </c>
      <c r="C1095" s="33" t="inlineStr">
        <is>
          <t>M3</t>
        </is>
      </c>
      <c r="D1095" s="33" t="n">
        <v>3</v>
      </c>
      <c r="E1095" s="68" t="inlineStr">
        <is>
          <t>Routine.</t>
        </is>
      </c>
      <c r="F1095" s="68" t="inlineStr">
        <is>
          <t>CDNS Q1/Q4 2026 + AI infrastructure coverage (per-name research 2026-05-18)</t>
        </is>
      </c>
      <c r="G1095" s="33" t="inlineStr">
        <is>
          <t>High</t>
        </is>
      </c>
      <c r="H1095" s="33" t="inlineStr">
        <is>
          <t>Initial</t>
        </is>
      </c>
    </row>
    <row r="1096">
      <c r="A1096" s="33" t="inlineStr">
        <is>
          <t>2026-05-18</t>
        </is>
      </c>
      <c r="B1096" s="33" t="inlineStr">
        <is>
          <t>CDNS</t>
        </is>
      </c>
      <c r="C1096" s="33" t="inlineStr">
        <is>
          <t>R1</t>
        </is>
      </c>
      <c r="D1096" s="33" t="n">
        <v>5</v>
      </c>
      <c r="E1096" s="68" t="inlineStr">
        <is>
          <t>Diversified.</t>
        </is>
      </c>
      <c r="F1096" s="68" t="inlineStr">
        <is>
          <t>CDNS Q1/Q4 2026 + AI infrastructure coverage (per-name research 2026-05-18)</t>
        </is>
      </c>
      <c r="G1096" s="33" t="inlineStr">
        <is>
          <t>High</t>
        </is>
      </c>
      <c r="H1096" s="33" t="inlineStr">
        <is>
          <t>Initial</t>
        </is>
      </c>
    </row>
    <row r="1097">
      <c r="A1097" s="33" t="inlineStr">
        <is>
          <t>2026-05-18</t>
        </is>
      </c>
      <c r="B1097" s="33" t="inlineStr">
        <is>
          <t>CDNS</t>
        </is>
      </c>
      <c r="C1097" s="33" t="inlineStr">
        <is>
          <t>R2</t>
        </is>
      </c>
      <c r="D1097" s="33" t="n">
        <v>4</v>
      </c>
      <c r="E1097" s="68" t="inlineStr">
        <is>
          <t>Global.</t>
        </is>
      </c>
      <c r="F1097" s="68" t="inlineStr">
        <is>
          <t>CDNS Q1/Q4 2026 + AI infrastructure coverage (per-name research 2026-05-18)</t>
        </is>
      </c>
      <c r="G1097" s="33" t="inlineStr">
        <is>
          <t>High</t>
        </is>
      </c>
      <c r="H1097" s="33" t="inlineStr">
        <is>
          <t>Initial</t>
        </is>
      </c>
    </row>
    <row r="1098">
      <c r="A1098" s="33" t="inlineStr">
        <is>
          <t>2026-05-18</t>
        </is>
      </c>
      <c r="B1098" s="33" t="inlineStr">
        <is>
          <t>CDNS</t>
        </is>
      </c>
      <c r="C1098" s="33" t="inlineStr">
        <is>
          <t>R3</t>
        </is>
      </c>
      <c r="D1098" s="33" t="n">
        <v>4</v>
      </c>
      <c r="E1098" s="68" t="inlineStr">
        <is>
          <t>Strong.</t>
        </is>
      </c>
      <c r="F1098" s="68" t="inlineStr">
        <is>
          <t>CDNS Q1/Q4 2026 + AI infrastructure coverage (per-name research 2026-05-18)</t>
        </is>
      </c>
      <c r="G1098" s="33" t="inlineStr">
        <is>
          <t>High</t>
        </is>
      </c>
      <c r="H1098" s="33" t="inlineStr">
        <is>
          <t>Initial</t>
        </is>
      </c>
    </row>
    <row r="1099">
      <c r="A1099" s="33" t="inlineStr">
        <is>
          <t>2026-05-18</t>
        </is>
      </c>
      <c r="B1099" s="33" t="inlineStr">
        <is>
          <t>CDNS</t>
        </is>
      </c>
      <c r="C1099" s="33" t="inlineStr">
        <is>
          <t>R4</t>
        </is>
      </c>
      <c r="D1099" s="33" t="n">
        <v>4</v>
      </c>
      <c r="E1099" s="68" t="inlineStr">
        <is>
          <t>Routine.</t>
        </is>
      </c>
      <c r="F1099" s="68" t="inlineStr">
        <is>
          <t>CDNS Q1/Q4 2026 + AI infrastructure coverage (per-name research 2026-05-18)</t>
        </is>
      </c>
      <c r="G1099" s="33" t="inlineStr">
        <is>
          <t>High</t>
        </is>
      </c>
      <c r="H1099" s="33" t="inlineStr">
        <is>
          <t>Initial</t>
        </is>
      </c>
    </row>
    <row r="1100">
      <c r="A1100" s="33" t="inlineStr">
        <is>
          <t>2026-05-18</t>
        </is>
      </c>
      <c r="B1100" s="33" t="inlineStr">
        <is>
          <t>SNPS</t>
        </is>
      </c>
      <c r="C1100" s="33" t="inlineStr">
        <is>
          <t>D1</t>
        </is>
      </c>
      <c r="D1100" s="33" t="n">
        <v>4</v>
      </c>
      <c r="E1100" s="68" t="inlineStr">
        <is>
          <t>AI chip design + Ansys multiphysics; broad customer base.</t>
        </is>
      </c>
      <c r="F1100" s="68" t="inlineStr">
        <is>
          <t>SNPS Q1/Q4 2026 + AI infrastructure coverage (per-name research 2026-05-18)</t>
        </is>
      </c>
      <c r="G1100" s="33" t="inlineStr">
        <is>
          <t>High</t>
        </is>
      </c>
      <c r="H1100" s="33" t="inlineStr">
        <is>
          <t>Initial</t>
        </is>
      </c>
    </row>
    <row r="1101">
      <c r="A1101" s="33" t="inlineStr">
        <is>
          <t>2026-05-18</t>
        </is>
      </c>
      <c r="B1101" s="33" t="inlineStr">
        <is>
          <t>SNPS</t>
        </is>
      </c>
      <c r="C1101" s="33" t="inlineStr">
        <is>
          <t>D2</t>
        </is>
      </c>
      <c r="D1101" s="33" t="n">
        <v>4</v>
      </c>
      <c r="E1101" s="68" t="inlineStr">
        <is>
          <t>Duopoly with CDNS in EDA.</t>
        </is>
      </c>
      <c r="F1101" s="68" t="inlineStr">
        <is>
          <t>SNPS Q1/Q4 2026 + AI infrastructure coverage (per-name research 2026-05-18)</t>
        </is>
      </c>
      <c r="G1101" s="33" t="inlineStr">
        <is>
          <t>High</t>
        </is>
      </c>
      <c r="H1101" s="33" t="inlineStr">
        <is>
          <t>Initial</t>
        </is>
      </c>
    </row>
    <row r="1102">
      <c r="A1102" s="33" t="inlineStr">
        <is>
          <t>2026-05-18</t>
        </is>
      </c>
      <c r="B1102" s="33" t="inlineStr">
        <is>
          <t>SNPS</t>
        </is>
      </c>
      <c r="C1102" s="33" t="inlineStr">
        <is>
          <t>D3</t>
        </is>
      </c>
      <c r="D1102" s="33" t="n">
        <v>5</v>
      </c>
      <c r="E1102" s="68" t="inlineStr">
        <is>
          <t>EDA software moat + Ansys integration.</t>
        </is>
      </c>
      <c r="F1102" s="68" t="inlineStr">
        <is>
          <t>SNPS Q1/Q4 2026 + AI infrastructure coverage (per-name research 2026-05-18)</t>
        </is>
      </c>
      <c r="G1102" s="33" t="inlineStr">
        <is>
          <t>High</t>
        </is>
      </c>
      <c r="H1102" s="33" t="inlineStr">
        <is>
          <t>Initial</t>
        </is>
      </c>
    </row>
    <row r="1103">
      <c r="A1103" s="33" t="inlineStr">
        <is>
          <t>2026-05-18</t>
        </is>
      </c>
      <c r="B1103" s="33" t="inlineStr">
        <is>
          <t>SNPS</t>
        </is>
      </c>
      <c r="C1103" s="33" t="inlineStr">
        <is>
          <t>D4</t>
        </is>
      </c>
      <c r="D1103" s="33" t="n">
        <v>5</v>
      </c>
      <c r="E1103" s="68" t="inlineStr">
        <is>
          <t>Synopsys.ai + AgentEngineer + Ansys merger; aggressive AI capex.</t>
        </is>
      </c>
      <c r="F1103" s="68" t="inlineStr">
        <is>
          <t>SNPS Q1/Q4 2026 + AI infrastructure coverage (per-name research 2026-05-18)</t>
        </is>
      </c>
      <c r="G1103" s="33" t="inlineStr">
        <is>
          <t>High</t>
        </is>
      </c>
      <c r="H1103" s="33" t="inlineStr">
        <is>
          <t>Initial</t>
        </is>
      </c>
    </row>
    <row r="1104">
      <c r="A1104" s="33" t="inlineStr">
        <is>
          <t>2026-05-18</t>
        </is>
      </c>
      <c r="B1104" s="33" t="inlineStr">
        <is>
          <t>SNPS</t>
        </is>
      </c>
      <c r="C1104" s="33" t="inlineStr">
        <is>
          <t>D5</t>
        </is>
      </c>
      <c r="D1104" s="33" t="n">
        <v>4</v>
      </c>
      <c r="E1104" s="68" t="inlineStr">
        <is>
          <t>Every chip designer.</t>
        </is>
      </c>
      <c r="F1104" s="68" t="inlineStr">
        <is>
          <t>SNPS Q1/Q4 2026 + AI infrastructure coverage (per-name research 2026-05-18)</t>
        </is>
      </c>
      <c r="G1104" s="33" t="inlineStr">
        <is>
          <t>High</t>
        </is>
      </c>
      <c r="H1104" s="33" t="inlineStr">
        <is>
          <t>Initial</t>
        </is>
      </c>
    </row>
    <row r="1105">
      <c r="A1105" s="33" t="inlineStr">
        <is>
          <t>2026-05-18</t>
        </is>
      </c>
      <c r="B1105" s="33" t="inlineStr">
        <is>
          <t>SNPS</t>
        </is>
      </c>
      <c r="C1105" s="33" t="inlineStr">
        <is>
          <t>M1</t>
        </is>
      </c>
      <c r="D1105" s="33" t="n">
        <v>4</v>
      </c>
      <c r="E1105" s="68" t="inlineStr">
        <is>
          <t>16 up / 4 down.</t>
        </is>
      </c>
      <c r="F1105" s="68" t="inlineStr">
        <is>
          <t>SNPS Q1/Q4 2026 + AI infrastructure coverage (per-name research 2026-05-18)</t>
        </is>
      </c>
      <c r="G1105" s="33" t="inlineStr">
        <is>
          <t>High</t>
        </is>
      </c>
      <c r="H1105" s="33" t="inlineStr">
        <is>
          <t>Initial</t>
        </is>
      </c>
    </row>
    <row r="1106">
      <c r="A1106" s="33" t="inlineStr">
        <is>
          <t>2026-05-18</t>
        </is>
      </c>
      <c r="B1106" s="33" t="inlineStr">
        <is>
          <t>SNPS</t>
        </is>
      </c>
      <c r="C1106" s="33" t="inlineStr">
        <is>
          <t>M2</t>
        </is>
      </c>
      <c r="D1106" s="33" t="n">
        <v>2</v>
      </c>
      <c r="E1106" s="68" t="inlineStr">
        <is>
          <t>-47pp vs SOXX — sector rotation.</t>
        </is>
      </c>
      <c r="F1106" s="68" t="inlineStr">
        <is>
          <t>SNPS Q1/Q4 2026 + AI infrastructure coverage (per-name research 2026-05-18)</t>
        </is>
      </c>
      <c r="G1106" s="33" t="inlineStr">
        <is>
          <t>High</t>
        </is>
      </c>
      <c r="H1106" s="33" t="inlineStr">
        <is>
          <t>Initial</t>
        </is>
      </c>
    </row>
    <row r="1107">
      <c r="A1107" s="33" t="inlineStr">
        <is>
          <t>2026-05-18</t>
        </is>
      </c>
      <c r="B1107" s="33" t="inlineStr">
        <is>
          <t>SNPS</t>
        </is>
      </c>
      <c r="C1107" s="33" t="inlineStr">
        <is>
          <t>M3</t>
        </is>
      </c>
      <c r="D1107" s="33" t="n">
        <v>3</v>
      </c>
      <c r="E1107" s="68" t="inlineStr">
        <is>
          <t>Routine.</t>
        </is>
      </c>
      <c r="F1107" s="68" t="inlineStr">
        <is>
          <t>SNPS Q1/Q4 2026 + AI infrastructure coverage (per-name research 2026-05-18)</t>
        </is>
      </c>
      <c r="G1107" s="33" t="inlineStr">
        <is>
          <t>High</t>
        </is>
      </c>
      <c r="H1107" s="33" t="inlineStr">
        <is>
          <t>Initial</t>
        </is>
      </c>
    </row>
    <row r="1108">
      <c r="A1108" s="33" t="inlineStr">
        <is>
          <t>2026-05-18</t>
        </is>
      </c>
      <c r="B1108" s="33" t="inlineStr">
        <is>
          <t>SNPS</t>
        </is>
      </c>
      <c r="C1108" s="33" t="inlineStr">
        <is>
          <t>R1</t>
        </is>
      </c>
      <c r="D1108" s="33" t="n">
        <v>5</v>
      </c>
      <c r="E1108" s="68" t="inlineStr">
        <is>
          <t>Diversified.</t>
        </is>
      </c>
      <c r="F1108" s="68" t="inlineStr">
        <is>
          <t>SNPS Q1/Q4 2026 + AI infrastructure coverage (per-name research 2026-05-18)</t>
        </is>
      </c>
      <c r="G1108" s="33" t="inlineStr">
        <is>
          <t>High</t>
        </is>
      </c>
      <c r="H1108" s="33" t="inlineStr">
        <is>
          <t>Initial</t>
        </is>
      </c>
    </row>
    <row r="1109">
      <c r="A1109" s="33" t="inlineStr">
        <is>
          <t>2026-05-18</t>
        </is>
      </c>
      <c r="B1109" s="33" t="inlineStr">
        <is>
          <t>SNPS</t>
        </is>
      </c>
      <c r="C1109" s="33" t="inlineStr">
        <is>
          <t>R2</t>
        </is>
      </c>
      <c r="D1109" s="33" t="n">
        <v>4</v>
      </c>
      <c r="E1109" s="68" t="inlineStr">
        <is>
          <t>Global.</t>
        </is>
      </c>
      <c r="F1109" s="68" t="inlineStr">
        <is>
          <t>SNPS Q1/Q4 2026 + AI infrastructure coverage (per-name research 2026-05-18)</t>
        </is>
      </c>
      <c r="G1109" s="33" t="inlineStr">
        <is>
          <t>High</t>
        </is>
      </c>
      <c r="H1109" s="33" t="inlineStr">
        <is>
          <t>Initial</t>
        </is>
      </c>
    </row>
    <row r="1110">
      <c r="A1110" s="33" t="inlineStr">
        <is>
          <t>2026-05-18</t>
        </is>
      </c>
      <c r="B1110" s="33" t="inlineStr">
        <is>
          <t>SNPS</t>
        </is>
      </c>
      <c r="C1110" s="33" t="inlineStr">
        <is>
          <t>R3</t>
        </is>
      </c>
      <c r="D1110" s="33" t="n">
        <v>4</v>
      </c>
      <c r="E1110" s="68" t="inlineStr">
        <is>
          <t>Moderate (Ansys debt).</t>
        </is>
      </c>
      <c r="F1110" s="68" t="inlineStr">
        <is>
          <t>SNPS Q1/Q4 2026 + AI infrastructure coverage (per-name research 2026-05-18)</t>
        </is>
      </c>
      <c r="G1110" s="33" t="inlineStr">
        <is>
          <t>High</t>
        </is>
      </c>
      <c r="H1110" s="33" t="inlineStr">
        <is>
          <t>Initial</t>
        </is>
      </c>
    </row>
    <row r="1111">
      <c r="A1111" s="33" t="inlineStr">
        <is>
          <t>2026-05-18</t>
        </is>
      </c>
      <c r="B1111" s="33" t="inlineStr">
        <is>
          <t>SNPS</t>
        </is>
      </c>
      <c r="C1111" s="33" t="inlineStr">
        <is>
          <t>R4</t>
        </is>
      </c>
      <c r="D1111" s="33" t="n">
        <v>4</v>
      </c>
      <c r="E1111" s="68" t="inlineStr">
        <is>
          <t>Routine.</t>
        </is>
      </c>
      <c r="F1111" s="68" t="inlineStr">
        <is>
          <t>SNPS Q1/Q4 2026 + AI infrastructure coverage (per-name research 2026-05-18)</t>
        </is>
      </c>
      <c r="G1111" s="33" t="inlineStr">
        <is>
          <t>High</t>
        </is>
      </c>
      <c r="H1111" s="33" t="inlineStr">
        <is>
          <t>Initial</t>
        </is>
      </c>
    </row>
    <row r="1112">
      <c r="A1112" s="33" t="inlineStr">
        <is>
          <t>2026-05-18</t>
        </is>
      </c>
      <c r="B1112" s="33" t="inlineStr">
        <is>
          <t>ARM</t>
        </is>
      </c>
      <c r="C1112" s="33" t="inlineStr">
        <is>
          <t>D1</t>
        </is>
      </c>
      <c r="D1112" s="33" t="n">
        <v>5</v>
      </c>
      <c r="E1112" s="68" t="inlineStr">
        <is>
          <t>Data center royalties doubled YoY (expected to double again); AGI CPU; AWS/GCP/Azure all on Arm. Core AI infrastructure.</t>
        </is>
      </c>
      <c r="F1112" s="68" t="inlineStr">
        <is>
          <t>ARM Q1/Q4 2026 + AI infrastructure coverage (per-name research 2026-05-18)</t>
        </is>
      </c>
      <c r="G1112" s="33" t="inlineStr">
        <is>
          <t>High</t>
        </is>
      </c>
      <c r="H1112" s="33" t="inlineStr">
        <is>
          <t>Initial</t>
        </is>
      </c>
    </row>
    <row r="1113">
      <c r="A1113" s="33" t="inlineStr">
        <is>
          <t>2026-05-18</t>
        </is>
      </c>
      <c r="B1113" s="33" t="inlineStr">
        <is>
          <t>ARM</t>
        </is>
      </c>
      <c r="C1113" s="33" t="inlineStr">
        <is>
          <t>D2</t>
        </is>
      </c>
      <c r="D1113" s="33" t="n">
        <v>5</v>
      </c>
      <c r="E1113" s="68" t="inlineStr">
        <is>
          <t>CPU IP licensing — essentially universal in mobile + growing in DC.</t>
        </is>
      </c>
      <c r="F1113" s="68" t="inlineStr">
        <is>
          <t>ARM Q1/Q4 2026 + AI infrastructure coverage (per-name research 2026-05-18)</t>
        </is>
      </c>
      <c r="G1113" s="33" t="inlineStr">
        <is>
          <t>High</t>
        </is>
      </c>
      <c r="H1113" s="33" t="inlineStr">
        <is>
          <t>Initial</t>
        </is>
      </c>
    </row>
    <row r="1114">
      <c r="A1114" s="33" t="inlineStr">
        <is>
          <t>2026-05-18</t>
        </is>
      </c>
      <c r="B1114" s="33" t="inlineStr">
        <is>
          <t>ARM</t>
        </is>
      </c>
      <c r="C1114" s="33" t="inlineStr">
        <is>
          <t>D3</t>
        </is>
      </c>
      <c r="D1114" s="33" t="n">
        <v>5</v>
      </c>
      <c r="E1114" s="68" t="inlineStr">
        <is>
          <t>Rubric anchor (line 96); CUDA-like ecosystem in mobile + emerging in cloud.</t>
        </is>
      </c>
      <c r="F1114" s="68" t="inlineStr">
        <is>
          <t>ARM Q1/Q4 2026 + AI infrastructure coverage (per-name research 2026-05-18)</t>
        </is>
      </c>
      <c r="G1114" s="33" t="inlineStr">
        <is>
          <t>High</t>
        </is>
      </c>
      <c r="H1114" s="33" t="inlineStr">
        <is>
          <t>Initial</t>
        </is>
      </c>
    </row>
    <row r="1115">
      <c r="A1115" s="33" t="inlineStr">
        <is>
          <t>2026-05-18</t>
        </is>
      </c>
      <c r="B1115" s="33" t="inlineStr">
        <is>
          <t>ARM</t>
        </is>
      </c>
      <c r="C1115" s="33" t="inlineStr">
        <is>
          <t>D4</t>
        </is>
      </c>
      <c r="D1115" s="33" t="n">
        <v>4</v>
      </c>
      <c r="E1115" s="68" t="inlineStr">
        <is>
          <t>AGI CPU launch; ongoing royalty + licensing growth.</t>
        </is>
      </c>
      <c r="F1115" s="68" t="inlineStr">
        <is>
          <t>ARM Q1/Q4 2026 + AI infrastructure coverage (per-name research 2026-05-18)</t>
        </is>
      </c>
      <c r="G1115" s="33" t="inlineStr">
        <is>
          <t>High</t>
        </is>
      </c>
      <c r="H1115" s="33" t="inlineStr">
        <is>
          <t>Initial</t>
        </is>
      </c>
    </row>
    <row r="1116">
      <c r="A1116" s="33" t="inlineStr">
        <is>
          <t>2026-05-18</t>
        </is>
      </c>
      <c r="B1116" s="33" t="inlineStr">
        <is>
          <t>ARM</t>
        </is>
      </c>
      <c r="C1116" s="33" t="inlineStr">
        <is>
          <t>D5</t>
        </is>
      </c>
      <c r="D1116" s="33" t="n">
        <v>5</v>
      </c>
      <c r="E1116" s="68" t="inlineStr">
        <is>
          <t>All hyperscalers (AWS, Google, Microsoft) building DC chips on Arm.</t>
        </is>
      </c>
      <c r="F1116" s="68" t="inlineStr">
        <is>
          <t>ARM Q1/Q4 2026 + AI infrastructure coverage (per-name research 2026-05-18)</t>
        </is>
      </c>
      <c r="G1116" s="33" t="inlineStr">
        <is>
          <t>High</t>
        </is>
      </c>
      <c r="H1116" s="33" t="inlineStr">
        <is>
          <t>Initial</t>
        </is>
      </c>
    </row>
    <row r="1117">
      <c r="A1117" s="33" t="inlineStr">
        <is>
          <t>2026-05-18</t>
        </is>
      </c>
      <c r="B1117" s="33" t="inlineStr">
        <is>
          <t>ARM</t>
        </is>
      </c>
      <c r="C1117" s="33" t="inlineStr">
        <is>
          <t>M1</t>
        </is>
      </c>
      <c r="D1117" s="33" t="n">
        <v>4</v>
      </c>
      <c r="E1117" s="68" t="inlineStr">
        <is>
          <t>14 up / 5 down.</t>
        </is>
      </c>
      <c r="F1117" s="68" t="inlineStr">
        <is>
          <t>ARM Q1/Q4 2026 + AI infrastructure coverage (per-name research 2026-05-18)</t>
        </is>
      </c>
      <c r="G1117" s="33" t="inlineStr">
        <is>
          <t>High</t>
        </is>
      </c>
      <c r="H1117" s="33" t="inlineStr">
        <is>
          <t>Initial</t>
        </is>
      </c>
    </row>
    <row r="1118">
      <c r="A1118" s="33" t="inlineStr">
        <is>
          <t>2026-05-18</t>
        </is>
      </c>
      <c r="B1118" s="33" t="inlineStr">
        <is>
          <t>ARM</t>
        </is>
      </c>
      <c r="C1118" s="33" t="inlineStr">
        <is>
          <t>M2</t>
        </is>
      </c>
      <c r="D1118" s="33" t="n">
        <v>2</v>
      </c>
      <c r="E1118" s="68" t="inlineStr">
        <is>
          <t>-19pp vs SOXX — sector rotation.</t>
        </is>
      </c>
      <c r="F1118" s="68" t="inlineStr">
        <is>
          <t>ARM Q1/Q4 2026 + AI infrastructure coverage (per-name research 2026-05-18)</t>
        </is>
      </c>
      <c r="G1118" s="33" t="inlineStr">
        <is>
          <t>High</t>
        </is>
      </c>
      <c r="H1118" s="33" t="inlineStr">
        <is>
          <t>Initial</t>
        </is>
      </c>
    </row>
    <row r="1119">
      <c r="A1119" s="33" t="inlineStr">
        <is>
          <t>2026-05-18</t>
        </is>
      </c>
      <c r="B1119" s="33" t="inlineStr">
        <is>
          <t>ARM</t>
        </is>
      </c>
      <c r="C1119" s="33" t="inlineStr">
        <is>
          <t>M3</t>
        </is>
      </c>
      <c r="D1119" s="33" t="n">
        <v>3</v>
      </c>
      <c r="E1119" s="68" t="inlineStr">
        <is>
          <t>Routine.</t>
        </is>
      </c>
      <c r="F1119" s="68" t="inlineStr">
        <is>
          <t>ARM Q1/Q4 2026 + AI infrastructure coverage (per-name research 2026-05-18)</t>
        </is>
      </c>
      <c r="G1119" s="33" t="inlineStr">
        <is>
          <t>High</t>
        </is>
      </c>
      <c r="H1119" s="33" t="inlineStr">
        <is>
          <t>Initial</t>
        </is>
      </c>
    </row>
    <row r="1120">
      <c r="A1120" s="33" t="inlineStr">
        <is>
          <t>2026-05-18</t>
        </is>
      </c>
      <c r="B1120" s="33" t="inlineStr">
        <is>
          <t>ARM</t>
        </is>
      </c>
      <c r="C1120" s="33" t="inlineStr">
        <is>
          <t>R1</t>
        </is>
      </c>
      <c r="D1120" s="33" t="n">
        <v>5</v>
      </c>
      <c r="E1120" s="68" t="inlineStr">
        <is>
          <t>Diversified across all chip designers.</t>
        </is>
      </c>
      <c r="F1120" s="68" t="inlineStr">
        <is>
          <t>ARM Q1/Q4 2026 + AI infrastructure coverage (per-name research 2026-05-18)</t>
        </is>
      </c>
      <c r="G1120" s="33" t="inlineStr">
        <is>
          <t>High</t>
        </is>
      </c>
      <c r="H1120" s="33" t="inlineStr">
        <is>
          <t>Initial</t>
        </is>
      </c>
    </row>
    <row r="1121">
      <c r="A1121" s="33" t="inlineStr">
        <is>
          <t>2026-05-18</t>
        </is>
      </c>
      <c r="B1121" s="33" t="inlineStr">
        <is>
          <t>ARM</t>
        </is>
      </c>
      <c r="C1121" s="33" t="inlineStr">
        <is>
          <t>R2</t>
        </is>
      </c>
      <c r="D1121" s="33" t="n">
        <v>4</v>
      </c>
      <c r="E1121" s="68" t="inlineStr">
        <is>
          <t>Global; ARM China ongoing complication.</t>
        </is>
      </c>
      <c r="F1121" s="68" t="inlineStr">
        <is>
          <t>ARM Q1/Q4 2026 + AI infrastructure coverage (per-name research 2026-05-18)</t>
        </is>
      </c>
      <c r="G1121" s="33" t="inlineStr">
        <is>
          <t>High</t>
        </is>
      </c>
      <c r="H1121" s="33" t="inlineStr">
        <is>
          <t>Initial</t>
        </is>
      </c>
    </row>
    <row r="1122">
      <c r="A1122" s="33" t="inlineStr">
        <is>
          <t>2026-05-18</t>
        </is>
      </c>
      <c r="B1122" s="33" t="inlineStr">
        <is>
          <t>ARM</t>
        </is>
      </c>
      <c r="C1122" s="33" t="inlineStr">
        <is>
          <t>R3</t>
        </is>
      </c>
      <c r="D1122" s="33" t="n">
        <v>5</v>
      </c>
      <c r="E1122" s="68" t="inlineStr">
        <is>
          <t>Net cash, fortress.</t>
        </is>
      </c>
      <c r="F1122" s="68" t="inlineStr">
        <is>
          <t>ARM Q1/Q4 2026 + AI infrastructure coverage (per-name research 2026-05-18)</t>
        </is>
      </c>
      <c r="G1122" s="33" t="inlineStr">
        <is>
          <t>High</t>
        </is>
      </c>
      <c r="H1122" s="33" t="inlineStr">
        <is>
          <t>Initial</t>
        </is>
      </c>
    </row>
    <row r="1123">
      <c r="A1123" s="33" t="inlineStr">
        <is>
          <t>2026-05-18</t>
        </is>
      </c>
      <c r="B1123" s="33" t="inlineStr">
        <is>
          <t>ARM</t>
        </is>
      </c>
      <c r="C1123" s="33" t="inlineStr">
        <is>
          <t>R4</t>
        </is>
      </c>
      <c r="D1123" s="33" t="n">
        <v>3</v>
      </c>
      <c r="E1123" s="68" t="inlineStr">
        <is>
          <t>ARM China dispute + China export-control overhang. Band 3.</t>
        </is>
      </c>
      <c r="F1123" s="68" t="inlineStr">
        <is>
          <t>ARM Q1/Q4 2026 + AI infrastructure coverage (per-name research 2026-05-18)</t>
        </is>
      </c>
      <c r="G1123" s="33" t="inlineStr">
        <is>
          <t>High</t>
        </is>
      </c>
      <c r="H1123" s="33" t="inlineStr">
        <is>
          <t>Initial</t>
        </is>
      </c>
    </row>
    <row r="1124">
      <c r="A1124" s="33" t="inlineStr">
        <is>
          <t>2026-05-18</t>
        </is>
      </c>
      <c r="B1124" s="33" t="inlineStr">
        <is>
          <t>TSM</t>
        </is>
      </c>
      <c r="C1124" s="33" t="inlineStr">
        <is>
          <t>D1</t>
        </is>
      </c>
      <c r="D1124" s="33" t="n">
        <v>4</v>
      </c>
      <c r="E1124" s="68" t="inlineStr">
        <is>
          <t>AI/HPC + smartphone Apple mix; ~30-50% AI-tied revenue and rising.</t>
        </is>
      </c>
      <c r="F1124" s="68" t="inlineStr">
        <is>
          <t>TSM Q1 2026 + AI infrastructure deep research (2026-05-18)</t>
        </is>
      </c>
      <c r="G1124" s="33" t="inlineStr">
        <is>
          <t>High</t>
        </is>
      </c>
      <c r="H1124" s="33" t="inlineStr">
        <is>
          <t>Initial</t>
        </is>
      </c>
    </row>
    <row r="1125">
      <c r="A1125" s="33" t="inlineStr">
        <is>
          <t>2026-05-18</t>
        </is>
      </c>
      <c r="B1125" s="33" t="inlineStr">
        <is>
          <t>TSM</t>
        </is>
      </c>
      <c r="C1125" s="33" t="inlineStr">
        <is>
          <t>D2</t>
        </is>
      </c>
      <c r="D1125" s="33" t="n">
        <v>5</v>
      </c>
      <c r="E1125" s="68" t="inlineStr">
        <is>
          <t>Leading-edge foundry monopoly (~92% share leading-edge wafers). 2nm/CoWoS/HBM sold out 78-104 wk lead times. Rubric anchor.</t>
        </is>
      </c>
      <c r="F1125" s="68" t="inlineStr">
        <is>
          <t>TSM Q1 2026 + AI infrastructure deep research (2026-05-18)</t>
        </is>
      </c>
      <c r="G1125" s="33" t="inlineStr">
        <is>
          <t>High</t>
        </is>
      </c>
      <c r="H1125" s="33" t="inlineStr">
        <is>
          <t>Initial</t>
        </is>
      </c>
    </row>
    <row r="1126">
      <c r="A1126" s="33" t="inlineStr">
        <is>
          <t>2026-05-18</t>
        </is>
      </c>
      <c r="B1126" s="33" t="inlineStr">
        <is>
          <t>TSM</t>
        </is>
      </c>
      <c r="C1126" s="33" t="inlineStr">
        <is>
          <t>D3</t>
        </is>
      </c>
      <c r="D1126" s="33" t="n">
        <v>5</v>
      </c>
      <c r="E1126" s="68" t="inlineStr">
        <is>
          <t>Process IP + customer integration + scale + EUV/High-NA mastery. Rubric-level moat.</t>
        </is>
      </c>
      <c r="F1126" s="68" t="inlineStr">
        <is>
          <t>TSM Q1 2026 + AI infrastructure deep research (2026-05-18)</t>
        </is>
      </c>
      <c r="G1126" s="33" t="inlineStr">
        <is>
          <t>High</t>
        </is>
      </c>
      <c r="H1126" s="33" t="inlineStr">
        <is>
          <t>Initial</t>
        </is>
      </c>
    </row>
    <row r="1127">
      <c r="A1127" s="33" t="inlineStr">
        <is>
          <t>2026-05-18</t>
        </is>
      </c>
      <c r="B1127" s="33" t="inlineStr">
        <is>
          <t>TSM</t>
        </is>
      </c>
      <c r="C1127" s="33" t="inlineStr">
        <is>
          <t>D4</t>
        </is>
      </c>
      <c r="D1127" s="33" t="n">
        <v>5</v>
      </c>
      <c r="E1127" s="68" t="inlineStr">
        <is>
          <t>N2/N3/N5 booked through 2027; 2nm 90K→140K WPM 2025-2026; multi-fab Arizona/Japan/Germany expansion.</t>
        </is>
      </c>
      <c r="F1127" s="68" t="inlineStr">
        <is>
          <t>TSM Q1 2026 + AI infrastructure deep research (2026-05-18)</t>
        </is>
      </c>
      <c r="G1127" s="33" t="inlineStr">
        <is>
          <t>High</t>
        </is>
      </c>
      <c r="H1127" s="33" t="inlineStr">
        <is>
          <t>Initial</t>
        </is>
      </c>
    </row>
    <row r="1128">
      <c r="A1128" s="33" t="inlineStr">
        <is>
          <t>2026-05-18</t>
        </is>
      </c>
      <c r="B1128" s="33" t="inlineStr">
        <is>
          <t>TSM</t>
        </is>
      </c>
      <c r="C1128" s="33" t="inlineStr">
        <is>
          <t>D5</t>
        </is>
      </c>
      <c r="D1128" s="33" t="n">
        <v>5</v>
      </c>
      <c r="E1128" s="68" t="inlineStr">
        <is>
          <t>NVDA/AAPL/AMD + all hyperscaler ASIC partners directly. Anchor.</t>
        </is>
      </c>
      <c r="F1128" s="68" t="inlineStr">
        <is>
          <t>TSM Q1 2026 + AI infrastructure deep research (2026-05-18)</t>
        </is>
      </c>
      <c r="G1128" s="33" t="inlineStr">
        <is>
          <t>High</t>
        </is>
      </c>
      <c r="H1128" s="33" t="inlineStr">
        <is>
          <t>Initial</t>
        </is>
      </c>
    </row>
    <row r="1129">
      <c r="A1129" s="33" t="inlineStr">
        <is>
          <t>2026-05-18</t>
        </is>
      </c>
      <c r="B1129" s="33" t="inlineStr">
        <is>
          <t>TSM</t>
        </is>
      </c>
      <c r="C1129" s="33" t="inlineStr">
        <is>
          <t>M1</t>
        </is>
      </c>
      <c r="D1129" s="33" t="n">
        <v>4</v>
      </c>
      <c r="E1129" s="68" t="inlineStr">
        <is>
          <t>8 up / 0 down on +1Y; FY +8.5%.</t>
        </is>
      </c>
      <c r="F1129" s="68" t="inlineStr">
        <is>
          <t>TSM Q1 2026 + AI infrastructure deep research (2026-05-18)</t>
        </is>
      </c>
      <c r="G1129" s="33" t="inlineStr">
        <is>
          <t>High</t>
        </is>
      </c>
      <c r="H1129" s="33" t="inlineStr">
        <is>
          <t>Initial</t>
        </is>
      </c>
    </row>
    <row r="1130">
      <c r="A1130" s="33" t="inlineStr">
        <is>
          <t>2026-05-18</t>
        </is>
      </c>
      <c r="B1130" s="33" t="inlineStr">
        <is>
          <t>TSM</t>
        </is>
      </c>
      <c r="C1130" s="33" t="inlineStr">
        <is>
          <t>M2</t>
        </is>
      </c>
      <c r="D1130" s="33" t="n">
        <v>1</v>
      </c>
      <c r="E1130" s="68" t="inlineStr">
        <is>
          <t>-36pp vs SOXX 180d — lagging the cohort despite fundamentals. Calibration question (same as NVDA/AVGO).</t>
        </is>
      </c>
      <c r="F1130" s="68" t="inlineStr">
        <is>
          <t>TSM Q1 2026 + AI infrastructure deep research (2026-05-18)</t>
        </is>
      </c>
      <c r="G1130" s="33" t="inlineStr">
        <is>
          <t>High</t>
        </is>
      </c>
      <c r="H1130" s="33" t="inlineStr">
        <is>
          <t>Initial</t>
        </is>
      </c>
    </row>
    <row r="1131">
      <c r="A1131" s="33" t="inlineStr">
        <is>
          <t>2026-05-18</t>
        </is>
      </c>
      <c r="B1131" s="33" t="inlineStr">
        <is>
          <t>TSM</t>
        </is>
      </c>
      <c r="C1131" s="33" t="inlineStr">
        <is>
          <t>M3</t>
        </is>
      </c>
      <c r="D1131" s="33" t="n">
        <v>3</v>
      </c>
      <c r="E1131" s="68" t="inlineStr">
        <is>
          <t>Routine; default 3.</t>
        </is>
      </c>
      <c r="F1131" s="68" t="inlineStr">
        <is>
          <t>TSM Q1 2026 + AI infrastructure deep research (2026-05-18)</t>
        </is>
      </c>
      <c r="G1131" s="33" t="inlineStr">
        <is>
          <t>High</t>
        </is>
      </c>
      <c r="H1131" s="33" t="inlineStr">
        <is>
          <t>Initial</t>
        </is>
      </c>
    </row>
    <row r="1132">
      <c r="A1132" s="33" t="inlineStr">
        <is>
          <t>2026-05-18</t>
        </is>
      </c>
      <c r="B1132" s="33" t="inlineStr">
        <is>
          <t>TSM</t>
        </is>
      </c>
      <c r="C1132" s="33" t="inlineStr">
        <is>
          <t>R1</t>
        </is>
      </c>
      <c r="D1132" s="33" t="n">
        <v>3</v>
      </c>
      <c r="E1132" s="68" t="inlineStr">
        <is>
          <t>AAPL ~50% wafer allocation = real concentration. Band 3.</t>
        </is>
      </c>
      <c r="F1132" s="68" t="inlineStr">
        <is>
          <t>TSM Q1 2026 + AI infrastructure deep research (2026-05-18)</t>
        </is>
      </c>
      <c r="G1132" s="33" t="inlineStr">
        <is>
          <t>High</t>
        </is>
      </c>
      <c r="H1132" s="33" t="inlineStr">
        <is>
          <t>Initial</t>
        </is>
      </c>
    </row>
    <row r="1133">
      <c r="A1133" s="33" t="inlineStr">
        <is>
          <t>2026-05-18</t>
        </is>
      </c>
      <c r="B1133" s="33" t="inlineStr">
        <is>
          <t>TSM</t>
        </is>
      </c>
      <c r="C1133" s="33" t="inlineStr">
        <is>
          <t>R2</t>
        </is>
      </c>
      <c r="D1133" s="33" t="n">
        <v>2</v>
      </c>
      <c r="E1133" s="68" t="inlineStr">
        <is>
          <t>Taiwan geopolitical risk — invasion/blockade analog to export-control. Band 2.</t>
        </is>
      </c>
      <c r="F1133" s="68" t="inlineStr">
        <is>
          <t>TSM Q1 2026 + AI infrastructure deep research (2026-05-18)</t>
        </is>
      </c>
      <c r="G1133" s="33" t="inlineStr">
        <is>
          <t>High</t>
        </is>
      </c>
      <c r="H1133" s="33" t="inlineStr">
        <is>
          <t>Initial</t>
        </is>
      </c>
    </row>
    <row r="1134">
      <c r="A1134" s="33" t="inlineStr">
        <is>
          <t>2026-05-18</t>
        </is>
      </c>
      <c r="B1134" s="33" t="inlineStr">
        <is>
          <t>TSM</t>
        </is>
      </c>
      <c r="C1134" s="33" t="inlineStr">
        <is>
          <t>R3</t>
        </is>
      </c>
      <c r="D1134" s="33" t="n">
        <v>5</v>
      </c>
      <c r="E1134" s="68" t="inlineStr">
        <is>
          <t>Net cash, fortress balance sheet.</t>
        </is>
      </c>
      <c r="F1134" s="68" t="inlineStr">
        <is>
          <t>TSM Q1 2026 + AI infrastructure deep research (2026-05-18)</t>
        </is>
      </c>
      <c r="G1134" s="33" t="inlineStr">
        <is>
          <t>High</t>
        </is>
      </c>
      <c r="H1134" s="33" t="inlineStr">
        <is>
          <t>Initial</t>
        </is>
      </c>
    </row>
    <row r="1135">
      <c r="A1135" s="33" t="inlineStr">
        <is>
          <t>2026-05-18</t>
        </is>
      </c>
      <c r="B1135" s="33" t="inlineStr">
        <is>
          <t>TSM</t>
        </is>
      </c>
      <c r="C1135" s="33" t="inlineStr">
        <is>
          <t>R4</t>
        </is>
      </c>
      <c r="D1135" s="33" t="n">
        <v>4</v>
      </c>
      <c r="E1135" s="68" t="inlineStr">
        <is>
          <t>Routine; some CHIPS Act US-related scrutiny.</t>
        </is>
      </c>
      <c r="F1135" s="68" t="inlineStr">
        <is>
          <t>TSM Q1 2026 + AI infrastructure deep research (2026-05-18)</t>
        </is>
      </c>
      <c r="G1135" s="33" t="inlineStr">
        <is>
          <t>High</t>
        </is>
      </c>
      <c r="H1135" s="33" t="inlineStr">
        <is>
          <t>Initial</t>
        </is>
      </c>
    </row>
    <row r="1136">
      <c r="A1136" s="33" t="inlineStr">
        <is>
          <t>2026-05-18</t>
        </is>
      </c>
      <c r="B1136" s="33" t="inlineStr">
        <is>
          <t>INTC</t>
        </is>
      </c>
      <c r="C1136" s="33" t="inlineStr">
        <is>
          <t>D1</t>
        </is>
      </c>
      <c r="D1136" s="33" t="n">
        <v>3</v>
      </c>
      <c r="E1136" s="68" t="inlineStr">
        <is>
          <t>DCAI +22% YoY; Gaudi 3 hyperscaler deployments; AI mix ~15-25% rising. Band 3.</t>
        </is>
      </c>
      <c r="F1136" s="68" t="inlineStr">
        <is>
          <t>INTC Q1 2026 + AI infrastructure deep research (2026-05-18)</t>
        </is>
      </c>
      <c r="G1136" s="33" t="inlineStr">
        <is>
          <t>High</t>
        </is>
      </c>
      <c r="H1136" s="33" t="inlineStr">
        <is>
          <t>Initial</t>
        </is>
      </c>
    </row>
    <row r="1137">
      <c r="A1137" s="33" t="inlineStr">
        <is>
          <t>2026-05-18</t>
        </is>
      </c>
      <c r="B1137" s="33" t="inlineStr">
        <is>
          <t>INTC</t>
        </is>
      </c>
      <c r="C1137" s="33" t="inlineStr">
        <is>
          <t>D2</t>
        </is>
      </c>
      <c r="D1137" s="33" t="n">
        <v>3</v>
      </c>
      <c r="E1137" s="68" t="inlineStr">
        <is>
          <t>Trying to become leading-edge foundry; behind TSM in execution; mature foundry capabilities. Band 3.</t>
        </is>
      </c>
      <c r="F1137" s="68" t="inlineStr">
        <is>
          <t>INTC Q1 2026 + AI infrastructure deep research (2026-05-18)</t>
        </is>
      </c>
      <c r="G1137" s="33" t="inlineStr">
        <is>
          <t>High</t>
        </is>
      </c>
      <c r="H1137" s="33" t="inlineStr">
        <is>
          <t>Initial</t>
        </is>
      </c>
    </row>
    <row r="1138">
      <c r="A1138" s="33" t="inlineStr">
        <is>
          <t>2026-05-18</t>
        </is>
      </c>
      <c r="B1138" s="33" t="inlineStr">
        <is>
          <t>INTC</t>
        </is>
      </c>
      <c r="C1138" s="33" t="inlineStr">
        <is>
          <t>D3</t>
        </is>
      </c>
      <c r="D1138" s="33" t="n">
        <v>3</v>
      </c>
      <c r="E1138" s="68" t="inlineStr">
        <is>
          <t>x86 legacy moat eroding; foundry moat aspirational. Band 3.</t>
        </is>
      </c>
      <c r="F1138" s="68" t="inlineStr">
        <is>
          <t>INTC Q1 2026 + AI infrastructure deep research (2026-05-18)</t>
        </is>
      </c>
      <c r="G1138" s="33" t="inlineStr">
        <is>
          <t>High</t>
        </is>
      </c>
      <c r="H1138" s="33" t="inlineStr">
        <is>
          <t>Initial</t>
        </is>
      </c>
    </row>
    <row r="1139">
      <c r="A1139" s="33" t="inlineStr">
        <is>
          <t>2026-05-18</t>
        </is>
      </c>
      <c r="B1139" s="33" t="inlineStr">
        <is>
          <t>INTC</t>
        </is>
      </c>
      <c r="C1139" s="33" t="inlineStr">
        <is>
          <t>D4</t>
        </is>
      </c>
      <c r="D1139" s="33" t="n">
        <v>4</v>
      </c>
      <c r="E1139" s="68" t="inlineStr">
        <is>
          <t>14A Tesla foundry deal (Terafab); 18A yields ahead of plan; multi-fab expansion under CHIPS Act.</t>
        </is>
      </c>
      <c r="F1139" s="68" t="inlineStr">
        <is>
          <t>INTC Q1 2026 + AI infrastructure deep research (2026-05-18)</t>
        </is>
      </c>
      <c r="G1139" s="33" t="inlineStr">
        <is>
          <t>High</t>
        </is>
      </c>
      <c r="H1139" s="33" t="inlineStr">
        <is>
          <t>Initial</t>
        </is>
      </c>
    </row>
    <row r="1140">
      <c r="A1140" s="33" t="inlineStr">
        <is>
          <t>2026-05-18</t>
        </is>
      </c>
      <c r="B1140" s="33" t="inlineStr">
        <is>
          <t>INTC</t>
        </is>
      </c>
      <c r="C1140" s="33" t="inlineStr">
        <is>
          <t>D5</t>
        </is>
      </c>
      <c r="D1140" s="33" t="n">
        <v>4</v>
      </c>
      <c r="E1140" s="68" t="inlineStr">
        <is>
          <t>Hyperscaler customers (Gaudi 3 inference deployments) + Tesla foundry. Multiple anchor customers emerging.</t>
        </is>
      </c>
      <c r="F1140" s="68" t="inlineStr">
        <is>
          <t>INTC Q1 2026 + AI infrastructure deep research (2026-05-18)</t>
        </is>
      </c>
      <c r="G1140" s="33" t="inlineStr">
        <is>
          <t>High</t>
        </is>
      </c>
      <c r="H1140" s="33" t="inlineStr">
        <is>
          <t>Initial</t>
        </is>
      </c>
    </row>
    <row r="1141">
      <c r="A1141" s="33" t="inlineStr">
        <is>
          <t>2026-05-18</t>
        </is>
      </c>
      <c r="B1141" s="33" t="inlineStr">
        <is>
          <t>INTC</t>
        </is>
      </c>
      <c r="C1141" s="33" t="inlineStr">
        <is>
          <t>M1</t>
        </is>
      </c>
      <c r="D1141" s="33" t="n">
        <v>5</v>
      </c>
      <c r="E1141" s="68" t="inlineStr">
        <is>
          <t>35 up / 0 down on +1Y; FY revision +124.8% — extreme upward revision wave.</t>
        </is>
      </c>
      <c r="F1141" s="68" t="inlineStr">
        <is>
          <t>INTC Q1 2026 + AI infrastructure deep research (2026-05-18)</t>
        </is>
      </c>
      <c r="G1141" s="33" t="inlineStr">
        <is>
          <t>High</t>
        </is>
      </c>
      <c r="H1141" s="33" t="inlineStr">
        <is>
          <t>Initial</t>
        </is>
      </c>
    </row>
    <row r="1142">
      <c r="A1142" s="33" t="inlineStr">
        <is>
          <t>2026-05-18</t>
        </is>
      </c>
      <c r="B1142" s="33" t="inlineStr">
        <is>
          <t>INTC</t>
        </is>
      </c>
      <c r="C1142" s="33" t="inlineStr">
        <is>
          <t>M2</t>
        </is>
      </c>
      <c r="D1142" s="33" t="n">
        <v>5</v>
      </c>
      <c r="E1142" s="68" t="inlineStr">
        <is>
          <t>+132pp vs SOXX 180d — extreme outperformance from low base; turnaround pricing.</t>
        </is>
      </c>
      <c r="F1142" s="68" t="inlineStr">
        <is>
          <t>INTC Q1 2026 + AI infrastructure deep research (2026-05-18)</t>
        </is>
      </c>
      <c r="G1142" s="33" t="inlineStr">
        <is>
          <t>High</t>
        </is>
      </c>
      <c r="H1142" s="33" t="inlineStr">
        <is>
          <t>Initial</t>
        </is>
      </c>
    </row>
    <row r="1143">
      <c r="A1143" s="33" t="inlineStr">
        <is>
          <t>2026-05-18</t>
        </is>
      </c>
      <c r="B1143" s="33" t="inlineStr">
        <is>
          <t>INTC</t>
        </is>
      </c>
      <c r="C1143" s="33" t="inlineStr">
        <is>
          <t>M3</t>
        </is>
      </c>
      <c r="D1143" s="33" t="n">
        <v>3</v>
      </c>
      <c r="E1143" s="68" t="inlineStr">
        <is>
          <t>Routine; default 3.</t>
        </is>
      </c>
      <c r="F1143" s="68" t="inlineStr">
        <is>
          <t>INTC Q1 2026 + AI infrastructure deep research (2026-05-18)</t>
        </is>
      </c>
      <c r="G1143" s="33" t="inlineStr">
        <is>
          <t>High</t>
        </is>
      </c>
      <c r="H1143" s="33" t="inlineStr">
        <is>
          <t>Initial</t>
        </is>
      </c>
    </row>
    <row r="1144">
      <c r="A1144" s="33" t="inlineStr">
        <is>
          <t>2026-05-18</t>
        </is>
      </c>
      <c r="B1144" s="33" t="inlineStr">
        <is>
          <t>INTC</t>
        </is>
      </c>
      <c r="C1144" s="33" t="inlineStr">
        <is>
          <t>R1</t>
        </is>
      </c>
      <c r="D1144" s="33" t="n">
        <v>5</v>
      </c>
      <c r="E1144" s="68" t="inlineStr">
        <is>
          <t>Highly diversified.</t>
        </is>
      </c>
      <c r="F1144" s="68" t="inlineStr">
        <is>
          <t>INTC Q1 2026 + AI infrastructure deep research (2026-05-18)</t>
        </is>
      </c>
      <c r="G1144" s="33" t="inlineStr">
        <is>
          <t>High</t>
        </is>
      </c>
      <c r="H1144" s="33" t="inlineStr">
        <is>
          <t>Initial</t>
        </is>
      </c>
    </row>
    <row r="1145">
      <c r="A1145" s="33" t="inlineStr">
        <is>
          <t>2026-05-18</t>
        </is>
      </c>
      <c r="B1145" s="33" t="inlineStr">
        <is>
          <t>INTC</t>
        </is>
      </c>
      <c r="C1145" s="33" t="inlineStr">
        <is>
          <t>R2</t>
        </is>
      </c>
      <c r="D1145" s="33" t="n">
        <v>3</v>
      </c>
      <c r="E1145" s="68" t="inlineStr">
        <is>
          <t>US-focused but some China exposure.</t>
        </is>
      </c>
      <c r="F1145" s="68" t="inlineStr">
        <is>
          <t>INTC Q1 2026 + AI infrastructure deep research (2026-05-18)</t>
        </is>
      </c>
      <c r="G1145" s="33" t="inlineStr">
        <is>
          <t>High</t>
        </is>
      </c>
      <c r="H1145" s="33" t="inlineStr">
        <is>
          <t>Initial</t>
        </is>
      </c>
    </row>
    <row r="1146">
      <c r="A1146" s="33" t="inlineStr">
        <is>
          <t>2026-05-18</t>
        </is>
      </c>
      <c r="B1146" s="33" t="inlineStr">
        <is>
          <t>INTC</t>
        </is>
      </c>
      <c r="C1146" s="33" t="inlineStr">
        <is>
          <t>R3</t>
        </is>
      </c>
      <c r="D1146" s="33" t="n">
        <v>2</v>
      </c>
      <c r="E1146" s="68" t="inlineStr">
        <is>
          <t>FCFY -1.5% = burning cash; CHIPS Act funding helps but elevated leverage. Band 2.</t>
        </is>
      </c>
      <c r="F1146" s="68" t="inlineStr">
        <is>
          <t>INTC Q1 2026 + AI infrastructure deep research (2026-05-18)</t>
        </is>
      </c>
      <c r="G1146" s="33" t="inlineStr">
        <is>
          <t>High</t>
        </is>
      </c>
      <c r="H1146" s="33" t="inlineStr">
        <is>
          <t>Initial</t>
        </is>
      </c>
    </row>
    <row r="1147">
      <c r="A1147" s="33" t="inlineStr">
        <is>
          <t>2026-05-18</t>
        </is>
      </c>
      <c r="B1147" s="33" t="inlineStr">
        <is>
          <t>INTC</t>
        </is>
      </c>
      <c r="C1147" s="33" t="inlineStr">
        <is>
          <t>R4</t>
        </is>
      </c>
      <c r="D1147" s="33" t="n">
        <v>3</v>
      </c>
      <c r="E1147" s="68" t="inlineStr">
        <is>
          <t>Regulatory + competitive risks ongoing; CHIPS Act scrutiny.</t>
        </is>
      </c>
      <c r="F1147" s="68" t="inlineStr">
        <is>
          <t>INTC Q1 2026 + AI infrastructure deep research (2026-05-18)</t>
        </is>
      </c>
      <c r="G1147" s="33" t="inlineStr">
        <is>
          <t>High</t>
        </is>
      </c>
      <c r="H1147" s="33" t="inlineStr">
        <is>
          <t>Initial</t>
        </is>
      </c>
    </row>
    <row r="1148">
      <c r="A1148" s="33" t="inlineStr">
        <is>
          <t>2026-05-18</t>
        </is>
      </c>
      <c r="B1148" s="33" t="inlineStr">
        <is>
          <t>GFS</t>
        </is>
      </c>
      <c r="C1148" s="33" t="inlineStr">
        <is>
          <t>D1</t>
        </is>
      </c>
      <c r="D1148" s="33" t="n">
        <v>3</v>
      </c>
      <c r="E1148" s="68" t="inlineStr">
        <is>
          <t>Comms+DC segment ~10-15% of revenue; AI exposure growing via CPO/SCALE. Band 3.</t>
        </is>
      </c>
      <c r="F1148" s="68" t="inlineStr">
        <is>
          <t>GFS Q1 2026 + AI infrastructure deep research (2026-05-18)</t>
        </is>
      </c>
      <c r="G1148" s="33" t="inlineStr">
        <is>
          <t>High</t>
        </is>
      </c>
      <c r="H1148" s="33" t="inlineStr">
        <is>
          <t>Initial</t>
        </is>
      </c>
    </row>
    <row r="1149">
      <c r="A1149" s="33" t="inlineStr">
        <is>
          <t>2026-05-18</t>
        </is>
      </c>
      <c r="B1149" s="33" t="inlineStr">
        <is>
          <t>GFS</t>
        </is>
      </c>
      <c r="C1149" s="33" t="inlineStr">
        <is>
          <t>D2</t>
        </is>
      </c>
      <c r="D1149" s="33" t="n">
        <v>3</v>
      </c>
      <c r="E1149" s="68" t="inlineStr">
        <is>
          <t>Mature-node specialty foundry. Multiple competitors (UMC, SMIC).</t>
        </is>
      </c>
      <c r="F1149" s="68" t="inlineStr">
        <is>
          <t>GFS Q1 2026 + AI infrastructure deep research (2026-05-18)</t>
        </is>
      </c>
      <c r="G1149" s="33" t="inlineStr">
        <is>
          <t>High</t>
        </is>
      </c>
      <c r="H1149" s="33" t="inlineStr">
        <is>
          <t>Initial</t>
        </is>
      </c>
    </row>
    <row r="1150">
      <c r="A1150" s="33" t="inlineStr">
        <is>
          <t>2026-05-18</t>
        </is>
      </c>
      <c r="B1150" s="33" t="inlineStr">
        <is>
          <t>GFS</t>
        </is>
      </c>
      <c r="C1150" s="33" t="inlineStr">
        <is>
          <t>D3</t>
        </is>
      </c>
      <c r="D1150" s="33" t="n">
        <v>4</v>
      </c>
      <c r="E1150" s="68" t="inlineStr">
        <is>
          <t>Specialty process IP + customer integration + automotive certification moat.</t>
        </is>
      </c>
      <c r="F1150" s="68" t="inlineStr">
        <is>
          <t>GFS Q1 2026 + AI infrastructure deep research (2026-05-18)</t>
        </is>
      </c>
      <c r="G1150" s="33" t="inlineStr">
        <is>
          <t>High</t>
        </is>
      </c>
      <c r="H1150" s="33" t="inlineStr">
        <is>
          <t>Initial</t>
        </is>
      </c>
    </row>
    <row r="1151">
      <c r="A1151" s="33" t="inlineStr">
        <is>
          <t>2026-05-18</t>
        </is>
      </c>
      <c r="B1151" s="33" t="inlineStr">
        <is>
          <t>GFS</t>
        </is>
      </c>
      <c r="C1151" s="33" t="inlineStr">
        <is>
          <t>D4</t>
        </is>
      </c>
      <c r="D1151" s="33" t="n">
        <v>4</v>
      </c>
      <c r="E1151" s="68" t="inlineStr">
        <is>
          <t>SCALE CPO launch May 2026; Renesas multi-billion partnership; steady capex.</t>
        </is>
      </c>
      <c r="F1151" s="68" t="inlineStr">
        <is>
          <t>GFS Q1 2026 + AI infrastructure deep research (2026-05-18)</t>
        </is>
      </c>
      <c r="G1151" s="33" t="inlineStr">
        <is>
          <t>High</t>
        </is>
      </c>
      <c r="H1151" s="33" t="inlineStr">
        <is>
          <t>Initial</t>
        </is>
      </c>
    </row>
    <row r="1152">
      <c r="A1152" s="33" t="inlineStr">
        <is>
          <t>2026-05-18</t>
        </is>
      </c>
      <c r="B1152" s="33" t="inlineStr">
        <is>
          <t>GFS</t>
        </is>
      </c>
      <c r="C1152" s="33" t="inlineStr">
        <is>
          <t>D5</t>
        </is>
      </c>
      <c r="D1152" s="33" t="n">
        <v>3</v>
      </c>
      <c r="E1152" s="68" t="inlineStr">
        <is>
          <t>Indirect hyperscaler exposure via CPO/module makers. **Watch item (Dom 2026-05-18): if GFS announces direct hyperscaler SCALE customer, upgrade D5 to 4.**</t>
        </is>
      </c>
      <c r="F1152" s="68" t="inlineStr">
        <is>
          <t>GFS Q1 2026 + AI infrastructure deep research (2026-05-18)</t>
        </is>
      </c>
      <c r="G1152" s="33" t="inlineStr">
        <is>
          <t>High</t>
        </is>
      </c>
      <c r="H1152" s="33" t="inlineStr">
        <is>
          <t>Initial</t>
        </is>
      </c>
    </row>
    <row r="1153">
      <c r="A1153" s="33" t="inlineStr">
        <is>
          <t>2026-05-18</t>
        </is>
      </c>
      <c r="B1153" s="33" t="inlineStr">
        <is>
          <t>GFS</t>
        </is>
      </c>
      <c r="C1153" s="33" t="inlineStr">
        <is>
          <t>M1</t>
        </is>
      </c>
      <c r="D1153" s="33" t="n">
        <v>4</v>
      </c>
      <c r="E1153" s="68" t="inlineStr">
        <is>
          <t>14 up / 2 down on +1Y; FY +2.5%.</t>
        </is>
      </c>
      <c r="F1153" s="68" t="inlineStr">
        <is>
          <t>GFS Q1 2026 + AI infrastructure deep research (2026-05-18)</t>
        </is>
      </c>
      <c r="G1153" s="33" t="inlineStr">
        <is>
          <t>High</t>
        </is>
      </c>
      <c r="H1153" s="33" t="inlineStr">
        <is>
          <t>Initial</t>
        </is>
      </c>
    </row>
    <row r="1154">
      <c r="A1154" s="33" t="inlineStr">
        <is>
          <t>2026-05-18</t>
        </is>
      </c>
      <c r="B1154" s="33" t="inlineStr">
        <is>
          <t>GFS</t>
        </is>
      </c>
      <c r="C1154" s="33" t="inlineStr">
        <is>
          <t>M2</t>
        </is>
      </c>
      <c r="D1154" s="33" t="n">
        <v>5</v>
      </c>
      <c r="E1154" s="68" t="inlineStr">
        <is>
          <t>+30pp vs SOXX 180d.</t>
        </is>
      </c>
      <c r="F1154" s="68" t="inlineStr">
        <is>
          <t>GFS Q1 2026 + AI infrastructure deep research (2026-05-18)</t>
        </is>
      </c>
      <c r="G1154" s="33" t="inlineStr">
        <is>
          <t>High</t>
        </is>
      </c>
      <c r="H1154" s="33" t="inlineStr">
        <is>
          <t>Initial</t>
        </is>
      </c>
    </row>
    <row r="1155">
      <c r="A1155" s="33" t="inlineStr">
        <is>
          <t>2026-05-18</t>
        </is>
      </c>
      <c r="B1155" s="33" t="inlineStr">
        <is>
          <t>GFS</t>
        </is>
      </c>
      <c r="C1155" s="33" t="inlineStr">
        <is>
          <t>M3</t>
        </is>
      </c>
      <c r="D1155" s="33" t="n">
        <v>3</v>
      </c>
      <c r="E1155" s="68" t="inlineStr">
        <is>
          <t>Routine.</t>
        </is>
      </c>
      <c r="F1155" s="68" t="inlineStr">
        <is>
          <t>GFS Q1 2026 + AI infrastructure deep research (2026-05-18)</t>
        </is>
      </c>
      <c r="G1155" s="33" t="inlineStr">
        <is>
          <t>High</t>
        </is>
      </c>
      <c r="H1155" s="33" t="inlineStr">
        <is>
          <t>Initial</t>
        </is>
      </c>
    </row>
    <row r="1156">
      <c r="A1156" s="33" t="inlineStr">
        <is>
          <t>2026-05-18</t>
        </is>
      </c>
      <c r="B1156" s="33" t="inlineStr">
        <is>
          <t>GFS</t>
        </is>
      </c>
      <c r="C1156" s="33" t="inlineStr">
        <is>
          <t>R1</t>
        </is>
      </c>
      <c r="D1156" s="33" t="n">
        <v>4</v>
      </c>
      <c r="E1156" s="68" t="inlineStr">
        <is>
          <t>Top customers concentrated (Renesas, others).</t>
        </is>
      </c>
      <c r="F1156" s="68" t="inlineStr">
        <is>
          <t>GFS Q1 2026 + AI infrastructure deep research (2026-05-18)</t>
        </is>
      </c>
      <c r="G1156" s="33" t="inlineStr">
        <is>
          <t>High</t>
        </is>
      </c>
      <c r="H1156" s="33" t="inlineStr">
        <is>
          <t>Initial</t>
        </is>
      </c>
    </row>
    <row r="1157">
      <c r="A1157" s="33" t="inlineStr">
        <is>
          <t>2026-05-18</t>
        </is>
      </c>
      <c r="B1157" s="33" t="inlineStr">
        <is>
          <t>GFS</t>
        </is>
      </c>
      <c r="C1157" s="33" t="inlineStr">
        <is>
          <t>R2</t>
        </is>
      </c>
      <c r="D1157" s="33" t="n">
        <v>4</v>
      </c>
      <c r="E1157" s="68" t="inlineStr">
        <is>
          <t>Global manufacturing (US, Singapore, Germany).</t>
        </is>
      </c>
      <c r="F1157" s="68" t="inlineStr">
        <is>
          <t>GFS Q1 2026 + AI infrastructure deep research (2026-05-18)</t>
        </is>
      </c>
      <c r="G1157" s="33" t="inlineStr">
        <is>
          <t>High</t>
        </is>
      </c>
      <c r="H1157" s="33" t="inlineStr">
        <is>
          <t>Initial</t>
        </is>
      </c>
    </row>
    <row r="1158">
      <c r="A1158" s="33" t="inlineStr">
        <is>
          <t>2026-05-18</t>
        </is>
      </c>
      <c r="B1158" s="33" t="inlineStr">
        <is>
          <t>GFS</t>
        </is>
      </c>
      <c r="C1158" s="33" t="inlineStr">
        <is>
          <t>R3</t>
        </is>
      </c>
      <c r="D1158" s="33" t="n">
        <v>4</v>
      </c>
      <c r="E1158" s="68" t="inlineStr">
        <is>
          <t>Strong.</t>
        </is>
      </c>
      <c r="F1158" s="68" t="inlineStr">
        <is>
          <t>GFS Q1 2026 + AI infrastructure deep research (2026-05-18)</t>
        </is>
      </c>
      <c r="G1158" s="33" t="inlineStr">
        <is>
          <t>High</t>
        </is>
      </c>
      <c r="H1158" s="33" t="inlineStr">
        <is>
          <t>Initial</t>
        </is>
      </c>
    </row>
    <row r="1159">
      <c r="A1159" s="33" t="inlineStr">
        <is>
          <t>2026-05-18</t>
        </is>
      </c>
      <c r="B1159" s="33" t="inlineStr">
        <is>
          <t>GFS</t>
        </is>
      </c>
      <c r="C1159" s="33" t="inlineStr">
        <is>
          <t>R4</t>
        </is>
      </c>
      <c r="D1159" s="33" t="n">
        <v>4</v>
      </c>
      <c r="E1159" s="68" t="inlineStr">
        <is>
          <t>Routine.</t>
        </is>
      </c>
      <c r="F1159" s="68" t="inlineStr">
        <is>
          <t>GFS Q1 2026 + AI infrastructure deep research (2026-05-18)</t>
        </is>
      </c>
      <c r="G1159" s="33" t="inlineStr">
        <is>
          <t>High</t>
        </is>
      </c>
      <c r="H1159" s="33" t="inlineStr">
        <is>
          <t>Initial</t>
        </is>
      </c>
    </row>
    <row r="1160">
      <c r="A1160" s="33" t="inlineStr">
        <is>
          <t>2026-05-18</t>
        </is>
      </c>
      <c r="B1160" s="33" t="inlineStr">
        <is>
          <t>TSEM</t>
        </is>
      </c>
      <c r="C1160" s="33" t="inlineStr">
        <is>
          <t>D1</t>
        </is>
      </c>
      <c r="D1160" s="33" t="n">
        <v>4</v>
      </c>
      <c r="E1160" s="68" t="inlineStr">
        <is>
          <t>Silicon photonics 3x growth + $1.3B SiPho 2027 contracts = explicit AI infrastructure revenue.</t>
        </is>
      </c>
      <c r="F1160" s="68" t="inlineStr">
        <is>
          <t>TSEM Q1 2026 + AI infrastructure deep research (2026-05-18)</t>
        </is>
      </c>
      <c r="G1160" s="33" t="inlineStr">
        <is>
          <t>High</t>
        </is>
      </c>
      <c r="H1160" s="33" t="inlineStr">
        <is>
          <t>Initial</t>
        </is>
      </c>
    </row>
    <row r="1161">
      <c r="A1161" s="33" t="inlineStr">
        <is>
          <t>2026-05-18</t>
        </is>
      </c>
      <c r="B1161" s="33" t="inlineStr">
        <is>
          <t>TSEM</t>
        </is>
      </c>
      <c r="C1161" s="33" t="inlineStr">
        <is>
          <t>D2</t>
        </is>
      </c>
      <c r="D1161" s="33" t="n">
        <v>4</v>
      </c>
      <c r="E1161" s="68" t="inlineStr">
        <is>
          <t>Specialty analog/RF/SiPho foundry — niche leadership.</t>
        </is>
      </c>
      <c r="F1161" s="68" t="inlineStr">
        <is>
          <t>TSEM Q1 2026 + AI infrastructure deep research (2026-05-18)</t>
        </is>
      </c>
      <c r="G1161" s="33" t="inlineStr">
        <is>
          <t>High</t>
        </is>
      </c>
      <c r="H1161" s="33" t="inlineStr">
        <is>
          <t>Initial</t>
        </is>
      </c>
    </row>
    <row r="1162">
      <c r="A1162" s="33" t="inlineStr">
        <is>
          <t>2026-05-18</t>
        </is>
      </c>
      <c r="B1162" s="33" t="inlineStr">
        <is>
          <t>TSEM</t>
        </is>
      </c>
      <c r="C1162" s="33" t="inlineStr">
        <is>
          <t>D3</t>
        </is>
      </c>
      <c r="D1162" s="33" t="n">
        <v>4</v>
      </c>
      <c r="E1162" s="68" t="inlineStr">
        <is>
          <t>SiPho IP + integrated platform + multi-decade specialty customers.</t>
        </is>
      </c>
      <c r="F1162" s="68" t="inlineStr">
        <is>
          <t>TSEM Q1 2026 + AI infrastructure deep research (2026-05-18)</t>
        </is>
      </c>
      <c r="G1162" s="33" t="inlineStr">
        <is>
          <t>High</t>
        </is>
      </c>
      <c r="H1162" s="33" t="inlineStr">
        <is>
          <t>Initial</t>
        </is>
      </c>
    </row>
    <row r="1163">
      <c r="A1163" s="33" t="inlineStr">
        <is>
          <t>2026-05-18</t>
        </is>
      </c>
      <c r="B1163" s="33" t="inlineStr">
        <is>
          <t>TSEM</t>
        </is>
      </c>
      <c r="C1163" s="33" t="inlineStr">
        <is>
          <t>D4</t>
        </is>
      </c>
      <c r="D1163" s="33" t="n">
        <v>5</v>
      </c>
      <c r="E1163" s="68" t="inlineStr">
        <is>
          <t>$1.3B SiPho commitments + $290M prepayments + capacity expansion for 2027/2028 delivery.</t>
        </is>
      </c>
      <c r="F1163" s="68" t="inlineStr">
        <is>
          <t>TSEM Q1 2026 + AI infrastructure deep research (2026-05-18)</t>
        </is>
      </c>
      <c r="G1163" s="33" t="inlineStr">
        <is>
          <t>High</t>
        </is>
      </c>
      <c r="H1163" s="33" t="inlineStr">
        <is>
          <t>Initial</t>
        </is>
      </c>
    </row>
    <row r="1164">
      <c r="A1164" s="33" t="inlineStr">
        <is>
          <t>2026-05-18</t>
        </is>
      </c>
      <c r="B1164" s="33" t="inlineStr">
        <is>
          <t>TSEM</t>
        </is>
      </c>
      <c r="C1164" s="33" t="inlineStr">
        <is>
          <t>D5</t>
        </is>
      </c>
      <c r="D1164" s="33" t="n">
        <v>4</v>
      </c>
      <c r="E1164" s="68" t="inlineStr">
        <is>
          <t>SiPho customers include AI data center plays; multiple anchor customers.</t>
        </is>
      </c>
      <c r="F1164" s="68" t="inlineStr">
        <is>
          <t>TSEM Q1 2026 + AI infrastructure deep research (2026-05-18)</t>
        </is>
      </c>
      <c r="G1164" s="33" t="inlineStr">
        <is>
          <t>High</t>
        </is>
      </c>
      <c r="H1164" s="33" t="inlineStr">
        <is>
          <t>Initial</t>
        </is>
      </c>
    </row>
    <row r="1165">
      <c r="A1165" s="33" t="inlineStr">
        <is>
          <t>2026-05-18</t>
        </is>
      </c>
      <c r="B1165" s="33" t="inlineStr">
        <is>
          <t>TSEM</t>
        </is>
      </c>
      <c r="C1165" s="33" t="inlineStr">
        <is>
          <t>M1</t>
        </is>
      </c>
      <c r="D1165" s="33" t="n">
        <v>4</v>
      </c>
      <c r="E1165" s="68" t="inlineStr">
        <is>
          <t>2 up / 0 down on +1Y; FY +12.9%.</t>
        </is>
      </c>
      <c r="F1165" s="68" t="inlineStr">
        <is>
          <t>TSEM Q1 2026 + AI infrastructure deep research (2026-05-18)</t>
        </is>
      </c>
      <c r="G1165" s="33" t="inlineStr">
        <is>
          <t>High</t>
        </is>
      </c>
      <c r="H1165" s="33" t="inlineStr">
        <is>
          <t>Initial</t>
        </is>
      </c>
    </row>
    <row r="1166">
      <c r="A1166" s="33" t="inlineStr">
        <is>
          <t>2026-05-18</t>
        </is>
      </c>
      <c r="B1166" s="33" t="inlineStr">
        <is>
          <t>TSEM</t>
        </is>
      </c>
      <c r="C1166" s="33" t="inlineStr">
        <is>
          <t>M2</t>
        </is>
      </c>
      <c r="D1166" s="33" t="n">
        <v>5</v>
      </c>
      <c r="E1166" s="68" t="inlineStr">
        <is>
          <t>+75pp vs SOXX 180d.</t>
        </is>
      </c>
      <c r="F1166" s="68" t="inlineStr">
        <is>
          <t>TSEM Q1 2026 + AI infrastructure deep research (2026-05-18)</t>
        </is>
      </c>
      <c r="G1166" s="33" t="inlineStr">
        <is>
          <t>High</t>
        </is>
      </c>
      <c r="H1166" s="33" t="inlineStr">
        <is>
          <t>Initial</t>
        </is>
      </c>
    </row>
    <row r="1167">
      <c r="A1167" s="33" t="inlineStr">
        <is>
          <t>2026-05-18</t>
        </is>
      </c>
      <c r="B1167" s="33" t="inlineStr">
        <is>
          <t>TSEM</t>
        </is>
      </c>
      <c r="C1167" s="33" t="inlineStr">
        <is>
          <t>M3</t>
        </is>
      </c>
      <c r="D1167" s="33" t="n">
        <v>3</v>
      </c>
      <c r="E1167" s="68" t="inlineStr">
        <is>
          <t>Routine.</t>
        </is>
      </c>
      <c r="F1167" s="68" t="inlineStr">
        <is>
          <t>TSEM Q1 2026 + AI infrastructure deep research (2026-05-18)</t>
        </is>
      </c>
      <c r="G1167" s="33" t="inlineStr">
        <is>
          <t>High</t>
        </is>
      </c>
      <c r="H1167" s="33" t="inlineStr">
        <is>
          <t>Initial</t>
        </is>
      </c>
    </row>
    <row r="1168">
      <c r="A1168" s="33" t="inlineStr">
        <is>
          <t>2026-05-18</t>
        </is>
      </c>
      <c r="B1168" s="33" t="inlineStr">
        <is>
          <t>TSEM</t>
        </is>
      </c>
      <c r="C1168" s="33" t="inlineStr">
        <is>
          <t>R1</t>
        </is>
      </c>
      <c r="D1168" s="33" t="n">
        <v>4</v>
      </c>
      <c r="E1168" s="68" t="inlineStr">
        <is>
          <t>Concentrated SiPho customers (signed $1.3B with largest customers).</t>
        </is>
      </c>
      <c r="F1168" s="68" t="inlineStr">
        <is>
          <t>TSEM Q1 2026 + AI infrastructure deep research (2026-05-18)</t>
        </is>
      </c>
      <c r="G1168" s="33" t="inlineStr">
        <is>
          <t>High</t>
        </is>
      </c>
      <c r="H1168" s="33" t="inlineStr">
        <is>
          <t>Initial</t>
        </is>
      </c>
    </row>
    <row r="1169">
      <c r="A1169" s="33" t="inlineStr">
        <is>
          <t>2026-05-18</t>
        </is>
      </c>
      <c r="B1169" s="33" t="inlineStr">
        <is>
          <t>TSEM</t>
        </is>
      </c>
      <c r="C1169" s="33" t="inlineStr">
        <is>
          <t>R2</t>
        </is>
      </c>
      <c r="D1169" s="33" t="n">
        <v>4</v>
      </c>
      <c r="E1169" s="68" t="inlineStr">
        <is>
          <t>Israeli foundry; global operations.</t>
        </is>
      </c>
      <c r="F1169" s="68" t="inlineStr">
        <is>
          <t>TSEM Q1 2026 + AI infrastructure deep research (2026-05-18)</t>
        </is>
      </c>
      <c r="G1169" s="33" t="inlineStr">
        <is>
          <t>High</t>
        </is>
      </c>
      <c r="H1169" s="33" t="inlineStr">
        <is>
          <t>Initial</t>
        </is>
      </c>
    </row>
    <row r="1170">
      <c r="A1170" s="33" t="inlineStr">
        <is>
          <t>2026-05-18</t>
        </is>
      </c>
      <c r="B1170" s="33" t="inlineStr">
        <is>
          <t>TSEM</t>
        </is>
      </c>
      <c r="C1170" s="33" t="inlineStr">
        <is>
          <t>R3</t>
        </is>
      </c>
      <c r="D1170" s="33" t="n">
        <v>4</v>
      </c>
      <c r="E1170" s="68" t="inlineStr">
        <is>
          <t>Strong.</t>
        </is>
      </c>
      <c r="F1170" s="68" t="inlineStr">
        <is>
          <t>TSEM Q1 2026 + AI infrastructure deep research (2026-05-18)</t>
        </is>
      </c>
      <c r="G1170" s="33" t="inlineStr">
        <is>
          <t>High</t>
        </is>
      </c>
      <c r="H1170" s="33" t="inlineStr">
        <is>
          <t>Initial</t>
        </is>
      </c>
    </row>
    <row r="1171">
      <c r="A1171" s="33" t="inlineStr">
        <is>
          <t>2026-05-18</t>
        </is>
      </c>
      <c r="B1171" s="33" t="inlineStr">
        <is>
          <t>TSEM</t>
        </is>
      </c>
      <c r="C1171" s="33" t="inlineStr">
        <is>
          <t>R4</t>
        </is>
      </c>
      <c r="D1171" s="33" t="n">
        <v>4</v>
      </c>
      <c r="E1171" s="68" t="inlineStr">
        <is>
          <t>Routine.</t>
        </is>
      </c>
      <c r="F1171" s="68" t="inlineStr">
        <is>
          <t>TSEM Q1 2026 + AI infrastructure deep research (2026-05-18)</t>
        </is>
      </c>
      <c r="G1171" s="33" t="inlineStr">
        <is>
          <t>High</t>
        </is>
      </c>
      <c r="H1171" s="33" t="inlineStr">
        <is>
          <t>Initial</t>
        </is>
      </c>
    </row>
    <row r="1172">
      <c r="A1172" s="33" t="inlineStr">
        <is>
          <t>2026-05-18</t>
        </is>
      </c>
      <c r="B1172" s="33" t="inlineStr">
        <is>
          <t>UMC</t>
        </is>
      </c>
      <c r="C1172" s="33" t="inlineStr">
        <is>
          <t>D1</t>
        </is>
      </c>
      <c r="D1172" s="33" t="n">
        <v>3</v>
      </c>
      <c r="E1172" s="68" t="inlineStr">
        <is>
          <t>Indirect AI exposure via mature-node backfill (power, sensing, interconnect for AI systems). Band 3.</t>
        </is>
      </c>
      <c r="F1172" s="68" t="inlineStr">
        <is>
          <t>UMC Q1 2026 + AI infrastructure deep research (2026-05-18)</t>
        </is>
      </c>
      <c r="G1172" s="33" t="inlineStr">
        <is>
          <t>High</t>
        </is>
      </c>
      <c r="H1172" s="33" t="inlineStr">
        <is>
          <t>Initial</t>
        </is>
      </c>
    </row>
    <row r="1173">
      <c r="A1173" s="33" t="inlineStr">
        <is>
          <t>2026-05-18</t>
        </is>
      </c>
      <c r="B1173" s="33" t="inlineStr">
        <is>
          <t>UMC</t>
        </is>
      </c>
      <c r="C1173" s="33" t="inlineStr">
        <is>
          <t>D2</t>
        </is>
      </c>
      <c r="D1173" s="33" t="n">
        <v>3</v>
      </c>
      <c r="E1173" s="68" t="inlineStr">
        <is>
          <t>Mature-node Taiwan foundry; multiple competitors.</t>
        </is>
      </c>
      <c r="F1173" s="68" t="inlineStr">
        <is>
          <t>UMC Q1 2026 + AI infrastructure deep research (2026-05-18)</t>
        </is>
      </c>
      <c r="G1173" s="33" t="inlineStr">
        <is>
          <t>High</t>
        </is>
      </c>
      <c r="H1173" s="33" t="inlineStr">
        <is>
          <t>Initial</t>
        </is>
      </c>
    </row>
    <row r="1174">
      <c r="A1174" s="33" t="inlineStr">
        <is>
          <t>2026-05-18</t>
        </is>
      </c>
      <c r="B1174" s="33" t="inlineStr">
        <is>
          <t>UMC</t>
        </is>
      </c>
      <c r="C1174" s="33" t="inlineStr">
        <is>
          <t>D3</t>
        </is>
      </c>
      <c r="D1174" s="33" t="n">
        <v>3</v>
      </c>
      <c r="E1174" s="68" t="inlineStr">
        <is>
          <t>Scale + customer base + Taiwan specialty.</t>
        </is>
      </c>
      <c r="F1174" s="68" t="inlineStr">
        <is>
          <t>UMC Q1 2026 + AI infrastructure deep research (2026-05-18)</t>
        </is>
      </c>
      <c r="G1174" s="33" t="inlineStr">
        <is>
          <t>High</t>
        </is>
      </c>
      <c r="H1174" s="33" t="inlineStr">
        <is>
          <t>Initial</t>
        </is>
      </c>
    </row>
    <row r="1175">
      <c r="A1175" s="33" t="inlineStr">
        <is>
          <t>2026-05-18</t>
        </is>
      </c>
      <c r="B1175" s="33" t="inlineStr">
        <is>
          <t>UMC</t>
        </is>
      </c>
      <c r="C1175" s="33" t="inlineStr">
        <is>
          <t>D4</t>
        </is>
      </c>
      <c r="D1175" s="33" t="n">
        <v>3</v>
      </c>
      <c r="E1175" s="68" t="inlineStr">
        <is>
          <t>79% utilization; price hikes 2H 2026 signal demand strength; steady capex.</t>
        </is>
      </c>
      <c r="F1175" s="68" t="inlineStr">
        <is>
          <t>UMC Q1 2026 + AI infrastructure deep research (2026-05-18)</t>
        </is>
      </c>
      <c r="G1175" s="33" t="inlineStr">
        <is>
          <t>High</t>
        </is>
      </c>
      <c r="H1175" s="33" t="inlineStr">
        <is>
          <t>Initial</t>
        </is>
      </c>
    </row>
    <row r="1176">
      <c r="A1176" s="33" t="inlineStr">
        <is>
          <t>2026-05-18</t>
        </is>
      </c>
      <c r="B1176" s="33" t="inlineStr">
        <is>
          <t>UMC</t>
        </is>
      </c>
      <c r="C1176" s="33" t="inlineStr">
        <is>
          <t>D5</t>
        </is>
      </c>
      <c r="D1176" s="33" t="n">
        <v>2</v>
      </c>
      <c r="E1176" s="68" t="inlineStr">
        <is>
          <t>Indirect hyperscaler exposure via mature-node backfill. Band 2.</t>
        </is>
      </c>
      <c r="F1176" s="68" t="inlineStr">
        <is>
          <t>UMC Q1 2026 + AI infrastructure deep research (2026-05-18)</t>
        </is>
      </c>
      <c r="G1176" s="33" t="inlineStr">
        <is>
          <t>High</t>
        </is>
      </c>
      <c r="H1176" s="33" t="inlineStr">
        <is>
          <t>Initial</t>
        </is>
      </c>
    </row>
    <row r="1177">
      <c r="A1177" s="33" t="inlineStr">
        <is>
          <t>2026-05-18</t>
        </is>
      </c>
      <c r="B1177" s="33" t="inlineStr">
        <is>
          <t>UMC</t>
        </is>
      </c>
      <c r="C1177" s="33" t="inlineStr">
        <is>
          <t>M1</t>
        </is>
      </c>
      <c r="D1177" s="33" t="n">
        <v>3</v>
      </c>
      <c r="E1177" s="68" t="inlineStr">
        <is>
          <t>1 up / 1 down on +1Y; FY +21.5% — limited revision activity but positive trajectory.</t>
        </is>
      </c>
      <c r="F1177" s="68" t="inlineStr">
        <is>
          <t>UMC Q1 2026 + AI infrastructure deep research (2026-05-18)</t>
        </is>
      </c>
      <c r="G1177" s="33" t="inlineStr">
        <is>
          <t>High</t>
        </is>
      </c>
      <c r="H1177" s="33" t="inlineStr">
        <is>
          <t>Initial</t>
        </is>
      </c>
    </row>
    <row r="1178">
      <c r="A1178" s="33" t="inlineStr">
        <is>
          <t>2026-05-18</t>
        </is>
      </c>
      <c r="B1178" s="33" t="inlineStr">
        <is>
          <t>UMC</t>
        </is>
      </c>
      <c r="C1178" s="33" t="inlineStr">
        <is>
          <t>M2</t>
        </is>
      </c>
      <c r="D1178" s="33" t="n">
        <v>5</v>
      </c>
      <c r="E1178" s="68" t="inlineStr">
        <is>
          <t>+60pp vs SOXX 180d.</t>
        </is>
      </c>
      <c r="F1178" s="68" t="inlineStr">
        <is>
          <t>UMC Q1 2026 + AI infrastructure deep research (2026-05-18)</t>
        </is>
      </c>
      <c r="G1178" s="33" t="inlineStr">
        <is>
          <t>High</t>
        </is>
      </c>
      <c r="H1178" s="33" t="inlineStr">
        <is>
          <t>Initial</t>
        </is>
      </c>
    </row>
    <row r="1179">
      <c r="A1179" s="33" t="inlineStr">
        <is>
          <t>2026-05-18</t>
        </is>
      </c>
      <c r="B1179" s="33" t="inlineStr">
        <is>
          <t>UMC</t>
        </is>
      </c>
      <c r="C1179" s="33" t="inlineStr">
        <is>
          <t>M3</t>
        </is>
      </c>
      <c r="D1179" s="33" t="n">
        <v>3</v>
      </c>
      <c r="E1179" s="68" t="inlineStr">
        <is>
          <t>Routine.</t>
        </is>
      </c>
      <c r="F1179" s="68" t="inlineStr">
        <is>
          <t>UMC Q1 2026 + AI infrastructure deep research (2026-05-18)</t>
        </is>
      </c>
      <c r="G1179" s="33" t="inlineStr">
        <is>
          <t>High</t>
        </is>
      </c>
      <c r="H1179" s="33" t="inlineStr">
        <is>
          <t>Initial</t>
        </is>
      </c>
    </row>
    <row r="1180">
      <c r="A1180" s="33" t="inlineStr">
        <is>
          <t>2026-05-18</t>
        </is>
      </c>
      <c r="B1180" s="33" t="inlineStr">
        <is>
          <t>UMC</t>
        </is>
      </c>
      <c r="C1180" s="33" t="inlineStr">
        <is>
          <t>R1</t>
        </is>
      </c>
      <c r="D1180" s="33" t="n">
        <v>4</v>
      </c>
      <c r="E1180" s="68" t="inlineStr">
        <is>
          <t>Diversified customer base.</t>
        </is>
      </c>
      <c r="F1180" s="68" t="inlineStr">
        <is>
          <t>UMC Q1 2026 + AI infrastructure deep research (2026-05-18)</t>
        </is>
      </c>
      <c r="G1180" s="33" t="inlineStr">
        <is>
          <t>High</t>
        </is>
      </c>
      <c r="H1180" s="33" t="inlineStr">
        <is>
          <t>Initial</t>
        </is>
      </c>
    </row>
    <row r="1181">
      <c r="A1181" s="33" t="inlineStr">
        <is>
          <t>2026-05-18</t>
        </is>
      </c>
      <c r="B1181" s="33" t="inlineStr">
        <is>
          <t>UMC</t>
        </is>
      </c>
      <c r="C1181" s="33" t="inlineStr">
        <is>
          <t>R2</t>
        </is>
      </c>
      <c r="D1181" s="33" t="n">
        <v>2</v>
      </c>
      <c r="E1181" s="68" t="inlineStr">
        <is>
          <t>Taiwan geopolitical = band 2 (same as TSM).</t>
        </is>
      </c>
      <c r="F1181" s="68" t="inlineStr">
        <is>
          <t>UMC Q1 2026 + AI infrastructure deep research (2026-05-18)</t>
        </is>
      </c>
      <c r="G1181" s="33" t="inlineStr">
        <is>
          <t>High</t>
        </is>
      </c>
      <c r="H1181" s="33" t="inlineStr">
        <is>
          <t>Initial</t>
        </is>
      </c>
    </row>
    <row r="1182">
      <c r="A1182" s="33" t="inlineStr">
        <is>
          <t>2026-05-18</t>
        </is>
      </c>
      <c r="B1182" s="33" t="inlineStr">
        <is>
          <t>UMC</t>
        </is>
      </c>
      <c r="C1182" s="33" t="inlineStr">
        <is>
          <t>R3</t>
        </is>
      </c>
      <c r="D1182" s="33" t="n">
        <v>4</v>
      </c>
      <c r="E1182" s="68" t="inlineStr">
        <is>
          <t>Strong; FCFY 80% reflects mature node cash generation.</t>
        </is>
      </c>
      <c r="F1182" s="68" t="inlineStr">
        <is>
          <t>UMC Q1 2026 + AI infrastructure deep research (2026-05-18)</t>
        </is>
      </c>
      <c r="G1182" s="33" t="inlineStr">
        <is>
          <t>High</t>
        </is>
      </c>
      <c r="H1182" s="33" t="inlineStr">
        <is>
          <t>Initial</t>
        </is>
      </c>
    </row>
    <row r="1183">
      <c r="A1183" s="33" t="inlineStr">
        <is>
          <t>2026-05-18</t>
        </is>
      </c>
      <c r="B1183" s="33" t="inlineStr">
        <is>
          <t>UMC</t>
        </is>
      </c>
      <c r="C1183" s="33" t="inlineStr">
        <is>
          <t>R4</t>
        </is>
      </c>
      <c r="D1183" s="33" t="n">
        <v>4</v>
      </c>
      <c r="E1183" s="68" t="inlineStr">
        <is>
          <t>Routine.</t>
        </is>
      </c>
      <c r="F1183" s="68" t="inlineStr">
        <is>
          <t>UMC Q1 2026 + AI infrastructure deep research (2026-05-18)</t>
        </is>
      </c>
      <c r="G1183" s="33" t="inlineStr">
        <is>
          <t>High</t>
        </is>
      </c>
      <c r="H1183" s="33" t="inlineStr">
        <is>
          <t>Initial</t>
        </is>
      </c>
    </row>
    <row r="1184">
      <c r="A1184" s="33" t="inlineStr">
        <is>
          <t>2026-05-18</t>
        </is>
      </c>
      <c r="B1184" s="33" t="inlineStr">
        <is>
          <t>SMCI</t>
        </is>
      </c>
      <c r="C1184" s="33" t="inlineStr">
        <is>
          <t>D1</t>
        </is>
      </c>
      <c r="D1184" s="33" t="n">
        <v>5</v>
      </c>
      <c r="E1184" s="33" t="inlineStr">
        <is>
          <t>AI GPU platforms &gt;80% of revenue per Q3 FY26 disclosure; FY26 guide $38.9-40.4B driven entirely by AI servers.</t>
        </is>
      </c>
      <c r="F1184" s="33" t="inlineStr">
        <is>
          <t>Layer 8 per-name deep research (2026-05-18): WebSearch + yfinance fundamentals + analyst revisions + DOJ filing review</t>
        </is>
      </c>
      <c r="G1184" s="33" t="inlineStr">
        <is>
          <t>High</t>
        </is>
      </c>
      <c r="H1184" s="33" t="inlineStr">
        <is>
          <t>Initial</t>
        </is>
      </c>
    </row>
    <row r="1185">
      <c r="A1185" s="33" t="inlineStr">
        <is>
          <t>2026-05-18</t>
        </is>
      </c>
      <c r="B1185" s="33" t="inlineStr">
        <is>
          <t>SMCI</t>
        </is>
      </c>
      <c r="C1185" s="33" t="inlineStr">
        <is>
          <t>D2</t>
        </is>
      </c>
      <c r="D1185" s="33" t="n">
        <v>3</v>
      </c>
      <c r="E1185" s="33" t="inlineStr">
        <is>
          <t>Server OEM — downstream of NVDA silicon; competes with DELL/HPE for hyperscaler shelf space. Thermal/SI engineering offers some differentiation but not bottleneck.</t>
        </is>
      </c>
      <c r="F1185" s="33" t="inlineStr">
        <is>
          <t>Layer 8 per-name deep research (2026-05-18): WebSearch + yfinance fundamentals + analyst revisions + DOJ filing review</t>
        </is>
      </c>
      <c r="G1185" s="33" t="inlineStr">
        <is>
          <t>High</t>
        </is>
      </c>
      <c r="H1185" s="33" t="inlineStr">
        <is>
          <t>Initial</t>
        </is>
      </c>
    </row>
    <row r="1186">
      <c r="A1186" s="33" t="inlineStr">
        <is>
          <t>2026-05-18</t>
        </is>
      </c>
      <c r="B1186" s="33" t="inlineStr">
        <is>
          <t>SMCI</t>
        </is>
      </c>
      <c r="C1186" s="33" t="inlineStr">
        <is>
          <t>D3</t>
        </is>
      </c>
      <c r="D1186" s="33" t="n">
        <v>3</v>
      </c>
      <c r="E1186" s="33" t="inlineStr">
        <is>
          <t>Time-to-market advantage with new NVDA platforms (often first to ship Blackwell). But fundamentally an assembler with commoditizing component set; governance overhang dings the moat narrative.</t>
        </is>
      </c>
      <c r="F1186" s="33" t="inlineStr">
        <is>
          <t>Layer 8 per-name deep research (2026-05-18): WebSearch + yfinance fundamentals + analyst revisions + DOJ filing review</t>
        </is>
      </c>
      <c r="G1186" s="33" t="inlineStr">
        <is>
          <t>Medium</t>
        </is>
      </c>
      <c r="H1186" s="33" t="inlineStr">
        <is>
          <t>Initial</t>
        </is>
      </c>
    </row>
    <row r="1187">
      <c r="A1187" s="33" t="inlineStr">
        <is>
          <t>2026-05-18</t>
        </is>
      </c>
      <c r="B1187" s="33" t="inlineStr">
        <is>
          <t>SMCI</t>
        </is>
      </c>
      <c r="C1187" s="33" t="inlineStr">
        <is>
          <t>D4</t>
        </is>
      </c>
      <c r="D1187" s="33" t="n">
        <v>5</v>
      </c>
      <c r="E1187" s="33" t="inlineStr">
        <is>
          <t>Aggressive capacity expansion (Malaysia, Taiwan, San Jose, Texas). $13B Blackwell order book implies winning material allocation from NVDA.</t>
        </is>
      </c>
      <c r="F1187" s="33" t="inlineStr">
        <is>
          <t>Layer 8 per-name deep research (2026-05-18): WebSearch + yfinance fundamentals + analyst revisions + DOJ filing review</t>
        </is>
      </c>
      <c r="G1187" s="33" t="inlineStr">
        <is>
          <t>High</t>
        </is>
      </c>
      <c r="H1187" s="33" t="inlineStr">
        <is>
          <t>Initial</t>
        </is>
      </c>
    </row>
    <row r="1188">
      <c r="A1188" s="33" t="inlineStr">
        <is>
          <t>2026-05-18</t>
        </is>
      </c>
      <c r="B1188" s="33" t="inlineStr">
        <is>
          <t>SMCI</t>
        </is>
      </c>
      <c r="C1188" s="33" t="inlineStr">
        <is>
          <t>D5</t>
        </is>
      </c>
      <c r="D1188" s="33" t="n">
        <v>4</v>
      </c>
      <c r="E1188" s="33" t="inlineStr">
        <is>
          <t>Blackwell allocation requires hyperscaler buyers at scale; CoreWeave-tier customers documented. CALIBRATION FLAG: arguably 3 vs DELL/HPE if applying strict "direct customer chain" rule (heavy channel-partner exposure). Logged for quarterly review.</t>
        </is>
      </c>
      <c r="F1188" s="33" t="inlineStr">
        <is>
          <t>Layer 8 per-name deep research (2026-05-18): WebSearch + yfinance fundamentals + analyst revisions + DOJ filing review</t>
        </is>
      </c>
      <c r="G1188" s="33" t="inlineStr">
        <is>
          <t>Medium</t>
        </is>
      </c>
      <c r="H1188" s="33" t="inlineStr">
        <is>
          <t>Initial</t>
        </is>
      </c>
    </row>
    <row r="1189">
      <c r="A1189" s="33" t="inlineStr">
        <is>
          <t>2026-05-18</t>
        </is>
      </c>
      <c r="B1189" s="33" t="inlineStr">
        <is>
          <t>SMCI</t>
        </is>
      </c>
      <c r="C1189" s="33" t="inlineStr">
        <is>
          <t>M1</t>
        </is>
      </c>
      <c r="D1189" s="33" t="n">
        <v>5</v>
      </c>
      <c r="E1189" s="33" t="inlineStr">
        <is>
          <t>13 up / 0 down (last 30d on 0q); 11 up / 2 down (+1q). Strongly positive after Q3 FY26 beat.</t>
        </is>
      </c>
      <c r="F1189" s="33" t="inlineStr">
        <is>
          <t>Layer 8 per-name deep research (2026-05-18): WebSearch + yfinance fundamentals + analyst revisions + DOJ filing review</t>
        </is>
      </c>
      <c r="G1189" s="33" t="inlineStr">
        <is>
          <t>High</t>
        </is>
      </c>
      <c r="H1189" s="33" t="inlineStr">
        <is>
          <t>Initial</t>
        </is>
      </c>
    </row>
    <row r="1190">
      <c r="A1190" s="33" t="inlineStr">
        <is>
          <t>2026-05-18</t>
        </is>
      </c>
      <c r="B1190" s="33" t="inlineStr">
        <is>
          <t>SMCI</t>
        </is>
      </c>
      <c r="C1190" s="33" t="inlineStr">
        <is>
          <t>M2</t>
        </is>
      </c>
      <c r="D1190" s="33" t="n">
        <v>1</v>
      </c>
      <c r="E1190" s="33" t="inlineStr">
        <is>
          <t>-31% absolute 1y return; -167pp vs SOXX. Catastrophic underperformance driven by audit/DOJ overhang.</t>
        </is>
      </c>
      <c r="F1190" s="33" t="inlineStr">
        <is>
          <t>Layer 8 per-name deep research (2026-05-18): WebSearch + yfinance fundamentals + analyst revisions + DOJ filing review</t>
        </is>
      </c>
      <c r="G1190" s="33" t="inlineStr">
        <is>
          <t>High</t>
        </is>
      </c>
      <c r="H1190" s="33" t="inlineStr">
        <is>
          <t>Initial</t>
        </is>
      </c>
    </row>
    <row r="1191">
      <c r="A1191" s="33" t="inlineStr">
        <is>
          <t>2026-05-18</t>
        </is>
      </c>
      <c r="B1191" s="33" t="inlineStr">
        <is>
          <t>SMCI</t>
        </is>
      </c>
      <c r="C1191" s="33" t="inlineStr">
        <is>
          <t>M3</t>
        </is>
      </c>
      <c r="D1191" s="33" t="n">
        <v>3</v>
      </c>
      <c r="E1191" s="33" t="inlineStr">
        <is>
          <t>Default neutral; Form 4 history not pulled. Wally Liaw indictment makes per-insider analysis non-trivial — flagged for follow-up Form 4 deep-pull at next opportunity.</t>
        </is>
      </c>
      <c r="F1191" s="33" t="inlineStr">
        <is>
          <t>Layer 8 per-name deep research (2026-05-18): WebSearch + yfinance fundamentals + analyst revisions + DOJ filing review</t>
        </is>
      </c>
      <c r="G1191" s="33" t="inlineStr">
        <is>
          <t>Low</t>
        </is>
      </c>
      <c r="H1191" s="33" t="inlineStr">
        <is>
          <t>Initial</t>
        </is>
      </c>
    </row>
    <row r="1192">
      <c r="A1192" s="33" t="inlineStr">
        <is>
          <t>2026-05-18</t>
        </is>
      </c>
      <c r="B1192" s="33" t="inlineStr">
        <is>
          <t>SMCI</t>
        </is>
      </c>
      <c r="C1192" s="33" t="inlineStr">
        <is>
          <t>R1</t>
        </is>
      </c>
      <c r="D1192" s="33" t="n">
        <v>3</v>
      </c>
      <c r="E1192" s="33" t="inlineStr">
        <is>
          <t>Hyperscaler-tier customer base diversified but more concentrated in NVDA-aligned channel than DELL/HPE; not top-1 dependent.</t>
        </is>
      </c>
      <c r="F1192" s="33" t="inlineStr">
        <is>
          <t>Layer 8 per-name deep research (2026-05-18): WebSearch + yfinance fundamentals + analyst revisions + DOJ filing review</t>
        </is>
      </c>
      <c r="G1192" s="33" t="inlineStr">
        <is>
          <t>Medium</t>
        </is>
      </c>
      <c r="H1192" s="33" t="inlineStr">
        <is>
          <t>Initial</t>
        </is>
      </c>
    </row>
    <row r="1193">
      <c r="A1193" s="33" t="inlineStr">
        <is>
          <t>2026-05-18</t>
        </is>
      </c>
      <c r="B1193" s="33" t="inlineStr">
        <is>
          <t>SMCI</t>
        </is>
      </c>
      <c r="C1193" s="33" t="inlineStr">
        <is>
          <t>R2</t>
        </is>
      </c>
      <c r="D1193" s="33" t="n">
        <v>2</v>
      </c>
      <c r="E1193" s="33" t="inlineStr">
        <is>
          <t>Active DOJ indictment alleging $2.5B GPU diversion to China via SMCI personnel; historical China revenue exposure 20-30%; export-control headline risk acute.</t>
        </is>
      </c>
      <c r="F1193" s="33" t="inlineStr">
        <is>
          <t>Layer 8 per-name deep research (2026-05-18): WebSearch + yfinance fundamentals + analyst revisions + DOJ filing review</t>
        </is>
      </c>
      <c r="G1193" s="33" t="inlineStr">
        <is>
          <t>High</t>
        </is>
      </c>
      <c r="H1193" s="33" t="inlineStr">
        <is>
          <t>Initial</t>
        </is>
      </c>
    </row>
    <row r="1194">
      <c r="A1194" s="33" t="inlineStr">
        <is>
          <t>2026-05-18</t>
        </is>
      </c>
      <c r="B1194" s="33" t="inlineStr">
        <is>
          <t>SMCI</t>
        </is>
      </c>
      <c r="C1194" s="33" t="inlineStr">
        <is>
          <t>R3</t>
        </is>
      </c>
      <c r="D1194" s="33" t="n">
        <v>2</v>
      </c>
      <c r="E1194" s="33" t="inlineStr">
        <is>
          <t>ND/EBITDA 4.97 elevated; FCF margin -22% (working-capital intensive growth); gross margin only 8.4% leaves little buffer.</t>
        </is>
      </c>
      <c r="F1194" s="33" t="inlineStr">
        <is>
          <t>Layer 8 per-name deep research (2026-05-18): WebSearch + yfinance fundamentals + analyst revisions + DOJ filing review</t>
        </is>
      </c>
      <c r="G1194" s="33" t="inlineStr">
        <is>
          <t>High</t>
        </is>
      </c>
      <c r="H1194" s="33" t="inlineStr">
        <is>
          <t>Initial</t>
        </is>
      </c>
    </row>
    <row r="1195">
      <c r="A1195" s="33" t="inlineStr">
        <is>
          <t>2026-05-18</t>
        </is>
      </c>
      <c r="B1195" s="33" t="inlineStr">
        <is>
          <t>SMCI</t>
        </is>
      </c>
      <c r="C1195" s="33" t="inlineStr">
        <is>
          <t>R4</t>
        </is>
      </c>
      <c r="D1195" s="33" t="n">
        <v>1</v>
      </c>
      <c r="E1195" s="33" t="inlineStr">
        <is>
          <t>Active DOJ indictment (Mar 2026), independent board investigation by Munger Tolles + AlixPartners, securities fraud class action (Levi &amp; Korsinsky). As high regulatory/litigation risk as the rubric measures.</t>
        </is>
      </c>
      <c r="F1195" s="33" t="inlineStr">
        <is>
          <t>Layer 8 per-name deep research (2026-05-18): WebSearch + yfinance fundamentals + analyst revisions + DOJ filing review</t>
        </is>
      </c>
      <c r="G1195" s="33" t="inlineStr">
        <is>
          <t>High</t>
        </is>
      </c>
      <c r="H1195" s="33" t="inlineStr">
        <is>
          <t>Initial</t>
        </is>
      </c>
    </row>
    <row r="1196">
      <c r="A1196" s="33" t="inlineStr">
        <is>
          <t>2026-05-18</t>
        </is>
      </c>
      <c r="B1196" s="33" t="inlineStr">
        <is>
          <t>DELL</t>
        </is>
      </c>
      <c r="C1196" s="33" t="inlineStr">
        <is>
          <t>D1</t>
        </is>
      </c>
      <c r="D1196" s="33" t="n">
        <v>4</v>
      </c>
      <c r="E1196" s="33" t="inlineStr">
        <is>
          <t>$43B AI server backlog (Mar 2026); $64B+ FY26 AI orders; $25B+ shipped. ISG $14.1B Q3. AI revenue is the dominant growth narrative even if not yet majority of total.</t>
        </is>
      </c>
      <c r="F1196" s="33" t="inlineStr">
        <is>
          <t>Layer 8 per-name deep research (2026-05-18): WebSearch + yfinance fundamentals + analyst revisions + DOJ filing review</t>
        </is>
      </c>
      <c r="G1196" s="33" t="inlineStr">
        <is>
          <t>High</t>
        </is>
      </c>
      <c r="H1196" s="33" t="inlineStr">
        <is>
          <t>Initial</t>
        </is>
      </c>
    </row>
    <row r="1197">
      <c r="A1197" s="33" t="inlineStr">
        <is>
          <t>2026-05-18</t>
        </is>
      </c>
      <c r="B1197" s="33" t="inlineStr">
        <is>
          <t>DELL</t>
        </is>
      </c>
      <c r="C1197" s="33" t="inlineStr">
        <is>
          <t>D2</t>
        </is>
      </c>
      <c r="D1197" s="33" t="n">
        <v>3</v>
      </c>
      <c r="E1197" s="33" t="inlineStr">
        <is>
          <t>OEM downstream of NVDA; same tier as SMCI/HPE.</t>
        </is>
      </c>
      <c r="F1197" s="33" t="inlineStr">
        <is>
          <t>Layer 8 per-name deep research (2026-05-18): WebSearch + yfinance fundamentals + analyst revisions + DOJ filing review</t>
        </is>
      </c>
      <c r="G1197" s="33" t="inlineStr">
        <is>
          <t>High</t>
        </is>
      </c>
      <c r="H1197" s="33" t="inlineStr">
        <is>
          <t>Initial</t>
        </is>
      </c>
    </row>
    <row r="1198">
      <c r="A1198" s="33" t="inlineStr">
        <is>
          <t>2026-05-18</t>
        </is>
      </c>
      <c r="B1198" s="33" t="inlineStr">
        <is>
          <t>DELL</t>
        </is>
      </c>
      <c r="C1198" s="33" t="inlineStr">
        <is>
          <t>D3</t>
        </is>
      </c>
      <c r="D1198" s="33" t="n">
        <v>4</v>
      </c>
      <c r="E1198" s="33" t="inlineStr">
        <is>
          <t>Deep enterprise relationships (4000+ AI customers), ProDeploy/ProSupport services moat, long history. Better than SMCI assembler model; CALIBRATION FLAG: could argue 3 given commoditization pressure on hardware. Logged for quarterly review.</t>
        </is>
      </c>
      <c r="F1198" s="33" t="inlineStr">
        <is>
          <t>Layer 8 per-name deep research (2026-05-18): WebSearch + yfinance fundamentals + analyst revisions + DOJ filing review</t>
        </is>
      </c>
      <c r="G1198" s="33" t="inlineStr">
        <is>
          <t>Medium</t>
        </is>
      </c>
      <c r="H1198" s="33" t="inlineStr">
        <is>
          <t>Initial</t>
        </is>
      </c>
    </row>
    <row r="1199">
      <c r="A1199" s="33" t="inlineStr">
        <is>
          <t>2026-05-18</t>
        </is>
      </c>
      <c r="B1199" s="33" t="inlineStr">
        <is>
          <t>DELL</t>
        </is>
      </c>
      <c r="C1199" s="33" t="inlineStr">
        <is>
          <t>D4</t>
        </is>
      </c>
      <c r="D1199" s="33" t="n">
        <v>4</v>
      </c>
      <c r="E1199" s="33" t="inlineStr">
        <is>
          <t>Aggressive AI server capacity ramp; able to absorb hyperscaler-scale volume.</t>
        </is>
      </c>
      <c r="F1199" s="33" t="inlineStr">
        <is>
          <t>Layer 8 per-name deep research (2026-05-18): WebSearch + yfinance fundamentals + analyst revisions + DOJ filing review</t>
        </is>
      </c>
      <c r="G1199" s="33" t="inlineStr">
        <is>
          <t>High</t>
        </is>
      </c>
      <c r="H1199" s="33" t="inlineStr">
        <is>
          <t>Initial</t>
        </is>
      </c>
    </row>
    <row r="1200">
      <c r="A1200" s="33" t="inlineStr">
        <is>
          <t>2026-05-18</t>
        </is>
      </c>
      <c r="B1200" s="33" t="inlineStr">
        <is>
          <t>DELL</t>
        </is>
      </c>
      <c r="C1200" s="33" t="inlineStr">
        <is>
          <t>D5</t>
        </is>
      </c>
      <c r="D1200" s="33" t="n">
        <v>4</v>
      </c>
      <c r="E1200" s="33" t="inlineStr">
        <is>
          <t>xAI marquee anchor + 4000+ AI clients including hyperscaler-tier; multi-anchor exposure.</t>
        </is>
      </c>
      <c r="F1200" s="33" t="inlineStr">
        <is>
          <t>Layer 8 per-name deep research (2026-05-18): WebSearch + yfinance fundamentals + analyst revisions + DOJ filing review</t>
        </is>
      </c>
      <c r="G1200" s="33" t="inlineStr">
        <is>
          <t>High</t>
        </is>
      </c>
      <c r="H1200" s="33" t="inlineStr">
        <is>
          <t>Initial</t>
        </is>
      </c>
    </row>
    <row r="1201">
      <c r="A1201" s="33" t="inlineStr">
        <is>
          <t>2026-05-18</t>
        </is>
      </c>
      <c r="B1201" s="33" t="inlineStr">
        <is>
          <t>DELL</t>
        </is>
      </c>
      <c r="C1201" s="33" t="inlineStr">
        <is>
          <t>M1</t>
        </is>
      </c>
      <c r="D1201" s="33" t="n">
        <v>4</v>
      </c>
      <c r="E1201" s="33" t="inlineStr">
        <is>
          <t>4 up / 0 down (30d on 0q). Positive but less extreme than SMCI.</t>
        </is>
      </c>
      <c r="F1201" s="33" t="inlineStr">
        <is>
          <t>Layer 8 per-name deep research (2026-05-18): WebSearch + yfinance fundamentals + analyst revisions + DOJ filing review</t>
        </is>
      </c>
      <c r="G1201" s="33" t="inlineStr">
        <is>
          <t>High</t>
        </is>
      </c>
      <c r="H1201" s="33" t="inlineStr">
        <is>
          <t>Initial</t>
        </is>
      </c>
    </row>
    <row r="1202">
      <c r="A1202" s="33" t="inlineStr">
        <is>
          <t>2026-05-18</t>
        </is>
      </c>
      <c r="B1202" s="33" t="inlineStr">
        <is>
          <t>DELL</t>
        </is>
      </c>
      <c r="C1202" s="33" t="inlineStr">
        <is>
          <t>M2</t>
        </is>
      </c>
      <c r="D1202" s="33" t="n">
        <v>4</v>
      </c>
      <c r="E1202" s="33" t="inlineStr">
        <is>
          <t>+111% absolute 1y return; -24pp vs SOXX. Strong absolute leading, slight lag to extreme semis rally.</t>
        </is>
      </c>
      <c r="F1202" s="33" t="inlineStr">
        <is>
          <t>Layer 8 per-name deep research (2026-05-18): WebSearch + yfinance fundamentals + analyst revisions + DOJ filing review</t>
        </is>
      </c>
      <c r="G1202" s="33" t="inlineStr">
        <is>
          <t>High</t>
        </is>
      </c>
      <c r="H1202" s="33" t="inlineStr">
        <is>
          <t>Initial</t>
        </is>
      </c>
    </row>
    <row r="1203">
      <c r="A1203" s="33" t="inlineStr">
        <is>
          <t>2026-05-18</t>
        </is>
      </c>
      <c r="B1203" s="33" t="inlineStr">
        <is>
          <t>DELL</t>
        </is>
      </c>
      <c r="C1203" s="33" t="inlineStr">
        <is>
          <t>M3</t>
        </is>
      </c>
      <c r="D1203" s="33" t="n">
        <v>3</v>
      </c>
      <c r="E1203" s="33" t="inlineStr">
        <is>
          <t>Default neutral; Form 4 not pulled.</t>
        </is>
      </c>
      <c r="F1203" s="33" t="inlineStr">
        <is>
          <t>Layer 8 per-name deep research (2026-05-18): WebSearch + yfinance fundamentals + analyst revisions + DOJ filing review</t>
        </is>
      </c>
      <c r="G1203" s="33" t="inlineStr">
        <is>
          <t>Low</t>
        </is>
      </c>
      <c r="H1203" s="33" t="inlineStr">
        <is>
          <t>Initial</t>
        </is>
      </c>
    </row>
    <row r="1204">
      <c r="A1204" s="33" t="inlineStr">
        <is>
          <t>2026-05-18</t>
        </is>
      </c>
      <c r="B1204" s="33" t="inlineStr">
        <is>
          <t>DELL</t>
        </is>
      </c>
      <c r="C1204" s="33" t="inlineStr">
        <is>
          <t>R1</t>
        </is>
      </c>
      <c r="D1204" s="33" t="n">
        <v>4</v>
      </c>
      <c r="E1204" s="33" t="inlineStr">
        <is>
          <t>4000+ AI clients = highly diversified base across enterprise + hyperscaler + neocloud.</t>
        </is>
      </c>
      <c r="F1204" s="33" t="inlineStr">
        <is>
          <t>Layer 8 per-name deep research (2026-05-18): WebSearch + yfinance fundamentals + analyst revisions + DOJ filing review</t>
        </is>
      </c>
      <c r="G1204" s="33" t="inlineStr">
        <is>
          <t>High</t>
        </is>
      </c>
      <c r="H1204" s="33" t="inlineStr">
        <is>
          <t>Initial</t>
        </is>
      </c>
    </row>
    <row r="1205">
      <c r="A1205" s="33" t="inlineStr">
        <is>
          <t>2026-05-18</t>
        </is>
      </c>
      <c r="B1205" s="33" t="inlineStr">
        <is>
          <t>DELL</t>
        </is>
      </c>
      <c r="C1205" s="33" t="inlineStr">
        <is>
          <t>R2</t>
        </is>
      </c>
      <c r="D1205" s="33" t="n">
        <v>4</v>
      </c>
      <c r="E1205" s="33" t="inlineStr">
        <is>
          <t>Mostly US/Europe enterprise; less China-specific exposure than SMCI.</t>
        </is>
      </c>
      <c r="F1205" s="33" t="inlineStr">
        <is>
          <t>Layer 8 per-name deep research (2026-05-18): WebSearch + yfinance fundamentals + analyst revisions + DOJ filing review</t>
        </is>
      </c>
      <c r="G1205" s="33" t="inlineStr">
        <is>
          <t>High</t>
        </is>
      </c>
      <c r="H1205" s="33" t="inlineStr">
        <is>
          <t>Initial</t>
        </is>
      </c>
    </row>
    <row r="1206">
      <c r="A1206" s="33" t="inlineStr">
        <is>
          <t>2026-05-18</t>
        </is>
      </c>
      <c r="B1206" s="33" t="inlineStr">
        <is>
          <t>DELL</t>
        </is>
      </c>
      <c r="C1206" s="33" t="inlineStr">
        <is>
          <t>R3</t>
        </is>
      </c>
      <c r="D1206" s="33" t="n">
        <v>4</v>
      </c>
      <c r="E1206" s="33" t="inlineStr">
        <is>
          <t>ND/EBITDA 1.81 manageable; FCF positive (+5.8% margin); EPS YoY +47% reflects operating leverage.</t>
        </is>
      </c>
      <c r="F1206" s="33" t="inlineStr">
        <is>
          <t>Layer 8 per-name deep research (2026-05-18): WebSearch + yfinance fundamentals + analyst revisions + DOJ filing review</t>
        </is>
      </c>
      <c r="G1206" s="33" t="inlineStr">
        <is>
          <t>High</t>
        </is>
      </c>
      <c r="H1206" s="33" t="inlineStr">
        <is>
          <t>Initial</t>
        </is>
      </c>
    </row>
    <row r="1207">
      <c r="A1207" s="33" t="inlineStr">
        <is>
          <t>2026-05-18</t>
        </is>
      </c>
      <c r="B1207" s="33" t="inlineStr">
        <is>
          <t>DELL</t>
        </is>
      </c>
      <c r="C1207" s="33" t="inlineStr">
        <is>
          <t>R4</t>
        </is>
      </c>
      <c r="D1207" s="33" t="n">
        <v>4</v>
      </c>
      <c r="E1207" s="33" t="inlineStr">
        <is>
          <t>No active material litigation/regulatory overhang identified.</t>
        </is>
      </c>
      <c r="F1207" s="33" t="inlineStr">
        <is>
          <t>Layer 8 per-name deep research (2026-05-18): WebSearch + yfinance fundamentals + analyst revisions + DOJ filing review</t>
        </is>
      </c>
      <c r="G1207" s="33" t="inlineStr">
        <is>
          <t>High</t>
        </is>
      </c>
      <c r="H1207" s="33" t="inlineStr">
        <is>
          <t>Initial</t>
        </is>
      </c>
    </row>
    <row r="1208">
      <c r="A1208" s="33" t="inlineStr">
        <is>
          <t>2026-05-18</t>
        </is>
      </c>
      <c r="B1208" s="33" t="inlineStr">
        <is>
          <t>HPE</t>
        </is>
      </c>
      <c r="C1208" s="33" t="inlineStr">
        <is>
          <t>D1</t>
        </is>
      </c>
      <c r="D1208" s="33" t="n">
        <v>3</v>
      </c>
      <c r="E1208" s="33" t="inlineStr">
        <is>
          <t>Cray AI factories growing materially but legacy ProLiant server business carries the mix; AI revenue material but not dominant. Analyst commentary explicitly flags AI boom "bypassing" core server.</t>
        </is>
      </c>
      <c r="F1208" s="33" t="inlineStr">
        <is>
          <t>Layer 8 per-name deep research (2026-05-18): WebSearch + yfinance fundamentals + analyst revisions + DOJ filing review</t>
        </is>
      </c>
      <c r="G1208" s="33" t="inlineStr">
        <is>
          <t>Medium</t>
        </is>
      </c>
      <c r="H1208" s="33" t="inlineStr">
        <is>
          <t>Initial</t>
        </is>
      </c>
    </row>
    <row r="1209">
      <c r="A1209" s="33" t="inlineStr">
        <is>
          <t>2026-05-18</t>
        </is>
      </c>
      <c r="B1209" s="33" t="inlineStr">
        <is>
          <t>HPE</t>
        </is>
      </c>
      <c r="C1209" s="33" t="inlineStr">
        <is>
          <t>D2</t>
        </is>
      </c>
      <c r="D1209" s="33" t="n">
        <v>3</v>
      </c>
      <c r="E1209" s="33" t="inlineStr">
        <is>
          <t>OEM downstream of NVDA; same tier as DELL/SMCI.</t>
        </is>
      </c>
      <c r="F1209" s="33" t="inlineStr">
        <is>
          <t>Layer 8 per-name deep research (2026-05-18): WebSearch + yfinance fundamentals + analyst revisions + DOJ filing review</t>
        </is>
      </c>
      <c r="G1209" s="33" t="inlineStr">
        <is>
          <t>High</t>
        </is>
      </c>
      <c r="H1209" s="33" t="inlineStr">
        <is>
          <t>Initial</t>
        </is>
      </c>
    </row>
    <row r="1210">
      <c r="A1210" s="33" t="inlineStr">
        <is>
          <t>2026-05-18</t>
        </is>
      </c>
      <c r="B1210" s="33" t="inlineStr">
        <is>
          <t>HPE</t>
        </is>
      </c>
      <c r="C1210" s="33" t="inlineStr">
        <is>
          <t>D3</t>
        </is>
      </c>
      <c r="D1210" s="33" t="n">
        <v>4</v>
      </c>
      <c r="E1210" s="33" t="inlineStr">
        <is>
          <t>Cray HPC heritage + Juniper networking integration = genuinely differentiated bundle; liquid-cooled DLC is a real engineering asset. Stronger than commodity-server moat.</t>
        </is>
      </c>
      <c r="F1210" s="33" t="inlineStr">
        <is>
          <t>Layer 8 per-name deep research (2026-05-18): WebSearch + yfinance fundamentals + analyst revisions + DOJ filing review</t>
        </is>
      </c>
      <c r="G1210" s="33" t="inlineStr">
        <is>
          <t>High</t>
        </is>
      </c>
      <c r="H1210" s="33" t="inlineStr">
        <is>
          <t>Initial</t>
        </is>
      </c>
    </row>
    <row r="1211">
      <c r="A1211" s="33" t="inlineStr">
        <is>
          <t>2026-05-18</t>
        </is>
      </c>
      <c r="B1211" s="33" t="inlineStr">
        <is>
          <t>HPE</t>
        </is>
      </c>
      <c r="C1211" s="33" t="inlineStr">
        <is>
          <t>D4</t>
        </is>
      </c>
      <c r="D1211" s="33" t="n">
        <v>3</v>
      </c>
      <c r="E1211" s="33" t="inlineStr">
        <is>
          <t>Investing in liquid-cooled AI factories but more measured pace than DELL/SMCI; not yet showing capacity allocation wins at SMCI scale. CALIBRATION FLAG: arguably 4 given aggressive AI-factory buildout — logged for quarterly review.</t>
        </is>
      </c>
      <c r="F1211" s="33" t="inlineStr">
        <is>
          <t>Layer 8 per-name deep research (2026-05-18): WebSearch + yfinance fundamentals + analyst revisions + DOJ filing review</t>
        </is>
      </c>
      <c r="G1211" s="33" t="inlineStr">
        <is>
          <t>Medium</t>
        </is>
      </c>
      <c r="H1211" s="33" t="inlineStr">
        <is>
          <t>Initial</t>
        </is>
      </c>
    </row>
    <row r="1212">
      <c r="A1212" s="33" t="inlineStr">
        <is>
          <t>2026-05-18</t>
        </is>
      </c>
      <c r="B1212" s="33" t="inlineStr">
        <is>
          <t>HPE</t>
        </is>
      </c>
      <c r="C1212" s="33" t="inlineStr">
        <is>
          <t>D5</t>
        </is>
      </c>
      <c r="D1212" s="33" t="n">
        <v>4</v>
      </c>
      <c r="E1212" s="33" t="inlineStr">
        <is>
          <t>Direct customer relationships with CoreWeave, Crusoe, xAI, Tesla per MWC 2026 disclosures + national research labs. Multi-anchor neocloud + hyperscaler exposure.</t>
        </is>
      </c>
      <c r="F1212" s="33" t="inlineStr">
        <is>
          <t>Layer 8 per-name deep research (2026-05-18): WebSearch + yfinance fundamentals + analyst revisions + DOJ filing review</t>
        </is>
      </c>
      <c r="G1212" s="33" t="inlineStr">
        <is>
          <t>High</t>
        </is>
      </c>
      <c r="H1212" s="33" t="inlineStr">
        <is>
          <t>Initial</t>
        </is>
      </c>
    </row>
    <row r="1213">
      <c r="A1213" s="33" t="inlineStr">
        <is>
          <t>2026-05-18</t>
        </is>
      </c>
      <c r="B1213" s="33" t="inlineStr">
        <is>
          <t>HPE</t>
        </is>
      </c>
      <c r="C1213" s="33" t="inlineStr">
        <is>
          <t>M1</t>
        </is>
      </c>
      <c r="D1213" s="33" t="n">
        <v>2</v>
      </c>
      <c r="E1213" s="33" t="inlineStr">
        <is>
          <t>0 up / 2 down (30d on 0q). Negative revisions reflect Juniper-integration transition drag.</t>
        </is>
      </c>
      <c r="F1213" s="33" t="inlineStr">
        <is>
          <t>Layer 8 per-name deep research (2026-05-18): WebSearch + yfinance fundamentals + analyst revisions + DOJ filing review</t>
        </is>
      </c>
      <c r="G1213" s="33" t="inlineStr">
        <is>
          <t>High</t>
        </is>
      </c>
      <c r="H1213" s="33" t="inlineStr">
        <is>
          <t>Initial</t>
        </is>
      </c>
    </row>
    <row r="1214">
      <c r="A1214" s="33" t="inlineStr">
        <is>
          <t>2026-05-18</t>
        </is>
      </c>
      <c r="B1214" s="33" t="inlineStr">
        <is>
          <t>HPE</t>
        </is>
      </c>
      <c r="C1214" s="33" t="inlineStr">
        <is>
          <t>M2</t>
        </is>
      </c>
      <c r="D1214" s="33" t="n">
        <v>3</v>
      </c>
      <c r="E1214" s="33" t="inlineStr">
        <is>
          <t>+94% absolute 1y return; -42pp vs SOXX. Positive absolute but materially lagging semis.</t>
        </is>
      </c>
      <c r="F1214" s="33" t="inlineStr">
        <is>
          <t>Layer 8 per-name deep research (2026-05-18): WebSearch + yfinance fundamentals + analyst revisions + DOJ filing review</t>
        </is>
      </c>
      <c r="G1214" s="33" t="inlineStr">
        <is>
          <t>High</t>
        </is>
      </c>
      <c r="H1214" s="33" t="inlineStr">
        <is>
          <t>Initial</t>
        </is>
      </c>
    </row>
    <row r="1215">
      <c r="A1215" s="33" t="inlineStr">
        <is>
          <t>2026-05-18</t>
        </is>
      </c>
      <c r="B1215" s="33" t="inlineStr">
        <is>
          <t>HPE</t>
        </is>
      </c>
      <c r="C1215" s="33" t="inlineStr">
        <is>
          <t>M3</t>
        </is>
      </c>
      <c r="D1215" s="33" t="n">
        <v>3</v>
      </c>
      <c r="E1215" s="33" t="inlineStr">
        <is>
          <t>Default neutral; Form 4 not pulled.</t>
        </is>
      </c>
      <c r="F1215" s="33" t="inlineStr">
        <is>
          <t>Layer 8 per-name deep research (2026-05-18): WebSearch + yfinance fundamentals + analyst revisions + DOJ filing review</t>
        </is>
      </c>
      <c r="G1215" s="33" t="inlineStr">
        <is>
          <t>Low</t>
        </is>
      </c>
      <c r="H1215" s="33" t="inlineStr">
        <is>
          <t>Initial</t>
        </is>
      </c>
    </row>
    <row r="1216">
      <c r="A1216" s="33" t="inlineStr">
        <is>
          <t>2026-05-18</t>
        </is>
      </c>
      <c r="B1216" s="33" t="inlineStr">
        <is>
          <t>HPE</t>
        </is>
      </c>
      <c r="C1216" s="33" t="inlineStr">
        <is>
          <t>R1</t>
        </is>
      </c>
      <c r="D1216" s="33" t="n">
        <v>4</v>
      </c>
      <c r="E1216" s="33" t="inlineStr">
        <is>
          <t>Diversified enterprise + Juniper telco + neocloud Cray customers.</t>
        </is>
      </c>
      <c r="F1216" s="33" t="inlineStr">
        <is>
          <t>Layer 8 per-name deep research (2026-05-18): WebSearch + yfinance fundamentals + analyst revisions + DOJ filing review</t>
        </is>
      </c>
      <c r="G1216" s="33" t="inlineStr">
        <is>
          <t>High</t>
        </is>
      </c>
      <c r="H1216" s="33" t="inlineStr">
        <is>
          <t>Initial</t>
        </is>
      </c>
    </row>
    <row r="1217">
      <c r="A1217" s="33" t="inlineStr">
        <is>
          <t>2026-05-18</t>
        </is>
      </c>
      <c r="B1217" s="33" t="inlineStr">
        <is>
          <t>HPE</t>
        </is>
      </c>
      <c r="C1217" s="33" t="inlineStr">
        <is>
          <t>R2</t>
        </is>
      </c>
      <c r="D1217" s="33" t="n">
        <v>4</v>
      </c>
      <c r="E1217" s="33" t="inlineStr">
        <is>
          <t>Diversified globally; less China-specific exposure than SMCI.</t>
        </is>
      </c>
      <c r="F1217" s="33" t="inlineStr">
        <is>
          <t>Layer 8 per-name deep research (2026-05-18): WebSearch + yfinance fundamentals + analyst revisions + DOJ filing review</t>
        </is>
      </c>
      <c r="G1217" s="33" t="inlineStr">
        <is>
          <t>High</t>
        </is>
      </c>
      <c r="H1217" s="33" t="inlineStr">
        <is>
          <t>Initial</t>
        </is>
      </c>
    </row>
    <row r="1218">
      <c r="A1218" s="33" t="inlineStr">
        <is>
          <t>2026-05-18</t>
        </is>
      </c>
      <c r="B1218" s="33" t="inlineStr">
        <is>
          <t>HPE</t>
        </is>
      </c>
      <c r="C1218" s="33" t="inlineStr">
        <is>
          <t>R3</t>
        </is>
      </c>
      <c r="D1218" s="33" t="n">
        <v>3</v>
      </c>
      <c r="E1218" s="33" t="inlineStr">
        <is>
          <t>ND/EBITDA 3.44 elevated post-Juniper $14B acquisition financing. CALIBRATION FLAG: this is acquisition-driven, not operational distress — could argue 4 given strong Juniper FCF contribution; logged for quarterly review.</t>
        </is>
      </c>
      <c r="F1218" s="33" t="inlineStr">
        <is>
          <t>Layer 8 per-name deep research (2026-05-18): WebSearch + yfinance fundamentals + analyst revisions + DOJ filing review</t>
        </is>
      </c>
      <c r="G1218" s="33" t="inlineStr">
        <is>
          <t>Medium</t>
        </is>
      </c>
      <c r="H1218" s="33" t="inlineStr">
        <is>
          <t>Initial</t>
        </is>
      </c>
    </row>
    <row r="1219">
      <c r="A1219" s="33" t="inlineStr">
        <is>
          <t>2026-05-18</t>
        </is>
      </c>
      <c r="B1219" s="33" t="inlineStr">
        <is>
          <t>HPE</t>
        </is>
      </c>
      <c r="C1219" s="33" t="inlineStr">
        <is>
          <t>R4</t>
        </is>
      </c>
      <c r="D1219" s="33" t="n">
        <v>4</v>
      </c>
      <c r="E1219" s="33" t="inlineStr">
        <is>
          <t>Juniper antitrust scrutiny already resolved; no other active material overhang.</t>
        </is>
      </c>
      <c r="F1219" s="33" t="inlineStr">
        <is>
          <t>Layer 8 per-name deep research (2026-05-18): WebSearch + yfinance fundamentals + analyst revisions + DOJ filing review</t>
        </is>
      </c>
      <c r="G1219" s="33" t="inlineStr">
        <is>
          <t>High</t>
        </is>
      </c>
      <c r="H1219" s="33" t="inlineStr">
        <is>
          <t>Initial</t>
        </is>
      </c>
    </row>
    <row r="1220">
      <c r="A1220" s="33" t="inlineStr">
        <is>
          <t>2026-05-18</t>
        </is>
      </c>
      <c r="B1220" s="33" t="inlineStr">
        <is>
          <t>NBIS</t>
        </is>
      </c>
      <c r="C1220" s="33" t="inlineStr">
        <is>
          <t>D1</t>
        </is>
      </c>
      <c r="D1220" s="33" t="n">
        <v>5</v>
      </c>
      <c r="E1220" s="33" t="inlineStr">
        <is>
          <t>AI cloud revenue +841% YoY = ~$390M of $399M Q1 2026 total. Essentially the entire business.</t>
        </is>
      </c>
      <c r="F1220" s="33" t="inlineStr">
        <is>
          <t>Layer 9 per-name deep research (2026-05-18): WebSearch + yfinance fundamentals + analyst revisions + SEC 8-K/6-K filings + IR press releases</t>
        </is>
      </c>
      <c r="G1220" s="33" t="inlineStr">
        <is>
          <t>High</t>
        </is>
      </c>
      <c r="H1220" s="33" t="inlineStr">
        <is>
          <t>Initial</t>
        </is>
      </c>
    </row>
    <row r="1221">
      <c r="A1221" s="33" t="inlineStr">
        <is>
          <t>2026-05-18</t>
        </is>
      </c>
      <c r="B1221" s="33" t="inlineStr">
        <is>
          <t>NBIS</t>
        </is>
      </c>
      <c r="C1221" s="33" t="inlineStr">
        <is>
          <t>D2</t>
        </is>
      </c>
      <c r="D1221" s="33" t="n">
        <v>4</v>
      </c>
      <c r="E1221" s="33" t="inlineStr">
        <is>
          <t>AI-native cloud operator — direct GPU compute supplier; competes with hyperscalers AND supplies them. Upstream of typical enterprise AI consumption.</t>
        </is>
      </c>
      <c r="F1221" s="33" t="inlineStr">
        <is>
          <t>Layer 9 per-name deep research (2026-05-18): WebSearch + yfinance fundamentals + analyst revisions + SEC 8-K/6-K filings + IR press releases</t>
        </is>
      </c>
      <c r="G1221" s="33" t="inlineStr">
        <is>
          <t>High</t>
        </is>
      </c>
      <c r="H1221" s="33" t="inlineStr">
        <is>
          <t>Initial</t>
        </is>
      </c>
    </row>
    <row r="1222">
      <c r="A1222" s="33" t="inlineStr">
        <is>
          <t>2026-05-18</t>
        </is>
      </c>
      <c r="B1222" s="33" t="inlineStr">
        <is>
          <t>NBIS</t>
        </is>
      </c>
      <c r="C1222" s="33" t="inlineStr">
        <is>
          <t>D3</t>
        </is>
      </c>
      <c r="D1222" s="33" t="n">
        <v>3</v>
      </c>
      <c r="E1222" s="33" t="inlineStr">
        <is>
          <t>Supply-constrained pricing power ("4+ customers per GPU"), aggressive contracted-power footprint. But fundamentally compute is commoditizable; moat is execution + capacity allocation.</t>
        </is>
      </c>
      <c r="F1222" s="33" t="inlineStr">
        <is>
          <t>Layer 9 per-name deep research (2026-05-18): WebSearch + yfinance fundamentals + analyst revisions + SEC 8-K/6-K filings + IR press releases</t>
        </is>
      </c>
      <c r="G1222" s="33" t="inlineStr">
        <is>
          <t>Medium</t>
        </is>
      </c>
      <c r="H1222" s="33" t="inlineStr">
        <is>
          <t>Initial</t>
        </is>
      </c>
    </row>
    <row r="1223">
      <c r="A1223" s="33" t="inlineStr">
        <is>
          <t>2026-05-18</t>
        </is>
      </c>
      <c r="B1223" s="33" t="inlineStr">
        <is>
          <t>NBIS</t>
        </is>
      </c>
      <c r="C1223" s="33" t="inlineStr">
        <is>
          <t>D4</t>
        </is>
      </c>
      <c r="D1223" s="33" t="n">
        <v>5</v>
      </c>
      <c r="E1223" s="33" t="inlineStr">
        <is>
          <t>&gt;3GW contracted power (up from 2.5GW); 1.2GW Pennsylvania AI factory; 40% adj EBITDA target 2026.</t>
        </is>
      </c>
      <c r="F1223" s="33" t="inlineStr">
        <is>
          <t>Layer 9 per-name deep research (2026-05-18): WebSearch + yfinance fundamentals + analyst revisions + SEC 8-K/6-K filings + IR press releases</t>
        </is>
      </c>
      <c r="G1223" s="33" t="inlineStr">
        <is>
          <t>High</t>
        </is>
      </c>
      <c r="H1223" s="33" t="inlineStr">
        <is>
          <t>Initial</t>
        </is>
      </c>
    </row>
    <row r="1224">
      <c r="A1224" s="33" t="inlineStr">
        <is>
          <t>2026-05-18</t>
        </is>
      </c>
      <c r="B1224" s="33" t="inlineStr">
        <is>
          <t>NBIS</t>
        </is>
      </c>
      <c r="C1224" s="33" t="inlineStr">
        <is>
          <t>D5</t>
        </is>
      </c>
      <c r="D1224" s="33" t="n">
        <v>5</v>
      </c>
      <c r="E1224" s="33" t="inlineStr">
        <is>
          <t>Direct Microsoft + Meta infrastructure agreements — top-tier hyperscaler customer chain.</t>
        </is>
      </c>
      <c r="F1224" s="33" t="inlineStr">
        <is>
          <t>Layer 9 per-name deep research (2026-05-18): WebSearch + yfinance fundamentals + analyst revisions + SEC 8-K/6-K filings + IR press releases</t>
        </is>
      </c>
      <c r="G1224" s="33" t="inlineStr">
        <is>
          <t>High</t>
        </is>
      </c>
      <c r="H1224" s="33" t="inlineStr">
        <is>
          <t>Initial</t>
        </is>
      </c>
    </row>
    <row r="1225">
      <c r="A1225" s="33" t="inlineStr">
        <is>
          <t>2026-05-18</t>
        </is>
      </c>
      <c r="B1225" s="33" t="inlineStr">
        <is>
          <t>NBIS</t>
        </is>
      </c>
      <c r="C1225" s="33" t="inlineStr">
        <is>
          <t>M1</t>
        </is>
      </c>
      <c r="D1225" s="33" t="n">
        <v>3</v>
      </c>
      <c r="E1225" s="33" t="inlineStr">
        <is>
          <t>Mixed: 2 up / 1 down (30d) on 0q, 1 up / 1 down on +1q. Net positive but no consensus convergence.</t>
        </is>
      </c>
      <c r="F1225" s="33" t="inlineStr">
        <is>
          <t>Layer 9 per-name deep research (2026-05-18): WebSearch + yfinance fundamentals + analyst revisions + SEC 8-K/6-K filings + IR press releases</t>
        </is>
      </c>
      <c r="G1225" s="33" t="inlineStr">
        <is>
          <t>High</t>
        </is>
      </c>
      <c r="H1225" s="33" t="inlineStr">
        <is>
          <t>Initial</t>
        </is>
      </c>
    </row>
    <row r="1226">
      <c r="A1226" s="33" t="inlineStr">
        <is>
          <t>2026-05-18</t>
        </is>
      </c>
      <c r="B1226" s="33" t="inlineStr">
        <is>
          <t>NBIS</t>
        </is>
      </c>
      <c r="C1226" s="33" t="inlineStr">
        <is>
          <t>M2</t>
        </is>
      </c>
      <c r="D1226" s="33" t="n">
        <v>5</v>
      </c>
      <c r="E1226" s="33" t="inlineStr">
        <is>
          <t>+432% absolute 1y; +386pp vs BITQ crypto ETF. Extreme leader.</t>
        </is>
      </c>
      <c r="F1226" s="33" t="inlineStr">
        <is>
          <t>Layer 9 per-name deep research (2026-05-18): WebSearch + yfinance fundamentals + analyst revisions + SEC 8-K/6-K filings + IR press releases</t>
        </is>
      </c>
      <c r="G1226" s="33" t="inlineStr">
        <is>
          <t>High</t>
        </is>
      </c>
      <c r="H1226" s="33" t="inlineStr">
        <is>
          <t>Initial</t>
        </is>
      </c>
    </row>
    <row r="1227">
      <c r="A1227" s="33" t="inlineStr">
        <is>
          <t>2026-05-18</t>
        </is>
      </c>
      <c r="B1227" s="33" t="inlineStr">
        <is>
          <t>NBIS</t>
        </is>
      </c>
      <c r="C1227" s="33" t="inlineStr">
        <is>
          <t>M3</t>
        </is>
      </c>
      <c r="D1227" s="33" t="n">
        <v>3</v>
      </c>
      <c r="E1227" s="33" t="inlineStr">
        <is>
          <t>Default neutral; Form 4 not pulled.</t>
        </is>
      </c>
      <c r="F1227" s="33" t="inlineStr">
        <is>
          <t>Layer 9 per-name deep research (2026-05-18): WebSearch + yfinance fundamentals + analyst revisions + SEC 8-K/6-K filings + IR press releases</t>
        </is>
      </c>
      <c r="G1227" s="33" t="inlineStr">
        <is>
          <t>Low</t>
        </is>
      </c>
      <c r="H1227" s="33" t="inlineStr">
        <is>
          <t>Initial</t>
        </is>
      </c>
    </row>
    <row r="1228">
      <c r="A1228" s="33" t="inlineStr">
        <is>
          <t>2026-05-18</t>
        </is>
      </c>
      <c r="B1228" s="33" t="inlineStr">
        <is>
          <t>NBIS</t>
        </is>
      </c>
      <c r="C1228" s="33" t="inlineStr">
        <is>
          <t>R1</t>
        </is>
      </c>
      <c r="D1228" s="33" t="n">
        <v>3</v>
      </c>
      <c r="E1228" s="33" t="inlineStr">
        <is>
          <t>Hyperscaler-tier customer base (MSFT, META, plus AI labs) — concentrated but diversified across top-tier.</t>
        </is>
      </c>
      <c r="F1228" s="33" t="inlineStr">
        <is>
          <t>Layer 9 per-name deep research (2026-05-18): WebSearch + yfinance fundamentals + analyst revisions + SEC 8-K/6-K filings + IR press releases</t>
        </is>
      </c>
      <c r="G1228" s="33" t="inlineStr">
        <is>
          <t>Medium</t>
        </is>
      </c>
      <c r="H1228" s="33" t="inlineStr">
        <is>
          <t>Initial</t>
        </is>
      </c>
    </row>
    <row r="1229">
      <c r="A1229" s="33" t="inlineStr">
        <is>
          <t>2026-05-18</t>
        </is>
      </c>
      <c r="B1229" s="33" t="inlineStr">
        <is>
          <t>NBIS</t>
        </is>
      </c>
      <c r="C1229" s="33" t="inlineStr">
        <is>
          <t>R2</t>
        </is>
      </c>
      <c r="D1229" s="33" t="n">
        <v>4</v>
      </c>
      <c r="E1229" s="33" t="inlineStr">
        <is>
          <t>Pennsylvania US-based after Yandex spinoff completed; cleaned Russia-link governance.</t>
        </is>
      </c>
      <c r="F1229" s="33" t="inlineStr">
        <is>
          <t>Layer 9 per-name deep research (2026-05-18): WebSearch + yfinance fundamentals + analyst revisions + SEC 8-K/6-K filings + IR press releases</t>
        </is>
      </c>
      <c r="G1229" s="33" t="inlineStr">
        <is>
          <t>High</t>
        </is>
      </c>
      <c r="H1229" s="33" t="inlineStr">
        <is>
          <t>Initial</t>
        </is>
      </c>
    </row>
    <row r="1230">
      <c r="A1230" s="33" t="inlineStr">
        <is>
          <t>2026-05-18</t>
        </is>
      </c>
      <c r="B1230" s="33" t="inlineStr">
        <is>
          <t>NBIS</t>
        </is>
      </c>
      <c r="C1230" s="33" t="inlineStr">
        <is>
          <t>R3</t>
        </is>
      </c>
      <c r="D1230" s="33" t="n">
        <v>3</v>
      </c>
      <c r="E1230" s="33" t="inlineStr">
        <is>
          <t>Capex-heavy build but capital position stronger than peers — $700M raised Q1 + Toloka stake monetization. P/S 64 reflects forward growth not distress. Dom override 2→3 (2026-05-18).</t>
        </is>
      </c>
      <c r="F1230" s="33" t="inlineStr">
        <is>
          <t>Layer 9 per-name deep research (2026-05-18): WebSearch + yfinance fundamentals + analyst revisions + SEC 8-K/6-K filings + IR press releases</t>
        </is>
      </c>
      <c r="G1230" s="33" t="inlineStr">
        <is>
          <t>Medium</t>
        </is>
      </c>
      <c r="H1230" s="33" t="inlineStr">
        <is>
          <t>Initial</t>
        </is>
      </c>
    </row>
    <row r="1231">
      <c r="A1231" s="33" t="inlineStr">
        <is>
          <t>2026-05-18</t>
        </is>
      </c>
      <c r="B1231" s="33" t="inlineStr">
        <is>
          <t>NBIS</t>
        </is>
      </c>
      <c r="C1231" s="33" t="inlineStr">
        <is>
          <t>R4</t>
        </is>
      </c>
      <c r="D1231" s="33" t="n">
        <v>3</v>
      </c>
      <c r="E1231" s="33" t="inlineStr">
        <is>
          <t>Yandex spinoff complexity historically; current governance clean. Watch for legacy regulatory tail.</t>
        </is>
      </c>
      <c r="F1231" s="33" t="inlineStr">
        <is>
          <t>Layer 9 per-name deep research (2026-05-18): WebSearch + yfinance fundamentals + analyst revisions + SEC 8-K/6-K filings + IR press releases</t>
        </is>
      </c>
      <c r="G1231" s="33" t="inlineStr">
        <is>
          <t>Medium</t>
        </is>
      </c>
      <c r="H1231" s="33" t="inlineStr">
        <is>
          <t>Initial</t>
        </is>
      </c>
    </row>
    <row r="1232">
      <c r="A1232" s="33" t="inlineStr">
        <is>
          <t>2026-05-18</t>
        </is>
      </c>
      <c r="B1232" s="33" t="inlineStr">
        <is>
          <t>APLD</t>
        </is>
      </c>
      <c r="C1232" s="33" t="inlineStr">
        <is>
          <t>D1</t>
        </is>
      </c>
      <c r="D1232" s="33" t="n">
        <v>4</v>
      </c>
      <c r="E1232" s="33" t="inlineStr">
        <is>
          <t>HPC hosting $71M/Q + legacy hosting $41M = HPC is majority of growth; 400MW AI factory buildout for CoreWeave.</t>
        </is>
      </c>
      <c r="F1232" s="33" t="inlineStr">
        <is>
          <t>Layer 9 per-name deep research (2026-05-18): WebSearch + yfinance fundamentals + analyst revisions + SEC 8-K/6-K filings + IR press releases</t>
        </is>
      </c>
      <c r="G1232" s="33" t="inlineStr">
        <is>
          <t>High</t>
        </is>
      </c>
      <c r="H1232" s="33" t="inlineStr">
        <is>
          <t>Initial</t>
        </is>
      </c>
    </row>
    <row r="1233">
      <c r="A1233" s="33" t="inlineStr">
        <is>
          <t>2026-05-18</t>
        </is>
      </c>
      <c r="B1233" s="33" t="inlineStr">
        <is>
          <t>APLD</t>
        </is>
      </c>
      <c r="C1233" s="33" t="inlineStr">
        <is>
          <t>D2</t>
        </is>
      </c>
      <c r="D1233" s="33" t="n">
        <v>3</v>
      </c>
      <c r="E1233" s="33" t="inlineStr">
        <is>
          <t>Downstream colo hoster.</t>
        </is>
      </c>
      <c r="F1233" s="33" t="inlineStr">
        <is>
          <t>Layer 9 per-name deep research (2026-05-18): WebSearch + yfinance fundamentals + analyst revisions + SEC 8-K/6-K filings + IR press releases</t>
        </is>
      </c>
      <c r="G1233" s="33" t="inlineStr">
        <is>
          <t>High</t>
        </is>
      </c>
      <c r="H1233" s="33" t="inlineStr">
        <is>
          <t>Initial</t>
        </is>
      </c>
    </row>
    <row r="1234">
      <c r="A1234" s="33" t="inlineStr">
        <is>
          <t>2026-05-18</t>
        </is>
      </c>
      <c r="B1234" s="33" t="inlineStr">
        <is>
          <t>APLD</t>
        </is>
      </c>
      <c r="C1234" s="33" t="inlineStr">
        <is>
          <t>D3</t>
        </is>
      </c>
      <c r="D1234" s="33" t="n">
        <v>3</v>
      </c>
      <c r="E1234" s="33" t="inlineStr">
        <is>
          <t>15yr CoreWeave lease = locked contract; but pure colo commoditizable.</t>
        </is>
      </c>
      <c r="F1234" s="33" t="inlineStr">
        <is>
          <t>Layer 9 per-name deep research (2026-05-18): WebSearch + yfinance fundamentals + analyst revisions + SEC 8-K/6-K filings + IR press releases</t>
        </is>
      </c>
      <c r="G1234" s="33" t="inlineStr">
        <is>
          <t>Medium</t>
        </is>
      </c>
      <c r="H1234" s="33" t="inlineStr">
        <is>
          <t>Initial</t>
        </is>
      </c>
    </row>
    <row r="1235">
      <c r="A1235" s="33" t="inlineStr">
        <is>
          <t>2026-05-18</t>
        </is>
      </c>
      <c r="B1235" s="33" t="inlineStr">
        <is>
          <t>APLD</t>
        </is>
      </c>
      <c r="C1235" s="33" t="inlineStr">
        <is>
          <t>D4</t>
        </is>
      </c>
      <c r="D1235" s="33" t="n">
        <v>4</v>
      </c>
      <c r="E1235" s="33" t="inlineStr">
        <is>
          <t>250MW + 150MW additional CoreWeave leases North Dakota; Polaris Forge 1 at RFS.</t>
        </is>
      </c>
      <c r="F1235" s="33" t="inlineStr">
        <is>
          <t>Layer 9 per-name deep research (2026-05-18): WebSearch + yfinance fundamentals + analyst revisions + SEC 8-K/6-K filings + IR press releases</t>
        </is>
      </c>
      <c r="G1235" s="33" t="inlineStr">
        <is>
          <t>High</t>
        </is>
      </c>
      <c r="H1235" s="33" t="inlineStr">
        <is>
          <t>Initial</t>
        </is>
      </c>
    </row>
    <row r="1236">
      <c r="A1236" s="33" t="inlineStr">
        <is>
          <t>2026-05-18</t>
        </is>
      </c>
      <c r="B1236" s="33" t="inlineStr">
        <is>
          <t>APLD</t>
        </is>
      </c>
      <c r="C1236" s="33" t="inlineStr">
        <is>
          <t>D5</t>
        </is>
      </c>
      <c r="D1236" s="33" t="n">
        <v>3</v>
      </c>
      <c r="E1236" s="33" t="inlineStr">
        <is>
          <t>Intermediated via CoreWeave — not direct hyperscaler chain per [[d5-direct-vs-indirect-calibration]].</t>
        </is>
      </c>
      <c r="F1236" s="33" t="inlineStr">
        <is>
          <t>Layer 9 per-name deep research (2026-05-18): WebSearch + yfinance fundamentals + analyst revisions + SEC 8-K/6-K filings + IR press releases</t>
        </is>
      </c>
      <c r="G1236" s="33" t="inlineStr">
        <is>
          <t>High</t>
        </is>
      </c>
      <c r="H1236" s="33" t="inlineStr">
        <is>
          <t>Initial</t>
        </is>
      </c>
    </row>
    <row r="1237">
      <c r="A1237" s="33" t="inlineStr">
        <is>
          <t>2026-05-18</t>
        </is>
      </c>
      <c r="B1237" s="33" t="inlineStr">
        <is>
          <t>APLD</t>
        </is>
      </c>
      <c r="C1237" s="33" t="inlineStr">
        <is>
          <t>M1</t>
        </is>
      </c>
      <c r="D1237" s="33" t="n">
        <v>2</v>
      </c>
      <c r="E1237" s="33" t="inlineStr">
        <is>
          <t>0 up / 1 down (30d). Marginally negative.</t>
        </is>
      </c>
      <c r="F1237" s="33" t="inlineStr">
        <is>
          <t>Layer 9 per-name deep research (2026-05-18): WebSearch + yfinance fundamentals + analyst revisions + SEC 8-K/6-K filings + IR press releases</t>
        </is>
      </c>
      <c r="G1237" s="33" t="inlineStr">
        <is>
          <t>High</t>
        </is>
      </c>
      <c r="H1237" s="33" t="inlineStr">
        <is>
          <t>Initial</t>
        </is>
      </c>
    </row>
    <row r="1238">
      <c r="A1238" s="33" t="inlineStr">
        <is>
          <t>2026-05-18</t>
        </is>
      </c>
      <c r="B1238" s="33" t="inlineStr">
        <is>
          <t>APLD</t>
        </is>
      </c>
      <c r="C1238" s="33" t="inlineStr">
        <is>
          <t>M2</t>
        </is>
      </c>
      <c r="D1238" s="33" t="n">
        <v>5</v>
      </c>
      <c r="E1238" s="33" t="inlineStr">
        <is>
          <t>+474% absolute 1y; +427pp vs BITQ.</t>
        </is>
      </c>
      <c r="F1238" s="33" t="inlineStr">
        <is>
          <t>Layer 9 per-name deep research (2026-05-18): WebSearch + yfinance fundamentals + analyst revisions + SEC 8-K/6-K filings + IR press releases</t>
        </is>
      </c>
      <c r="G1238" s="33" t="inlineStr">
        <is>
          <t>High</t>
        </is>
      </c>
      <c r="H1238" s="33" t="inlineStr">
        <is>
          <t>Initial</t>
        </is>
      </c>
    </row>
    <row r="1239">
      <c r="A1239" s="33" t="inlineStr">
        <is>
          <t>2026-05-18</t>
        </is>
      </c>
      <c r="B1239" s="33" t="inlineStr">
        <is>
          <t>APLD</t>
        </is>
      </c>
      <c r="C1239" s="33" t="inlineStr">
        <is>
          <t>M3</t>
        </is>
      </c>
      <c r="D1239" s="33" t="n">
        <v>3</v>
      </c>
      <c r="E1239" s="33" t="inlineStr">
        <is>
          <t>Default neutral.</t>
        </is>
      </c>
      <c r="F1239" s="33" t="inlineStr">
        <is>
          <t>Layer 9 per-name deep research (2026-05-18): WebSearch + yfinance fundamentals + analyst revisions + SEC 8-K/6-K filings + IR press releases</t>
        </is>
      </c>
      <c r="G1239" s="33" t="inlineStr">
        <is>
          <t>Low</t>
        </is>
      </c>
      <c r="H1239" s="33" t="inlineStr">
        <is>
          <t>Initial</t>
        </is>
      </c>
    </row>
    <row r="1240">
      <c r="A1240" s="33" t="inlineStr">
        <is>
          <t>2026-05-18</t>
        </is>
      </c>
      <c r="B1240" s="33" t="inlineStr">
        <is>
          <t>APLD</t>
        </is>
      </c>
      <c r="C1240" s="33" t="inlineStr">
        <is>
          <t>R1</t>
        </is>
      </c>
      <c r="D1240" s="33" t="n">
        <v>1</v>
      </c>
      <c r="E1240" s="33" t="inlineStr">
        <is>
          <t>CoreWeave is essentially the sole HPC customer — top-1 concentration extreme.</t>
        </is>
      </c>
      <c r="F1240" s="33" t="inlineStr">
        <is>
          <t>Layer 9 per-name deep research (2026-05-18): WebSearch + yfinance fundamentals + analyst revisions + SEC 8-K/6-K filings + IR press releases</t>
        </is>
      </c>
      <c r="G1240" s="33" t="inlineStr">
        <is>
          <t>High</t>
        </is>
      </c>
      <c r="H1240" s="33" t="inlineStr">
        <is>
          <t>Initial</t>
        </is>
      </c>
    </row>
    <row r="1241">
      <c r="A1241" s="33" t="inlineStr">
        <is>
          <t>2026-05-18</t>
        </is>
      </c>
      <c r="B1241" s="33" t="inlineStr">
        <is>
          <t>APLD</t>
        </is>
      </c>
      <c r="C1241" s="33" t="inlineStr">
        <is>
          <t>R2</t>
        </is>
      </c>
      <c r="D1241" s="33" t="n">
        <v>4</v>
      </c>
      <c r="E1241" s="33" t="inlineStr">
        <is>
          <t>North Dakota US-based — clean geo.</t>
        </is>
      </c>
      <c r="F1241" s="33" t="inlineStr">
        <is>
          <t>Layer 9 per-name deep research (2026-05-18): WebSearch + yfinance fundamentals + analyst revisions + SEC 8-K/6-K filings + IR press releases</t>
        </is>
      </c>
      <c r="G1241" s="33" t="inlineStr">
        <is>
          <t>High</t>
        </is>
      </c>
      <c r="H1241" s="33" t="inlineStr">
        <is>
          <t>Initial</t>
        </is>
      </c>
    </row>
    <row r="1242">
      <c r="A1242" s="33" t="inlineStr">
        <is>
          <t>2026-05-18</t>
        </is>
      </c>
      <c r="B1242" s="33" t="inlineStr">
        <is>
          <t>APLD</t>
        </is>
      </c>
      <c r="C1242" s="33" t="inlineStr">
        <is>
          <t>R3</t>
        </is>
      </c>
      <c r="D1242" s="33" t="n">
        <v>2</v>
      </c>
      <c r="E1242" s="33" t="inlineStr">
        <is>
          <t>FCFM -469% (extreme); ND/EBITDA 78.9 (very elevated). Capex absorption phase.</t>
        </is>
      </c>
      <c r="F1242" s="33" t="inlineStr">
        <is>
          <t>Layer 9 per-name deep research (2026-05-18): WebSearch + yfinance fundamentals + analyst revisions + SEC 8-K/6-K filings + IR press releases</t>
        </is>
      </c>
      <c r="G1242" s="33" t="inlineStr">
        <is>
          <t>High</t>
        </is>
      </c>
      <c r="H1242" s="33" t="inlineStr">
        <is>
          <t>Initial</t>
        </is>
      </c>
    </row>
    <row r="1243">
      <c r="A1243" s="33" t="inlineStr">
        <is>
          <t>2026-05-18</t>
        </is>
      </c>
      <c r="B1243" s="33" t="inlineStr">
        <is>
          <t>APLD</t>
        </is>
      </c>
      <c r="C1243" s="33" t="inlineStr">
        <is>
          <t>R4</t>
        </is>
      </c>
      <c r="D1243" s="33" t="n">
        <v>3</v>
      </c>
      <c r="E1243" s="33" t="inlineStr">
        <is>
          <t>Clean — no active overhang.</t>
        </is>
      </c>
      <c r="F1243" s="33" t="inlineStr">
        <is>
          <t>Layer 9 per-name deep research (2026-05-18): WebSearch + yfinance fundamentals + analyst revisions + SEC 8-K/6-K filings + IR press releases</t>
        </is>
      </c>
      <c r="G1243" s="33" t="inlineStr">
        <is>
          <t>Medium</t>
        </is>
      </c>
      <c r="H1243" s="33" t="inlineStr">
        <is>
          <t>Initial</t>
        </is>
      </c>
    </row>
    <row r="1244">
      <c r="A1244" s="33" t="inlineStr">
        <is>
          <t>2026-05-18</t>
        </is>
      </c>
      <c r="B1244" s="33" t="inlineStr">
        <is>
          <t>CORZ</t>
        </is>
      </c>
      <c r="C1244" s="33" t="inlineStr">
        <is>
          <t>D1</t>
        </is>
      </c>
      <c r="D1244" s="33" t="n">
        <v>4</v>
      </c>
      <c r="E1244" s="33" t="inlineStr">
        <is>
          <t>$10B CoreWeave 12yr contract; 700MW HPC infra (vs 500MW BTC). HPC is forward majority.</t>
        </is>
      </c>
      <c r="F1244" s="33" t="inlineStr">
        <is>
          <t>Layer 9 per-name deep research (2026-05-18): WebSearch + yfinance fundamentals + analyst revisions + SEC 8-K/6-K filings + IR press releases</t>
        </is>
      </c>
      <c r="G1244" s="33" t="inlineStr">
        <is>
          <t>High</t>
        </is>
      </c>
      <c r="H1244" s="33" t="inlineStr">
        <is>
          <t>Initial</t>
        </is>
      </c>
    </row>
    <row r="1245">
      <c r="A1245" s="33" t="inlineStr">
        <is>
          <t>2026-05-18</t>
        </is>
      </c>
      <c r="B1245" s="33" t="inlineStr">
        <is>
          <t>CORZ</t>
        </is>
      </c>
      <c r="C1245" s="33" t="inlineStr">
        <is>
          <t>D2</t>
        </is>
      </c>
      <c r="D1245" s="33" t="n">
        <v>3</v>
      </c>
      <c r="E1245" s="33" t="inlineStr">
        <is>
          <t>Downstream colo hoster — physical infrastructure with locked customer.</t>
        </is>
      </c>
      <c r="F1245" s="33" t="inlineStr">
        <is>
          <t>Layer 9 per-name deep research (2026-05-18): WebSearch + yfinance fundamentals + analyst revisions + SEC 8-K/6-K filings + IR press releases</t>
        </is>
      </c>
      <c r="G1245" s="33" t="inlineStr">
        <is>
          <t>High</t>
        </is>
      </c>
      <c r="H1245" s="33" t="inlineStr">
        <is>
          <t>Initial</t>
        </is>
      </c>
    </row>
    <row r="1246">
      <c r="A1246" s="33" t="inlineStr">
        <is>
          <t>2026-05-18</t>
        </is>
      </c>
      <c r="B1246" s="33" t="inlineStr">
        <is>
          <t>CORZ</t>
        </is>
      </c>
      <c r="C1246" s="33" t="inlineStr">
        <is>
          <t>D3</t>
        </is>
      </c>
      <c r="D1246" s="33" t="n">
        <v>3</v>
      </c>
      <c r="E1246" s="33" t="inlineStr">
        <is>
          <t>12yr CoreWeave lock + customer-funded build = durable; but commoditizable colo economics longer-term.</t>
        </is>
      </c>
      <c r="F1246" s="33" t="inlineStr">
        <is>
          <t>Layer 9 per-name deep research (2026-05-18): WebSearch + yfinance fundamentals + analyst revisions + SEC 8-K/6-K filings + IR press releases</t>
        </is>
      </c>
      <c r="G1246" s="33" t="inlineStr">
        <is>
          <t>Medium</t>
        </is>
      </c>
      <c r="H1246" s="33" t="inlineStr">
        <is>
          <t>Initial</t>
        </is>
      </c>
    </row>
    <row r="1247">
      <c r="A1247" s="33" t="inlineStr">
        <is>
          <t>2026-05-18</t>
        </is>
      </c>
      <c r="B1247" s="33" t="inlineStr">
        <is>
          <t>CORZ</t>
        </is>
      </c>
      <c r="C1247" s="33" t="inlineStr">
        <is>
          <t>D4</t>
        </is>
      </c>
      <c r="D1247" s="33" t="n">
        <v>5</v>
      </c>
      <c r="E1247" s="33" t="inlineStr">
        <is>
          <t>1.2GW total contracted power; 350MW energized; 180MW online billing; advancing 700MW HPC.</t>
        </is>
      </c>
      <c r="F1247" s="33" t="inlineStr">
        <is>
          <t>Layer 9 per-name deep research (2026-05-18): WebSearch + yfinance fundamentals + analyst revisions + SEC 8-K/6-K filings + IR press releases</t>
        </is>
      </c>
      <c r="G1247" s="33" t="inlineStr">
        <is>
          <t>High</t>
        </is>
      </c>
      <c r="H1247" s="33" t="inlineStr">
        <is>
          <t>Initial</t>
        </is>
      </c>
    </row>
    <row r="1248">
      <c r="A1248" s="33" t="inlineStr">
        <is>
          <t>2026-05-18</t>
        </is>
      </c>
      <c r="B1248" s="33" t="inlineStr">
        <is>
          <t>CORZ</t>
        </is>
      </c>
      <c r="C1248" s="33" t="inlineStr">
        <is>
          <t>D5</t>
        </is>
      </c>
      <c r="D1248" s="33" t="n">
        <v>3</v>
      </c>
      <c r="E1248" s="33" t="inlineStr">
        <is>
          <t>Intermediated via CoreWeave — not direct hyperscaler. Per [[d5-direct-vs-indirect-calibration]] = 3.</t>
        </is>
      </c>
      <c r="F1248" s="33" t="inlineStr">
        <is>
          <t>Layer 9 per-name deep research (2026-05-18): WebSearch + yfinance fundamentals + analyst revisions + SEC 8-K/6-K filings + IR press releases</t>
        </is>
      </c>
      <c r="G1248" s="33" t="inlineStr">
        <is>
          <t>High</t>
        </is>
      </c>
      <c r="H1248" s="33" t="inlineStr">
        <is>
          <t>Initial</t>
        </is>
      </c>
    </row>
    <row r="1249">
      <c r="A1249" s="33" t="inlineStr">
        <is>
          <t>2026-05-18</t>
        </is>
      </c>
      <c r="B1249" s="33" t="inlineStr">
        <is>
          <t>CORZ</t>
        </is>
      </c>
      <c r="C1249" s="33" t="inlineStr">
        <is>
          <t>M1</t>
        </is>
      </c>
      <c r="D1249" s="33" t="n">
        <v>3</v>
      </c>
      <c r="E1249" s="33" t="inlineStr">
        <is>
          <t>0 up / 1 down (30d on 0q). Marginal negative.</t>
        </is>
      </c>
      <c r="F1249" s="33" t="inlineStr">
        <is>
          <t>Layer 9 per-name deep research (2026-05-18): WebSearch + yfinance fundamentals + analyst revisions + SEC 8-K/6-K filings + IR press releases</t>
        </is>
      </c>
      <c r="G1249" s="33" t="inlineStr">
        <is>
          <t>High</t>
        </is>
      </c>
      <c r="H1249" s="33" t="inlineStr">
        <is>
          <t>Initial</t>
        </is>
      </c>
    </row>
    <row r="1250">
      <c r="A1250" s="33" t="inlineStr">
        <is>
          <t>2026-05-18</t>
        </is>
      </c>
      <c r="B1250" s="33" t="inlineStr">
        <is>
          <t>CORZ</t>
        </is>
      </c>
      <c r="C1250" s="33" t="inlineStr">
        <is>
          <t>M2</t>
        </is>
      </c>
      <c r="D1250" s="33" t="n">
        <v>3</v>
      </c>
      <c r="E1250" s="33" t="inlineStr">
        <is>
          <t>+117% absolute 1y; +71pp vs BITQ. Solid but lagging the extreme-gainer peer group.</t>
        </is>
      </c>
      <c r="F1250" s="33" t="inlineStr">
        <is>
          <t>Layer 9 per-name deep research (2026-05-18): WebSearch + yfinance fundamentals + analyst revisions + SEC 8-K/6-K filings + IR press releases</t>
        </is>
      </c>
      <c r="G1250" s="33" t="inlineStr">
        <is>
          <t>High</t>
        </is>
      </c>
      <c r="H1250" s="33" t="inlineStr">
        <is>
          <t>Initial</t>
        </is>
      </c>
    </row>
    <row r="1251">
      <c r="A1251" s="33" t="inlineStr">
        <is>
          <t>2026-05-18</t>
        </is>
      </c>
      <c r="B1251" s="33" t="inlineStr">
        <is>
          <t>CORZ</t>
        </is>
      </c>
      <c r="C1251" s="33" t="inlineStr">
        <is>
          <t>M3</t>
        </is>
      </c>
      <c r="D1251" s="33" t="n">
        <v>3</v>
      </c>
      <c r="E1251" s="33" t="inlineStr">
        <is>
          <t>Default neutral; Form 4 not pulled.</t>
        </is>
      </c>
      <c r="F1251" s="33" t="inlineStr">
        <is>
          <t>Layer 9 per-name deep research (2026-05-18): WebSearch + yfinance fundamentals + analyst revisions + SEC 8-K/6-K filings + IR press releases</t>
        </is>
      </c>
      <c r="G1251" s="33" t="inlineStr">
        <is>
          <t>Low</t>
        </is>
      </c>
      <c r="H1251" s="33" t="inlineStr">
        <is>
          <t>Initial</t>
        </is>
      </c>
    </row>
    <row r="1252">
      <c r="A1252" s="33" t="inlineStr">
        <is>
          <t>2026-05-18</t>
        </is>
      </c>
      <c r="B1252" s="33" t="inlineStr">
        <is>
          <t>CORZ</t>
        </is>
      </c>
      <c r="C1252" s="33" t="inlineStr">
        <is>
          <t>R1</t>
        </is>
      </c>
      <c r="D1252" s="33" t="n">
        <v>1</v>
      </c>
      <c r="E1252" s="33" t="inlineStr">
        <is>
          <t>CoreWeave is the dominant customer — top-1 concentration extreme.</t>
        </is>
      </c>
      <c r="F1252" s="33" t="inlineStr">
        <is>
          <t>Layer 9 per-name deep research (2026-05-18): WebSearch + yfinance fundamentals + analyst revisions + SEC 8-K/6-K filings + IR press releases</t>
        </is>
      </c>
      <c r="G1252" s="33" t="inlineStr">
        <is>
          <t>High</t>
        </is>
      </c>
      <c r="H1252" s="33" t="inlineStr">
        <is>
          <t>Initial</t>
        </is>
      </c>
    </row>
    <row r="1253">
      <c r="A1253" s="33" t="inlineStr">
        <is>
          <t>2026-05-18</t>
        </is>
      </c>
      <c r="B1253" s="33" t="inlineStr">
        <is>
          <t>CORZ</t>
        </is>
      </c>
      <c r="C1253" s="33" t="inlineStr">
        <is>
          <t>R2</t>
        </is>
      </c>
      <c r="D1253" s="33" t="n">
        <v>4</v>
      </c>
      <c r="E1253" s="33" t="inlineStr">
        <is>
          <t>US-based — clean geo.</t>
        </is>
      </c>
      <c r="F1253" s="33" t="inlineStr">
        <is>
          <t>Layer 9 per-name deep research (2026-05-18): WebSearch + yfinance fundamentals + analyst revisions + SEC 8-K/6-K filings + IR press releases</t>
        </is>
      </c>
      <c r="G1253" s="33" t="inlineStr">
        <is>
          <t>High</t>
        </is>
      </c>
      <c r="H1253" s="33" t="inlineStr">
        <is>
          <t>Initial</t>
        </is>
      </c>
    </row>
    <row r="1254">
      <c r="A1254" s="33" t="inlineStr">
        <is>
          <t>2026-05-18</t>
        </is>
      </c>
      <c r="B1254" s="33" t="inlineStr">
        <is>
          <t>CORZ</t>
        </is>
      </c>
      <c r="C1254" s="33" t="inlineStr">
        <is>
          <t>R3</t>
        </is>
      </c>
      <c r="D1254" s="33" t="n">
        <v>3</v>
      </c>
      <c r="E1254" s="33" t="inlineStr">
        <is>
          <t>FCFM +49% (positive, customer-funded capex shift); ND/EBITDA -11.89 net cash; just exited Chapter 11 with cleaner balance sheet.</t>
        </is>
      </c>
      <c r="F1254" s="33" t="inlineStr">
        <is>
          <t>Layer 9 per-name deep research (2026-05-18): WebSearch + yfinance fundamentals + analyst revisions + SEC 8-K/6-K filings + IR press releases</t>
        </is>
      </c>
      <c r="G1254" s="33" t="inlineStr">
        <is>
          <t>High</t>
        </is>
      </c>
      <c r="H1254" s="33" t="inlineStr">
        <is>
          <t>Initial</t>
        </is>
      </c>
    </row>
    <row r="1255">
      <c r="A1255" s="33" t="inlineStr">
        <is>
          <t>2026-05-18</t>
        </is>
      </c>
      <c r="B1255" s="33" t="inlineStr">
        <is>
          <t>CORZ</t>
        </is>
      </c>
      <c r="C1255" s="33" t="inlineStr">
        <is>
          <t>R4</t>
        </is>
      </c>
      <c r="D1255" s="33" t="n">
        <v>3</v>
      </c>
      <c r="E1255" s="33" t="inlineStr">
        <is>
          <t>Just emerged from Chapter 11 (2024); current operations clean.</t>
        </is>
      </c>
      <c r="F1255" s="33" t="inlineStr">
        <is>
          <t>Layer 9 per-name deep research (2026-05-18): WebSearch + yfinance fundamentals + analyst revisions + SEC 8-K/6-K filings + IR press releases</t>
        </is>
      </c>
      <c r="G1255" s="33" t="inlineStr">
        <is>
          <t>Medium</t>
        </is>
      </c>
      <c r="H1255" s="33" t="inlineStr">
        <is>
          <t>Initial</t>
        </is>
      </c>
    </row>
    <row r="1256">
      <c r="A1256" s="33" t="inlineStr">
        <is>
          <t>2026-05-18</t>
        </is>
      </c>
      <c r="B1256" s="33" t="inlineStr">
        <is>
          <t>IREN</t>
        </is>
      </c>
      <c r="C1256" s="33" t="inlineStr">
        <is>
          <t>D1</t>
        </is>
      </c>
      <c r="D1256" s="33" t="n">
        <v>5</v>
      </c>
      <c r="E1256" s="33" t="inlineStr">
        <is>
          <t>AI cloud ARR projected &gt;$3.7B by EoY 2026 (vs current $0 baseline); 150,000 GPU fleet. AI is the business.</t>
        </is>
      </c>
      <c r="F1256" s="33" t="inlineStr">
        <is>
          <t>Layer 9 per-name deep research (2026-05-18): WebSearch + yfinance fundamentals + analyst revisions + SEC 8-K/6-K filings + IR press releases</t>
        </is>
      </c>
      <c r="G1256" s="33" t="inlineStr">
        <is>
          <t>High</t>
        </is>
      </c>
      <c r="H1256" s="33" t="inlineStr">
        <is>
          <t>Initial</t>
        </is>
      </c>
    </row>
    <row r="1257">
      <c r="A1257" s="33" t="inlineStr">
        <is>
          <t>2026-05-18</t>
        </is>
      </c>
      <c r="B1257" s="33" t="inlineStr">
        <is>
          <t>IREN</t>
        </is>
      </c>
      <c r="C1257" s="33" t="inlineStr">
        <is>
          <t>D2</t>
        </is>
      </c>
      <c r="D1257" s="33" t="n">
        <v>4</v>
      </c>
      <c r="E1257" s="33" t="inlineStr">
        <is>
          <t>Direct AI cloud operator (not just hoster) — operates GPU fleet and sells compute.</t>
        </is>
      </c>
      <c r="F1257" s="33" t="inlineStr">
        <is>
          <t>Layer 9 per-name deep research (2026-05-18): WebSearch + yfinance fundamentals + analyst revisions + SEC 8-K/6-K filings + IR press releases</t>
        </is>
      </c>
      <c r="G1257" s="33" t="inlineStr">
        <is>
          <t>High</t>
        </is>
      </c>
      <c r="H1257" s="33" t="inlineStr">
        <is>
          <t>Initial</t>
        </is>
      </c>
    </row>
    <row r="1258">
      <c r="A1258" s="33" t="inlineStr">
        <is>
          <t>2026-05-18</t>
        </is>
      </c>
      <c r="B1258" s="33" t="inlineStr">
        <is>
          <t>IREN</t>
        </is>
      </c>
      <c r="C1258" s="33" t="inlineStr">
        <is>
          <t>D3</t>
        </is>
      </c>
      <c r="D1258" s="33" t="n">
        <v>4</v>
      </c>
      <c r="E1258" s="33" t="inlineStr">
        <is>
          <t>$9.7B Microsoft + $3.4B 5yr Nvidia contracts = real lock-in; Childress TX 750MW = scarce power moat. CALIBRATION FLAG: 4 reflects contract duration; counter-argument that AI cloud is fundamentally power-arb commoditizable (would be 3). Kept at 4 per Dom 2026-05-18.</t>
        </is>
      </c>
      <c r="F1258" s="33" t="inlineStr">
        <is>
          <t>Layer 9 per-name deep research (2026-05-18): WebSearch + yfinance fundamentals + analyst revisions + SEC 8-K/6-K filings + IR press releases</t>
        </is>
      </c>
      <c r="G1258" s="33" t="inlineStr">
        <is>
          <t>Medium</t>
        </is>
      </c>
      <c r="H1258" s="33" t="inlineStr">
        <is>
          <t>Initial</t>
        </is>
      </c>
    </row>
    <row r="1259">
      <c r="A1259" s="33" t="inlineStr">
        <is>
          <t>2026-05-18</t>
        </is>
      </c>
      <c r="B1259" s="33" t="inlineStr">
        <is>
          <t>IREN</t>
        </is>
      </c>
      <c r="C1259" s="33" t="inlineStr">
        <is>
          <t>D4</t>
        </is>
      </c>
      <c r="D1259" s="33" t="n">
        <v>5</v>
      </c>
      <c r="E1259" s="33" t="inlineStr">
        <is>
          <t>150k GPU fleet via B300 purchases; 750MW Childress; expanding to Australia. Massive ramp.</t>
        </is>
      </c>
      <c r="F1259" s="33" t="inlineStr">
        <is>
          <t>Layer 9 per-name deep research (2026-05-18): WebSearch + yfinance fundamentals + analyst revisions + SEC 8-K/6-K filings + IR press releases</t>
        </is>
      </c>
      <c r="G1259" s="33" t="inlineStr">
        <is>
          <t>High</t>
        </is>
      </c>
      <c r="H1259" s="33" t="inlineStr">
        <is>
          <t>Initial</t>
        </is>
      </c>
    </row>
    <row r="1260">
      <c r="A1260" s="33" t="inlineStr">
        <is>
          <t>2026-05-18</t>
        </is>
      </c>
      <c r="B1260" s="33" t="inlineStr">
        <is>
          <t>IREN</t>
        </is>
      </c>
      <c r="C1260" s="33" t="inlineStr">
        <is>
          <t>D5</t>
        </is>
      </c>
      <c r="D1260" s="33" t="n">
        <v>5</v>
      </c>
      <c r="E1260" s="33" t="inlineStr">
        <is>
          <t>Direct Microsoft anchor + Nvidia 5yr contract — top-tier anchor customers.</t>
        </is>
      </c>
      <c r="F1260" s="33" t="inlineStr">
        <is>
          <t>Layer 9 per-name deep research (2026-05-18): WebSearch + yfinance fundamentals + analyst revisions + SEC 8-K/6-K filings + IR press releases</t>
        </is>
      </c>
      <c r="G1260" s="33" t="inlineStr">
        <is>
          <t>High</t>
        </is>
      </c>
      <c r="H1260" s="33" t="inlineStr">
        <is>
          <t>Initial</t>
        </is>
      </c>
    </row>
    <row r="1261">
      <c r="A1261" s="33" t="inlineStr">
        <is>
          <t>2026-05-18</t>
        </is>
      </c>
      <c r="B1261" s="33" t="inlineStr">
        <is>
          <t>IREN</t>
        </is>
      </c>
      <c r="C1261" s="33" t="inlineStr">
        <is>
          <t>M1</t>
        </is>
      </c>
      <c r="D1261" s="33" t="n">
        <v>3</v>
      </c>
      <c r="E1261" s="33" t="inlineStr">
        <is>
          <t>Mixed: 2 up / 1 down (30d). Net positive.</t>
        </is>
      </c>
      <c r="F1261" s="33" t="inlineStr">
        <is>
          <t>Layer 9 per-name deep research (2026-05-18): WebSearch + yfinance fundamentals + analyst revisions + SEC 8-K/6-K filings + IR press releases</t>
        </is>
      </c>
      <c r="G1261" s="33" t="inlineStr">
        <is>
          <t>High</t>
        </is>
      </c>
      <c r="H1261" s="33" t="inlineStr">
        <is>
          <t>Initial</t>
        </is>
      </c>
    </row>
    <row r="1262">
      <c r="A1262" s="33" t="inlineStr">
        <is>
          <t>2026-05-18</t>
        </is>
      </c>
      <c r="B1262" s="33" t="inlineStr">
        <is>
          <t>IREN</t>
        </is>
      </c>
      <c r="C1262" s="33" t="inlineStr">
        <is>
          <t>M2</t>
        </is>
      </c>
      <c r="D1262" s="33" t="n">
        <v>5</v>
      </c>
      <c r="E1262" s="33" t="inlineStr">
        <is>
          <t>+491% absolute 1y; +444pp vs BITQ — biggest gainer in layer.</t>
        </is>
      </c>
      <c r="F1262" s="33" t="inlineStr">
        <is>
          <t>Layer 9 per-name deep research (2026-05-18): WebSearch + yfinance fundamentals + analyst revisions + SEC 8-K/6-K filings + IR press releases</t>
        </is>
      </c>
      <c r="G1262" s="33" t="inlineStr">
        <is>
          <t>High</t>
        </is>
      </c>
      <c r="H1262" s="33" t="inlineStr">
        <is>
          <t>Initial</t>
        </is>
      </c>
    </row>
    <row r="1263">
      <c r="A1263" s="33" t="inlineStr">
        <is>
          <t>2026-05-18</t>
        </is>
      </c>
      <c r="B1263" s="33" t="inlineStr">
        <is>
          <t>IREN</t>
        </is>
      </c>
      <c r="C1263" s="33" t="inlineStr">
        <is>
          <t>M3</t>
        </is>
      </c>
      <c r="D1263" s="33" t="n">
        <v>3</v>
      </c>
      <c r="E1263" s="33" t="inlineStr">
        <is>
          <t>Default neutral; Form 4 not pulled.</t>
        </is>
      </c>
      <c r="F1263" s="33" t="inlineStr">
        <is>
          <t>Layer 9 per-name deep research (2026-05-18): WebSearch + yfinance fundamentals + analyst revisions + SEC 8-K/6-K filings + IR press releases</t>
        </is>
      </c>
      <c r="G1263" s="33" t="inlineStr">
        <is>
          <t>Low</t>
        </is>
      </c>
      <c r="H1263" s="33" t="inlineStr">
        <is>
          <t>Initial</t>
        </is>
      </c>
    </row>
    <row r="1264">
      <c r="A1264" s="33" t="inlineStr">
        <is>
          <t>2026-05-18</t>
        </is>
      </c>
      <c r="B1264" s="33" t="inlineStr">
        <is>
          <t>IREN</t>
        </is>
      </c>
      <c r="C1264" s="33" t="inlineStr">
        <is>
          <t>R1</t>
        </is>
      </c>
      <c r="D1264" s="33" t="n">
        <v>2</v>
      </c>
      <c r="E1264" s="33" t="inlineStr">
        <is>
          <t>Microsoft + Nvidia represent overwhelming majority of forward revenue — concentrated.</t>
        </is>
      </c>
      <c r="F1264" s="33" t="inlineStr">
        <is>
          <t>Layer 9 per-name deep research (2026-05-18): WebSearch + yfinance fundamentals + analyst revisions + SEC 8-K/6-K filings + IR press releases</t>
        </is>
      </c>
      <c r="G1264" s="33" t="inlineStr">
        <is>
          <t>High</t>
        </is>
      </c>
      <c r="H1264" s="33" t="inlineStr">
        <is>
          <t>Initial</t>
        </is>
      </c>
    </row>
    <row r="1265">
      <c r="A1265" s="33" t="inlineStr">
        <is>
          <t>2026-05-18</t>
        </is>
      </c>
      <c r="B1265" s="33" t="inlineStr">
        <is>
          <t>IREN</t>
        </is>
      </c>
      <c r="C1265" s="33" t="inlineStr">
        <is>
          <t>R2</t>
        </is>
      </c>
      <c r="D1265" s="33" t="n">
        <v>4</v>
      </c>
      <c r="E1265" s="33" t="inlineStr">
        <is>
          <t>Texas + British Columbia + Australia. Diversified geo.</t>
        </is>
      </c>
      <c r="F1265" s="33" t="inlineStr">
        <is>
          <t>Layer 9 per-name deep research (2026-05-18): WebSearch + yfinance fundamentals + analyst revisions + SEC 8-K/6-K filings + IR press releases</t>
        </is>
      </c>
      <c r="G1265" s="33" t="inlineStr">
        <is>
          <t>High</t>
        </is>
      </c>
      <c r="H1265" s="33" t="inlineStr">
        <is>
          <t>Initial</t>
        </is>
      </c>
    </row>
    <row r="1266">
      <c r="A1266" s="33" t="inlineStr">
        <is>
          <t>2026-05-18</t>
        </is>
      </c>
      <c r="B1266" s="33" t="inlineStr">
        <is>
          <t>IREN</t>
        </is>
      </c>
      <c r="C1266" s="33" t="inlineStr">
        <is>
          <t>R3</t>
        </is>
      </c>
      <c r="D1266" s="33" t="n">
        <v>2</v>
      </c>
      <c r="E1266" s="33" t="inlineStr">
        <is>
          <t>FCFM -305%, EV/EBITDA 140, ND/EBITDA 11.9 — capex-heavy build phase, contract-funded but pre-cashflow conversion.</t>
        </is>
      </c>
      <c r="F1266" s="33" t="inlineStr">
        <is>
          <t>Layer 9 per-name deep research (2026-05-18): WebSearch + yfinance fundamentals + analyst revisions + SEC 8-K/6-K filings + IR press releases</t>
        </is>
      </c>
      <c r="G1266" s="33" t="inlineStr">
        <is>
          <t>High</t>
        </is>
      </c>
      <c r="H1266" s="33" t="inlineStr">
        <is>
          <t>Initial</t>
        </is>
      </c>
    </row>
    <row r="1267">
      <c r="A1267" s="33" t="inlineStr">
        <is>
          <t>2026-05-18</t>
        </is>
      </c>
      <c r="B1267" s="33" t="inlineStr">
        <is>
          <t>IREN</t>
        </is>
      </c>
      <c r="C1267" s="33" t="inlineStr">
        <is>
          <t>R4</t>
        </is>
      </c>
      <c r="D1267" s="33" t="n">
        <v>3</v>
      </c>
      <c r="E1267" s="33" t="inlineStr">
        <is>
          <t>Clean — no active regulatory overhang identified.</t>
        </is>
      </c>
      <c r="F1267" s="33" t="inlineStr">
        <is>
          <t>Layer 9 per-name deep research (2026-05-18): WebSearch + yfinance fundamentals + analyst revisions + SEC 8-K/6-K filings + IR press releases</t>
        </is>
      </c>
      <c r="G1267" s="33" t="inlineStr">
        <is>
          <t>High</t>
        </is>
      </c>
      <c r="H1267" s="33" t="inlineStr">
        <is>
          <t>Initial</t>
        </is>
      </c>
    </row>
    <row r="1268">
      <c r="A1268" s="33" t="inlineStr">
        <is>
          <t>2026-05-18</t>
        </is>
      </c>
      <c r="B1268" s="33" t="inlineStr">
        <is>
          <t>CIFR</t>
        </is>
      </c>
      <c r="C1268" s="33" t="inlineStr">
        <is>
          <t>D1</t>
        </is>
      </c>
      <c r="D1268" s="33" t="n">
        <v>4</v>
      </c>
      <c r="E1268" s="33" t="inlineStr">
        <is>
          <t>$9.3B HPC contract backlog (AWS 15yr/300MW + Fluidstack + Google) = AI is dominant forward narrative; rebranded Cipher Digital Feb 2026.</t>
        </is>
      </c>
      <c r="F1268" s="33" t="inlineStr">
        <is>
          <t>Layer 9 per-name deep research (2026-05-18): WebSearch + yfinance fundamentals + analyst revisions + SEC 8-K/6-K filings + IR press releases</t>
        </is>
      </c>
      <c r="G1268" s="33" t="inlineStr">
        <is>
          <t>High</t>
        </is>
      </c>
      <c r="H1268" s="33" t="inlineStr">
        <is>
          <t>Initial</t>
        </is>
      </c>
    </row>
    <row r="1269">
      <c r="A1269" s="33" t="inlineStr">
        <is>
          <t>2026-05-18</t>
        </is>
      </c>
      <c r="B1269" s="33" t="inlineStr">
        <is>
          <t>CIFR</t>
        </is>
      </c>
      <c r="C1269" s="33" t="inlineStr">
        <is>
          <t>D2</t>
        </is>
      </c>
      <c r="D1269" s="33" t="n">
        <v>3</v>
      </c>
      <c r="E1269" s="33" t="inlineStr">
        <is>
          <t>Downstream colo hoster.</t>
        </is>
      </c>
      <c r="F1269" s="33" t="inlineStr">
        <is>
          <t>Layer 9 per-name deep research (2026-05-18): WebSearch + yfinance fundamentals + analyst revisions + SEC 8-K/6-K filings + IR press releases</t>
        </is>
      </c>
      <c r="G1269" s="33" t="inlineStr">
        <is>
          <t>High</t>
        </is>
      </c>
      <c r="H1269" s="33" t="inlineStr">
        <is>
          <t>Initial</t>
        </is>
      </c>
    </row>
    <row r="1270">
      <c r="A1270" s="33" t="inlineStr">
        <is>
          <t>2026-05-18</t>
        </is>
      </c>
      <c r="B1270" s="33" t="inlineStr">
        <is>
          <t>CIFR</t>
        </is>
      </c>
      <c r="C1270" s="33" t="inlineStr">
        <is>
          <t>D3</t>
        </is>
      </c>
      <c r="D1270" s="33" t="n">
        <v>3</v>
      </c>
      <c r="E1270" s="33" t="inlineStr">
        <is>
          <t>15yr AWS lock = durable contract; but commoditizable colo economics longer-term.</t>
        </is>
      </c>
      <c r="F1270" s="33" t="inlineStr">
        <is>
          <t>Layer 9 per-name deep research (2026-05-18): WebSearch + yfinance fundamentals + analyst revisions + SEC 8-K/6-K filings + IR press releases</t>
        </is>
      </c>
      <c r="G1270" s="33" t="inlineStr">
        <is>
          <t>Medium</t>
        </is>
      </c>
      <c r="H1270" s="33" t="inlineStr">
        <is>
          <t>Initial</t>
        </is>
      </c>
    </row>
    <row r="1271">
      <c r="A1271" s="33" t="inlineStr">
        <is>
          <t>2026-05-18</t>
        </is>
      </c>
      <c r="B1271" s="33" t="inlineStr">
        <is>
          <t>CIFR</t>
        </is>
      </c>
      <c r="C1271" s="33" t="inlineStr">
        <is>
          <t>D4</t>
        </is>
      </c>
      <c r="D1271" s="33" t="n">
        <v>4</v>
      </c>
      <c r="E1271" s="33" t="inlineStr">
        <is>
          <t>300MW AWS in two phases starting July 2026; deep pipeline (Black Pearl, Barber Lake, Stingray, etc).</t>
        </is>
      </c>
      <c r="F1271" s="33" t="inlineStr">
        <is>
          <t>Layer 9 per-name deep research (2026-05-18): WebSearch + yfinance fundamentals + analyst revisions + SEC 8-K/6-K filings + IR press releases</t>
        </is>
      </c>
      <c r="G1271" s="33" t="inlineStr">
        <is>
          <t>High</t>
        </is>
      </c>
      <c r="H1271" s="33" t="inlineStr">
        <is>
          <t>Initial</t>
        </is>
      </c>
    </row>
    <row r="1272">
      <c r="A1272" s="33" t="inlineStr">
        <is>
          <t>2026-05-18</t>
        </is>
      </c>
      <c r="B1272" s="33" t="inlineStr">
        <is>
          <t>CIFR</t>
        </is>
      </c>
      <c r="C1272" s="33" t="inlineStr">
        <is>
          <t>D5</t>
        </is>
      </c>
      <c r="D1272" s="33" t="n">
        <v>5</v>
      </c>
      <c r="E1272" s="33" t="inlineStr">
        <is>
          <t>Direct AWS 15yr/$5.5B + Google + Fluidstack — top-tier multi-anchor.</t>
        </is>
      </c>
      <c r="F1272" s="33" t="inlineStr">
        <is>
          <t>Layer 9 per-name deep research (2026-05-18): WebSearch + yfinance fundamentals + analyst revisions + SEC 8-K/6-K filings + IR press releases</t>
        </is>
      </c>
      <c r="G1272" s="33" t="inlineStr">
        <is>
          <t>High</t>
        </is>
      </c>
      <c r="H1272" s="33" t="inlineStr">
        <is>
          <t>Initial</t>
        </is>
      </c>
    </row>
    <row r="1273">
      <c r="A1273" s="33" t="inlineStr">
        <is>
          <t>2026-05-18</t>
        </is>
      </c>
      <c r="B1273" s="33" t="inlineStr">
        <is>
          <t>CIFR</t>
        </is>
      </c>
      <c r="C1273" s="33" t="inlineStr">
        <is>
          <t>M1</t>
        </is>
      </c>
      <c r="D1273" s="33" t="n">
        <v>2</v>
      </c>
      <c r="E1273" s="33" t="inlineStr">
        <is>
          <t>0 up / 1 down (30d). Negative revisions.</t>
        </is>
      </c>
      <c r="F1273" s="33" t="inlineStr">
        <is>
          <t>Layer 9 per-name deep research (2026-05-18): WebSearch + yfinance fundamentals + analyst revisions + SEC 8-K/6-K filings + IR press releases</t>
        </is>
      </c>
      <c r="G1273" s="33" t="inlineStr">
        <is>
          <t>High</t>
        </is>
      </c>
      <c r="H1273" s="33" t="inlineStr">
        <is>
          <t>Initial</t>
        </is>
      </c>
    </row>
    <row r="1274">
      <c r="A1274" s="33" t="inlineStr">
        <is>
          <t>2026-05-18</t>
        </is>
      </c>
      <c r="B1274" s="33" t="inlineStr">
        <is>
          <t>CIFR</t>
        </is>
      </c>
      <c r="C1274" s="33" t="inlineStr">
        <is>
          <t>M2</t>
        </is>
      </c>
      <c r="D1274" s="33" t="n">
        <v>5</v>
      </c>
      <c r="E1274" s="33" t="inlineStr">
        <is>
          <t>+402% absolute 1y; +355pp vs BITQ — extreme leader.</t>
        </is>
      </c>
      <c r="F1274" s="33" t="inlineStr">
        <is>
          <t>Layer 9 per-name deep research (2026-05-18): WebSearch + yfinance fundamentals + analyst revisions + SEC 8-K/6-K filings + IR press releases</t>
        </is>
      </c>
      <c r="G1274" s="33" t="inlineStr">
        <is>
          <t>High</t>
        </is>
      </c>
      <c r="H1274" s="33" t="inlineStr">
        <is>
          <t>Initial</t>
        </is>
      </c>
    </row>
    <row r="1275">
      <c r="A1275" s="33" t="inlineStr">
        <is>
          <t>2026-05-18</t>
        </is>
      </c>
      <c r="B1275" s="33" t="inlineStr">
        <is>
          <t>CIFR</t>
        </is>
      </c>
      <c r="C1275" s="33" t="inlineStr">
        <is>
          <t>M3</t>
        </is>
      </c>
      <c r="D1275" s="33" t="n">
        <v>3</v>
      </c>
      <c r="E1275" s="33" t="inlineStr">
        <is>
          <t>Default neutral.</t>
        </is>
      </c>
      <c r="F1275" s="33" t="inlineStr">
        <is>
          <t>Layer 9 per-name deep research (2026-05-18): WebSearch + yfinance fundamentals + analyst revisions + SEC 8-K/6-K filings + IR press releases</t>
        </is>
      </c>
      <c r="G1275" s="33" t="inlineStr">
        <is>
          <t>Low</t>
        </is>
      </c>
      <c r="H1275" s="33" t="inlineStr">
        <is>
          <t>Initial</t>
        </is>
      </c>
    </row>
    <row r="1276">
      <c r="A1276" s="33" t="inlineStr">
        <is>
          <t>2026-05-18</t>
        </is>
      </c>
      <c r="B1276" s="33" t="inlineStr">
        <is>
          <t>CIFR</t>
        </is>
      </c>
      <c r="C1276" s="33" t="inlineStr">
        <is>
          <t>R1</t>
        </is>
      </c>
      <c r="D1276" s="33" t="n">
        <v>3</v>
      </c>
      <c r="E1276" s="33" t="inlineStr">
        <is>
          <t>Multiple hyperscalers — diversified.</t>
        </is>
      </c>
      <c r="F1276" s="33" t="inlineStr">
        <is>
          <t>Layer 9 per-name deep research (2026-05-18): WebSearch + yfinance fundamentals + analyst revisions + SEC 8-K/6-K filings + IR press releases</t>
        </is>
      </c>
      <c r="G1276" s="33" t="inlineStr">
        <is>
          <t>High</t>
        </is>
      </c>
      <c r="H1276" s="33" t="inlineStr">
        <is>
          <t>Initial</t>
        </is>
      </c>
    </row>
    <row r="1277">
      <c r="A1277" s="33" t="inlineStr">
        <is>
          <t>2026-05-18</t>
        </is>
      </c>
      <c r="B1277" s="33" t="inlineStr">
        <is>
          <t>CIFR</t>
        </is>
      </c>
      <c r="C1277" s="33" t="inlineStr">
        <is>
          <t>R2</t>
        </is>
      </c>
      <c r="D1277" s="33" t="n">
        <v>4</v>
      </c>
      <c r="E1277" s="33" t="inlineStr">
        <is>
          <t>Texas operations — clean geo.</t>
        </is>
      </c>
      <c r="F1277" s="33" t="inlineStr">
        <is>
          <t>Layer 9 per-name deep research (2026-05-18): WebSearch + yfinance fundamentals + analyst revisions + SEC 8-K/6-K filings + IR press releases</t>
        </is>
      </c>
      <c r="G1277" s="33" t="inlineStr">
        <is>
          <t>High</t>
        </is>
      </c>
      <c r="H1277" s="33" t="inlineStr">
        <is>
          <t>Initial</t>
        </is>
      </c>
    </row>
    <row r="1278">
      <c r="A1278" s="33" t="inlineStr">
        <is>
          <t>2026-05-18</t>
        </is>
      </c>
      <c r="B1278" s="33" t="inlineStr">
        <is>
          <t>CIFR</t>
        </is>
      </c>
      <c r="C1278" s="33" t="inlineStr">
        <is>
          <t>R3</t>
        </is>
      </c>
      <c r="D1278" s="33" t="n">
        <v>2</v>
      </c>
      <c r="E1278" s="33" t="inlineStr">
        <is>
          <t>FCFM -1405% massive capex absorption; ND/EBITDA 24 elevated. CALIBRATION FLAG: rubric may be too punitive on contracts-in-execution-phase financials; logged for quarterly review per Dom 2026-05-18. Kept at 2.</t>
        </is>
      </c>
      <c r="F1278" s="33" t="inlineStr">
        <is>
          <t>Layer 9 per-name deep research (2026-05-18): WebSearch + yfinance fundamentals + analyst revisions + SEC 8-K/6-K filings + IR press releases</t>
        </is>
      </c>
      <c r="G1278" s="33" t="inlineStr">
        <is>
          <t>High</t>
        </is>
      </c>
      <c r="H1278" s="33" t="inlineStr">
        <is>
          <t>Initial</t>
        </is>
      </c>
    </row>
    <row r="1279">
      <c r="A1279" s="33" t="inlineStr">
        <is>
          <t>2026-05-18</t>
        </is>
      </c>
      <c r="B1279" s="33" t="inlineStr">
        <is>
          <t>CIFR</t>
        </is>
      </c>
      <c r="C1279" s="33" t="inlineStr">
        <is>
          <t>R4</t>
        </is>
      </c>
      <c r="D1279" s="33" t="n">
        <v>3</v>
      </c>
      <c r="E1279" s="33" t="inlineStr">
        <is>
          <t>Clean post-rebrand; high-yield bond financings in place.</t>
        </is>
      </c>
      <c r="F1279" s="33" t="inlineStr">
        <is>
          <t>Layer 9 per-name deep research (2026-05-18): WebSearch + yfinance fundamentals + analyst revisions + SEC 8-K/6-K filings + IR press releases</t>
        </is>
      </c>
      <c r="G1279" s="33" t="inlineStr">
        <is>
          <t>Medium</t>
        </is>
      </c>
      <c r="H1279" s="33" t="inlineStr">
        <is>
          <t>Initial</t>
        </is>
      </c>
    </row>
    <row r="1280">
      <c r="A1280" s="33" t="inlineStr">
        <is>
          <t>2026-05-18</t>
        </is>
      </c>
      <c r="B1280" s="33" t="inlineStr">
        <is>
          <t>CLSK</t>
        </is>
      </c>
      <c r="C1280" s="33" t="inlineStr">
        <is>
          <t>D1</t>
        </is>
      </c>
      <c r="D1280" s="33" t="n">
        <v>2</v>
      </c>
      <c r="E1280" s="33" t="inlineStr">
        <is>
          <t>No signed AI leases yet; 95%+ BTC mining revenue. AI/HPC capacity in development only.</t>
        </is>
      </c>
      <c r="F1280" s="33" t="inlineStr">
        <is>
          <t>Layer 9 per-name deep research (2026-05-18): WebSearch + yfinance fundamentals + analyst revisions + SEC 8-K/6-K filings + IR press releases</t>
        </is>
      </c>
      <c r="G1280" s="33" t="inlineStr">
        <is>
          <t>High</t>
        </is>
      </c>
      <c r="H1280" s="33" t="inlineStr">
        <is>
          <t>Initial</t>
        </is>
      </c>
    </row>
    <row r="1281">
      <c r="A1281" s="33" t="inlineStr">
        <is>
          <t>2026-05-18</t>
        </is>
      </c>
      <c r="B1281" s="33" t="inlineStr">
        <is>
          <t>CLSK</t>
        </is>
      </c>
      <c r="C1281" s="33" t="inlineStr">
        <is>
          <t>D2</t>
        </is>
      </c>
      <c r="D1281" s="33" t="n">
        <v>2</v>
      </c>
      <c r="E1281" s="33" t="inlineStr">
        <is>
          <t>Mostly BTC miner with power asset optionality.</t>
        </is>
      </c>
      <c r="F1281" s="33" t="inlineStr">
        <is>
          <t>Layer 9 per-name deep research (2026-05-18): WebSearch + yfinance fundamentals + analyst revisions + SEC 8-K/6-K filings + IR press releases</t>
        </is>
      </c>
      <c r="G1281" s="33" t="inlineStr">
        <is>
          <t>High</t>
        </is>
      </c>
      <c r="H1281" s="33" t="inlineStr">
        <is>
          <t>Initial</t>
        </is>
      </c>
    </row>
    <row r="1282">
      <c r="A1282" s="33" t="inlineStr">
        <is>
          <t>2026-05-18</t>
        </is>
      </c>
      <c r="B1282" s="33" t="inlineStr">
        <is>
          <t>CLSK</t>
        </is>
      </c>
      <c r="C1282" s="33" t="inlineStr">
        <is>
          <t>D3</t>
        </is>
      </c>
      <c r="D1282" s="33" t="n">
        <v>2</v>
      </c>
      <c r="E1282" s="33" t="inlineStr">
        <is>
          <t>No AI moat; pre-customer.</t>
        </is>
      </c>
      <c r="F1282" s="33" t="inlineStr">
        <is>
          <t>Layer 9 per-name deep research (2026-05-18): WebSearch + yfinance fundamentals + analyst revisions + SEC 8-K/6-K filings + IR press releases</t>
        </is>
      </c>
      <c r="G1282" s="33" t="inlineStr">
        <is>
          <t>High</t>
        </is>
      </c>
      <c r="H1282" s="33" t="inlineStr">
        <is>
          <t>Initial</t>
        </is>
      </c>
    </row>
    <row r="1283">
      <c r="A1283" s="33" t="inlineStr">
        <is>
          <t>2026-05-18</t>
        </is>
      </c>
      <c r="B1283" s="33" t="inlineStr">
        <is>
          <t>CLSK</t>
        </is>
      </c>
      <c r="C1283" s="33" t="inlineStr">
        <is>
          <t>D4</t>
        </is>
      </c>
      <c r="D1283" s="33" t="n">
        <v>3</v>
      </c>
      <c r="E1283" s="33" t="inlineStr">
        <is>
          <t>300MW ERCOT approval Brazoria (up to 600MW potential); no signed AI customer.</t>
        </is>
      </c>
      <c r="F1283" s="33" t="inlineStr">
        <is>
          <t>Layer 9 per-name deep research (2026-05-18): WebSearch + yfinance fundamentals + analyst revisions + SEC 8-K/6-K filings + IR press releases</t>
        </is>
      </c>
      <c r="G1283" s="33" t="inlineStr">
        <is>
          <t>High</t>
        </is>
      </c>
      <c r="H1283" s="33" t="inlineStr">
        <is>
          <t>Initial</t>
        </is>
      </c>
    </row>
    <row r="1284">
      <c r="A1284" s="33" t="inlineStr">
        <is>
          <t>2026-05-18</t>
        </is>
      </c>
      <c r="B1284" s="33" t="inlineStr">
        <is>
          <t>CLSK</t>
        </is>
      </c>
      <c r="C1284" s="33" t="inlineStr">
        <is>
          <t>D5</t>
        </is>
      </c>
      <c r="D1284" s="33" t="n">
        <v>1</v>
      </c>
      <c r="E1284" s="33" t="inlineStr">
        <is>
          <t>No hyperscaler customer.</t>
        </is>
      </c>
      <c r="F1284" s="33" t="inlineStr">
        <is>
          <t>Layer 9 per-name deep research (2026-05-18): WebSearch + yfinance fundamentals + analyst revisions + SEC 8-K/6-K filings + IR press releases</t>
        </is>
      </c>
      <c r="G1284" s="33" t="inlineStr">
        <is>
          <t>High</t>
        </is>
      </c>
      <c r="H1284" s="33" t="inlineStr">
        <is>
          <t>Initial</t>
        </is>
      </c>
    </row>
    <row r="1285">
      <c r="A1285" s="33" t="inlineStr">
        <is>
          <t>2026-05-18</t>
        </is>
      </c>
      <c r="B1285" s="33" t="inlineStr">
        <is>
          <t>CLSK</t>
        </is>
      </c>
      <c r="C1285" s="33" t="inlineStr">
        <is>
          <t>M1</t>
        </is>
      </c>
      <c r="D1285" s="33" t="n">
        <v>2</v>
      </c>
      <c r="E1285" s="33" t="inlineStr">
        <is>
          <t>0 up / 1 down (30d). Negative.</t>
        </is>
      </c>
      <c r="F1285" s="33" t="inlineStr">
        <is>
          <t>Layer 9 per-name deep research (2026-05-18): WebSearch + yfinance fundamentals + analyst revisions + SEC 8-K/6-K filings + IR press releases</t>
        </is>
      </c>
      <c r="G1285" s="33" t="inlineStr">
        <is>
          <t>High</t>
        </is>
      </c>
      <c r="H1285" s="33" t="inlineStr">
        <is>
          <t>Initial</t>
        </is>
      </c>
    </row>
    <row r="1286">
      <c r="A1286" s="33" t="inlineStr">
        <is>
          <t>2026-05-18</t>
        </is>
      </c>
      <c r="B1286" s="33" t="inlineStr">
        <is>
          <t>CLSK</t>
        </is>
      </c>
      <c r="C1286" s="33" t="inlineStr">
        <is>
          <t>M2</t>
        </is>
      </c>
      <c r="D1286" s="33" t="n">
        <v>1</v>
      </c>
      <c r="E1286" s="33" t="inlineStr">
        <is>
          <t>+37% absolute 1y; -10pp vs BITQ — actively lagging crypto peer ETF.</t>
        </is>
      </c>
      <c r="F1286" s="33" t="inlineStr">
        <is>
          <t>Layer 9 per-name deep research (2026-05-18): WebSearch + yfinance fundamentals + analyst revisions + SEC 8-K/6-K filings + IR press releases</t>
        </is>
      </c>
      <c r="G1286" s="33" t="inlineStr">
        <is>
          <t>High</t>
        </is>
      </c>
      <c r="H1286" s="33" t="inlineStr">
        <is>
          <t>Initial</t>
        </is>
      </c>
    </row>
    <row r="1287">
      <c r="A1287" s="33" t="inlineStr">
        <is>
          <t>2026-05-18</t>
        </is>
      </c>
      <c r="B1287" s="33" t="inlineStr">
        <is>
          <t>CLSK</t>
        </is>
      </c>
      <c r="C1287" s="33" t="inlineStr">
        <is>
          <t>M3</t>
        </is>
      </c>
      <c r="D1287" s="33" t="n">
        <v>3</v>
      </c>
      <c r="E1287" s="33" t="inlineStr">
        <is>
          <t>Default neutral.</t>
        </is>
      </c>
      <c r="F1287" s="33" t="inlineStr">
        <is>
          <t>Layer 9 per-name deep research (2026-05-18): WebSearch + yfinance fundamentals + analyst revisions + SEC 8-K/6-K filings + IR press releases</t>
        </is>
      </c>
      <c r="G1287" s="33" t="inlineStr">
        <is>
          <t>Low</t>
        </is>
      </c>
      <c r="H1287" s="33" t="inlineStr">
        <is>
          <t>Initial</t>
        </is>
      </c>
    </row>
    <row r="1288">
      <c r="A1288" s="33" t="inlineStr">
        <is>
          <t>2026-05-18</t>
        </is>
      </c>
      <c r="B1288" s="33" t="inlineStr">
        <is>
          <t>CLSK</t>
        </is>
      </c>
      <c r="C1288" s="33" t="inlineStr">
        <is>
          <t>R1</t>
        </is>
      </c>
      <c r="D1288" s="33" t="n">
        <v>3</v>
      </c>
      <c r="E1288" s="33" t="inlineStr">
        <is>
          <t>Diversified BTC mining; no AI customer concentration since no AI customers.</t>
        </is>
      </c>
      <c r="F1288" s="33" t="inlineStr">
        <is>
          <t>Layer 9 per-name deep research (2026-05-18): WebSearch + yfinance fundamentals + analyst revisions + SEC 8-K/6-K filings + IR press releases</t>
        </is>
      </c>
      <c r="G1288" s="33" t="inlineStr">
        <is>
          <t>High</t>
        </is>
      </c>
      <c r="H1288" s="33" t="inlineStr">
        <is>
          <t>Initial</t>
        </is>
      </c>
    </row>
    <row r="1289">
      <c r="A1289" s="33" t="inlineStr">
        <is>
          <t>2026-05-18</t>
        </is>
      </c>
      <c r="B1289" s="33" t="inlineStr">
        <is>
          <t>CLSK</t>
        </is>
      </c>
      <c r="C1289" s="33" t="inlineStr">
        <is>
          <t>R2</t>
        </is>
      </c>
      <c r="D1289" s="33" t="n">
        <v>4</v>
      </c>
      <c r="E1289" s="33" t="inlineStr">
        <is>
          <t>US — clean geo.</t>
        </is>
      </c>
      <c r="F1289" s="33" t="inlineStr">
        <is>
          <t>Layer 9 per-name deep research (2026-05-18): WebSearch + yfinance fundamentals + analyst revisions + SEC 8-K/6-K filings + IR press releases</t>
        </is>
      </c>
      <c r="G1289" s="33" t="inlineStr">
        <is>
          <t>High</t>
        </is>
      </c>
      <c r="H1289" s="33" t="inlineStr">
        <is>
          <t>Initial</t>
        </is>
      </c>
    </row>
    <row r="1290">
      <c r="A1290" s="33" t="inlineStr">
        <is>
          <t>2026-05-18</t>
        </is>
      </c>
      <c r="B1290" s="33" t="inlineStr">
        <is>
          <t>CLSK</t>
        </is>
      </c>
      <c r="C1290" s="33" t="inlineStr">
        <is>
          <t>R3</t>
        </is>
      </c>
      <c r="D1290" s="33" t="n">
        <v>3</v>
      </c>
      <c r="E1290" s="33" t="inlineStr">
        <is>
          <t>ND/EBITDA -3.95 net cash; relatively clean balance sheet for peer group; 13,363 BTC treasury reserves.</t>
        </is>
      </c>
      <c r="F1290" s="33" t="inlineStr">
        <is>
          <t>Layer 9 per-name deep research (2026-05-18): WebSearch + yfinance fundamentals + analyst revisions + SEC 8-K/6-K filings + IR press releases</t>
        </is>
      </c>
      <c r="G1290" s="33" t="inlineStr">
        <is>
          <t>High</t>
        </is>
      </c>
      <c r="H1290" s="33" t="inlineStr">
        <is>
          <t>Initial</t>
        </is>
      </c>
    </row>
    <row r="1291">
      <c r="A1291" s="33" t="inlineStr">
        <is>
          <t>2026-05-18</t>
        </is>
      </c>
      <c r="B1291" s="33" t="inlineStr">
        <is>
          <t>CLSK</t>
        </is>
      </c>
      <c r="C1291" s="33" t="inlineStr">
        <is>
          <t>R4</t>
        </is>
      </c>
      <c r="D1291" s="33" t="n">
        <v>4</v>
      </c>
      <c r="E1291" s="33" t="inlineStr">
        <is>
          <t>Clean — pure-play BTC miner regulatory environment.</t>
        </is>
      </c>
      <c r="F1291" s="33" t="inlineStr">
        <is>
          <t>Layer 9 per-name deep research (2026-05-18): WebSearch + yfinance fundamentals + analyst revisions + SEC 8-K/6-K filings + IR press releases</t>
        </is>
      </c>
      <c r="G1291" s="33" t="inlineStr">
        <is>
          <t>High</t>
        </is>
      </c>
      <c r="H1291" s="33" t="inlineStr">
        <is>
          <t>Initial</t>
        </is>
      </c>
    </row>
    <row r="1292">
      <c r="A1292" s="33" t="inlineStr">
        <is>
          <t>2026-05-18</t>
        </is>
      </c>
      <c r="B1292" s="33" t="inlineStr">
        <is>
          <t>BTDR</t>
        </is>
      </c>
      <c r="C1292" s="33" t="inlineStr">
        <is>
          <t>D1</t>
        </is>
      </c>
      <c r="D1292" s="33" t="n">
        <v>3</v>
      </c>
      <c r="E1292" s="33" t="inlineStr">
        <is>
          <t>AI cloud ARR ~$69M (April 2026, +60% MoM) but still small vs mining; pivoting.</t>
        </is>
      </c>
      <c r="F1292" s="33" t="inlineStr">
        <is>
          <t>Layer 9 per-name deep research (2026-05-18): WebSearch + yfinance fundamentals + analyst revisions + SEC 8-K/6-K filings + IR press releases</t>
        </is>
      </c>
      <c r="G1292" s="33" t="inlineStr">
        <is>
          <t>High</t>
        </is>
      </c>
      <c r="H1292" s="33" t="inlineStr">
        <is>
          <t>Initial</t>
        </is>
      </c>
    </row>
    <row r="1293">
      <c r="A1293" s="33" t="inlineStr">
        <is>
          <t>2026-05-18</t>
        </is>
      </c>
      <c r="B1293" s="33" t="inlineStr">
        <is>
          <t>BTDR</t>
        </is>
      </c>
      <c r="C1293" s="33" t="inlineStr">
        <is>
          <t>D2</t>
        </is>
      </c>
      <c r="D1293" s="33" t="n">
        <v>3</v>
      </c>
      <c r="E1293" s="33" t="inlineStr">
        <is>
          <t>Compute infra play with some upstream via NVDA GB200 partnership.</t>
        </is>
      </c>
      <c r="F1293" s="33" t="inlineStr">
        <is>
          <t>Layer 9 per-name deep research (2026-05-18): WebSearch + yfinance fundamentals + analyst revisions + SEC 8-K/6-K filings + IR press releases</t>
        </is>
      </c>
      <c r="G1293" s="33" t="inlineStr">
        <is>
          <t>Medium</t>
        </is>
      </c>
      <c r="H1293" s="33" t="inlineStr">
        <is>
          <t>Initial</t>
        </is>
      </c>
    </row>
    <row r="1294">
      <c r="A1294" s="33" t="inlineStr">
        <is>
          <t>2026-05-18</t>
        </is>
      </c>
      <c r="B1294" s="33" t="inlineStr">
        <is>
          <t>BTDR</t>
        </is>
      </c>
      <c r="C1294" s="33" t="inlineStr">
        <is>
          <t>D3</t>
        </is>
      </c>
      <c r="D1294" s="33" t="n">
        <v>3</v>
      </c>
      <c r="E1294" s="33" t="inlineStr">
        <is>
          <t>NVDA GB200 NVL72 Malaysia + Tydal Norway low-cost power = some differentiation but commoditizable.</t>
        </is>
      </c>
      <c r="F1294" s="33" t="inlineStr">
        <is>
          <t>Layer 9 per-name deep research (2026-05-18): WebSearch + yfinance fundamentals + analyst revisions + SEC 8-K/6-K filings + IR press releases</t>
        </is>
      </c>
      <c r="G1294" s="33" t="inlineStr">
        <is>
          <t>Medium</t>
        </is>
      </c>
      <c r="H1294" s="33" t="inlineStr">
        <is>
          <t>Initial</t>
        </is>
      </c>
    </row>
    <row r="1295">
      <c r="A1295" s="33" t="inlineStr">
        <is>
          <t>2026-05-18</t>
        </is>
      </c>
      <c r="B1295" s="33" t="inlineStr">
        <is>
          <t>BTDR</t>
        </is>
      </c>
      <c r="C1295" s="33" t="inlineStr">
        <is>
          <t>D4</t>
        </is>
      </c>
      <c r="D1295" s="33" t="n">
        <v>4</v>
      </c>
      <c r="E1295" s="33" t="inlineStr">
        <is>
          <t>3.0GW global capacity; 180MW Tydal Norway end-2026 for Vera Rubin colo.</t>
        </is>
      </c>
      <c r="F1295" s="33" t="inlineStr">
        <is>
          <t>Layer 9 per-name deep research (2026-05-18): WebSearch + yfinance fundamentals + analyst revisions + SEC 8-K/6-K filings + IR press releases</t>
        </is>
      </c>
      <c r="G1295" s="33" t="inlineStr">
        <is>
          <t>High</t>
        </is>
      </c>
      <c r="H1295" s="33" t="inlineStr">
        <is>
          <t>Initial</t>
        </is>
      </c>
    </row>
    <row r="1296">
      <c r="A1296" s="33" t="inlineStr">
        <is>
          <t>2026-05-18</t>
        </is>
      </c>
      <c r="B1296" s="33" t="inlineStr">
        <is>
          <t>BTDR</t>
        </is>
      </c>
      <c r="C1296" s="33" t="inlineStr">
        <is>
          <t>D5</t>
        </is>
      </c>
      <c r="D1296" s="33" t="n">
        <v>3</v>
      </c>
      <c r="E1296" s="33" t="inlineStr">
        <is>
          <t>Tydal hosting tenant in advanced negotiation — not yet signed direct hyperscaler.</t>
        </is>
      </c>
      <c r="F1296" s="33" t="inlineStr">
        <is>
          <t>Layer 9 per-name deep research (2026-05-18): WebSearch + yfinance fundamentals + analyst revisions + SEC 8-K/6-K filings + IR press releases</t>
        </is>
      </c>
      <c r="G1296" s="33" t="inlineStr">
        <is>
          <t>Medium</t>
        </is>
      </c>
      <c r="H1296" s="33" t="inlineStr">
        <is>
          <t>Initial</t>
        </is>
      </c>
    </row>
    <row r="1297">
      <c r="A1297" s="33" t="inlineStr">
        <is>
          <t>2026-05-18</t>
        </is>
      </c>
      <c r="B1297" s="33" t="inlineStr">
        <is>
          <t>BTDR</t>
        </is>
      </c>
      <c r="C1297" s="33" t="inlineStr">
        <is>
          <t>M1</t>
        </is>
      </c>
      <c r="D1297" s="33" t="n">
        <v>2</v>
      </c>
      <c r="E1297" s="33" t="inlineStr">
        <is>
          <t>1 up / 2 down (30d). Net negative.</t>
        </is>
      </c>
      <c r="F1297" s="33" t="inlineStr">
        <is>
          <t>Layer 9 per-name deep research (2026-05-18): WebSearch + yfinance fundamentals + analyst revisions + SEC 8-K/6-K filings + IR press releases</t>
        </is>
      </c>
      <c r="G1297" s="33" t="inlineStr">
        <is>
          <t>High</t>
        </is>
      </c>
      <c r="H1297" s="33" t="inlineStr">
        <is>
          <t>Initial</t>
        </is>
      </c>
    </row>
    <row r="1298">
      <c r="A1298" s="33" t="inlineStr">
        <is>
          <t>2026-05-18</t>
        </is>
      </c>
      <c r="B1298" s="33" t="inlineStr">
        <is>
          <t>BTDR</t>
        </is>
      </c>
      <c r="C1298" s="33" t="inlineStr">
        <is>
          <t>M2</t>
        </is>
      </c>
      <c r="D1298" s="33" t="n">
        <v>1</v>
      </c>
      <c r="E1298" s="33" t="inlineStr">
        <is>
          <t>-14% absolute 1y; -61pp vs BITQ — laggard. CALIBRATION FLAG: in a normal market -14% would be M2=2, but BITQ peer benchmark and AI-peer-group strength justify M2=1. Logged for quarterly review per Dom 2026-05-18.</t>
        </is>
      </c>
      <c r="F1298" s="33" t="inlineStr">
        <is>
          <t>Layer 9 per-name deep research (2026-05-18): WebSearch + yfinance fundamentals + analyst revisions + SEC 8-K/6-K filings + IR press releases</t>
        </is>
      </c>
      <c r="G1298" s="33" t="inlineStr">
        <is>
          <t>Medium</t>
        </is>
      </c>
      <c r="H1298" s="33" t="inlineStr">
        <is>
          <t>Initial</t>
        </is>
      </c>
    </row>
    <row r="1299">
      <c r="A1299" s="33" t="inlineStr">
        <is>
          <t>2026-05-18</t>
        </is>
      </c>
      <c r="B1299" s="33" t="inlineStr">
        <is>
          <t>BTDR</t>
        </is>
      </c>
      <c r="C1299" s="33" t="inlineStr">
        <is>
          <t>M3</t>
        </is>
      </c>
      <c r="D1299" s="33" t="n">
        <v>3</v>
      </c>
      <c r="E1299" s="33" t="inlineStr">
        <is>
          <t>Default neutral.</t>
        </is>
      </c>
      <c r="F1299" s="33" t="inlineStr">
        <is>
          <t>Layer 9 per-name deep research (2026-05-18): WebSearch + yfinance fundamentals + analyst revisions + SEC 8-K/6-K filings + IR press releases</t>
        </is>
      </c>
      <c r="G1299" s="33" t="inlineStr">
        <is>
          <t>Low</t>
        </is>
      </c>
      <c r="H1299" s="33" t="inlineStr">
        <is>
          <t>Initial</t>
        </is>
      </c>
    </row>
    <row r="1300">
      <c r="A1300" s="33" t="inlineStr">
        <is>
          <t>2026-05-18</t>
        </is>
      </c>
      <c r="B1300" s="33" t="inlineStr">
        <is>
          <t>BTDR</t>
        </is>
      </c>
      <c r="C1300" s="33" t="inlineStr">
        <is>
          <t>R1</t>
        </is>
      </c>
      <c r="D1300" s="33" t="n">
        <v>3</v>
      </c>
      <c r="E1300" s="33" t="inlineStr">
        <is>
          <t>Diversified mining + AI cloud + colo.</t>
        </is>
      </c>
      <c r="F1300" s="33" t="inlineStr">
        <is>
          <t>Layer 9 per-name deep research (2026-05-18): WebSearch + yfinance fundamentals + analyst revisions + SEC 8-K/6-K filings + IR press releases</t>
        </is>
      </c>
      <c r="G1300" s="33" t="inlineStr">
        <is>
          <t>Medium</t>
        </is>
      </c>
      <c r="H1300" s="33" t="inlineStr">
        <is>
          <t>Initial</t>
        </is>
      </c>
    </row>
    <row r="1301">
      <c r="A1301" s="33" t="inlineStr">
        <is>
          <t>2026-05-18</t>
        </is>
      </c>
      <c r="B1301" s="33" t="inlineStr">
        <is>
          <t>BTDR</t>
        </is>
      </c>
      <c r="C1301" s="33" t="inlineStr">
        <is>
          <t>R2</t>
        </is>
      </c>
      <c r="D1301" s="33" t="n">
        <v>3</v>
      </c>
      <c r="E1301" s="33" t="inlineStr">
        <is>
          <t>Singapore HQ with Bitmain founder legacy ties = some China-adjacent FX/regulatory uncertainty.</t>
        </is>
      </c>
      <c r="F1301" s="33" t="inlineStr">
        <is>
          <t>Layer 9 per-name deep research (2026-05-18): WebSearch + yfinance fundamentals + analyst revisions + SEC 8-K/6-K filings + IR press releases</t>
        </is>
      </c>
      <c r="G1301" s="33" t="inlineStr">
        <is>
          <t>Medium</t>
        </is>
      </c>
      <c r="H1301" s="33" t="inlineStr">
        <is>
          <t>Initial</t>
        </is>
      </c>
    </row>
    <row r="1302">
      <c r="A1302" s="33" t="inlineStr">
        <is>
          <t>2026-05-18</t>
        </is>
      </c>
      <c r="B1302" s="33" t="inlineStr">
        <is>
          <t>BTDR</t>
        </is>
      </c>
      <c r="C1302" s="33" t="inlineStr">
        <is>
          <t>R3</t>
        </is>
      </c>
      <c r="D1302" s="33" t="n">
        <v>2</v>
      </c>
      <c r="E1302" s="33" t="inlineStr">
        <is>
          <t>FCFM -100%, high capex; ND/EBITDA 3.82 moderate.</t>
        </is>
      </c>
      <c r="F1302" s="33" t="inlineStr">
        <is>
          <t>Layer 9 per-name deep research (2026-05-18): WebSearch + yfinance fundamentals + analyst revisions + SEC 8-K/6-K filings + IR press releases</t>
        </is>
      </c>
      <c r="G1302" s="33" t="inlineStr">
        <is>
          <t>High</t>
        </is>
      </c>
      <c r="H1302" s="33" t="inlineStr">
        <is>
          <t>Initial</t>
        </is>
      </c>
    </row>
    <row r="1303">
      <c r="A1303" s="33" t="inlineStr">
        <is>
          <t>2026-05-18</t>
        </is>
      </c>
      <c r="B1303" s="33" t="inlineStr">
        <is>
          <t>BTDR</t>
        </is>
      </c>
      <c r="C1303" s="33" t="inlineStr">
        <is>
          <t>R4</t>
        </is>
      </c>
      <c r="D1303" s="33" t="n">
        <v>3</v>
      </c>
      <c r="E1303" s="33" t="inlineStr">
        <is>
          <t>Bitmain founder ownership ties = some regulatory tail; otherwise clean.</t>
        </is>
      </c>
      <c r="F1303" s="33" t="inlineStr">
        <is>
          <t>Layer 9 per-name deep research (2026-05-18): WebSearch + yfinance fundamentals + analyst revisions + SEC 8-K/6-K filings + IR press releases</t>
        </is>
      </c>
      <c r="G1303" s="33" t="inlineStr">
        <is>
          <t>Medium</t>
        </is>
      </c>
      <c r="H1303" s="33" t="inlineStr">
        <is>
          <t>Initial</t>
        </is>
      </c>
    </row>
    <row r="1304">
      <c r="A1304" s="33" t="inlineStr">
        <is>
          <t>2026-05-18</t>
        </is>
      </c>
      <c r="B1304" s="33" t="inlineStr">
        <is>
          <t>HUT</t>
        </is>
      </c>
      <c r="C1304" s="33" t="inlineStr">
        <is>
          <t>D1</t>
        </is>
      </c>
      <c r="D1304" s="33" t="n">
        <v>4</v>
      </c>
      <c r="E1304" s="33" t="inlineStr">
        <is>
          <t>$16.8B contracted triple-net lease revenues; Highrise AI subsidiary; AI lease portfolio now dominant forward narrative vs declining BTC mining mix.</t>
        </is>
      </c>
      <c r="F1304" s="33" t="inlineStr">
        <is>
          <t>Layer 9 per-name deep research (2026-05-18): WebSearch + yfinance fundamentals + analyst revisions + SEC 8-K/6-K filings + IR press releases</t>
        </is>
      </c>
      <c r="G1304" s="33" t="inlineStr">
        <is>
          <t>High</t>
        </is>
      </c>
      <c r="H1304" s="33" t="inlineStr">
        <is>
          <t>Initial</t>
        </is>
      </c>
    </row>
    <row r="1305">
      <c r="A1305" s="33" t="inlineStr">
        <is>
          <t>2026-05-18</t>
        </is>
      </c>
      <c r="B1305" s="33" t="inlineStr">
        <is>
          <t>HUT</t>
        </is>
      </c>
      <c r="C1305" s="33" t="inlineStr">
        <is>
          <t>D2</t>
        </is>
      </c>
      <c r="D1305" s="33" t="n">
        <v>3</v>
      </c>
      <c r="E1305" s="33" t="inlineStr">
        <is>
          <t>Downstream HPC hoster delivering power/colo to AI cloud operators.</t>
        </is>
      </c>
      <c r="F1305" s="33" t="inlineStr">
        <is>
          <t>Layer 9 per-name deep research (2026-05-18): WebSearch + yfinance fundamentals + analyst revisions + SEC 8-K/6-K filings + IR press releases</t>
        </is>
      </c>
      <c r="G1305" s="33" t="inlineStr">
        <is>
          <t>High</t>
        </is>
      </c>
      <c r="H1305" s="33" t="inlineStr">
        <is>
          <t>Initial</t>
        </is>
      </c>
    </row>
    <row r="1306">
      <c r="A1306" s="33" t="inlineStr">
        <is>
          <t>2026-05-18</t>
        </is>
      </c>
      <c r="B1306" s="33" t="inlineStr">
        <is>
          <t>HUT</t>
        </is>
      </c>
      <c r="C1306" s="33" t="inlineStr">
        <is>
          <t>D3</t>
        </is>
      </c>
      <c r="D1306" s="33" t="n">
        <v>3</v>
      </c>
      <c r="E1306" s="33" t="inlineStr">
        <is>
          <t>15yr leases (Beacon Point + River Bend) with Google-backstopped Fluidstack = durable contracts but pure colo is structurally less moaty than AI cloud operator.</t>
        </is>
      </c>
      <c r="F1306" s="33" t="inlineStr">
        <is>
          <t>Layer 9 per-name deep research (2026-05-18): WebSearch + yfinance fundamentals + analyst revisions + SEC 8-K/6-K filings + IR press releases</t>
        </is>
      </c>
      <c r="G1306" s="33" t="inlineStr">
        <is>
          <t>Medium</t>
        </is>
      </c>
      <c r="H1306" s="33" t="inlineStr">
        <is>
          <t>Initial</t>
        </is>
      </c>
    </row>
    <row r="1307">
      <c r="A1307" s="33" t="inlineStr">
        <is>
          <t>2026-05-18</t>
        </is>
      </c>
      <c r="B1307" s="33" t="inlineStr">
        <is>
          <t>HUT</t>
        </is>
      </c>
      <c r="C1307" s="33" t="inlineStr">
        <is>
          <t>D4</t>
        </is>
      </c>
      <c r="D1307" s="33" t="n">
        <v>5</v>
      </c>
      <c r="E1307" s="33" t="inlineStr">
        <is>
          <t>Beacon Point 352MW + River Bend 245MW IT + ROFO 1GW+ expansion — top-tier capacity locked.</t>
        </is>
      </c>
      <c r="F1307" s="33" t="inlineStr">
        <is>
          <t>Layer 9 per-name deep research (2026-05-18): WebSearch + yfinance fundamentals + analyst revisions + SEC 8-K/6-K filings + IR press releases</t>
        </is>
      </c>
      <c r="G1307" s="33" t="inlineStr">
        <is>
          <t>High</t>
        </is>
      </c>
      <c r="H1307" s="33" t="inlineStr">
        <is>
          <t>Initial</t>
        </is>
      </c>
    </row>
    <row r="1308">
      <c r="A1308" s="33" t="inlineStr">
        <is>
          <t>2026-05-18</t>
        </is>
      </c>
      <c r="B1308" s="33" t="inlineStr">
        <is>
          <t>HUT</t>
        </is>
      </c>
      <c r="C1308" s="33" t="inlineStr">
        <is>
          <t>D5</t>
        </is>
      </c>
      <c r="D1308" s="33" t="n">
        <v>5</v>
      </c>
      <c r="E1308" s="33" t="inlineStr">
        <is>
          <t>High-investment-grade tenant Beacon Point + Fluidstack-with-Google-backstop = effectively direct hyperscaler exposure.</t>
        </is>
      </c>
      <c r="F1308" s="33" t="inlineStr">
        <is>
          <t>Layer 9 per-name deep research (2026-05-18): WebSearch + yfinance fundamentals + analyst revisions + SEC 8-K/6-K filings + IR press releases</t>
        </is>
      </c>
      <c r="G1308" s="33" t="inlineStr">
        <is>
          <t>High</t>
        </is>
      </c>
      <c r="H1308" s="33" t="inlineStr">
        <is>
          <t>Initial</t>
        </is>
      </c>
    </row>
    <row r="1309">
      <c r="A1309" s="33" t="inlineStr">
        <is>
          <t>2026-05-18</t>
        </is>
      </c>
      <c r="B1309" s="33" t="inlineStr">
        <is>
          <t>HUT</t>
        </is>
      </c>
      <c r="C1309" s="33" t="inlineStr">
        <is>
          <t>M1</t>
        </is>
      </c>
      <c r="D1309" s="33" t="n">
        <v>3</v>
      </c>
      <c r="E1309" s="33" t="inlineStr">
        <is>
          <t>Flat (0/0) — no recent revisions either direction.</t>
        </is>
      </c>
      <c r="F1309" s="33" t="inlineStr">
        <is>
          <t>Layer 9 per-name deep research (2026-05-18): WebSearch + yfinance fundamentals + analyst revisions + SEC 8-K/6-K filings + IR press releases</t>
        </is>
      </c>
      <c r="G1309" s="33" t="inlineStr">
        <is>
          <t>Medium</t>
        </is>
      </c>
      <c r="H1309" s="33" t="inlineStr">
        <is>
          <t>Initial</t>
        </is>
      </c>
    </row>
    <row r="1310">
      <c r="A1310" s="33" t="inlineStr">
        <is>
          <t>2026-05-18</t>
        </is>
      </c>
      <c r="B1310" s="33" t="inlineStr">
        <is>
          <t>HUT</t>
        </is>
      </c>
      <c r="C1310" s="33" t="inlineStr">
        <is>
          <t>M2</t>
        </is>
      </c>
      <c r="D1310" s="33" t="n">
        <v>5</v>
      </c>
      <c r="E1310" s="33" t="inlineStr">
        <is>
          <t>+460% absolute 1y; +414pp vs BITQ — extreme leader.</t>
        </is>
      </c>
      <c r="F1310" s="33" t="inlineStr">
        <is>
          <t>Layer 9 per-name deep research (2026-05-18): WebSearch + yfinance fundamentals + analyst revisions + SEC 8-K/6-K filings + IR press releases</t>
        </is>
      </c>
      <c r="G1310" s="33" t="inlineStr">
        <is>
          <t>High</t>
        </is>
      </c>
      <c r="H1310" s="33" t="inlineStr">
        <is>
          <t>Initial</t>
        </is>
      </c>
    </row>
    <row r="1311">
      <c r="A1311" s="33" t="inlineStr">
        <is>
          <t>2026-05-18</t>
        </is>
      </c>
      <c r="B1311" s="33" t="inlineStr">
        <is>
          <t>HUT</t>
        </is>
      </c>
      <c r="C1311" s="33" t="inlineStr">
        <is>
          <t>M3</t>
        </is>
      </c>
      <c r="D1311" s="33" t="n">
        <v>3</v>
      </c>
      <c r="E1311" s="33" t="inlineStr">
        <is>
          <t>Default neutral; Form 4 not pulled.</t>
        </is>
      </c>
      <c r="F1311" s="33" t="inlineStr">
        <is>
          <t>Layer 9 per-name deep research (2026-05-18): WebSearch + yfinance fundamentals + analyst revisions + SEC 8-K/6-K filings + IR press releases</t>
        </is>
      </c>
      <c r="G1311" s="33" t="inlineStr">
        <is>
          <t>Low</t>
        </is>
      </c>
      <c r="H1311" s="33" t="inlineStr">
        <is>
          <t>Initial</t>
        </is>
      </c>
    </row>
    <row r="1312">
      <c r="A1312" s="33" t="inlineStr">
        <is>
          <t>2026-05-18</t>
        </is>
      </c>
      <c r="B1312" s="33" t="inlineStr">
        <is>
          <t>HUT</t>
        </is>
      </c>
      <c r="C1312" s="33" t="inlineStr">
        <is>
          <t>R1</t>
        </is>
      </c>
      <c r="D1312" s="33" t="n">
        <v>3</v>
      </c>
      <c r="E1312" s="33" t="inlineStr">
        <is>
          <t>Multiple tenants (Beacon Point IG tenant + Fluidstack + American Bitcoin) — diversified.</t>
        </is>
      </c>
      <c r="F1312" s="33" t="inlineStr">
        <is>
          <t>Layer 9 per-name deep research (2026-05-18): WebSearch + yfinance fundamentals + analyst revisions + SEC 8-K/6-K filings + IR press releases</t>
        </is>
      </c>
      <c r="G1312" s="33" t="inlineStr">
        <is>
          <t>High</t>
        </is>
      </c>
      <c r="H1312" s="33" t="inlineStr">
        <is>
          <t>Initial</t>
        </is>
      </c>
    </row>
    <row r="1313">
      <c r="A1313" s="33" t="inlineStr">
        <is>
          <t>2026-05-18</t>
        </is>
      </c>
      <c r="B1313" s="33" t="inlineStr">
        <is>
          <t>HUT</t>
        </is>
      </c>
      <c r="C1313" s="33" t="inlineStr">
        <is>
          <t>R2</t>
        </is>
      </c>
      <c r="D1313" s="33" t="n">
        <v>4</v>
      </c>
      <c r="E1313" s="33" t="inlineStr">
        <is>
          <t>US/Canada operations — clean geo.</t>
        </is>
      </c>
      <c r="F1313" s="33" t="inlineStr">
        <is>
          <t>Layer 9 per-name deep research (2026-05-18): WebSearch + yfinance fundamentals + analyst revisions + SEC 8-K/6-K filings + IR press releases</t>
        </is>
      </c>
      <c r="G1313" s="33" t="inlineStr">
        <is>
          <t>High</t>
        </is>
      </c>
      <c r="H1313" s="33" t="inlineStr">
        <is>
          <t>Initial</t>
        </is>
      </c>
    </row>
    <row r="1314">
      <c r="A1314" s="33" t="inlineStr">
        <is>
          <t>2026-05-18</t>
        </is>
      </c>
      <c r="B1314" s="33" t="inlineStr">
        <is>
          <t>HUT</t>
        </is>
      </c>
      <c r="C1314" s="33" t="inlineStr">
        <is>
          <t>R3</t>
        </is>
      </c>
      <c r="D1314" s="33" t="n">
        <v>2</v>
      </c>
      <c r="E1314" s="33" t="inlineStr">
        <is>
          <t>FCFM -106% reflects capex build phase; ND/EBITDA -0.63 net cash but very small EBITDA base.</t>
        </is>
      </c>
      <c r="F1314" s="33" t="inlineStr">
        <is>
          <t>Layer 9 per-name deep research (2026-05-18): WebSearch + yfinance fundamentals + analyst revisions + SEC 8-K/6-K filings + IR press releases</t>
        </is>
      </c>
      <c r="G1314" s="33" t="inlineStr">
        <is>
          <t>High</t>
        </is>
      </c>
      <c r="H1314" s="33" t="inlineStr">
        <is>
          <t>Initial</t>
        </is>
      </c>
    </row>
    <row r="1315">
      <c r="A1315" s="33" t="inlineStr">
        <is>
          <t>2026-05-18</t>
        </is>
      </c>
      <c r="B1315" s="33" t="inlineStr">
        <is>
          <t>HUT</t>
        </is>
      </c>
      <c r="C1315" s="33" t="inlineStr">
        <is>
          <t>R4</t>
        </is>
      </c>
      <c r="D1315" s="33" t="n">
        <v>3</v>
      </c>
      <c r="E1315" s="33" t="inlineStr">
        <is>
          <t>Clean post-business-combination; no active overhang.</t>
        </is>
      </c>
      <c r="F1315" s="33" t="inlineStr">
        <is>
          <t>Layer 9 per-name deep research (2026-05-18): WebSearch + yfinance fundamentals + analyst revisions + SEC 8-K/6-K filings + IR press releases</t>
        </is>
      </c>
      <c r="G1315" s="33" t="inlineStr">
        <is>
          <t>Medium</t>
        </is>
      </c>
      <c r="H1315" s="33" t="inlineStr">
        <is>
          <t>Initial</t>
        </is>
      </c>
    </row>
    <row r="1316">
      <c r="A1316" s="33" t="inlineStr">
        <is>
          <t>2026-05-18</t>
        </is>
      </c>
      <c r="B1316" s="33" t="inlineStr">
        <is>
          <t>BITF</t>
        </is>
      </c>
      <c r="C1316" s="33" t="inlineStr">
        <is>
          <t>D1</t>
        </is>
      </c>
      <c r="D1316" s="33" t="n">
        <v>2</v>
      </c>
      <c r="E1316" s="33" t="inlineStr">
        <is>
          <t>HPC strategy in development; Sharon PA acquired; no signed AI leases yet. AI revenue essentially zero.</t>
        </is>
      </c>
      <c r="F1316" s="33" t="inlineStr">
        <is>
          <t>Layer 9 per-name deep research (2026-05-18): WebSearch + yfinance fundamentals + analyst revisions + SEC 8-K/6-K filings + IR press releases</t>
        </is>
      </c>
      <c r="G1316" s="33" t="inlineStr">
        <is>
          <t>High</t>
        </is>
      </c>
      <c r="H1316" s="33" t="inlineStr">
        <is>
          <t>Initial</t>
        </is>
      </c>
    </row>
    <row r="1317">
      <c r="A1317" s="33" t="inlineStr">
        <is>
          <t>2026-05-18</t>
        </is>
      </c>
      <c r="B1317" s="33" t="inlineStr">
        <is>
          <t>BITF</t>
        </is>
      </c>
      <c r="C1317" s="33" t="inlineStr">
        <is>
          <t>D2</t>
        </is>
      </c>
      <c r="D1317" s="33" t="n">
        <v>2</v>
      </c>
      <c r="E1317" s="33" t="inlineStr">
        <is>
          <t>BTC miner pivoting; pre-execution.</t>
        </is>
      </c>
      <c r="F1317" s="33" t="inlineStr">
        <is>
          <t>Layer 9 per-name deep research (2026-05-18): WebSearch + yfinance fundamentals + analyst revisions + SEC 8-K/6-K filings + IR press releases</t>
        </is>
      </c>
      <c r="G1317" s="33" t="inlineStr">
        <is>
          <t>High</t>
        </is>
      </c>
      <c r="H1317" s="33" t="inlineStr">
        <is>
          <t>Initial</t>
        </is>
      </c>
    </row>
    <row r="1318">
      <c r="A1318" s="33" t="inlineStr">
        <is>
          <t>2026-05-18</t>
        </is>
      </c>
      <c r="B1318" s="33" t="inlineStr">
        <is>
          <t>BITF</t>
        </is>
      </c>
      <c r="C1318" s="33" t="inlineStr">
        <is>
          <t>D3</t>
        </is>
      </c>
      <c r="D1318" s="33" t="n">
        <v>2</v>
      </c>
      <c r="E1318" s="33" t="inlineStr">
        <is>
          <t>No AI moat; pre-customer.</t>
        </is>
      </c>
      <c r="F1318" s="33" t="inlineStr">
        <is>
          <t>Layer 9 per-name deep research (2026-05-18): WebSearch + yfinance fundamentals + analyst revisions + SEC 8-K/6-K filings + IR press releases</t>
        </is>
      </c>
      <c r="G1318" s="33" t="inlineStr">
        <is>
          <t>High</t>
        </is>
      </c>
      <c r="H1318" s="33" t="inlineStr">
        <is>
          <t>Initial</t>
        </is>
      </c>
    </row>
    <row r="1319">
      <c r="A1319" s="33" t="inlineStr">
        <is>
          <t>2026-05-18</t>
        </is>
      </c>
      <c r="B1319" s="33" t="inlineStr">
        <is>
          <t>BITF</t>
        </is>
      </c>
      <c r="C1319" s="33" t="inlineStr">
        <is>
          <t>D4</t>
        </is>
      </c>
      <c r="D1319" s="33" t="n">
        <v>3</v>
      </c>
      <c r="E1319" s="33" t="inlineStr">
        <is>
          <t>1.3GW growth pipeline planned; Sharon PA acquired; feasibility studies underway.</t>
        </is>
      </c>
      <c r="F1319" s="33" t="inlineStr">
        <is>
          <t>Layer 9 per-name deep research (2026-05-18): WebSearch + yfinance fundamentals + analyst revisions + SEC 8-K/6-K filings + IR press releases</t>
        </is>
      </c>
      <c r="G1319" s="33" t="inlineStr">
        <is>
          <t>High</t>
        </is>
      </c>
      <c r="H1319" s="33" t="inlineStr">
        <is>
          <t>Initial</t>
        </is>
      </c>
    </row>
    <row r="1320">
      <c r="A1320" s="33" t="inlineStr">
        <is>
          <t>2026-05-18</t>
        </is>
      </c>
      <c r="B1320" s="33" t="inlineStr">
        <is>
          <t>BITF</t>
        </is>
      </c>
      <c r="C1320" s="33" t="inlineStr">
        <is>
          <t>D5</t>
        </is>
      </c>
      <c r="D1320" s="33" t="n">
        <v>1</v>
      </c>
      <c r="E1320" s="33" t="inlineStr">
        <is>
          <t>No hyperscaler customer signed yet.</t>
        </is>
      </c>
      <c r="F1320" s="33" t="inlineStr">
        <is>
          <t>Layer 9 per-name deep research (2026-05-18): WebSearch + yfinance fundamentals + analyst revisions + SEC 8-K/6-K filings + IR press releases</t>
        </is>
      </c>
      <c r="G1320" s="33" t="inlineStr">
        <is>
          <t>High</t>
        </is>
      </c>
      <c r="H1320" s="33" t="inlineStr">
        <is>
          <t>Initial</t>
        </is>
      </c>
    </row>
    <row r="1321">
      <c r="A1321" s="33" t="inlineStr">
        <is>
          <t>2026-05-18</t>
        </is>
      </c>
      <c r="B1321" s="33" t="inlineStr">
        <is>
          <t>BITF</t>
        </is>
      </c>
      <c r="C1321" s="33" t="inlineStr">
        <is>
          <t>M1</t>
        </is>
      </c>
      <c r="D1321" s="33" t="n">
        <v>3</v>
      </c>
      <c r="E1321" s="33" t="inlineStr">
        <is>
          <t>Default neutral — insufficient analyst coverage.</t>
        </is>
      </c>
      <c r="F1321" s="33" t="inlineStr">
        <is>
          <t>Layer 9 per-name deep research (2026-05-18): WebSearch + yfinance fundamentals + analyst revisions + SEC 8-K/6-K filings + IR press releases</t>
        </is>
      </c>
      <c r="G1321" s="33" t="inlineStr">
        <is>
          <t>Low</t>
        </is>
      </c>
      <c r="H1321" s="33" t="inlineStr">
        <is>
          <t>Initial</t>
        </is>
      </c>
    </row>
    <row r="1322">
      <c r="A1322" s="33" t="inlineStr">
        <is>
          <t>2026-05-18</t>
        </is>
      </c>
      <c r="B1322" s="33" t="inlineStr">
        <is>
          <t>BITF</t>
        </is>
      </c>
      <c r="C1322" s="33" t="inlineStr">
        <is>
          <t>M2</t>
        </is>
      </c>
      <c r="D1322" s="33" t="n">
        <v>3</v>
      </c>
      <c r="E1322" s="33" t="inlineStr">
        <is>
          <t>+263% absolute 1y; +217pp vs BITQ. Strong but mid-pack vs leading AI peers.</t>
        </is>
      </c>
      <c r="F1322" s="33" t="inlineStr">
        <is>
          <t>Layer 9 per-name deep research (2026-05-18): WebSearch + yfinance fundamentals + analyst revisions + SEC 8-K/6-K filings + IR press releases</t>
        </is>
      </c>
      <c r="G1322" s="33" t="inlineStr">
        <is>
          <t>High</t>
        </is>
      </c>
      <c r="H1322" s="33" t="inlineStr">
        <is>
          <t>Initial</t>
        </is>
      </c>
    </row>
    <row r="1323">
      <c r="A1323" s="33" t="inlineStr">
        <is>
          <t>2026-05-18</t>
        </is>
      </c>
      <c r="B1323" s="33" t="inlineStr">
        <is>
          <t>BITF</t>
        </is>
      </c>
      <c r="C1323" s="33" t="inlineStr">
        <is>
          <t>M3</t>
        </is>
      </c>
      <c r="D1323" s="33" t="n">
        <v>3</v>
      </c>
      <c r="E1323" s="33" t="inlineStr">
        <is>
          <t>Default neutral.</t>
        </is>
      </c>
      <c r="F1323" s="33" t="inlineStr">
        <is>
          <t>Layer 9 per-name deep research (2026-05-18): WebSearch + yfinance fundamentals + analyst revisions + SEC 8-K/6-K filings + IR press releases</t>
        </is>
      </c>
      <c r="G1323" s="33" t="inlineStr">
        <is>
          <t>Low</t>
        </is>
      </c>
      <c r="H1323" s="33" t="inlineStr">
        <is>
          <t>Initial</t>
        </is>
      </c>
    </row>
    <row r="1324">
      <c r="A1324" s="33" t="inlineStr">
        <is>
          <t>2026-05-18</t>
        </is>
      </c>
      <c r="B1324" s="33" t="inlineStr">
        <is>
          <t>BITF</t>
        </is>
      </c>
      <c r="C1324" s="33" t="inlineStr">
        <is>
          <t>R1</t>
        </is>
      </c>
      <c r="D1324" s="33" t="n">
        <v>3</v>
      </c>
      <c r="E1324" s="33" t="inlineStr">
        <is>
          <t>No AI customer concentration since no AI customers.</t>
        </is>
      </c>
      <c r="F1324" s="33" t="inlineStr">
        <is>
          <t>Layer 9 per-name deep research (2026-05-18): WebSearch + yfinance fundamentals + analyst revisions + SEC 8-K/6-K filings + IR press releases</t>
        </is>
      </c>
      <c r="G1324" s="33" t="inlineStr">
        <is>
          <t>High</t>
        </is>
      </c>
      <c r="H1324" s="33" t="inlineStr">
        <is>
          <t>Initial</t>
        </is>
      </c>
    </row>
    <row r="1325">
      <c r="A1325" s="33" t="inlineStr">
        <is>
          <t>2026-05-18</t>
        </is>
      </c>
      <c r="B1325" s="33" t="inlineStr">
        <is>
          <t>BITF</t>
        </is>
      </c>
      <c r="C1325" s="33" t="inlineStr">
        <is>
          <t>R2</t>
        </is>
      </c>
      <c r="D1325" s="33" t="n">
        <v>4</v>
      </c>
      <c r="E1325" s="33" t="inlineStr">
        <is>
          <t>US/Canada/Argentina — clean geo.</t>
        </is>
      </c>
      <c r="F1325" s="33" t="inlineStr">
        <is>
          <t>Layer 9 per-name deep research (2026-05-18): WebSearch + yfinance fundamentals + analyst revisions + SEC 8-K/6-K filings + IR press releases</t>
        </is>
      </c>
      <c r="G1325" s="33" t="inlineStr">
        <is>
          <t>High</t>
        </is>
      </c>
      <c r="H1325" s="33" t="inlineStr">
        <is>
          <t>Initial</t>
        </is>
      </c>
    </row>
    <row r="1326">
      <c r="A1326" s="33" t="inlineStr">
        <is>
          <t>2026-05-18</t>
        </is>
      </c>
      <c r="B1326" s="33" t="inlineStr">
        <is>
          <t>BITF</t>
        </is>
      </c>
      <c r="C1326" s="33" t="inlineStr">
        <is>
          <t>R3</t>
        </is>
      </c>
      <c r="D1326" s="33" t="n">
        <v>3</v>
      </c>
      <c r="E1326" s="33" t="inlineStr">
        <is>
          <t>Limited objective data; assumed moderate.</t>
        </is>
      </c>
      <c r="F1326" s="33" t="inlineStr">
        <is>
          <t>Layer 9 per-name deep research (2026-05-18): WebSearch + yfinance fundamentals + analyst revisions + SEC 8-K/6-K filings + IR press releases</t>
        </is>
      </c>
      <c r="G1326" s="33" t="inlineStr">
        <is>
          <t>Low</t>
        </is>
      </c>
      <c r="H1326" s="33" t="inlineStr">
        <is>
          <t>Initial</t>
        </is>
      </c>
    </row>
    <row r="1327">
      <c r="A1327" s="33" t="inlineStr">
        <is>
          <t>2026-05-18</t>
        </is>
      </c>
      <c r="B1327" s="33" t="inlineStr">
        <is>
          <t>BITF</t>
        </is>
      </c>
      <c r="C1327" s="33" t="inlineStr">
        <is>
          <t>R4</t>
        </is>
      </c>
      <c r="D1327" s="33" t="n">
        <v>3</v>
      </c>
      <c r="E1327" s="33" t="inlineStr">
        <is>
          <t>Clean.</t>
        </is>
      </c>
      <c r="F1327" s="33" t="inlineStr">
        <is>
          <t>Layer 9 per-name deep research (2026-05-18): WebSearch + yfinance fundamentals + analyst revisions + SEC 8-K/6-K filings + IR press releases</t>
        </is>
      </c>
      <c r="G1327" s="33" t="inlineStr">
        <is>
          <t>Medium</t>
        </is>
      </c>
      <c r="H1327" s="33" t="inlineStr">
        <is>
          <t>Initial</t>
        </is>
      </c>
    </row>
    <row r="1328">
      <c r="A1328" s="33" t="inlineStr">
        <is>
          <t>2026-05-18</t>
        </is>
      </c>
      <c r="B1328" s="33" t="inlineStr">
        <is>
          <t>RIOT</t>
        </is>
      </c>
      <c r="C1328" s="33" t="inlineStr">
        <is>
          <t>D1</t>
        </is>
      </c>
      <c r="D1328" s="33" t="n">
        <v>2</v>
      </c>
      <c r="E1328" s="33" t="inlineStr">
        <is>
          <t>AMD lease operational ($311M deal) + 112MW Corsicana under development; AI still small share of revenue.</t>
        </is>
      </c>
      <c r="F1328" s="33" t="inlineStr">
        <is>
          <t>Layer 9 per-name deep research (2026-05-18): WebSearch + yfinance fundamentals + analyst revisions + SEC 8-K/6-K filings + IR press releases</t>
        </is>
      </c>
      <c r="G1328" s="33" t="inlineStr">
        <is>
          <t>High</t>
        </is>
      </c>
      <c r="H1328" s="33" t="inlineStr">
        <is>
          <t>Initial</t>
        </is>
      </c>
    </row>
    <row r="1329">
      <c r="A1329" s="33" t="inlineStr">
        <is>
          <t>2026-05-18</t>
        </is>
      </c>
      <c r="B1329" s="33" t="inlineStr">
        <is>
          <t>RIOT</t>
        </is>
      </c>
      <c r="C1329" s="33" t="inlineStr">
        <is>
          <t>D2</t>
        </is>
      </c>
      <c r="D1329" s="33" t="n">
        <v>2</v>
      </c>
      <c r="E1329" s="33" t="inlineStr">
        <is>
          <t>Mostly BTC miner with power-asset optionality.</t>
        </is>
      </c>
      <c r="F1329" s="33" t="inlineStr">
        <is>
          <t>Layer 9 per-name deep research (2026-05-18): WebSearch + yfinance fundamentals + analyst revisions + SEC 8-K/6-K filings + IR press releases</t>
        </is>
      </c>
      <c r="G1329" s="33" t="inlineStr">
        <is>
          <t>High</t>
        </is>
      </c>
      <c r="H1329" s="33" t="inlineStr">
        <is>
          <t>Initial</t>
        </is>
      </c>
    </row>
    <row r="1330">
      <c r="A1330" s="33" t="inlineStr">
        <is>
          <t>2026-05-18</t>
        </is>
      </c>
      <c r="B1330" s="33" t="inlineStr">
        <is>
          <t>RIOT</t>
        </is>
      </c>
      <c r="C1330" s="33" t="inlineStr">
        <is>
          <t>D3</t>
        </is>
      </c>
      <c r="D1330" s="33" t="n">
        <v>2</v>
      </c>
      <c r="E1330" s="33" t="inlineStr">
        <is>
          <t>Single AMD relationship; no scaled AI infrastructure moat yet.</t>
        </is>
      </c>
      <c r="F1330" s="33" t="inlineStr">
        <is>
          <t>Layer 9 per-name deep research (2026-05-18): WebSearch + yfinance fundamentals + analyst revisions + SEC 8-K/6-K filings + IR press releases</t>
        </is>
      </c>
      <c r="G1330" s="33" t="inlineStr">
        <is>
          <t>Medium</t>
        </is>
      </c>
      <c r="H1330" s="33" t="inlineStr">
        <is>
          <t>Initial</t>
        </is>
      </c>
    </row>
    <row r="1331">
      <c r="A1331" s="33" t="inlineStr">
        <is>
          <t>2026-05-18</t>
        </is>
      </c>
      <c r="B1331" s="33" t="inlineStr">
        <is>
          <t>RIOT</t>
        </is>
      </c>
      <c r="C1331" s="33" t="inlineStr">
        <is>
          <t>D4</t>
        </is>
      </c>
      <c r="D1331" s="33" t="n">
        <v>4</v>
      </c>
      <c r="E1331" s="33" t="inlineStr">
        <is>
          <t>1.7GW Texas capacity at Rockdale + Corsicana = real power moat; conversion to AI in early stages.</t>
        </is>
      </c>
      <c r="F1331" s="33" t="inlineStr">
        <is>
          <t>Layer 9 per-name deep research (2026-05-18): WebSearch + yfinance fundamentals + analyst revisions + SEC 8-K/6-K filings + IR press releases</t>
        </is>
      </c>
      <c r="G1331" s="33" t="inlineStr">
        <is>
          <t>High</t>
        </is>
      </c>
      <c r="H1331" s="33" t="inlineStr">
        <is>
          <t>Initial</t>
        </is>
      </c>
    </row>
    <row r="1332">
      <c r="A1332" s="33" t="inlineStr">
        <is>
          <t>2026-05-18</t>
        </is>
      </c>
      <c r="B1332" s="33" t="inlineStr">
        <is>
          <t>RIOT</t>
        </is>
      </c>
      <c r="C1332" s="33" t="inlineStr">
        <is>
          <t>D5</t>
        </is>
      </c>
      <c r="D1332" s="33" t="n">
        <v>3</v>
      </c>
      <c r="E1332" s="33" t="inlineStr">
        <is>
          <t>AMD = hyperscaler-adjacent customer; no direct top-tier hyperscaler win yet.</t>
        </is>
      </c>
      <c r="F1332" s="33" t="inlineStr">
        <is>
          <t>Layer 9 per-name deep research (2026-05-18): WebSearch + yfinance fundamentals + analyst revisions + SEC 8-K/6-K filings + IR press releases</t>
        </is>
      </c>
      <c r="G1332" s="33" t="inlineStr">
        <is>
          <t>Medium</t>
        </is>
      </c>
      <c r="H1332" s="33" t="inlineStr">
        <is>
          <t>Initial</t>
        </is>
      </c>
    </row>
    <row r="1333">
      <c r="A1333" s="33" t="inlineStr">
        <is>
          <t>2026-05-18</t>
        </is>
      </c>
      <c r="B1333" s="33" t="inlineStr">
        <is>
          <t>RIOT</t>
        </is>
      </c>
      <c r="C1333" s="33" t="inlineStr">
        <is>
          <t>M1</t>
        </is>
      </c>
      <c r="D1333" s="33" t="n">
        <v>3</v>
      </c>
      <c r="E1333" s="33" t="inlineStr">
        <is>
          <t>Flat (0/0).</t>
        </is>
      </c>
      <c r="F1333" s="33" t="inlineStr">
        <is>
          <t>Layer 9 per-name deep research (2026-05-18): WebSearch + yfinance fundamentals + analyst revisions + SEC 8-K/6-K filings + IR press releases</t>
        </is>
      </c>
      <c r="G1333" s="33" t="inlineStr">
        <is>
          <t>Medium</t>
        </is>
      </c>
      <c r="H1333" s="33" t="inlineStr">
        <is>
          <t>Initial</t>
        </is>
      </c>
    </row>
    <row r="1334">
      <c r="A1334" s="33" t="inlineStr">
        <is>
          <t>2026-05-18</t>
        </is>
      </c>
      <c r="B1334" s="33" t="inlineStr">
        <is>
          <t>RIOT</t>
        </is>
      </c>
      <c r="C1334" s="33" t="inlineStr">
        <is>
          <t>M2</t>
        </is>
      </c>
      <c r="D1334" s="33" t="n">
        <v>3</v>
      </c>
      <c r="E1334" s="33" t="inlineStr">
        <is>
          <t>+158% absolute 1y; +112pp vs BITQ. Solid but mid-pack.</t>
        </is>
      </c>
      <c r="F1334" s="33" t="inlineStr">
        <is>
          <t>Layer 9 per-name deep research (2026-05-18): WebSearch + yfinance fundamentals + analyst revisions + SEC 8-K/6-K filings + IR press releases</t>
        </is>
      </c>
      <c r="G1334" s="33" t="inlineStr">
        <is>
          <t>High</t>
        </is>
      </c>
      <c r="H1334" s="33" t="inlineStr">
        <is>
          <t>Initial</t>
        </is>
      </c>
    </row>
    <row r="1335">
      <c r="A1335" s="33" t="inlineStr">
        <is>
          <t>2026-05-18</t>
        </is>
      </c>
      <c r="B1335" s="33" t="inlineStr">
        <is>
          <t>RIOT</t>
        </is>
      </c>
      <c r="C1335" s="33" t="inlineStr">
        <is>
          <t>M3</t>
        </is>
      </c>
      <c r="D1335" s="33" t="n">
        <v>3</v>
      </c>
      <c r="E1335" s="33" t="inlineStr">
        <is>
          <t>Default neutral.</t>
        </is>
      </c>
      <c r="F1335" s="33" t="inlineStr">
        <is>
          <t>Layer 9 per-name deep research (2026-05-18): WebSearch + yfinance fundamentals + analyst revisions + SEC 8-K/6-K filings + IR press releases</t>
        </is>
      </c>
      <c r="G1335" s="33" t="inlineStr">
        <is>
          <t>Low</t>
        </is>
      </c>
      <c r="H1335" s="33" t="inlineStr">
        <is>
          <t>Initial</t>
        </is>
      </c>
    </row>
    <row r="1336">
      <c r="A1336" s="33" t="inlineStr">
        <is>
          <t>2026-05-18</t>
        </is>
      </c>
      <c r="B1336" s="33" t="inlineStr">
        <is>
          <t>RIOT</t>
        </is>
      </c>
      <c r="C1336" s="33" t="inlineStr">
        <is>
          <t>R1</t>
        </is>
      </c>
      <c r="D1336" s="33" t="n">
        <v>3</v>
      </c>
      <c r="E1336" s="33" t="inlineStr">
        <is>
          <t>No big concentration; diversified BTC + small AI.</t>
        </is>
      </c>
      <c r="F1336" s="33" t="inlineStr">
        <is>
          <t>Layer 9 per-name deep research (2026-05-18): WebSearch + yfinance fundamentals + analyst revisions + SEC 8-K/6-K filings + IR press releases</t>
        </is>
      </c>
      <c r="G1336" s="33" t="inlineStr">
        <is>
          <t>Medium</t>
        </is>
      </c>
      <c r="H1336" s="33" t="inlineStr">
        <is>
          <t>Initial</t>
        </is>
      </c>
    </row>
    <row r="1337">
      <c r="A1337" s="33" t="inlineStr">
        <is>
          <t>2026-05-18</t>
        </is>
      </c>
      <c r="B1337" s="33" t="inlineStr">
        <is>
          <t>RIOT</t>
        </is>
      </c>
      <c r="C1337" s="33" t="inlineStr">
        <is>
          <t>R2</t>
        </is>
      </c>
      <c r="D1337" s="33" t="n">
        <v>4</v>
      </c>
      <c r="E1337" s="33" t="inlineStr">
        <is>
          <t>Texas US — clean geo.</t>
        </is>
      </c>
      <c r="F1337" s="33" t="inlineStr">
        <is>
          <t>Layer 9 per-name deep research (2026-05-18): WebSearch + yfinance fundamentals + analyst revisions + SEC 8-K/6-K filings + IR press releases</t>
        </is>
      </c>
      <c r="G1337" s="33" t="inlineStr">
        <is>
          <t>High</t>
        </is>
      </c>
      <c r="H1337" s="33" t="inlineStr">
        <is>
          <t>Initial</t>
        </is>
      </c>
    </row>
    <row r="1338">
      <c r="A1338" s="33" t="inlineStr">
        <is>
          <t>2026-05-18</t>
        </is>
      </c>
      <c r="B1338" s="33" t="inlineStr">
        <is>
          <t>RIOT</t>
        </is>
      </c>
      <c r="C1338" s="33" t="inlineStr">
        <is>
          <t>R3</t>
        </is>
      </c>
      <c r="D1338" s="33" t="n">
        <v>3</v>
      </c>
      <c r="E1338" s="33" t="inlineStr">
        <is>
          <t>ND/EBITDA -2.06 net cash; reasonable position.</t>
        </is>
      </c>
      <c r="F1338" s="33" t="inlineStr">
        <is>
          <t>Layer 9 per-name deep research (2026-05-18): WebSearch + yfinance fundamentals + analyst revisions + SEC 8-K/6-K filings + IR press releases</t>
        </is>
      </c>
      <c r="G1338" s="33" t="inlineStr">
        <is>
          <t>High</t>
        </is>
      </c>
      <c r="H1338" s="33" t="inlineStr">
        <is>
          <t>Initial</t>
        </is>
      </c>
    </row>
    <row r="1339">
      <c r="A1339" s="33" t="inlineStr">
        <is>
          <t>2026-05-18</t>
        </is>
      </c>
      <c r="B1339" s="33" t="inlineStr">
        <is>
          <t>RIOT</t>
        </is>
      </c>
      <c r="C1339" s="33" t="inlineStr">
        <is>
          <t>R4</t>
        </is>
      </c>
      <c r="D1339" s="33" t="n">
        <v>3</v>
      </c>
      <c r="E1339" s="33" t="inlineStr">
        <is>
          <t>Clean; Starboard activist push is shareholder-friendly.</t>
        </is>
      </c>
      <c r="F1339" s="33" t="inlineStr">
        <is>
          <t>Layer 9 per-name deep research (2026-05-18): WebSearch + yfinance fundamentals + analyst revisions + SEC 8-K/6-K filings + IR press releases</t>
        </is>
      </c>
      <c r="G1339" s="33" t="inlineStr">
        <is>
          <t>Medium</t>
        </is>
      </c>
      <c r="H1339" s="33" t="inlineStr">
        <is>
          <t>Initial</t>
        </is>
      </c>
    </row>
    <row r="1340">
      <c r="A1340" s="33" t="inlineStr">
        <is>
          <t>2026-05-18</t>
        </is>
      </c>
      <c r="B1340" s="33" t="inlineStr">
        <is>
          <t>WULF</t>
        </is>
      </c>
      <c r="C1340" s="33" t="inlineStr">
        <is>
          <t>D1</t>
        </is>
      </c>
      <c r="D1340" s="33" t="n">
        <v>4</v>
      </c>
      <c r="E1340" s="33" t="inlineStr">
        <is>
          <t>200MW HPC contracted via Fluidstack 10yr; Abernathy adds; revenue mix shifting to HPC; +510MW IT load total.</t>
        </is>
      </c>
      <c r="F1340" s="33" t="inlineStr">
        <is>
          <t>Layer 9 per-name deep research (2026-05-18): WebSearch + yfinance fundamentals + analyst revisions + SEC 8-K/6-K filings + IR press releases</t>
        </is>
      </c>
      <c r="G1340" s="33" t="inlineStr">
        <is>
          <t>High</t>
        </is>
      </c>
      <c r="H1340" s="33" t="inlineStr">
        <is>
          <t>Initial</t>
        </is>
      </c>
    </row>
    <row r="1341">
      <c r="A1341" s="33" t="inlineStr">
        <is>
          <t>2026-05-18</t>
        </is>
      </c>
      <c r="B1341" s="33" t="inlineStr">
        <is>
          <t>WULF</t>
        </is>
      </c>
      <c r="C1341" s="33" t="inlineStr">
        <is>
          <t>D2</t>
        </is>
      </c>
      <c r="D1341" s="33" t="n">
        <v>3</v>
      </c>
      <c r="E1341" s="33" t="inlineStr">
        <is>
          <t>Downstream colo hoster.</t>
        </is>
      </c>
      <c r="F1341" s="33" t="inlineStr">
        <is>
          <t>Layer 9 per-name deep research (2026-05-18): WebSearch + yfinance fundamentals + analyst revisions + SEC 8-K/6-K filings + IR press releases</t>
        </is>
      </c>
      <c r="G1341" s="33" t="inlineStr">
        <is>
          <t>High</t>
        </is>
      </c>
      <c r="H1341" s="33" t="inlineStr">
        <is>
          <t>Initial</t>
        </is>
      </c>
    </row>
    <row r="1342">
      <c r="A1342" s="33" t="inlineStr">
        <is>
          <t>2026-05-18</t>
        </is>
      </c>
      <c r="B1342" s="33" t="inlineStr">
        <is>
          <t>WULF</t>
        </is>
      </c>
      <c r="C1342" s="33" t="inlineStr">
        <is>
          <t>D3</t>
        </is>
      </c>
      <c r="D1342" s="33" t="n">
        <v>4</v>
      </c>
      <c r="E1342" s="33" t="inlineStr">
        <is>
          <t>Google-backed Fluidstack 10yr deals = stronger than typical colo (Google effectively backstopping). Plus Lake Mariner site advantage.</t>
        </is>
      </c>
      <c r="F1342" s="33" t="inlineStr">
        <is>
          <t>Layer 9 per-name deep research (2026-05-18): WebSearch + yfinance fundamentals + analyst revisions + SEC 8-K/6-K filings + IR press releases</t>
        </is>
      </c>
      <c r="G1342" s="33" t="inlineStr">
        <is>
          <t>High</t>
        </is>
      </c>
      <c r="H1342" s="33" t="inlineStr">
        <is>
          <t>Initial</t>
        </is>
      </c>
    </row>
    <row r="1343">
      <c r="A1343" s="33" t="inlineStr">
        <is>
          <t>2026-05-18</t>
        </is>
      </c>
      <c r="B1343" s="33" t="inlineStr">
        <is>
          <t>WULF</t>
        </is>
      </c>
      <c r="C1343" s="33" t="inlineStr">
        <is>
          <t>D4</t>
        </is>
      </c>
      <c r="D1343" s="33" t="n">
        <v>4</v>
      </c>
      <c r="E1343" s="33" t="inlineStr">
        <is>
          <t>Lake Mariner 750MW + Abernathy; 510MW IT contracted.</t>
        </is>
      </c>
      <c r="F1343" s="33" t="inlineStr">
        <is>
          <t>Layer 9 per-name deep research (2026-05-18): WebSearch + yfinance fundamentals + analyst revisions + SEC 8-K/6-K filings + IR press releases</t>
        </is>
      </c>
      <c r="G1343" s="33" t="inlineStr">
        <is>
          <t>High</t>
        </is>
      </c>
      <c r="H1343" s="33" t="inlineStr">
        <is>
          <t>Initial</t>
        </is>
      </c>
    </row>
    <row r="1344">
      <c r="A1344" s="33" t="inlineStr">
        <is>
          <t>2026-05-18</t>
        </is>
      </c>
      <c r="B1344" s="33" t="inlineStr">
        <is>
          <t>WULF</t>
        </is>
      </c>
      <c r="C1344" s="33" t="inlineStr">
        <is>
          <t>D5</t>
        </is>
      </c>
      <c r="D1344" s="33" t="n">
        <v>4</v>
      </c>
      <c r="E1344" s="33" t="inlineStr">
        <is>
          <t>Google potential 14% shareholder + Fluidstack tenant — direct hyperscaler exposure via Google connection.</t>
        </is>
      </c>
      <c r="F1344" s="33" t="inlineStr">
        <is>
          <t>Layer 9 per-name deep research (2026-05-18): WebSearch + yfinance fundamentals + analyst revisions + SEC 8-K/6-K filings + IR press releases</t>
        </is>
      </c>
      <c r="G1344" s="33" t="inlineStr">
        <is>
          <t>High</t>
        </is>
      </c>
      <c r="H1344" s="33" t="inlineStr">
        <is>
          <t>Initial</t>
        </is>
      </c>
    </row>
    <row r="1345">
      <c r="A1345" s="33" t="inlineStr">
        <is>
          <t>2026-05-18</t>
        </is>
      </c>
      <c r="B1345" s="33" t="inlineStr">
        <is>
          <t>WULF</t>
        </is>
      </c>
      <c r="C1345" s="33" t="inlineStr">
        <is>
          <t>M1</t>
        </is>
      </c>
      <c r="D1345" s="33" t="n">
        <v>4</v>
      </c>
      <c r="E1345" s="33" t="inlineStr">
        <is>
          <t>1 up / 0 down (30d). Positive revisions.</t>
        </is>
      </c>
      <c r="F1345" s="33" t="inlineStr">
        <is>
          <t>Layer 9 per-name deep research (2026-05-18): WebSearch + yfinance fundamentals + analyst revisions + SEC 8-K/6-K filings + IR press releases</t>
        </is>
      </c>
      <c r="G1345" s="33" t="inlineStr">
        <is>
          <t>High</t>
        </is>
      </c>
      <c r="H1345" s="33" t="inlineStr">
        <is>
          <t>Initial</t>
        </is>
      </c>
    </row>
    <row r="1346">
      <c r="A1346" s="33" t="inlineStr">
        <is>
          <t>2026-05-18</t>
        </is>
      </c>
      <c r="B1346" s="33" t="inlineStr">
        <is>
          <t>WULF</t>
        </is>
      </c>
      <c r="C1346" s="33" t="inlineStr">
        <is>
          <t>M2</t>
        </is>
      </c>
      <c r="D1346" s="33" t="n">
        <v>5</v>
      </c>
      <c r="E1346" s="33" t="inlineStr">
        <is>
          <t>+428% absolute 1y; +382pp vs BITQ.</t>
        </is>
      </c>
      <c r="F1346" s="33" t="inlineStr">
        <is>
          <t>Layer 9 per-name deep research (2026-05-18): WebSearch + yfinance fundamentals + analyst revisions + SEC 8-K/6-K filings + IR press releases</t>
        </is>
      </c>
      <c r="G1346" s="33" t="inlineStr">
        <is>
          <t>High</t>
        </is>
      </c>
      <c r="H1346" s="33" t="inlineStr">
        <is>
          <t>Initial</t>
        </is>
      </c>
    </row>
    <row r="1347">
      <c r="A1347" s="33" t="inlineStr">
        <is>
          <t>2026-05-18</t>
        </is>
      </c>
      <c r="B1347" s="33" t="inlineStr">
        <is>
          <t>WULF</t>
        </is>
      </c>
      <c r="C1347" s="33" t="inlineStr">
        <is>
          <t>M3</t>
        </is>
      </c>
      <c r="D1347" s="33" t="n">
        <v>3</v>
      </c>
      <c r="E1347" s="33" t="inlineStr">
        <is>
          <t>Default neutral.</t>
        </is>
      </c>
      <c r="F1347" s="33" t="inlineStr">
        <is>
          <t>Layer 9 per-name deep research (2026-05-18): WebSearch + yfinance fundamentals + analyst revisions + SEC 8-K/6-K filings + IR press releases</t>
        </is>
      </c>
      <c r="G1347" s="33" t="inlineStr">
        <is>
          <t>Low</t>
        </is>
      </c>
      <c r="H1347" s="33" t="inlineStr">
        <is>
          <t>Initial</t>
        </is>
      </c>
    </row>
    <row r="1348">
      <c r="A1348" s="33" t="inlineStr">
        <is>
          <t>2026-05-18</t>
        </is>
      </c>
      <c r="B1348" s="33" t="inlineStr">
        <is>
          <t>WULF</t>
        </is>
      </c>
      <c r="C1348" s="33" t="inlineStr">
        <is>
          <t>R1</t>
        </is>
      </c>
      <c r="D1348" s="33" t="n">
        <v>3</v>
      </c>
      <c r="E1348" s="33" t="inlineStr">
        <is>
          <t>Fluidstack tenant concentration but Google-backstopped — moderate.</t>
        </is>
      </c>
      <c r="F1348" s="33" t="inlineStr">
        <is>
          <t>Layer 9 per-name deep research (2026-05-18): WebSearch + yfinance fundamentals + analyst revisions + SEC 8-K/6-K filings + IR press releases</t>
        </is>
      </c>
      <c r="G1348" s="33" t="inlineStr">
        <is>
          <t>Medium</t>
        </is>
      </c>
      <c r="H1348" s="33" t="inlineStr">
        <is>
          <t>Initial</t>
        </is>
      </c>
    </row>
    <row r="1349">
      <c r="A1349" s="33" t="inlineStr">
        <is>
          <t>2026-05-18</t>
        </is>
      </c>
      <c r="B1349" s="33" t="inlineStr">
        <is>
          <t>WULF</t>
        </is>
      </c>
      <c r="C1349" s="33" t="inlineStr">
        <is>
          <t>R2</t>
        </is>
      </c>
      <c r="D1349" s="33" t="n">
        <v>4</v>
      </c>
      <c r="E1349" s="33" t="inlineStr">
        <is>
          <t>NY + Texas US — clean geo.</t>
        </is>
      </c>
      <c r="F1349" s="33" t="inlineStr">
        <is>
          <t>Layer 9 per-name deep research (2026-05-18): WebSearch + yfinance fundamentals + analyst revisions + SEC 8-K/6-K filings + IR press releases</t>
        </is>
      </c>
      <c r="G1349" s="33" t="inlineStr">
        <is>
          <t>High</t>
        </is>
      </c>
      <c r="H1349" s="33" t="inlineStr">
        <is>
          <t>Initial</t>
        </is>
      </c>
    </row>
    <row r="1350">
      <c r="A1350" s="33" t="inlineStr">
        <is>
          <t>2026-05-18</t>
        </is>
      </c>
      <c r="B1350" s="33" t="inlineStr">
        <is>
          <t>WULF</t>
        </is>
      </c>
      <c r="C1350" s="33" t="inlineStr">
        <is>
          <t>R3</t>
        </is>
      </c>
      <c r="D1350" s="33" t="n">
        <v>2</v>
      </c>
      <c r="E1350" s="33" t="inlineStr">
        <is>
          <t>FCFM -169%; ND/EBITDA -18.5 net cash but tiny EBITDA base.</t>
        </is>
      </c>
      <c r="F1350" s="33" t="inlineStr">
        <is>
          <t>Layer 9 per-name deep research (2026-05-18): WebSearch + yfinance fundamentals + analyst revisions + SEC 8-K/6-K filings + IR press releases</t>
        </is>
      </c>
      <c r="G1350" s="33" t="inlineStr">
        <is>
          <t>High</t>
        </is>
      </c>
      <c r="H1350" s="33" t="inlineStr">
        <is>
          <t>Initial</t>
        </is>
      </c>
    </row>
    <row r="1351">
      <c r="A1351" s="33" t="inlineStr">
        <is>
          <t>2026-05-18</t>
        </is>
      </c>
      <c r="B1351" s="33" t="inlineStr">
        <is>
          <t>WULF</t>
        </is>
      </c>
      <c r="C1351" s="33" t="inlineStr">
        <is>
          <t>R4</t>
        </is>
      </c>
      <c r="D1351" s="33" t="n">
        <v>3</v>
      </c>
      <c r="E1351" s="33" t="inlineStr">
        <is>
          <t>Clean.</t>
        </is>
      </c>
      <c r="F1351" s="33" t="inlineStr">
        <is>
          <t>Layer 9 per-name deep research (2026-05-18): WebSearch + yfinance fundamentals + analyst revisions + SEC 8-K/6-K filings + IR press releases</t>
        </is>
      </c>
      <c r="G1351" s="33" t="inlineStr">
        <is>
          <t>Medium</t>
        </is>
      </c>
      <c r="H1351" s="33" t="inlineStr">
        <is>
          <t>Initial</t>
        </is>
      </c>
    </row>
    <row r="1352">
      <c r="A1352" s="33" t="inlineStr">
        <is>
          <t>2026-05-18</t>
        </is>
      </c>
      <c r="B1352" s="33" t="inlineStr">
        <is>
          <t>PLTR</t>
        </is>
      </c>
      <c r="C1352" s="33" t="inlineStr">
        <is>
          <t>D1</t>
        </is>
      </c>
      <c r="D1352" s="33" t="n">
        <v>4</v>
      </c>
      <c r="E1352" s="33" t="inlineStr">
        <is>
          <t>Q1 2026 rev +85% YoY to $1.633B; US Commercial AIP +130% YoY = $595M; FY26 guide $7.65B (+71%). AIP is the dominant growth narrative.</t>
        </is>
      </c>
      <c r="F1352" s="33" t="inlineStr">
        <is>
          <t>Layer 10 per-name deep research (2026-05-18): WebSearch + yfinance + analyst revisions + Q1 FY26/FY27 transcripts</t>
        </is>
      </c>
      <c r="G1352" s="33" t="inlineStr">
        <is>
          <t>High</t>
        </is>
      </c>
      <c r="H1352" s="33" t="inlineStr">
        <is>
          <t>Initial</t>
        </is>
      </c>
    </row>
    <row r="1353">
      <c r="A1353" s="33" t="inlineStr">
        <is>
          <t>2026-05-18</t>
        </is>
      </c>
      <c r="B1353" s="33" t="inlineStr">
        <is>
          <t>PLTR</t>
        </is>
      </c>
      <c r="C1353" s="33" t="inlineStr">
        <is>
          <t>D2</t>
        </is>
      </c>
      <c r="D1353" s="33" t="n">
        <v>4</v>
      </c>
      <c r="E1353" s="33" t="inlineStr">
        <is>
          <t>Ontology + AIP platform layer = upstream of enterprise AI consumption. Provides the operating system, not just an app.</t>
        </is>
      </c>
      <c r="F1353" s="33" t="inlineStr">
        <is>
          <t>Layer 10 per-name deep research (2026-05-18): WebSearch + yfinance + analyst revisions + Q1 FY26/FY27 transcripts</t>
        </is>
      </c>
      <c r="G1353" s="33" t="inlineStr">
        <is>
          <t>High</t>
        </is>
      </c>
      <c r="H1353" s="33" t="inlineStr">
        <is>
          <t>Initial</t>
        </is>
      </c>
    </row>
    <row r="1354">
      <c r="A1354" s="33" t="inlineStr">
        <is>
          <t>2026-05-18</t>
        </is>
      </c>
      <c r="B1354" s="33" t="inlineStr">
        <is>
          <t>PLTR</t>
        </is>
      </c>
      <c r="C1354" s="33" t="inlineStr">
        <is>
          <t>D3</t>
        </is>
      </c>
      <c r="D1354" s="33" t="n">
        <v>5</v>
      </c>
      <c r="E1354" s="33" t="inlineStr">
        <is>
          <t>Unique technology moat (Ontology, Foundry) + deep government entrenchment + 1007 commercial customers with high switching costs. As durable as software moats get.</t>
        </is>
      </c>
      <c r="F1354" s="33" t="inlineStr">
        <is>
          <t>Layer 10 per-name deep research (2026-05-18): WebSearch + yfinance + analyst revisions + Q1 FY26/FY27 transcripts</t>
        </is>
      </c>
      <c r="G1354" s="33" t="inlineStr">
        <is>
          <t>High</t>
        </is>
      </c>
      <c r="H1354" s="33" t="inlineStr">
        <is>
          <t>Initial</t>
        </is>
      </c>
    </row>
    <row r="1355">
      <c r="A1355" s="33" t="inlineStr">
        <is>
          <t>2026-05-18</t>
        </is>
      </c>
      <c r="B1355" s="33" t="inlineStr">
        <is>
          <t>PLTR</t>
        </is>
      </c>
      <c r="C1355" s="33" t="inlineStr">
        <is>
          <t>D4</t>
        </is>
      </c>
      <c r="D1355" s="33" t="n">
        <v>4</v>
      </c>
      <c r="E1355" s="33" t="inlineStr">
        <is>
          <t>Scaling via AIP bootcamps; 139 US Commercial deals &gt;$1M in Q1 (record). Aggressive ramp.</t>
        </is>
      </c>
      <c r="F1355" s="33" t="inlineStr">
        <is>
          <t>Layer 10 per-name deep research (2026-05-18): WebSearch + yfinance + analyst revisions + Q1 FY26/FY27 transcripts</t>
        </is>
      </c>
      <c r="G1355" s="33" t="inlineStr">
        <is>
          <t>High</t>
        </is>
      </c>
      <c r="H1355" s="33" t="inlineStr">
        <is>
          <t>Initial</t>
        </is>
      </c>
    </row>
    <row r="1356">
      <c r="A1356" s="33" t="inlineStr">
        <is>
          <t>2026-05-18</t>
        </is>
      </c>
      <c r="B1356" s="33" t="inlineStr">
        <is>
          <t>PLTR</t>
        </is>
      </c>
      <c r="C1356" s="33" t="inlineStr">
        <is>
          <t>D5</t>
        </is>
      </c>
      <c r="D1356" s="33" t="n">
        <v>3</v>
      </c>
      <c r="E1356" s="33" t="inlineStr">
        <is>
          <t>Per Dom 2026-05-18: rated 3 (intermediated) rather than 2 (deeply indirect) because PLTR has been doing AI for years with entrenched government contracts — they do not need hyperscalers the same way other apps do. They are a peer in AI infrastructure, not a downstream consumer.</t>
        </is>
      </c>
      <c r="F1356" s="33" t="inlineStr">
        <is>
          <t>Layer 10 per-name deep research (2026-05-18): WebSearch + yfinance + analyst revisions + Q1 FY26/FY27 transcripts</t>
        </is>
      </c>
      <c r="G1356" s="33" t="inlineStr">
        <is>
          <t>Medium</t>
        </is>
      </c>
      <c r="H1356" s="33" t="inlineStr">
        <is>
          <t>Initial</t>
        </is>
      </c>
    </row>
    <row r="1357">
      <c r="A1357" s="33" t="inlineStr">
        <is>
          <t>2026-05-18</t>
        </is>
      </c>
      <c r="B1357" s="33" t="inlineStr">
        <is>
          <t>PLTR</t>
        </is>
      </c>
      <c r="C1357" s="33" t="inlineStr">
        <is>
          <t>M1</t>
        </is>
      </c>
      <c r="D1357" s="33" t="n">
        <v>5</v>
      </c>
      <c r="E1357" s="33" t="inlineStr">
        <is>
          <t>21 up / 0 down (30d on 0q); 19 up / 0 down on +1q. Strongest EPS revisions in Layer 10. Consensus aligning sharply higher.</t>
        </is>
      </c>
      <c r="F1357" s="33" t="inlineStr">
        <is>
          <t>Layer 10 per-name deep research (2026-05-18): WebSearch + yfinance + analyst revisions + Q1 FY26/FY27 transcripts</t>
        </is>
      </c>
      <c r="G1357" s="33" t="inlineStr">
        <is>
          <t>High</t>
        </is>
      </c>
      <c r="H1357" s="33" t="inlineStr">
        <is>
          <t>Initial</t>
        </is>
      </c>
    </row>
    <row r="1358">
      <c r="A1358" s="33" t="inlineStr">
        <is>
          <t>2026-05-18</t>
        </is>
      </c>
      <c r="B1358" s="33" t="inlineStr">
        <is>
          <t>PLTR</t>
        </is>
      </c>
      <c r="C1358" s="33" t="inlineStr">
        <is>
          <t>M2</t>
        </is>
      </c>
      <c r="D1358" s="33" t="n">
        <v>4</v>
      </c>
      <c r="E1358" s="33" t="inlineStr">
        <is>
          <t>+7% absolute 1y; +18.5pp vs IGV (software ETF). Volatile YTD (peaked $190 then retraced) but net beating software peers.</t>
        </is>
      </c>
      <c r="F1358" s="33" t="inlineStr">
        <is>
          <t>Layer 10 per-name deep research (2026-05-18): WebSearch + yfinance + analyst revisions + Q1 FY26/FY27 transcripts</t>
        </is>
      </c>
      <c r="G1358" s="33" t="inlineStr">
        <is>
          <t>High</t>
        </is>
      </c>
      <c r="H1358" s="33" t="inlineStr">
        <is>
          <t>Initial</t>
        </is>
      </c>
    </row>
    <row r="1359">
      <c r="A1359" s="33" t="inlineStr">
        <is>
          <t>2026-05-18</t>
        </is>
      </c>
      <c r="B1359" s="33" t="inlineStr">
        <is>
          <t>PLTR</t>
        </is>
      </c>
      <c r="C1359" s="33" t="inlineStr">
        <is>
          <t>M3</t>
        </is>
      </c>
      <c r="D1359" s="33" t="n">
        <v>3</v>
      </c>
      <c r="E1359" s="33" t="inlineStr">
        <is>
          <t>Default neutral; Form 4 not pulled.</t>
        </is>
      </c>
      <c r="F1359" s="33" t="inlineStr">
        <is>
          <t>Layer 10 per-name deep research (2026-05-18): WebSearch + yfinance + analyst revisions + Q1 FY26/FY27 transcripts</t>
        </is>
      </c>
      <c r="G1359" s="33" t="inlineStr">
        <is>
          <t>Low</t>
        </is>
      </c>
      <c r="H1359" s="33" t="inlineStr">
        <is>
          <t>Initial</t>
        </is>
      </c>
    </row>
    <row r="1360">
      <c r="A1360" s="33" t="inlineStr">
        <is>
          <t>2026-05-18</t>
        </is>
      </c>
      <c r="B1360" s="33" t="inlineStr">
        <is>
          <t>PLTR</t>
        </is>
      </c>
      <c r="C1360" s="33" t="inlineStr">
        <is>
          <t>R1</t>
        </is>
      </c>
      <c r="D1360" s="33" t="n">
        <v>3</v>
      </c>
      <c r="E1360" s="33" t="inlineStr">
        <is>
          <t>USG concentration (~30%+ of revenue) balanced by 1007 commercial customers. Moderate diversification.</t>
        </is>
      </c>
      <c r="F1360" s="33" t="inlineStr">
        <is>
          <t>Layer 10 per-name deep research (2026-05-18): WebSearch + yfinance + analyst revisions + Q1 FY26/FY27 transcripts</t>
        </is>
      </c>
      <c r="G1360" s="33" t="inlineStr">
        <is>
          <t>High</t>
        </is>
      </c>
      <c r="H1360" s="33" t="inlineStr">
        <is>
          <t>Initial</t>
        </is>
      </c>
    </row>
    <row r="1361">
      <c r="A1361" s="33" t="inlineStr">
        <is>
          <t>2026-05-18</t>
        </is>
      </c>
      <c r="B1361" s="33" t="inlineStr">
        <is>
          <t>PLTR</t>
        </is>
      </c>
      <c r="C1361" s="33" t="inlineStr">
        <is>
          <t>R2</t>
        </is>
      </c>
      <c r="D1361" s="33" t="n">
        <v>4</v>
      </c>
      <c r="E1361" s="33" t="inlineStr">
        <is>
          <t>US-based, government-aligned. Clean geo.</t>
        </is>
      </c>
      <c r="F1361" s="33" t="inlineStr">
        <is>
          <t>Layer 10 per-name deep research (2026-05-18): WebSearch + yfinance + analyst revisions + Q1 FY26/FY27 transcripts</t>
        </is>
      </c>
      <c r="G1361" s="33" t="inlineStr">
        <is>
          <t>High</t>
        </is>
      </c>
      <c r="H1361" s="33" t="inlineStr">
        <is>
          <t>Initial</t>
        </is>
      </c>
    </row>
    <row r="1362">
      <c r="A1362" s="33" t="inlineStr">
        <is>
          <t>2026-05-18</t>
        </is>
      </c>
      <c r="B1362" s="33" t="inlineStr">
        <is>
          <t>PLTR</t>
        </is>
      </c>
      <c r="C1362" s="33" t="inlineStr">
        <is>
          <t>R3</t>
        </is>
      </c>
      <c r="D1362" s="33" t="n">
        <v>5</v>
      </c>
      <c r="E1362" s="33" t="inlineStr">
        <is>
          <t>Net cash (ND/EBITDA -3.87); FCFM 33.6%; GM 84%. Fortress balance sheet.</t>
        </is>
      </c>
      <c r="F1362" s="33" t="inlineStr">
        <is>
          <t>Layer 10 per-name deep research (2026-05-18): WebSearch + yfinance + analyst revisions + Q1 FY26/FY27 transcripts</t>
        </is>
      </c>
      <c r="G1362" s="33" t="inlineStr">
        <is>
          <t>High</t>
        </is>
      </c>
      <c r="H1362" s="33" t="inlineStr">
        <is>
          <t>Initial</t>
        </is>
      </c>
    </row>
    <row r="1363">
      <c r="A1363" s="33" t="inlineStr">
        <is>
          <t>2026-05-18</t>
        </is>
      </c>
      <c r="B1363" s="33" t="inlineStr">
        <is>
          <t>PLTR</t>
        </is>
      </c>
      <c r="C1363" s="33" t="inlineStr">
        <is>
          <t>R4</t>
        </is>
      </c>
      <c r="D1363" s="33" t="n">
        <v>3</v>
      </c>
      <c r="E1363" s="33" t="inlineStr">
        <is>
          <t>Government contract scrutiny exists structurally as tail risk; no active major investigation/litigation identified. Stay at 3 conservatively per Dom 2026-05-18.</t>
        </is>
      </c>
      <c r="F1363" s="33" t="inlineStr">
        <is>
          <t>Layer 10 per-name deep research (2026-05-18): WebSearch + yfinance + analyst revisions + Q1 FY26/FY27 transcripts</t>
        </is>
      </c>
      <c r="G1363" s="33" t="inlineStr">
        <is>
          <t>Medium</t>
        </is>
      </c>
      <c r="H1363" s="33" t="inlineStr">
        <is>
          <t>Initial</t>
        </is>
      </c>
    </row>
    <row r="1364">
      <c r="A1364" s="33" t="inlineStr">
        <is>
          <t>2026-05-18</t>
        </is>
      </c>
      <c r="B1364" s="33" t="inlineStr">
        <is>
          <t>SNOW</t>
        </is>
      </c>
      <c r="C1364" s="33" t="inlineStr">
        <is>
          <t>D1</t>
        </is>
      </c>
      <c r="D1364" s="33" t="n">
        <v>4</v>
      </c>
      <c r="E1364" s="33" t="inlineStr">
        <is>
          <t>400+ enterprises building AI apps on Cortex; Cortex Code agent launched; OpenAI/Anthropic/NVDA integrations expand AI revenue mix. AI is the dominant new growth narrative.</t>
        </is>
      </c>
      <c r="F1364" s="33" t="inlineStr">
        <is>
          <t>Layer 10 per-name deep research (2026-05-18): WebSearch + yfinance + analyst revisions + Q1 FY26/FY27 transcripts</t>
        </is>
      </c>
      <c r="G1364" s="33" t="inlineStr">
        <is>
          <t>High</t>
        </is>
      </c>
      <c r="H1364" s="33" t="inlineStr">
        <is>
          <t>Initial</t>
        </is>
      </c>
    </row>
    <row r="1365">
      <c r="A1365" s="33" t="inlineStr">
        <is>
          <t>2026-05-18</t>
        </is>
      </c>
      <c r="B1365" s="33" t="inlineStr">
        <is>
          <t>SNOW</t>
        </is>
      </c>
      <c r="C1365" s="33" t="inlineStr">
        <is>
          <t>D2</t>
        </is>
      </c>
      <c r="D1365" s="33" t="n">
        <v>4</v>
      </c>
      <c r="E1365" s="33" t="inlineStr">
        <is>
          <t>Data cloud platform = upstream of AI applications. Customer data must live somewhere; SNOW is the platform-as-substrate for enterprise AI workloads.</t>
        </is>
      </c>
      <c r="F1365" s="33" t="inlineStr">
        <is>
          <t>Layer 10 per-name deep research (2026-05-18): WebSearch + yfinance + analyst revisions + Q1 FY26/FY27 transcripts</t>
        </is>
      </c>
      <c r="G1365" s="33" t="inlineStr">
        <is>
          <t>High</t>
        </is>
      </c>
      <c r="H1365" s="33" t="inlineStr">
        <is>
          <t>Initial</t>
        </is>
      </c>
    </row>
    <row r="1366">
      <c r="A1366" s="33" t="inlineStr">
        <is>
          <t>2026-05-18</t>
        </is>
      </c>
      <c r="B1366" s="33" t="inlineStr">
        <is>
          <t>SNOW</t>
        </is>
      </c>
      <c r="C1366" s="33" t="inlineStr">
        <is>
          <t>D3</t>
        </is>
      </c>
      <c r="D1366" s="33" t="n">
        <v>4</v>
      </c>
      <c r="E1366" s="33" t="inlineStr">
        <is>
          <t>Strong network effects (data gravity); Apache Iceberg + Polaris differentiation; deep partner ecosystem. Solid but contestable vs hyperscaler-native (Redshift, BigQuery, Synapse).</t>
        </is>
      </c>
      <c r="F1366" s="33" t="inlineStr">
        <is>
          <t>Layer 10 per-name deep research (2026-05-18): WebSearch + yfinance + analyst revisions + Q1 FY26/FY27 transcripts</t>
        </is>
      </c>
      <c r="G1366" s="33" t="inlineStr">
        <is>
          <t>Medium</t>
        </is>
      </c>
      <c r="H1366" s="33" t="inlineStr">
        <is>
          <t>Initial</t>
        </is>
      </c>
    </row>
    <row r="1367">
      <c r="A1367" s="33" t="inlineStr">
        <is>
          <t>2026-05-18</t>
        </is>
      </c>
      <c r="B1367" s="33" t="inlineStr">
        <is>
          <t>SNOW</t>
        </is>
      </c>
      <c r="C1367" s="33" t="inlineStr">
        <is>
          <t>D4</t>
        </is>
      </c>
      <c r="D1367" s="33" t="n">
        <v>4</v>
      </c>
      <c r="E1367" s="33" t="inlineStr">
        <is>
          <t>Aggressive AI product launches (Cortex Code, financial services Cortex, multiple partnerships).</t>
        </is>
      </c>
      <c r="F1367" s="33" t="inlineStr">
        <is>
          <t>Layer 10 per-name deep research (2026-05-18): WebSearch + yfinance + analyst revisions + Q1 FY26/FY27 transcripts</t>
        </is>
      </c>
      <c r="G1367" s="33" t="inlineStr">
        <is>
          <t>High</t>
        </is>
      </c>
      <c r="H1367" s="33" t="inlineStr">
        <is>
          <t>Initial</t>
        </is>
      </c>
    </row>
    <row r="1368">
      <c r="A1368" s="33" t="inlineStr">
        <is>
          <t>2026-05-18</t>
        </is>
      </c>
      <c r="B1368" s="33" t="inlineStr">
        <is>
          <t>SNOW</t>
        </is>
      </c>
      <c r="C1368" s="33" t="inlineStr">
        <is>
          <t>D5</t>
        </is>
      </c>
      <c r="D1368" s="33" t="n">
        <v>3</v>
      </c>
      <c r="E1368" s="33" t="inlineStr">
        <is>
          <t>Rated 3 (intermediated chain) — SNOW runs on hyperscaler IaaS (AWS/Azure/GCP) and integrates with NVDA AI Enterprise + OpenAI + Anthropic, but these are SUPPLIER/PARTNER relationships, not anchor-customer wins. Per [[d5-direct-vs-indirect-calibration]], intermediated chain = 3. Downgraded from initial 4 after discussion with Dom 2026-05-18: was rewarding partnership depth rather than customer-chain position.</t>
        </is>
      </c>
      <c r="F1368" s="33" t="inlineStr">
        <is>
          <t>Layer 10 per-name deep research (2026-05-18): WebSearch + yfinance + analyst revisions + Q1 FY26/FY27 transcripts</t>
        </is>
      </c>
      <c r="G1368" s="33" t="inlineStr">
        <is>
          <t>High</t>
        </is>
      </c>
      <c r="H1368" s="33" t="inlineStr">
        <is>
          <t>Initial</t>
        </is>
      </c>
    </row>
    <row r="1369">
      <c r="A1369" s="33" t="inlineStr">
        <is>
          <t>2026-05-18</t>
        </is>
      </c>
      <c r="B1369" s="33" t="inlineStr">
        <is>
          <t>SNOW</t>
        </is>
      </c>
      <c r="C1369" s="33" t="inlineStr">
        <is>
          <t>M1</t>
        </is>
      </c>
      <c r="D1369" s="33" t="n">
        <v>2</v>
      </c>
      <c r="E1369" s="33" t="inlineStr">
        <is>
          <t>11 up / 24 down (30d on 0q). Sharply negative — market pricing in AI-disintermediation risk + valuation compression ahead of Q1 FY27 results May 27.</t>
        </is>
      </c>
      <c r="F1369" s="33" t="inlineStr">
        <is>
          <t>Layer 10 per-name deep research (2026-05-18): WebSearch + yfinance + analyst revisions + Q1 FY26/FY27 transcripts</t>
        </is>
      </c>
      <c r="G1369" s="33" t="inlineStr">
        <is>
          <t>High</t>
        </is>
      </c>
      <c r="H1369" s="33" t="inlineStr">
        <is>
          <t>Initial</t>
        </is>
      </c>
    </row>
    <row r="1370">
      <c r="A1370" s="33" t="inlineStr">
        <is>
          <t>2026-05-18</t>
        </is>
      </c>
      <c r="B1370" s="33" t="inlineStr">
        <is>
          <t>SNOW</t>
        </is>
      </c>
      <c r="C1370" s="33" t="inlineStr">
        <is>
          <t>M2</t>
        </is>
      </c>
      <c r="D1370" s="33" t="n">
        <v>3</v>
      </c>
      <c r="E1370" s="33" t="inlineStr">
        <is>
          <t>-9.8% absolute 1y; +1.7pp vs IGV — tracking software ETF.</t>
        </is>
      </c>
      <c r="F1370" s="33" t="inlineStr">
        <is>
          <t>Layer 10 per-name deep research (2026-05-18): WebSearch + yfinance + analyst revisions + Q1 FY26/FY27 transcripts</t>
        </is>
      </c>
      <c r="G1370" s="33" t="inlineStr">
        <is>
          <t>High</t>
        </is>
      </c>
      <c r="H1370" s="33" t="inlineStr">
        <is>
          <t>Initial</t>
        </is>
      </c>
    </row>
    <row r="1371">
      <c r="A1371" s="33" t="inlineStr">
        <is>
          <t>2026-05-18</t>
        </is>
      </c>
      <c r="B1371" s="33" t="inlineStr">
        <is>
          <t>SNOW</t>
        </is>
      </c>
      <c r="C1371" s="33" t="inlineStr">
        <is>
          <t>M3</t>
        </is>
      </c>
      <c r="D1371" s="33" t="n">
        <v>3</v>
      </c>
      <c r="E1371" s="33" t="inlineStr">
        <is>
          <t>Default neutral.</t>
        </is>
      </c>
      <c r="F1371" s="33" t="inlineStr">
        <is>
          <t>Layer 10 per-name deep research (2026-05-18): WebSearch + yfinance + analyst revisions + Q1 FY26/FY27 transcripts</t>
        </is>
      </c>
      <c r="G1371" s="33" t="inlineStr">
        <is>
          <t>Low</t>
        </is>
      </c>
      <c r="H1371" s="33" t="inlineStr">
        <is>
          <t>Initial</t>
        </is>
      </c>
    </row>
    <row r="1372">
      <c r="A1372" s="33" t="inlineStr">
        <is>
          <t>2026-05-18</t>
        </is>
      </c>
      <c r="B1372" s="33" t="inlineStr">
        <is>
          <t>SNOW</t>
        </is>
      </c>
      <c r="C1372" s="33" t="inlineStr">
        <is>
          <t>R1</t>
        </is>
      </c>
      <c r="D1372" s="33" t="n">
        <v>4</v>
      </c>
      <c r="E1372" s="33" t="inlineStr">
        <is>
          <t>Highly diversified enterprise base; no top-1 customer dominance.</t>
        </is>
      </c>
      <c r="F1372" s="33" t="inlineStr">
        <is>
          <t>Layer 10 per-name deep research (2026-05-18): WebSearch + yfinance + analyst revisions + Q1 FY26/FY27 transcripts</t>
        </is>
      </c>
      <c r="G1372" s="33" t="inlineStr">
        <is>
          <t>High</t>
        </is>
      </c>
      <c r="H1372" s="33" t="inlineStr">
        <is>
          <t>Initial</t>
        </is>
      </c>
    </row>
    <row r="1373">
      <c r="A1373" s="33" t="inlineStr">
        <is>
          <t>2026-05-18</t>
        </is>
      </c>
      <c r="B1373" s="33" t="inlineStr">
        <is>
          <t>SNOW</t>
        </is>
      </c>
      <c r="C1373" s="33" t="inlineStr">
        <is>
          <t>R2</t>
        </is>
      </c>
      <c r="D1373" s="33" t="n">
        <v>4</v>
      </c>
      <c r="E1373" s="33" t="inlineStr">
        <is>
          <t>US-based, multi-cloud global delivery. Clean geo.</t>
        </is>
      </c>
      <c r="F1373" s="33" t="inlineStr">
        <is>
          <t>Layer 10 per-name deep research (2026-05-18): WebSearch + yfinance + analyst revisions + Q1 FY26/FY27 transcripts</t>
        </is>
      </c>
      <c r="G1373" s="33" t="inlineStr">
        <is>
          <t>High</t>
        </is>
      </c>
      <c r="H1373" s="33" t="inlineStr">
        <is>
          <t>Initial</t>
        </is>
      </c>
    </row>
    <row r="1374">
      <c r="A1374" s="33" t="inlineStr">
        <is>
          <t>2026-05-18</t>
        </is>
      </c>
      <c r="B1374" s="33" t="inlineStr">
        <is>
          <t>SNOW</t>
        </is>
      </c>
      <c r="C1374" s="33" t="inlineStr">
        <is>
          <t>R3</t>
        </is>
      </c>
      <c r="D1374" s="33" t="n">
        <v>4</v>
      </c>
      <c r="E1374" s="33" t="inlineStr">
        <is>
          <t>ND/EBITDA 1.0 manageable; FCFM 34% strong; GM 67%; cash-rich.</t>
        </is>
      </c>
      <c r="F1374" s="33" t="inlineStr">
        <is>
          <t>Layer 10 per-name deep research (2026-05-18): WebSearch + yfinance + analyst revisions + Q1 FY26/FY27 transcripts</t>
        </is>
      </c>
      <c r="G1374" s="33" t="inlineStr">
        <is>
          <t>High</t>
        </is>
      </c>
      <c r="H1374" s="33" t="inlineStr">
        <is>
          <t>Initial</t>
        </is>
      </c>
    </row>
    <row r="1375">
      <c r="A1375" s="33" t="inlineStr">
        <is>
          <t>2026-05-18</t>
        </is>
      </c>
      <c r="B1375" s="33" t="inlineStr">
        <is>
          <t>SNOW</t>
        </is>
      </c>
      <c r="C1375" s="33" t="inlineStr">
        <is>
          <t>R4</t>
        </is>
      </c>
      <c r="D1375" s="33" t="n">
        <v>4</v>
      </c>
      <c r="E1375" s="33" t="inlineStr">
        <is>
          <t>Clean.</t>
        </is>
      </c>
      <c r="F1375" s="33" t="inlineStr">
        <is>
          <t>Layer 10 per-name deep research (2026-05-18): WebSearch + yfinance + analyst revisions + Q1 FY26/FY27 transcripts</t>
        </is>
      </c>
      <c r="G1375" s="33" t="inlineStr">
        <is>
          <t>High</t>
        </is>
      </c>
      <c r="H1375" s="33" t="inlineStr">
        <is>
          <t>Initial</t>
        </is>
      </c>
    </row>
    <row r="1376">
      <c r="A1376" s="33" t="inlineStr">
        <is>
          <t>2026-05-18</t>
        </is>
      </c>
      <c r="B1376" s="33" t="inlineStr">
        <is>
          <t>NOW</t>
        </is>
      </c>
      <c r="C1376" s="33" t="inlineStr">
        <is>
          <t>D1</t>
        </is>
      </c>
      <c r="D1376" s="33" t="n">
        <v>4</v>
      </c>
      <c r="E1376" s="33" t="inlineStr">
        <is>
          <t>Now Assist AI revenue target raised to $1.5B (from $1B); Now Assist customers &gt;$1M ACV grew 130% YoY; FY26 sub guide raised; AI Control Tower deal sizes doubled QoQ. AI is dominant new growth.</t>
        </is>
      </c>
      <c r="F1376" s="33" t="inlineStr">
        <is>
          <t>Layer 10 per-name deep research (2026-05-18): WebSearch + yfinance + analyst revisions + Q1 FY26/FY27 transcripts</t>
        </is>
      </c>
      <c r="G1376" s="33" t="inlineStr">
        <is>
          <t>High</t>
        </is>
      </c>
      <c r="H1376" s="33" t="inlineStr">
        <is>
          <t>Initial</t>
        </is>
      </c>
    </row>
    <row r="1377">
      <c r="A1377" s="33" t="inlineStr">
        <is>
          <t>2026-05-18</t>
        </is>
      </c>
      <c r="B1377" s="33" t="inlineStr">
        <is>
          <t>NOW</t>
        </is>
      </c>
      <c r="C1377" s="33" t="inlineStr">
        <is>
          <t>D2</t>
        </is>
      </c>
      <c r="D1377" s="33" t="n">
        <v>3</v>
      </c>
      <c r="E1377" s="33" t="inlineStr">
        <is>
          <t>Workflow apps layer — orchestrates AI but doesn't create AI. Apps tier of stack.</t>
        </is>
      </c>
      <c r="F1377" s="33" t="inlineStr">
        <is>
          <t>Layer 10 per-name deep research (2026-05-18): WebSearch + yfinance + analyst revisions + Q1 FY26/FY27 transcripts</t>
        </is>
      </c>
      <c r="G1377" s="33" t="inlineStr">
        <is>
          <t>High</t>
        </is>
      </c>
      <c r="H1377" s="33" t="inlineStr">
        <is>
          <t>Initial</t>
        </is>
      </c>
    </row>
    <row r="1378">
      <c r="A1378" s="33" t="inlineStr">
        <is>
          <t>2026-05-18</t>
        </is>
      </c>
      <c r="B1378" s="33" t="inlineStr">
        <is>
          <t>NOW</t>
        </is>
      </c>
      <c r="C1378" s="33" t="inlineStr">
        <is>
          <t>D3</t>
        </is>
      </c>
      <c r="D1378" s="33" t="n">
        <v>5</v>
      </c>
      <c r="E1378" s="33" t="inlineStr">
        <is>
          <t>97% renewal rate; 16 deals &gt;$5M ACV, 5 &gt;$10M in Q1; deep enterprise workflow embedding; RPO $27.7B. Among the strongest enterprise SaaS moats in software.</t>
        </is>
      </c>
      <c r="F1378" s="33" t="inlineStr">
        <is>
          <t>Layer 10 per-name deep research (2026-05-18): WebSearch + yfinance + analyst revisions + Q1 FY26/FY27 transcripts</t>
        </is>
      </c>
      <c r="G1378" s="33" t="inlineStr">
        <is>
          <t>High</t>
        </is>
      </c>
      <c r="H1378" s="33" t="inlineStr">
        <is>
          <t>Initial</t>
        </is>
      </c>
    </row>
    <row r="1379">
      <c r="A1379" s="33" t="inlineStr">
        <is>
          <t>2026-05-18</t>
        </is>
      </c>
      <c r="B1379" s="33" t="inlineStr">
        <is>
          <t>NOW</t>
        </is>
      </c>
      <c r="C1379" s="33" t="inlineStr">
        <is>
          <t>D4</t>
        </is>
      </c>
      <c r="D1379" s="33" t="n">
        <v>4</v>
      </c>
      <c r="E1379" s="33" t="inlineStr">
        <is>
          <t>Scaling AI products aggressively; AI Control Tower orchestrates agent rollouts; raised AI target signals confidence.</t>
        </is>
      </c>
      <c r="F1379" s="33" t="inlineStr">
        <is>
          <t>Layer 10 per-name deep research (2026-05-18): WebSearch + yfinance + analyst revisions + Q1 FY26/FY27 transcripts</t>
        </is>
      </c>
      <c r="G1379" s="33" t="inlineStr">
        <is>
          <t>High</t>
        </is>
      </c>
      <c r="H1379" s="33" t="inlineStr">
        <is>
          <t>Initial</t>
        </is>
      </c>
    </row>
    <row r="1380">
      <c r="A1380" s="33" t="inlineStr">
        <is>
          <t>2026-05-18</t>
        </is>
      </c>
      <c r="B1380" s="33" t="inlineStr">
        <is>
          <t>NOW</t>
        </is>
      </c>
      <c r="C1380" s="33" t="inlineStr">
        <is>
          <t>D5</t>
        </is>
      </c>
      <c r="D1380" s="33" t="n">
        <v>3</v>
      </c>
      <c r="E1380" s="33" t="inlineStr">
        <is>
          <t>Partners with hyperscalers and model providers but customers are enterprises directly; intermediated chain.</t>
        </is>
      </c>
      <c r="F1380" s="33" t="inlineStr">
        <is>
          <t>Layer 10 per-name deep research (2026-05-18): WebSearch + yfinance + analyst revisions + Q1 FY26/FY27 transcripts</t>
        </is>
      </c>
      <c r="G1380" s="33" t="inlineStr">
        <is>
          <t>Medium</t>
        </is>
      </c>
      <c r="H1380" s="33" t="inlineStr">
        <is>
          <t>Initial</t>
        </is>
      </c>
    </row>
    <row r="1381">
      <c r="A1381" s="33" t="inlineStr">
        <is>
          <t>2026-05-18</t>
        </is>
      </c>
      <c r="B1381" s="33" t="inlineStr">
        <is>
          <t>NOW</t>
        </is>
      </c>
      <c r="C1381" s="33" t="inlineStr">
        <is>
          <t>M1</t>
        </is>
      </c>
      <c r="D1381" s="33" t="n">
        <v>2</v>
      </c>
      <c r="E1381" s="33" t="inlineStr">
        <is>
          <t>0 up / 34 down (30d on 0q) — extreme negative despite raised sub guide. +1q shows 13 up / 17 down (mixed). Market pricing in seat-cannibalization-by-AI faster than growth additions. Stays at 2 per current-Q signal weight, per Dom 2026-05-18.</t>
        </is>
      </c>
      <c r="F1381" s="33" t="inlineStr">
        <is>
          <t>Layer 10 per-name deep research (2026-05-18): WebSearch + yfinance + analyst revisions + Q1 FY26/FY27 transcripts</t>
        </is>
      </c>
      <c r="G1381" s="33" t="inlineStr">
        <is>
          <t>High</t>
        </is>
      </c>
      <c r="H1381" s="33" t="inlineStr">
        <is>
          <t>Initial</t>
        </is>
      </c>
    </row>
    <row r="1382">
      <c r="A1382" s="33" t="inlineStr">
        <is>
          <t>2026-05-18</t>
        </is>
      </c>
      <c r="B1382" s="33" t="inlineStr">
        <is>
          <t>NOW</t>
        </is>
      </c>
      <c r="C1382" s="33" t="inlineStr">
        <is>
          <t>M2</t>
        </is>
      </c>
      <c r="D1382" s="33" t="n">
        <v>1</v>
      </c>
      <c r="E1382" s="33" t="inlineStr">
        <is>
          <t>-50% absolute 1y; -38pp vs IGV. Catastrophic underperformance.</t>
        </is>
      </c>
      <c r="F1382" s="33" t="inlineStr">
        <is>
          <t>Layer 10 per-name deep research (2026-05-18): WebSearch + yfinance + analyst revisions + Q1 FY26/FY27 transcripts</t>
        </is>
      </c>
      <c r="G1382" s="33" t="inlineStr">
        <is>
          <t>High</t>
        </is>
      </c>
      <c r="H1382" s="33" t="inlineStr">
        <is>
          <t>Initial</t>
        </is>
      </c>
    </row>
    <row r="1383">
      <c r="A1383" s="33" t="inlineStr">
        <is>
          <t>2026-05-18</t>
        </is>
      </c>
      <c r="B1383" s="33" t="inlineStr">
        <is>
          <t>NOW</t>
        </is>
      </c>
      <c r="C1383" s="33" t="inlineStr">
        <is>
          <t>M3</t>
        </is>
      </c>
      <c r="D1383" s="33" t="n">
        <v>3</v>
      </c>
      <c r="E1383" s="33" t="inlineStr">
        <is>
          <t>Default neutral.</t>
        </is>
      </c>
      <c r="F1383" s="33" t="inlineStr">
        <is>
          <t>Layer 10 per-name deep research (2026-05-18): WebSearch + yfinance + analyst revisions + Q1 FY26/FY27 transcripts</t>
        </is>
      </c>
      <c r="G1383" s="33" t="inlineStr">
        <is>
          <t>Low</t>
        </is>
      </c>
      <c r="H1383" s="33" t="inlineStr">
        <is>
          <t>Initial</t>
        </is>
      </c>
    </row>
    <row r="1384">
      <c r="A1384" s="33" t="inlineStr">
        <is>
          <t>2026-05-18</t>
        </is>
      </c>
      <c r="B1384" s="33" t="inlineStr">
        <is>
          <t>NOW</t>
        </is>
      </c>
      <c r="C1384" s="33" t="inlineStr">
        <is>
          <t>R1</t>
        </is>
      </c>
      <c r="D1384" s="33" t="n">
        <v>4</v>
      </c>
      <c r="E1384" s="33" t="inlineStr">
        <is>
          <t>Highly diversified enterprise base; no concentration risk.</t>
        </is>
      </c>
      <c r="F1384" s="33" t="inlineStr">
        <is>
          <t>Layer 10 per-name deep research (2026-05-18): WebSearch + yfinance + analyst revisions + Q1 FY26/FY27 transcripts</t>
        </is>
      </c>
      <c r="G1384" s="33" t="inlineStr">
        <is>
          <t>High</t>
        </is>
      </c>
      <c r="H1384" s="33" t="inlineStr">
        <is>
          <t>Initial</t>
        </is>
      </c>
    </row>
    <row r="1385">
      <c r="A1385" s="33" t="inlineStr">
        <is>
          <t>2026-05-18</t>
        </is>
      </c>
      <c r="B1385" s="33" t="inlineStr">
        <is>
          <t>NOW</t>
        </is>
      </c>
      <c r="C1385" s="33" t="inlineStr">
        <is>
          <t>R2</t>
        </is>
      </c>
      <c r="D1385" s="33" t="n">
        <v>4</v>
      </c>
      <c r="E1385" s="33" t="inlineStr">
        <is>
          <t>US-based, global delivery. Clean geo.</t>
        </is>
      </c>
      <c r="F1385" s="33" t="inlineStr">
        <is>
          <t>Layer 10 per-name deep research (2026-05-18): WebSearch + yfinance + analyst revisions + Q1 FY26/FY27 transcripts</t>
        </is>
      </c>
      <c r="G1385" s="33" t="inlineStr">
        <is>
          <t>High</t>
        </is>
      </c>
      <c r="H1385" s="33" t="inlineStr">
        <is>
          <t>Initial</t>
        </is>
      </c>
    </row>
    <row r="1386">
      <c r="A1386" s="33" t="inlineStr">
        <is>
          <t>2026-05-18</t>
        </is>
      </c>
      <c r="B1386" s="33" t="inlineStr">
        <is>
          <t>NOW</t>
        </is>
      </c>
      <c r="C1386" s="33" t="inlineStr">
        <is>
          <t>R3</t>
        </is>
      </c>
      <c r="D1386" s="33" t="n">
        <v>5</v>
      </c>
      <c r="E1386" s="33" t="inlineStr">
        <is>
          <t>Net cash (ND/EBITDA -0.95); FCFM 36.6%; GM 77%. Fortress balance sheet.</t>
        </is>
      </c>
      <c r="F1386" s="33" t="inlineStr">
        <is>
          <t>Layer 10 per-name deep research (2026-05-18): WebSearch + yfinance + analyst revisions + Q1 FY26/FY27 transcripts</t>
        </is>
      </c>
      <c r="G1386" s="33" t="inlineStr">
        <is>
          <t>High</t>
        </is>
      </c>
      <c r="H1386" s="33" t="inlineStr">
        <is>
          <t>Initial</t>
        </is>
      </c>
    </row>
    <row r="1387">
      <c r="A1387" s="33" t="inlineStr">
        <is>
          <t>2026-05-18</t>
        </is>
      </c>
      <c r="B1387" s="33" t="inlineStr">
        <is>
          <t>NOW</t>
        </is>
      </c>
      <c r="C1387" s="33" t="inlineStr">
        <is>
          <t>R4</t>
        </is>
      </c>
      <c r="D1387" s="33" t="n">
        <v>4</v>
      </c>
      <c r="E1387" s="33" t="inlineStr">
        <is>
          <t>Clean.</t>
        </is>
      </c>
      <c r="F1387" s="33" t="inlineStr">
        <is>
          <t>Layer 10 per-name deep research (2026-05-18): WebSearch + yfinance + analyst revisions + Q1 FY26/FY27 transcripts</t>
        </is>
      </c>
      <c r="G1387" s="33" t="inlineStr">
        <is>
          <t>High</t>
        </is>
      </c>
      <c r="H1387" s="33" t="inlineStr">
        <is>
          <t>Initial</t>
        </is>
      </c>
    </row>
    <row r="1388">
      <c r="A1388" s="33" t="inlineStr">
        <is>
          <t>2026-05-18</t>
        </is>
      </c>
      <c r="B1388" s="33" t="inlineStr">
        <is>
          <t>CRM</t>
        </is>
      </c>
      <c r="C1388" s="33" t="inlineStr">
        <is>
          <t>D1</t>
        </is>
      </c>
      <c r="D1388" s="33" t="n">
        <v>3</v>
      </c>
      <c r="E1388" s="33" t="inlineStr">
        <is>
          <t>Agentforce ARR $800M (+169% YoY); 29k deals since launch, 18.5k customers (9.5k paid); Agentforce + Data 360 combined ARR $2.9B = ~7% of $41.5B total. AI material but not yet dominant of total revenue mix.</t>
        </is>
      </c>
      <c r="F1388" s="33" t="inlineStr">
        <is>
          <t>Layer 10 per-name deep research (2026-05-18): WebSearch + yfinance + analyst revisions + Q1 FY26/FY27 transcripts</t>
        </is>
      </c>
      <c r="G1388" s="33" t="inlineStr">
        <is>
          <t>High</t>
        </is>
      </c>
      <c r="H1388" s="33" t="inlineStr">
        <is>
          <t>Initial</t>
        </is>
      </c>
    </row>
    <row r="1389">
      <c r="A1389" s="33" t="inlineStr">
        <is>
          <t>2026-05-18</t>
        </is>
      </c>
      <c r="B1389" s="33" t="inlineStr">
        <is>
          <t>CRM</t>
        </is>
      </c>
      <c r="C1389" s="33" t="inlineStr">
        <is>
          <t>D2</t>
        </is>
      </c>
      <c r="D1389" s="33" t="n">
        <v>3</v>
      </c>
      <c r="E1389" s="33" t="inlineStr">
        <is>
          <t>Apps layer — downstream of model providers; orchestrates AI for sales/service/marketing workflows.</t>
        </is>
      </c>
      <c r="F1389" s="33" t="inlineStr">
        <is>
          <t>Layer 10 per-name deep research (2026-05-18): WebSearch + yfinance + analyst revisions + Q1 FY26/FY27 transcripts</t>
        </is>
      </c>
      <c r="G1389" s="33" t="inlineStr">
        <is>
          <t>High</t>
        </is>
      </c>
      <c r="H1389" s="33" t="inlineStr">
        <is>
          <t>Initial</t>
        </is>
      </c>
    </row>
    <row r="1390">
      <c r="A1390" s="33" t="inlineStr">
        <is>
          <t>2026-05-18</t>
        </is>
      </c>
      <c r="B1390" s="33" t="inlineStr">
        <is>
          <t>CRM</t>
        </is>
      </c>
      <c r="C1390" s="33" t="inlineStr">
        <is>
          <t>D3</t>
        </is>
      </c>
      <c r="D1390" s="33" t="n">
        <v>4</v>
      </c>
      <c r="E1390" s="33" t="inlineStr">
        <is>
          <t>Largest enterprise CRM installed base = built-in distribution for Agentforce; switching costs real; Informatica acquisition adds data layer. But MSFT Copilot competition real.</t>
        </is>
      </c>
      <c r="F1390" s="33" t="inlineStr">
        <is>
          <t>Layer 10 per-name deep research (2026-05-18): WebSearch + yfinance + analyst revisions + Q1 FY26/FY27 transcripts</t>
        </is>
      </c>
      <c r="G1390" s="33" t="inlineStr">
        <is>
          <t>Medium</t>
        </is>
      </c>
      <c r="H1390" s="33" t="inlineStr">
        <is>
          <t>Initial</t>
        </is>
      </c>
    </row>
    <row r="1391">
      <c r="A1391" s="33" t="inlineStr">
        <is>
          <t>2026-05-18</t>
        </is>
      </c>
      <c r="B1391" s="33" t="inlineStr">
        <is>
          <t>CRM</t>
        </is>
      </c>
      <c r="C1391" s="33" t="inlineStr">
        <is>
          <t>D4</t>
        </is>
      </c>
      <c r="D1391" s="33" t="n">
        <v>4</v>
      </c>
      <c r="E1391" s="33" t="inlineStr">
        <is>
          <t>Agentforce scaling 50% QoQ in deal count; 169% YoY ARR growth.</t>
        </is>
      </c>
      <c r="F1391" s="33" t="inlineStr">
        <is>
          <t>Layer 10 per-name deep research (2026-05-18): WebSearch + yfinance + analyst revisions + Q1 FY26/FY27 transcripts</t>
        </is>
      </c>
      <c r="G1391" s="33" t="inlineStr">
        <is>
          <t>High</t>
        </is>
      </c>
      <c r="H1391" s="33" t="inlineStr">
        <is>
          <t>Initial</t>
        </is>
      </c>
    </row>
    <row r="1392">
      <c r="A1392" s="33" t="inlineStr">
        <is>
          <t>2026-05-18</t>
        </is>
      </c>
      <c r="B1392" s="33" t="inlineStr">
        <is>
          <t>CRM</t>
        </is>
      </c>
      <c r="C1392" s="33" t="inlineStr">
        <is>
          <t>D5</t>
        </is>
      </c>
      <c r="D1392" s="33" t="n">
        <v>3</v>
      </c>
      <c r="E1392" s="33" t="inlineStr">
        <is>
          <t>Enterprise customers; integration partnerships with hyperscalers and AI model providers; intermediated chain.</t>
        </is>
      </c>
      <c r="F1392" s="33" t="inlineStr">
        <is>
          <t>Layer 10 per-name deep research (2026-05-18): WebSearch + yfinance + analyst revisions + Q1 FY26/FY27 transcripts</t>
        </is>
      </c>
      <c r="G1392" s="33" t="inlineStr">
        <is>
          <t>Medium</t>
        </is>
      </c>
      <c r="H1392" s="33" t="inlineStr">
        <is>
          <t>Initial</t>
        </is>
      </c>
    </row>
    <row r="1393">
      <c r="A1393" s="33" t="inlineStr">
        <is>
          <t>2026-05-18</t>
        </is>
      </c>
      <c r="B1393" s="33" t="inlineStr">
        <is>
          <t>CRM</t>
        </is>
      </c>
      <c r="C1393" s="33" t="inlineStr">
        <is>
          <t>M1</t>
        </is>
      </c>
      <c r="D1393" s="33" t="n">
        <v>4</v>
      </c>
      <c r="E1393" s="33" t="inlineStr">
        <is>
          <t>33 up / 3 down (30d on 0q) but +1q mixed (19 up / 19 down). Net positive on near-term, ambiguous on next.</t>
        </is>
      </c>
      <c r="F1393" s="33" t="inlineStr">
        <is>
          <t>Layer 10 per-name deep research (2026-05-18): WebSearch + yfinance + analyst revisions + Q1 FY26/FY27 transcripts</t>
        </is>
      </c>
      <c r="G1393" s="33" t="inlineStr">
        <is>
          <t>High</t>
        </is>
      </c>
      <c r="H1393" s="33" t="inlineStr">
        <is>
          <t>Initial</t>
        </is>
      </c>
    </row>
    <row r="1394">
      <c r="A1394" s="33" t="inlineStr">
        <is>
          <t>2026-05-18</t>
        </is>
      </c>
      <c r="B1394" s="33" t="inlineStr">
        <is>
          <t>CRM</t>
        </is>
      </c>
      <c r="C1394" s="33" t="inlineStr">
        <is>
          <t>M2</t>
        </is>
      </c>
      <c r="D1394" s="33" t="n">
        <v>2</v>
      </c>
      <c r="E1394" s="33" t="inlineStr">
        <is>
          <t>-37% absolute 1y; -25.6pp vs IGV. Significant underperformance.</t>
        </is>
      </c>
      <c r="F1394" s="33" t="inlineStr">
        <is>
          <t>Layer 10 per-name deep research (2026-05-18): WebSearch + yfinance + analyst revisions + Q1 FY26/FY27 transcripts</t>
        </is>
      </c>
      <c r="G1394" s="33" t="inlineStr">
        <is>
          <t>High</t>
        </is>
      </c>
      <c r="H1394" s="33" t="inlineStr">
        <is>
          <t>Initial</t>
        </is>
      </c>
    </row>
    <row r="1395">
      <c r="A1395" s="33" t="inlineStr">
        <is>
          <t>2026-05-18</t>
        </is>
      </c>
      <c r="B1395" s="33" t="inlineStr">
        <is>
          <t>CRM</t>
        </is>
      </c>
      <c r="C1395" s="33" t="inlineStr">
        <is>
          <t>M3</t>
        </is>
      </c>
      <c r="D1395" s="33" t="n">
        <v>3</v>
      </c>
      <c r="E1395" s="33" t="inlineStr">
        <is>
          <t>Default neutral.</t>
        </is>
      </c>
      <c r="F1395" s="33" t="inlineStr">
        <is>
          <t>Layer 10 per-name deep research (2026-05-18): WebSearch + yfinance + analyst revisions + Q1 FY26/FY27 transcripts</t>
        </is>
      </c>
      <c r="G1395" s="33" t="inlineStr">
        <is>
          <t>Low</t>
        </is>
      </c>
      <c r="H1395" s="33" t="inlineStr">
        <is>
          <t>Initial</t>
        </is>
      </c>
    </row>
    <row r="1396">
      <c r="A1396" s="33" t="inlineStr">
        <is>
          <t>2026-05-18</t>
        </is>
      </c>
      <c r="B1396" s="33" t="inlineStr">
        <is>
          <t>CRM</t>
        </is>
      </c>
      <c r="C1396" s="33" t="inlineStr">
        <is>
          <t>R1</t>
        </is>
      </c>
      <c r="D1396" s="33" t="n">
        <v>4</v>
      </c>
      <c r="E1396" s="33" t="inlineStr">
        <is>
          <t>Highly diversified enterprise; MSFT Copilot competition real but not concentration risk.</t>
        </is>
      </c>
      <c r="F1396" s="33" t="inlineStr">
        <is>
          <t>Layer 10 per-name deep research (2026-05-18): WebSearch + yfinance + analyst revisions + Q1 FY26/FY27 transcripts</t>
        </is>
      </c>
      <c r="G1396" s="33" t="inlineStr">
        <is>
          <t>High</t>
        </is>
      </c>
      <c r="H1396" s="33" t="inlineStr">
        <is>
          <t>Initial</t>
        </is>
      </c>
    </row>
    <row r="1397">
      <c r="A1397" s="33" t="inlineStr">
        <is>
          <t>2026-05-18</t>
        </is>
      </c>
      <c r="B1397" s="33" t="inlineStr">
        <is>
          <t>CRM</t>
        </is>
      </c>
      <c r="C1397" s="33" t="inlineStr">
        <is>
          <t>R2</t>
        </is>
      </c>
      <c r="D1397" s="33" t="n">
        <v>4</v>
      </c>
      <c r="E1397" s="33" t="inlineStr">
        <is>
          <t>US-based, global delivery. Clean.</t>
        </is>
      </c>
      <c r="F1397" s="33" t="inlineStr">
        <is>
          <t>Layer 10 per-name deep research (2026-05-18): WebSearch + yfinance + analyst revisions + Q1 FY26/FY27 transcripts</t>
        </is>
      </c>
      <c r="G1397" s="33" t="inlineStr">
        <is>
          <t>High</t>
        </is>
      </c>
      <c r="H1397" s="33" t="inlineStr">
        <is>
          <t>Initial</t>
        </is>
      </c>
    </row>
    <row r="1398">
      <c r="A1398" s="33" t="inlineStr">
        <is>
          <t>2026-05-18</t>
        </is>
      </c>
      <c r="B1398" s="33" t="inlineStr">
        <is>
          <t>CRM</t>
        </is>
      </c>
      <c r="C1398" s="33" t="inlineStr">
        <is>
          <t>R3</t>
        </is>
      </c>
      <c r="D1398" s="33" t="n">
        <v>4</v>
      </c>
      <c r="E1398" s="33" t="inlineStr">
        <is>
          <t>ND/EBITDA 0.65 low; FCFM 39.4%; GM 78%. Excellent quality + value combination.</t>
        </is>
      </c>
      <c r="F1398" s="33" t="inlineStr">
        <is>
          <t>Layer 10 per-name deep research (2026-05-18): WebSearch + yfinance + analyst revisions + Q1 FY26/FY27 transcripts</t>
        </is>
      </c>
      <c r="G1398" s="33" t="inlineStr">
        <is>
          <t>High</t>
        </is>
      </c>
      <c r="H1398" s="33" t="inlineStr">
        <is>
          <t>Initial</t>
        </is>
      </c>
    </row>
    <row r="1399">
      <c r="A1399" s="33" t="inlineStr">
        <is>
          <t>2026-05-18</t>
        </is>
      </c>
      <c r="B1399" s="33" t="inlineStr">
        <is>
          <t>CRM</t>
        </is>
      </c>
      <c r="C1399" s="33" t="inlineStr">
        <is>
          <t>R4</t>
        </is>
      </c>
      <c r="D1399" s="33" t="n">
        <v>4</v>
      </c>
      <c r="E1399" s="33" t="inlineStr">
        <is>
          <t>Clean.</t>
        </is>
      </c>
      <c r="F1399" s="33" t="inlineStr">
        <is>
          <t>Layer 10 per-name deep research (2026-05-18): WebSearch + yfinance + analyst revisions + Q1 FY26/FY27 transcripts</t>
        </is>
      </c>
      <c r="G1399" s="33" t="inlineStr">
        <is>
          <t>High</t>
        </is>
      </c>
      <c r="H1399" s="33" t="inlineStr">
        <is>
          <t>Initial</t>
        </is>
      </c>
    </row>
    <row r="1400">
      <c r="A1400" s="33" t="inlineStr">
        <is>
          <t>2026-05-18</t>
        </is>
      </c>
      <c r="B1400" s="33" t="inlineStr">
        <is>
          <t>SNOW</t>
        </is>
      </c>
      <c r="C1400" s="33" t="inlineStr">
        <is>
          <t>D1</t>
        </is>
      </c>
      <c r="D1400" s="33" t="n">
        <v>3</v>
      </c>
      <c r="E1400" s="33" t="inlineStr">
        <is>
          <t>[4 → 3] D1 correction. Cortex AI revenue not separately disclosed; strict rubric reading (rev from explicit AI products / total) places Cortex at ~8% of revenue = D1=2. Loose reading (AI-driven workload growth on data cloud) = ~30% = D1=4. Compromise at D1=3 acknowledges (a) Cortex is small share of trailing revenue but (b) Snowflake product roadmap is now AI-centric (Cortex, OpenAI/Anthropic integrations, Cortex Code) and (c) AI is the strategic pivot driving the company. Dom-approved compromise 2026-05-18 (option B).</t>
        </is>
      </c>
      <c r="F1400" s="33" t="inlineStr">
        <is>
          <t>D1 calibration pass 2026-05-18: strict rubric reading (% AI revenue of total) applied to Layer 10. Methodology cleanup, not thesis change.</t>
        </is>
      </c>
      <c r="G1400" s="33" t="inlineStr">
        <is>
          <t>High</t>
        </is>
      </c>
      <c r="H1400" s="33" t="inlineStr">
        <is>
          <t>Update</t>
        </is>
      </c>
    </row>
    <row r="1401">
      <c r="A1401" s="33" t="inlineStr">
        <is>
          <t>2026-05-18</t>
        </is>
      </c>
      <c r="B1401" s="33" t="inlineStr">
        <is>
          <t>NOW</t>
        </is>
      </c>
      <c r="C1401" s="33" t="inlineStr">
        <is>
          <t>D1</t>
        </is>
      </c>
      <c r="D1401" s="33" t="n">
        <v>2</v>
      </c>
      <c r="E1401" s="33" t="inlineStr">
        <is>
          <t>[4 → 2] D1 correction. Now Assist AI ACV $1.5B / FY26 sub revenue $15.7B = 9.5% AI mix. By strict rubric (1=&lt;5%, 5=&gt;50%), 9.5% maps to D1=2 (5-15% band). Original D1=4 was set on "AI is dominant growth narrative" reasoning but rubric measures % of total revenue, not % of growth. Methodology cleanup per Dom 2026-05-18.</t>
        </is>
      </c>
      <c r="F1401" s="33" t="inlineStr">
        <is>
          <t>D1 calibration pass 2026-05-18: strict rubric reading (% AI revenue of total) applied to Layer 10. Methodology cleanup, not thesis change.</t>
        </is>
      </c>
      <c r="G1401" s="33" t="inlineStr">
        <is>
          <t>High</t>
        </is>
      </c>
      <c r="H1401" s="33" t="inlineStr">
        <is>
          <t>Update</t>
        </is>
      </c>
    </row>
    <row r="1402">
      <c r="A1402" s="33" t="inlineStr">
        <is>
          <t>2026-05-18</t>
        </is>
      </c>
      <c r="B1402" s="33" t="inlineStr">
        <is>
          <t>CRM</t>
        </is>
      </c>
      <c r="C1402" s="33" t="inlineStr">
        <is>
          <t>D1</t>
        </is>
      </c>
      <c r="D1402" s="33" t="n">
        <v>2</v>
      </c>
      <c r="E1402" s="33" t="inlineStr">
        <is>
          <t>[3 → 2] D1 correction. Agentforce ARR $800M / FY26 $41.5B = 1.9% AI mix strict. Adding Data 360 ARR = $2.9B / $41.5B = 7%. Original D1=3 mixed forward-looking narrative with current %. By strict rubric reading, 7% combined puts D1=2 (5-15% band). Methodology cleanup per Dom 2026-05-18.</t>
        </is>
      </c>
      <c r="F1402" s="33" t="inlineStr">
        <is>
          <t>D1 calibration pass 2026-05-18: strict rubric reading (% AI revenue of total) applied to Layer 10. Methodology cleanup, not thesis change.</t>
        </is>
      </c>
      <c r="G1402" s="33" t="inlineStr">
        <is>
          <t>High</t>
        </is>
      </c>
      <c r="H1402" s="33" t="inlineStr">
        <is>
          <t>Update</t>
        </is>
      </c>
    </row>
    <row r="1403">
      <c r="A1403" s="33" t="inlineStr">
        <is>
          <t>2026-05-24</t>
        </is>
      </c>
      <c r="B1403" s="33" t="inlineStr">
        <is>
          <t>SMR</t>
        </is>
      </c>
      <c r="C1403" s="33" t="inlineStr">
        <is>
          <t>D1. AI Rev %</t>
        </is>
      </c>
      <c r="D1403" s="33" t="n">
        <v>4</v>
      </c>
      <c r="E1403" s="33" t="n">
        <v>3</v>
      </c>
      <c r="F1403" s="33" t="inlineStr">
        <is>
          <t>Revenue $565K/qtr — essentially zero realized AI revenue. Downgrade from potential 25-50% to 10-25%.</t>
        </is>
      </c>
      <c r="G1403" s="33" t="inlineStr">
        <is>
          <t>Q1 2026 10-Q</t>
        </is>
      </c>
      <c r="H1403" s="33" t="inlineStr">
        <is>
          <t>High</t>
        </is>
      </c>
      <c r="I1403" s="33" t="inlineStr">
        <is>
          <t>Update</t>
        </is>
      </c>
    </row>
    <row r="1404">
      <c r="A1404" s="33" t="inlineStr">
        <is>
          <t>2026-05-24</t>
        </is>
      </c>
      <c r="B1404" s="33" t="inlineStr">
        <is>
          <t>SMR</t>
        </is>
      </c>
      <c r="C1404" s="33" t="inlineStr">
        <is>
          <t>D4. Capacity</t>
        </is>
      </c>
      <c r="D1404" s="33" t="n">
        <v>4</v>
      </c>
      <c r="E1404" s="33" t="n">
        <v>2</v>
      </c>
      <c r="F1404" s="33" t="inlineStr">
        <is>
          <t>ENTRA1 deal WAS the expansion story. ENTRA1 is 3-employee WeWork company with zero nuclear experience. TVA MOU non-binding.</t>
        </is>
      </c>
      <c r="G1404" s="33" t="inlineStr">
        <is>
          <t>Iceberg Research Nov 2025, Guggenheim</t>
        </is>
      </c>
      <c r="H1404" s="33" t="inlineStr">
        <is>
          <t>High</t>
        </is>
      </c>
      <c r="I1404" s="33" t="inlineStr">
        <is>
          <t>Update</t>
        </is>
      </c>
    </row>
    <row r="1405">
      <c r="A1405" s="33" t="inlineStr">
        <is>
          <t>2026-05-24</t>
        </is>
      </c>
      <c r="B1405" s="33" t="inlineStr">
        <is>
          <t>SMR</t>
        </is>
      </c>
      <c r="C1405" s="33" t="inlineStr">
        <is>
          <t>D5. Hyperscaler</t>
        </is>
      </c>
      <c r="D1405" s="33" t="n">
        <v>4</v>
      </c>
      <c r="E1405" s="33" t="n">
        <v>2</v>
      </c>
      <c r="F1405" s="33" t="inlineStr">
        <is>
          <t>No hyperscaler contracts. TVA/ENTRA1 path is indirect at best.</t>
        </is>
      </c>
      <c r="G1405" s="33" t="inlineStr">
        <is>
          <t>Company disclosures</t>
        </is>
      </c>
      <c r="H1405" s="33" t="inlineStr">
        <is>
          <t>High</t>
        </is>
      </c>
      <c r="I1405" s="33" t="inlineStr">
        <is>
          <t>Update</t>
        </is>
      </c>
    </row>
    <row r="1406">
      <c r="A1406" s="33" t="inlineStr">
        <is>
          <t>2026-05-24</t>
        </is>
      </c>
      <c r="B1406" s="33" t="inlineStr">
        <is>
          <t>SMR</t>
        </is>
      </c>
      <c r="C1406" s="33" t="inlineStr">
        <is>
          <t>M1. EPS Rev</t>
        </is>
      </c>
      <c r="D1406" s="33" t="n">
        <v>3</v>
      </c>
      <c r="E1406" s="33" t="n">
        <v>1</v>
      </c>
      <c r="F1406" s="33" t="inlineStr">
        <is>
          <t>Citi cut PT twice to $7 (Sell). Revenue forecast cut $76.2M→$59.9M. Multiple downgrades.</t>
        </is>
      </c>
      <c r="G1406" s="33" t="inlineStr">
        <is>
          <t>TipRanks, analyst actions</t>
        </is>
      </c>
      <c r="H1406" s="33" t="inlineStr">
        <is>
          <t>High</t>
        </is>
      </c>
      <c r="I1406" s="33" t="inlineStr">
        <is>
          <t>Update</t>
        </is>
      </c>
    </row>
    <row r="1407">
      <c r="A1407" s="33" t="inlineStr">
        <is>
          <t>2026-05-24</t>
        </is>
      </c>
      <c r="B1407" s="33" t="inlineStr">
        <is>
          <t>SMR</t>
        </is>
      </c>
      <c r="C1407" s="33" t="inlineStr">
        <is>
          <t>M3. Insider</t>
        </is>
      </c>
      <c r="D1407" s="33" t="n">
        <v>3</v>
      </c>
      <c r="E1407" s="33" t="n">
        <v>1</v>
      </c>
      <c r="F1407" s="33" t="inlineStr">
        <is>
          <t>Fluor fully exited — sold all 27M shares ($322M) in April. COO sold 49K shares. Zero buying.</t>
        </is>
      </c>
      <c r="G1407" s="33" t="inlineStr">
        <is>
          <t>SEC Form 4, April 2026</t>
        </is>
      </c>
      <c r="H1407" s="33" t="inlineStr">
        <is>
          <t>High</t>
        </is>
      </c>
      <c r="I1407" s="33" t="inlineStr">
        <is>
          <t>Update</t>
        </is>
      </c>
    </row>
    <row r="1408">
      <c r="A1408" s="33" t="inlineStr">
        <is>
          <t>2026-05-24</t>
        </is>
      </c>
      <c r="B1408" s="33" t="inlineStr">
        <is>
          <t>SMR</t>
        </is>
      </c>
      <c r="C1408" s="33" t="inlineStr">
        <is>
          <t>R3. BS Risk</t>
        </is>
      </c>
      <c r="D1408" s="33" t="n">
        <v>3</v>
      </c>
      <c r="E1408" s="33" t="n">
        <v>2</v>
      </c>
      <c r="F1408" s="33" t="inlineStr">
        <is>
          <t>~$1.0-1.2B liquidity but $346M+ still owed to ENTRA1 (total potential &gt;$3B). ATM dilution ongoing.</t>
        </is>
      </c>
      <c r="G1408" s="33" t="inlineStr">
        <is>
          <t>Q1 2026 10-Q, ENTRA1 agreement</t>
        </is>
      </c>
      <c r="H1408" s="33" t="inlineStr">
        <is>
          <t>Medium</t>
        </is>
      </c>
      <c r="I1408" s="33" t="inlineStr">
        <is>
          <t>Update</t>
        </is>
      </c>
    </row>
    <row r="1409">
      <c r="A1409" s="33" t="inlineStr">
        <is>
          <t>2026-05-24</t>
        </is>
      </c>
      <c r="B1409" s="33" t="inlineStr">
        <is>
          <t>SMR</t>
        </is>
      </c>
      <c r="C1409" s="33" t="inlineStr">
        <is>
          <t>R4. Reg Risk</t>
        </is>
      </c>
      <c r="D1409" s="33" t="n">
        <v>4</v>
      </c>
      <c r="E1409" s="33" t="n">
        <v>1</v>
      </c>
      <c r="F1409" s="33" t="inlineStr">
        <is>
          <t>Active securities class action (Truedson v. NuScale). ENTRA1 governance flags (shared office, 3 employees, $495M for non-binding MOU).</t>
        </is>
      </c>
      <c r="G1409" s="33" t="inlineStr">
        <is>
          <t>Court filings, Iceberg Research</t>
        </is>
      </c>
      <c r="H1409" s="33" t="inlineStr">
        <is>
          <t>High</t>
        </is>
      </c>
      <c r="I1409" s="33" t="inlineStr">
        <is>
          <t>Update</t>
        </is>
      </c>
    </row>
    <row r="1410">
      <c r="A1410" s="33" t="inlineStr">
        <is>
          <t>2026-05-24</t>
        </is>
      </c>
      <c r="B1410" s="33" t="inlineStr">
        <is>
          <t>POET</t>
        </is>
      </c>
      <c r="C1410" s="33" t="inlineStr">
        <is>
          <t>D4. Capacity</t>
        </is>
      </c>
      <c r="D1410" s="33" t="n">
        <v>3</v>
      </c>
      <c r="E1410" s="33" t="n">
        <v>2</v>
      </c>
      <c r="F1410" s="33" t="inlineStr">
        <is>
          <t>Lost Marvell/Celestial AI for cause (confidentiality breach). Flagship customer gone; only $5M replacement order.</t>
        </is>
      </c>
      <c r="G1410" s="33" t="inlineStr">
        <is>
          <t>Marvell cancellation notice Apr 23</t>
        </is>
      </c>
      <c r="H1410" s="33" t="inlineStr">
        <is>
          <t>High</t>
        </is>
      </c>
      <c r="I1410" s="33" t="inlineStr">
        <is>
          <t>Update</t>
        </is>
      </c>
    </row>
    <row r="1411">
      <c r="A1411" s="33" t="inlineStr">
        <is>
          <t>2026-05-24</t>
        </is>
      </c>
      <c r="B1411" s="33" t="inlineStr">
        <is>
          <t>POET</t>
        </is>
      </c>
      <c r="C1411" s="33" t="inlineStr">
        <is>
          <t>M2. Rel Str</t>
        </is>
      </c>
      <c r="D1411" s="33" t="n">
        <v>5</v>
      </c>
      <c r="E1411" s="33" t="n">
        <v>3</v>
      </c>
      <c r="F1411" s="33" t="inlineStr">
        <is>
          <t>Stock crashed 47% on Marvell cancellation, recovered somewhat. Extreme volatility. Roughly in-line with sector net of crash and recovery.</t>
        </is>
      </c>
      <c r="G1411" s="33" t="inlineStr">
        <is>
          <t>Yahoo Finance</t>
        </is>
      </c>
      <c r="H1411" s="33" t="inlineStr">
        <is>
          <t>Medium</t>
        </is>
      </c>
      <c r="I1411" s="33" t="inlineStr">
        <is>
          <t>Update</t>
        </is>
      </c>
    </row>
    <row r="1412">
      <c r="A1412" s="33" t="inlineStr">
        <is>
          <t>2026-05-24</t>
        </is>
      </c>
      <c r="B1412" s="33" t="inlineStr">
        <is>
          <t>POET</t>
        </is>
      </c>
      <c r="C1412" s="33" t="inlineStr">
        <is>
          <t>M3. Insider</t>
        </is>
      </c>
      <c r="D1412" s="33" t="n">
        <v>3</v>
      </c>
      <c r="E1412" s="33" t="n">
        <v>2</v>
      </c>
      <c r="F1412" s="33" t="inlineStr">
        <is>
          <t>Net selling ~$400K, zero buying during 133% run. CFO retiring with timing coinciding with PFIC controversy.</t>
        </is>
      </c>
      <c r="G1412" s="33" t="inlineStr">
        <is>
          <t>SEC Form 4, company PR</t>
        </is>
      </c>
      <c r="H1412" s="33" t="inlineStr">
        <is>
          <t>Medium</t>
        </is>
      </c>
      <c r="I1412" s="33" t="inlineStr">
        <is>
          <t>Update</t>
        </is>
      </c>
    </row>
    <row r="1413">
      <c r="A1413" s="33" t="inlineStr">
        <is>
          <t>2026-05-24</t>
        </is>
      </c>
      <c r="B1413" s="33" t="inlineStr">
        <is>
          <t>POET</t>
        </is>
      </c>
      <c r="C1413" s="33" t="inlineStr">
        <is>
          <t>R3. BS Risk</t>
        </is>
      </c>
      <c r="D1413" s="33" t="n">
        <v>2</v>
      </c>
      <c r="E1413" s="33" t="n">
        <v>4</v>
      </c>
      <c r="F1413" s="33" t="inlineStr">
        <is>
          <t>UPGRADE. Post-$400M offering: ~$430M+ cash, no debt, ~$9M/qtr burn = 12+ year runway.</t>
        </is>
      </c>
      <c r="G1413" s="33" t="inlineStr">
        <is>
          <t>Q1 2026 10-Q + offering terms</t>
        </is>
      </c>
      <c r="H1413" s="33" t="inlineStr">
        <is>
          <t>High</t>
        </is>
      </c>
      <c r="I1413" s="33" t="inlineStr">
        <is>
          <t>Update</t>
        </is>
      </c>
    </row>
    <row r="1414">
      <c r="A1414" s="33" t="inlineStr">
        <is>
          <t>2026-05-24</t>
        </is>
      </c>
      <c r="B1414" s="33" t="inlineStr">
        <is>
          <t>POET</t>
        </is>
      </c>
      <c r="C1414" s="33" t="inlineStr">
        <is>
          <t>R4. Reg Risk</t>
        </is>
      </c>
      <c r="D1414" s="33" t="n">
        <v>4</v>
      </c>
      <c r="E1414" s="33" t="n">
        <v>2</v>
      </c>
      <c r="F1414" s="33" t="inlineStr">
        <is>
          <t>Active class action (PFIC misrepresentation). Wolfpack short report. PFIC fixable via redomiciliation but legal overhang real.</t>
        </is>
      </c>
      <c r="G1414" s="33" t="inlineStr">
        <is>
          <t>Court filings, Wolfpack Research</t>
        </is>
      </c>
      <c r="H1414" s="33" t="inlineStr">
        <is>
          <t>Medium</t>
        </is>
      </c>
      <c r="I1414" s="33" t="inlineStr">
        <is>
          <t>Update</t>
        </is>
      </c>
    </row>
    <row r="1415">
      <c r="A1415" s="33" t="inlineStr">
        <is>
          <t>2026-05-24</t>
        </is>
      </c>
      <c r="B1415" s="33" t="inlineStr">
        <is>
          <t>D</t>
        </is>
      </c>
      <c r="C1415" s="33" t="inlineStr">
        <is>
          <t>D5. Hyperscaler</t>
        </is>
      </c>
      <c r="D1415" s="33" t="n">
        <v>4</v>
      </c>
      <c r="E1415" s="33" t="n">
        <v>5</v>
      </c>
      <c r="F1415" s="33" t="inlineStr">
        <is>
          <t>NEE paying $67B validates D as hyperscaler power provider: 450 DCs in Virginia, 24% of VA electricity to DCs, Amazon SMR MoU.</t>
        </is>
      </c>
      <c r="G1415" s="33" t="inlineStr">
        <is>
          <t>NEE press release, Dominion IR</t>
        </is>
      </c>
      <c r="H1415" s="33" t="inlineStr">
        <is>
          <t>High</t>
        </is>
      </c>
      <c r="I1415" s="33" t="inlineStr">
        <is>
          <t>Update</t>
        </is>
      </c>
    </row>
    <row r="1416">
      <c r="A1416" s="33" t="inlineStr">
        <is>
          <t>2026-05-24</t>
        </is>
      </c>
      <c r="B1416" s="33" t="inlineStr">
        <is>
          <t>D</t>
        </is>
      </c>
      <c r="C1416" s="33" t="inlineStr">
        <is>
          <t>R4. Reg Risk</t>
        </is>
      </c>
      <c r="D1416" s="33" t="n">
        <v>4</v>
      </c>
      <c r="E1416" s="33" t="n">
        <v>2</v>
      </c>
      <c r="F1416" s="33" t="inlineStr">
        <is>
          <t>Massive merger regulatory gauntlet: Virginia SCC, FERC, HSR, NRC. Democrats vowing scrutiny. 12-18 month timeline.</t>
        </is>
      </c>
      <c r="G1416" s="33" t="inlineStr">
        <is>
          <t>E&amp;E News/Politico, Virginia Mercury</t>
        </is>
      </c>
      <c r="H1416" s="33" t="inlineStr">
        <is>
          <t>High</t>
        </is>
      </c>
      <c r="I1416" s="33" t="inlineStr">
        <is>
          <t>Update</t>
        </is>
      </c>
    </row>
    <row r="1417">
      <c r="A1417" s="33" t="inlineStr">
        <is>
          <t>2026-05-24</t>
        </is>
      </c>
      <c r="B1417" s="33" t="inlineStr">
        <is>
          <t>NEE</t>
        </is>
      </c>
      <c r="C1417" s="33" t="inlineStr">
        <is>
          <t>D2. Position</t>
        </is>
      </c>
      <c r="D1417" s="33" t="n">
        <v>4</v>
      </c>
      <c r="E1417" s="33" t="n">
        <v>5</v>
      </c>
      <c r="F1417" s="33" t="inlineStr">
        <is>
          <t>Combined entity becomes dominant AI power utility: 130 GW pipeline, Virginia Data Center Alley, world-largest renewables. $67B price validates.</t>
        </is>
      </c>
      <c r="G1417" s="33" t="inlineStr">
        <is>
          <t>NEE press release, Utility Dive</t>
        </is>
      </c>
      <c r="H1417" s="33" t="inlineStr">
        <is>
          <t>Medium</t>
        </is>
      </c>
      <c r="I1417" s="33" t="inlineStr">
        <is>
          <t>Update</t>
        </is>
      </c>
    </row>
    <row r="1418">
      <c r="A1418" s="33" t="inlineStr">
        <is>
          <t>2026-05-24</t>
        </is>
      </c>
      <c r="B1418" s="33" t="inlineStr">
        <is>
          <t>NEE</t>
        </is>
      </c>
      <c r="C1418" s="33" t="inlineStr">
        <is>
          <t>D3. Moat</t>
        </is>
      </c>
      <c r="D1418" s="33" t="n">
        <v>4</v>
      </c>
      <c r="E1418" s="33" t="n">
        <v>5</v>
      </c>
      <c r="F1418" s="33" t="inlineStr">
        <is>
          <t>Multi-dimensional: regulated monopoly FL→VA→NC→SC + renewable scale + DC corridor + GS-5 rate class. Unprecedented in utility sector.</t>
        </is>
      </c>
      <c r="G1418" s="33" t="inlineStr">
        <is>
          <t>Press release, Dominion IR</t>
        </is>
      </c>
      <c r="H1418" s="33" t="inlineStr">
        <is>
          <t>Medium</t>
        </is>
      </c>
      <c r="I1418" s="33" t="inlineStr">
        <is>
          <t>Update</t>
        </is>
      </c>
    </row>
    <row r="1419">
      <c r="A1419" s="33" t="inlineStr">
        <is>
          <t>2026-05-24</t>
        </is>
      </c>
      <c r="B1419" s="33" t="inlineStr">
        <is>
          <t>NEE</t>
        </is>
      </c>
      <c r="C1419" s="33" t="inlineStr">
        <is>
          <t>M2. Rel Str</t>
        </is>
      </c>
      <c r="D1419" s="33" t="n">
        <v>4</v>
      </c>
      <c r="E1419" s="33" t="n">
        <v>3</v>
      </c>
      <c r="F1419" s="33" t="inlineStr">
        <is>
          <t>Stock fell 4.6% on deal announcement. Combined value fell $5B day one. Near-term underperforming XLU.</t>
        </is>
      </c>
      <c r="G1419" s="33" t="inlineStr">
        <is>
          <t>TheStreet, GuruFocus</t>
        </is>
      </c>
      <c r="H1419" s="33" t="inlineStr">
        <is>
          <t>High</t>
        </is>
      </c>
      <c r="I1419" s="33" t="inlineStr">
        <is>
          <t>Update</t>
        </is>
      </c>
    </row>
    <row r="1420">
      <c r="A1420" s="33" t="inlineStr">
        <is>
          <t>2026-05-24</t>
        </is>
      </c>
      <c r="B1420" s="33" t="inlineStr">
        <is>
          <t>NEE</t>
        </is>
      </c>
      <c r="C1420" s="33" t="inlineStr">
        <is>
          <t>R4. Reg Risk</t>
        </is>
      </c>
      <c r="D1420" s="33" t="n">
        <v>4</v>
      </c>
      <c r="E1420" s="33" t="n">
        <v>2</v>
      </c>
      <c r="F1420" s="33" t="inlineStr">
        <is>
          <t>Same regulatory gauntlet as D. Virginia SCC highest risk. $1.778B customer credit package designed to buy approval.</t>
        </is>
      </c>
      <c r="G1420" s="33" t="inlineStr">
        <is>
          <t>E&amp;E News, Clean Virginia</t>
        </is>
      </c>
      <c r="H1420" s="33" t="inlineStr">
        <is>
          <t>High</t>
        </is>
      </c>
      <c r="I1420" s="33" t="inlineStr">
        <is>
          <t>Update</t>
        </is>
      </c>
    </row>
    <row r="1421">
      <c r="A1421" s="33" t="inlineStr">
        <is>
          <t>2026-05-25</t>
        </is>
      </c>
      <c r="B1421" s="33" t="inlineStr">
        <is>
          <t>CRDO</t>
        </is>
      </c>
      <c r="C1421" s="33" t="inlineStr">
        <is>
          <t>D1 AI Rev %</t>
        </is>
      </c>
      <c r="D1421" s="33" t="n">
        <v>5</v>
      </c>
      <c r="E1421" s="33" t="inlineStr">
        <is>
          <t>~100% revenue from AI infrastructure connectivity (AECs for GPU clusters)</t>
        </is>
      </c>
      <c r="F1421" s="33" t="inlineStr">
        <is>
          <t>Q3 FY2026 earnings call</t>
        </is>
      </c>
      <c r="G1421" s="33" t="inlineStr">
        <is>
          <t>High</t>
        </is>
      </c>
      <c r="H1421" s="33" t="inlineStr">
        <is>
          <t>Initial</t>
        </is>
      </c>
    </row>
    <row r="1422">
      <c r="A1422" s="33" t="inlineStr">
        <is>
          <t>2026-05-25</t>
        </is>
      </c>
      <c r="B1422" s="33" t="inlineStr">
        <is>
          <t>CRDO</t>
        </is>
      </c>
      <c r="C1422" s="33" t="inlineStr">
        <is>
          <t>D2 Position</t>
        </is>
      </c>
      <c r="D1422" s="33" t="n">
        <v>4</v>
      </c>
      <c r="E1422" s="33" t="inlineStr">
        <is>
          <t>Upstream with 2-4 competitors, validated IP via patent cross-licenses</t>
        </is>
      </c>
      <c r="F1422" s="33" t="inlineStr">
        <is>
          <t>Patent settlements 2025-2026</t>
        </is>
      </c>
      <c r="G1422" s="33" t="inlineStr">
        <is>
          <t>Medium</t>
        </is>
      </c>
      <c r="H1422" s="33" t="inlineStr">
        <is>
          <t>Initial</t>
        </is>
      </c>
    </row>
    <row r="1423">
      <c r="A1423" s="33" t="inlineStr">
        <is>
          <t>2026-05-25</t>
        </is>
      </c>
      <c r="B1423" s="33" t="inlineStr">
        <is>
          <t>CRDO</t>
        </is>
      </c>
      <c r="C1423" s="33" t="inlineStr">
        <is>
          <t>D3 Moat</t>
        </is>
      </c>
      <c r="D1423" s="33" t="n">
        <v>4</v>
      </c>
      <c r="E1423" s="33" t="inlineStr">
        <is>
          <t>Proprietary SerDes IP, competitors chose to license. Share held at 5 hyperscalers</t>
        </is>
      </c>
      <c r="F1423" s="33" t="inlineStr">
        <is>
          <t>Cross-license settlements, customer wins</t>
        </is>
      </c>
      <c r="G1423" s="33" t="inlineStr">
        <is>
          <t>Medium</t>
        </is>
      </c>
      <c r="H1423" s="33" t="inlineStr">
        <is>
          <t>Initial</t>
        </is>
      </c>
    </row>
    <row r="1424">
      <c r="A1424" s="33" t="inlineStr">
        <is>
          <t>2026-05-25</t>
        </is>
      </c>
      <c r="B1424" s="33" t="inlineStr">
        <is>
          <t>CRDO</t>
        </is>
      </c>
      <c r="C1424" s="33" t="inlineStr">
        <is>
          <t>D4 Capacity</t>
        </is>
      </c>
      <c r="D1424" s="33" t="n">
        <v>4</v>
      </c>
      <c r="E1424" s="33" t="inlineStr">
        <is>
          <t>Fabless; DustPhotonics $750M+ acquisition expands into SiPho for CPO/NPO</t>
        </is>
      </c>
      <c r="F1424" s="33" t="inlineStr">
        <is>
          <t>DustPhotonics 8-K Apr 2026</t>
        </is>
      </c>
      <c r="G1424" s="33" t="inlineStr">
        <is>
          <t>High</t>
        </is>
      </c>
      <c r="H1424" s="33" t="inlineStr">
        <is>
          <t>Initial</t>
        </is>
      </c>
    </row>
    <row r="1425">
      <c r="A1425" s="33" t="inlineStr">
        <is>
          <t>2026-05-25</t>
        </is>
      </c>
      <c r="B1425" s="33" t="inlineStr">
        <is>
          <t>CRDO</t>
        </is>
      </c>
      <c r="C1425" s="33" t="inlineStr">
        <is>
          <t>D5 Hyperscaler</t>
        </is>
      </c>
      <c r="D1425" s="33" t="n">
        <v>5</v>
      </c>
      <c r="E1425" s="33" t="inlineStr">
        <is>
          <t>Five hyperscaler customers, three &gt;10% revenue. Combined &gt;60%</t>
        </is>
      </c>
      <c r="F1425" s="33" t="inlineStr">
        <is>
          <t>Q1 FY2026 earnings call</t>
        </is>
      </c>
      <c r="G1425" s="33" t="inlineStr">
        <is>
          <t>High</t>
        </is>
      </c>
      <c r="H1425" s="33" t="inlineStr">
        <is>
          <t>Initial</t>
        </is>
      </c>
    </row>
    <row r="1426">
      <c r="A1426" s="33" t="inlineStr">
        <is>
          <t>2026-05-25</t>
        </is>
      </c>
      <c r="B1426" s="33" t="inlineStr">
        <is>
          <t>CRDO</t>
        </is>
      </c>
      <c r="C1426" s="33" t="inlineStr">
        <is>
          <t>M1 EPS Rev</t>
        </is>
      </c>
      <c r="D1426" s="33" t="n">
        <v>5</v>
      </c>
      <c r="E1426" s="33" t="inlineStr">
        <is>
          <t>Consistent massive beats all year. 16 Buy, 1 Hold, 0 Sell</t>
        </is>
      </c>
      <c r="F1426" s="33" t="inlineStr">
        <is>
          <t>MarketBeat analyst consensus</t>
        </is>
      </c>
      <c r="G1426" s="33" t="inlineStr">
        <is>
          <t>High</t>
        </is>
      </c>
      <c r="H1426" s="33" t="inlineStr">
        <is>
          <t>Initial</t>
        </is>
      </c>
    </row>
    <row r="1427">
      <c r="A1427" s="33" t="inlineStr">
        <is>
          <t>2026-05-25</t>
        </is>
      </c>
      <c r="B1427" s="33" t="inlineStr">
        <is>
          <t>CRDO</t>
        </is>
      </c>
      <c r="C1427" s="33" t="inlineStr">
        <is>
          <t>M2 Rel Str</t>
        </is>
      </c>
      <c r="D1427" s="33" t="n">
        <v>5</v>
      </c>
      <c r="E1427" s="33" t="inlineStr">
        <is>
          <t>Stock tripled in past year. &gt;100% outperformance vs SOXX</t>
        </is>
      </c>
      <c r="F1427" s="33" t="inlineStr">
        <is>
          <t>Price data vs SOXX</t>
        </is>
      </c>
      <c r="G1427" s="33" t="inlineStr">
        <is>
          <t>High</t>
        </is>
      </c>
      <c r="H1427" s="33" t="inlineStr">
        <is>
          <t>Initial</t>
        </is>
      </c>
    </row>
    <row r="1428">
      <c r="A1428" s="33" t="inlineStr">
        <is>
          <t>2026-05-25</t>
        </is>
      </c>
      <c r="B1428" s="33" t="inlineStr">
        <is>
          <t>CRDO</t>
        </is>
      </c>
      <c r="C1428" s="33" t="inlineStr">
        <is>
          <t>M3 Insider</t>
        </is>
      </c>
      <c r="D1428" s="33" t="n">
        <v>3</v>
      </c>
      <c r="E1428" s="33" t="inlineStr">
        <is>
          <t>CTO sold ~$10M but retains &gt;6M shares (&lt;0.5% sold). Routine</t>
        </is>
      </c>
      <c r="F1428" s="33" t="inlineStr">
        <is>
          <t>Form 4 filings</t>
        </is>
      </c>
      <c r="G1428" s="33" t="inlineStr">
        <is>
          <t>Medium</t>
        </is>
      </c>
      <c r="H1428" s="33" t="inlineStr">
        <is>
          <t>Initial</t>
        </is>
      </c>
    </row>
    <row r="1429">
      <c r="A1429" s="33" t="inlineStr">
        <is>
          <t>2026-05-25</t>
        </is>
      </c>
      <c r="B1429" s="33" t="inlineStr">
        <is>
          <t>CRDO</t>
        </is>
      </c>
      <c r="C1429" s="33" t="inlineStr">
        <is>
          <t>R1 Cust Conc</t>
        </is>
      </c>
      <c r="D1429" s="33" t="n">
        <v>2</v>
      </c>
      <c r="E1429" s="33" t="inlineStr">
        <is>
          <t>Three customers each &gt;10% revenue. Combined likely &gt;50%</t>
        </is>
      </c>
      <c r="F1429" s="33" t="inlineStr">
        <is>
          <t>Q1 FY2026 earnings call</t>
        </is>
      </c>
      <c r="G1429" s="33" t="inlineStr">
        <is>
          <t>High</t>
        </is>
      </c>
      <c r="H1429" s="33" t="inlineStr">
        <is>
          <t>Initial</t>
        </is>
      </c>
    </row>
    <row r="1430">
      <c r="A1430" s="33" t="inlineStr">
        <is>
          <t>2026-05-25</t>
        </is>
      </c>
      <c r="B1430" s="33" t="inlineStr">
        <is>
          <t>CRDO</t>
        </is>
      </c>
      <c r="C1430" s="33" t="inlineStr">
        <is>
          <t>R2 Geo Risk</t>
        </is>
      </c>
      <c r="D1430" s="33" t="n">
        <v>4</v>
      </c>
      <c r="E1430" s="33" t="inlineStr">
        <is>
          <t>AECs not export-controlled. US hyperscaler customers. Cayman incorporation minor</t>
        </is>
      </c>
      <c r="F1430" s="33" t="inlineStr">
        <is>
          <t>Product classification</t>
        </is>
      </c>
      <c r="G1430" s="33" t="inlineStr">
        <is>
          <t>Medium</t>
        </is>
      </c>
      <c r="H1430" s="33" t="inlineStr">
        <is>
          <t>Initial</t>
        </is>
      </c>
    </row>
    <row r="1431">
      <c r="A1431" s="33" t="inlineStr">
        <is>
          <t>2026-05-25</t>
        </is>
      </c>
      <c r="B1431" s="33" t="inlineStr">
        <is>
          <t>CRDO</t>
        </is>
      </c>
      <c r="C1431" s="33" t="inlineStr">
        <is>
          <t>R3 BS Risk</t>
        </is>
      </c>
      <c r="D1431" s="33" t="n">
        <v>5</v>
      </c>
      <c r="E1431" s="33" t="inlineStr">
        <is>
          <t>Net cash. ND/EBITDA=-3.67. Fabless, low capital intensity</t>
        </is>
      </c>
      <c r="F1431" s="33" t="inlineStr">
        <is>
          <t>Q3 FY2026 balance sheet</t>
        </is>
      </c>
      <c r="G1431" s="33" t="inlineStr">
        <is>
          <t>High</t>
        </is>
      </c>
      <c r="H1431" s="33" t="inlineStr">
        <is>
          <t>Initial</t>
        </is>
      </c>
    </row>
    <row r="1432">
      <c r="A1432" s="33" t="inlineStr">
        <is>
          <t>2026-05-25</t>
        </is>
      </c>
      <c r="B1432" s="33" t="inlineStr">
        <is>
          <t>CRDO</t>
        </is>
      </c>
      <c r="C1432" s="33" t="inlineStr">
        <is>
          <t>R4 Reg Risk</t>
        </is>
      </c>
      <c r="D1432" s="33" t="n">
        <v>5</v>
      </c>
      <c r="E1432" s="33" t="inlineStr">
        <is>
          <t>All patent disputes settled. No regulatory overhangs</t>
        </is>
      </c>
      <c r="F1432" s="33" t="inlineStr">
        <is>
          <t>Settlement filings 2025-2026</t>
        </is>
      </c>
      <c r="G1432" s="33" t="inlineStr">
        <is>
          <t>High</t>
        </is>
      </c>
      <c r="H1432" s="33" t="inlineStr">
        <is>
          <t>Initial</t>
        </is>
      </c>
    </row>
    <row r="1433">
      <c r="A1433" s="33" t="inlineStr">
        <is>
          <t>2026-05-25</t>
        </is>
      </c>
      <c r="B1433" s="33" t="inlineStr">
        <is>
          <t>MPWR</t>
        </is>
      </c>
      <c r="C1433" s="33" t="inlineStr">
        <is>
          <t>D1 AI Rev %</t>
        </is>
      </c>
      <c r="D1433" s="33" t="n">
        <v>4</v>
      </c>
      <c r="E1433" s="33" t="inlineStr">
        <is>
          <t>Enterprise Data segment ~33% of revenue (+98% YoY), rapidly becoming largest segment</t>
        </is>
      </c>
      <c r="F1433" s="33" t="inlineStr">
        <is>
          <t>Q1 2026 segment data</t>
        </is>
      </c>
      <c r="G1433" s="33" t="inlineStr">
        <is>
          <t>High</t>
        </is>
      </c>
      <c r="H1433" s="33" t="inlineStr">
        <is>
          <t>Initial</t>
        </is>
      </c>
    </row>
    <row r="1434">
      <c r="A1434" s="33" t="inlineStr">
        <is>
          <t>2026-05-25</t>
        </is>
      </c>
      <c r="B1434" s="33" t="inlineStr">
        <is>
          <t>MPWR</t>
        </is>
      </c>
      <c r="C1434" s="33" t="inlineStr">
        <is>
          <t>D2 Position</t>
        </is>
      </c>
      <c r="D1434" s="33" t="n">
        <v>4</v>
      </c>
      <c r="E1434" s="33" t="inlineStr">
        <is>
          <t>Upstream power IC with 2-4 competitors (Infineon, Renesas). Tight capacity</t>
        </is>
      </c>
      <c r="F1434" s="33" t="inlineStr">
        <is>
          <t>Blackwell platform analysis</t>
        </is>
      </c>
      <c r="G1434" s="33" t="inlineStr">
        <is>
          <t>Medium</t>
        </is>
      </c>
      <c r="H1434" s="33" t="inlineStr">
        <is>
          <t>Initial</t>
        </is>
      </c>
    </row>
    <row r="1435">
      <c r="A1435" s="33" t="inlineStr">
        <is>
          <t>2026-05-25</t>
        </is>
      </c>
      <c r="B1435" s="33" t="inlineStr">
        <is>
          <t>MPWR</t>
        </is>
      </c>
      <c r="C1435" s="33" t="inlineStr">
        <is>
          <t>D3 Moat</t>
        </is>
      </c>
      <c r="D1435" s="33" t="n">
        <v>3</v>
      </c>
      <c r="E1435" s="33" t="inlineStr">
        <is>
          <t>Blackwell share loss to Infineon shows moat is platform-specific. 800V VDC for Vera Rubin unproven</t>
        </is>
      </c>
      <c r="F1435" s="33" t="inlineStr">
        <is>
          <t>Vera Rubin design-win analysis</t>
        </is>
      </c>
      <c r="G1435" s="33" t="inlineStr">
        <is>
          <t>Medium</t>
        </is>
      </c>
      <c r="H1435" s="33" t="inlineStr">
        <is>
          <t>Initial</t>
        </is>
      </c>
    </row>
    <row r="1436">
      <c r="A1436" s="33" t="inlineStr">
        <is>
          <t>2026-05-25</t>
        </is>
      </c>
      <c r="B1436" s="33" t="inlineStr">
        <is>
          <t>MPWR</t>
        </is>
      </c>
      <c r="C1436" s="33" t="inlineStr">
        <is>
          <t>D4 Capacity</t>
        </is>
      </c>
      <c r="D1436" s="33" t="n">
        <v>4</v>
      </c>
      <c r="E1436" s="33" t="inlineStr">
        <is>
          <t>Active 800V VDC development for Vera Rubin. Fabless. Design-win pipeline growing</t>
        </is>
      </c>
      <c r="F1436" s="33" t="inlineStr">
        <is>
          <t>Product roadmap, Q2 guidance</t>
        </is>
      </c>
      <c r="G1436" s="33" t="inlineStr">
        <is>
          <t>Medium</t>
        </is>
      </c>
      <c r="H1436" s="33" t="inlineStr">
        <is>
          <t>Initial</t>
        </is>
      </c>
    </row>
    <row r="1437">
      <c r="A1437" s="33" t="inlineStr">
        <is>
          <t>2026-05-25</t>
        </is>
      </c>
      <c r="B1437" s="33" t="inlineStr">
        <is>
          <t>MPWR</t>
        </is>
      </c>
      <c r="C1437" s="33" t="inlineStr">
        <is>
          <t>D5 Hyperscaler</t>
        </is>
      </c>
      <c r="D1437" s="33" t="n">
        <v>4</v>
      </c>
      <c r="E1437" s="33" t="inlineStr">
        <is>
          <t>NVIDIA is platform partner (indirect). One platform switch caused major disruption</t>
        </is>
      </c>
      <c r="F1437" s="33" t="inlineStr">
        <is>
          <t>Revenue mix analysis</t>
        </is>
      </c>
      <c r="G1437" s="33" t="inlineStr">
        <is>
          <t>Medium</t>
        </is>
      </c>
      <c r="H1437" s="33" t="inlineStr">
        <is>
          <t>Initial</t>
        </is>
      </c>
    </row>
    <row r="1438">
      <c r="A1438" s="33" t="inlineStr">
        <is>
          <t>2026-05-25</t>
        </is>
      </c>
      <c r="B1438" s="33" t="inlineStr">
        <is>
          <t>MPWR</t>
        </is>
      </c>
      <c r="C1438" s="33" t="inlineStr">
        <is>
          <t>M1 EPS Rev</t>
        </is>
      </c>
      <c r="D1438" s="33" t="n">
        <v>5</v>
      </c>
      <c r="E1438" s="33" t="inlineStr">
        <is>
          <t>Q1 beat both lines. Q2 guidance above consensus. Growth floor raised 3x</t>
        </is>
      </c>
      <c r="F1438" s="33" t="inlineStr">
        <is>
          <t>Q1 2026 earnings</t>
        </is>
      </c>
      <c r="G1438" s="33" t="inlineStr">
        <is>
          <t>High</t>
        </is>
      </c>
      <c r="H1438" s="33" t="inlineStr">
        <is>
          <t>Initial</t>
        </is>
      </c>
    </row>
    <row r="1439">
      <c r="A1439" s="33" t="inlineStr">
        <is>
          <t>2026-05-25</t>
        </is>
      </c>
      <c r="B1439" s="33" t="inlineStr">
        <is>
          <t>MPWR</t>
        </is>
      </c>
      <c r="C1439" s="33" t="inlineStr">
        <is>
          <t>M2 Rel Str</t>
        </is>
      </c>
      <c r="D1439" s="33" t="n">
        <v>5</v>
      </c>
      <c r="E1439" s="33" t="inlineStr">
        <is>
          <t>Stock +149% YoY, near ATH (~$1,589). &gt;100% outperformance vs SOXX</t>
        </is>
      </c>
      <c r="F1439" s="33" t="inlineStr">
        <is>
          <t>Price data</t>
        </is>
      </c>
      <c r="G1439" s="33" t="inlineStr">
        <is>
          <t>High</t>
        </is>
      </c>
      <c r="H1439" s="33" t="inlineStr">
        <is>
          <t>Initial</t>
        </is>
      </c>
    </row>
    <row r="1440">
      <c r="A1440" s="33" t="inlineStr">
        <is>
          <t>2026-05-25</t>
        </is>
      </c>
      <c r="B1440" s="33" t="inlineStr">
        <is>
          <t>MPWR</t>
        </is>
      </c>
      <c r="C1440" s="33" t="inlineStr">
        <is>
          <t>M3 Insider</t>
        </is>
      </c>
      <c r="D1440" s="33" t="n">
        <v>3</v>
      </c>
      <c r="E1440" s="33" t="inlineStr">
        <is>
          <t>219 sales, 0 purchases. Large $ amounts but unclear % of holdings. Default routine</t>
        </is>
      </c>
      <c r="F1440" s="33" t="inlineStr">
        <is>
          <t>MarketBeat insider data</t>
        </is>
      </c>
      <c r="G1440" s="33" t="inlineStr">
        <is>
          <t>Medium</t>
        </is>
      </c>
      <c r="H1440" s="33" t="inlineStr">
        <is>
          <t>Initial</t>
        </is>
      </c>
    </row>
    <row r="1441">
      <c r="A1441" s="33" t="inlineStr">
        <is>
          <t>2026-05-25</t>
        </is>
      </c>
      <c r="B1441" s="33" t="inlineStr">
        <is>
          <t>MPWR</t>
        </is>
      </c>
      <c r="C1441" s="33" t="inlineStr">
        <is>
          <t>R1 Cust Conc</t>
        </is>
      </c>
      <c r="D1441" s="33" t="n">
        <v>3</v>
      </c>
      <c r="E1441" s="33" t="inlineStr">
        <is>
          <t>NVIDIA platform dependency but sells through multiple OEMs. Auto/industrial diversify</t>
        </is>
      </c>
      <c r="F1441" s="33" t="inlineStr">
        <is>
          <t>Segment data</t>
        </is>
      </c>
      <c r="G1441" s="33" t="inlineStr">
        <is>
          <t>Medium</t>
        </is>
      </c>
      <c r="H1441" s="33" t="inlineStr">
        <is>
          <t>Initial</t>
        </is>
      </c>
    </row>
    <row r="1442">
      <c r="A1442" s="33" t="inlineStr">
        <is>
          <t>2026-05-25</t>
        </is>
      </c>
      <c r="B1442" s="33" t="inlineStr">
        <is>
          <t>MPWR</t>
        </is>
      </c>
      <c r="C1442" s="33" t="inlineStr">
        <is>
          <t>R2 Geo Risk</t>
        </is>
      </c>
      <c r="D1442" s="33" t="n">
        <v>3</v>
      </c>
      <c r="E1442" s="33" t="inlineStr">
        <is>
          <t>Global sales including Asia. Power ICs not export-controlled. Some tariff exposure</t>
        </is>
      </c>
      <c r="F1442" s="33" t="inlineStr">
        <is>
          <t>Industry context</t>
        </is>
      </c>
      <c r="G1442" s="33" t="inlineStr">
        <is>
          <t>Low</t>
        </is>
      </c>
      <c r="H1442" s="33" t="inlineStr">
        <is>
          <t>Initial</t>
        </is>
      </c>
    </row>
    <row r="1443">
      <c r="A1443" s="33" t="inlineStr">
        <is>
          <t>2026-05-25</t>
        </is>
      </c>
      <c r="B1443" s="33" t="inlineStr">
        <is>
          <t>MPWR</t>
        </is>
      </c>
      <c r="C1443" s="33" t="inlineStr">
        <is>
          <t>R3 BS Risk</t>
        </is>
      </c>
      <c r="D1443" s="33" t="n">
        <v>5</v>
      </c>
      <c r="E1443" s="33" t="inlineStr">
        <is>
          <t>Net cash. $1.37B cash. Fabless. Strong FCF</t>
        </is>
      </c>
      <c r="F1443" s="33" t="inlineStr">
        <is>
          <t>Q1 2026 balance sheet</t>
        </is>
      </c>
      <c r="G1443" s="33" t="inlineStr">
        <is>
          <t>High</t>
        </is>
      </c>
      <c r="H1443" s="33" t="inlineStr">
        <is>
          <t>Initial</t>
        </is>
      </c>
    </row>
    <row r="1444">
      <c r="A1444" s="33" t="inlineStr">
        <is>
          <t>2026-05-25</t>
        </is>
      </c>
      <c r="B1444" s="33" t="inlineStr">
        <is>
          <t>MPWR</t>
        </is>
      </c>
      <c r="C1444" s="33" t="inlineStr">
        <is>
          <t>R4 Reg Risk</t>
        </is>
      </c>
      <c r="D1444" s="33" t="n">
        <v>4</v>
      </c>
      <c r="E1444" s="33" t="inlineStr">
        <is>
          <t>No major litigation disclosed. Needs 10-K verification</t>
        </is>
      </c>
      <c r="F1444" s="33" t="inlineStr">
        <is>
          <t>General assessment</t>
        </is>
      </c>
      <c r="G1444" s="33" t="inlineStr">
        <is>
          <t>Medium</t>
        </is>
      </c>
      <c r="H1444" s="33" t="inlineStr">
        <is>
          <t>Initial</t>
        </is>
      </c>
    </row>
    <row r="1445">
      <c r="A1445" s="33" t="inlineStr">
        <is>
          <t>2026-05-25</t>
        </is>
      </c>
      <c r="B1445" s="33" t="inlineStr">
        <is>
          <t>KEYS</t>
        </is>
      </c>
      <c r="C1445" s="33" t="inlineStr">
        <is>
          <t>D1 AI Rev %</t>
        </is>
      </c>
      <c r="D1445" s="33" t="n">
        <v>3</v>
      </c>
      <c r="E1445" s="33" t="inlineStr">
        <is>
          <t>AI ~17% of revenue. Growing rapidly (H1 &gt; full FY2025) but 83% non-AI</t>
        </is>
      </c>
      <c r="F1445" s="33" t="inlineStr">
        <is>
          <t>Q2 FY2026 earnings, mgmt disclosure</t>
        </is>
      </c>
      <c r="G1445" s="33" t="inlineStr">
        <is>
          <t>High</t>
        </is>
      </c>
      <c r="H1445" s="33" t="inlineStr">
        <is>
          <t>Initial</t>
        </is>
      </c>
    </row>
    <row r="1446">
      <c r="A1446" s="33" t="inlineStr">
        <is>
          <t>2026-05-25</t>
        </is>
      </c>
      <c r="B1446" s="33" t="inlineStr">
        <is>
          <t>KEYS</t>
        </is>
      </c>
      <c r="C1446" s="33" t="inlineStr">
        <is>
          <t>D2 Position</t>
        </is>
      </c>
      <c r="D1446" s="33" t="n">
        <v>4</v>
      </c>
      <c r="E1446" s="33" t="inlineStr">
        <is>
          <t>Upstream validation bottleneck. Already shipping PCIe 7.0 while competitors on 6.0</t>
        </is>
      </c>
      <c r="F1446" s="33" t="inlineStr">
        <is>
          <t>Keysight newsroom May 2026</t>
        </is>
      </c>
      <c r="G1446" s="33" t="inlineStr">
        <is>
          <t>High</t>
        </is>
      </c>
      <c r="H1446" s="33" t="inlineStr">
        <is>
          <t>Initial</t>
        </is>
      </c>
    </row>
    <row r="1447">
      <c r="A1447" s="33" t="inlineStr">
        <is>
          <t>2026-05-25</t>
        </is>
      </c>
      <c r="B1447" s="33" t="inlineStr">
        <is>
          <t>KEYS</t>
        </is>
      </c>
      <c r="C1447" s="33" t="inlineStr">
        <is>
          <t>D3 Moat</t>
        </is>
      </c>
      <c r="D1447" s="33" t="n">
        <v>4</v>
      </c>
      <c r="E1447" s="33" t="inlineStr">
        <is>
          <t>HP/Agilent heritage IP. 72% gross margin = pricing power. 27% ARR stickiness</t>
        </is>
      </c>
      <c r="F1447" s="33" t="inlineStr">
        <is>
          <t>Revenue mix, gross margin</t>
        </is>
      </c>
      <c r="G1447" s="33" t="inlineStr">
        <is>
          <t>High</t>
        </is>
      </c>
      <c r="H1447" s="33" t="inlineStr">
        <is>
          <t>Initial</t>
        </is>
      </c>
    </row>
    <row r="1448">
      <c r="A1448" s="33" t="inlineStr">
        <is>
          <t>2026-05-25</t>
        </is>
      </c>
      <c r="B1448" s="33" t="inlineStr">
        <is>
          <t>KEYS</t>
        </is>
      </c>
      <c r="C1448" s="33" t="inlineStr">
        <is>
          <t>D4 Capacity</t>
        </is>
      </c>
      <c r="D1448" s="33" t="n">
        <v>3</v>
      </c>
      <c r="E1448" s="33" t="inlineStr">
        <is>
          <t>Asset-light T&amp;M business. $1.5B buyback = capital return, not expansion</t>
        </is>
      </c>
      <c r="F1448" s="33" t="inlineStr">
        <is>
          <t>Capital allocation</t>
        </is>
      </c>
      <c r="G1448" s="33" t="inlineStr">
        <is>
          <t>High</t>
        </is>
      </c>
      <c r="H1448" s="33" t="inlineStr">
        <is>
          <t>Initial</t>
        </is>
      </c>
    </row>
    <row r="1449">
      <c r="A1449" s="33" t="inlineStr">
        <is>
          <t>2026-05-25</t>
        </is>
      </c>
      <c r="B1449" s="33" t="inlineStr">
        <is>
          <t>KEYS</t>
        </is>
      </c>
      <c r="C1449" s="33" t="inlineStr">
        <is>
          <t>D5 Hyperscaler</t>
        </is>
      </c>
      <c r="D1449" s="33" t="n">
        <v>3</v>
      </c>
      <c r="E1449" s="33" t="inlineStr">
        <is>
          <t>Sells test equipment to broad customer base including hyperscalers. Not concentrated</t>
        </is>
      </c>
      <c r="F1449" s="33" t="inlineStr">
        <is>
          <t>Industry structure</t>
        </is>
      </c>
      <c r="G1449" s="33" t="inlineStr">
        <is>
          <t>Medium</t>
        </is>
      </c>
      <c r="H1449" s="33" t="inlineStr">
        <is>
          <t>Initial</t>
        </is>
      </c>
    </row>
    <row r="1450">
      <c r="A1450" s="33" t="inlineStr">
        <is>
          <t>2026-05-25</t>
        </is>
      </c>
      <c r="B1450" s="33" t="inlineStr">
        <is>
          <t>KEYS</t>
        </is>
      </c>
      <c r="C1450" s="33" t="inlineStr">
        <is>
          <t>M1 EPS Rev</t>
        </is>
      </c>
      <c r="D1450" s="33" t="n">
        <v>5</v>
      </c>
      <c r="E1450" s="33" t="inlineStr">
        <is>
          <t>Two consecutive massive beats. EPS +21% vs consensus. Guidance raised 2x</t>
        </is>
      </c>
      <c r="F1450" s="33" t="inlineStr">
        <is>
          <t>Q2 FY2026 earnings</t>
        </is>
      </c>
      <c r="G1450" s="33" t="inlineStr">
        <is>
          <t>High</t>
        </is>
      </c>
      <c r="H1450" s="33" t="inlineStr">
        <is>
          <t>Initial</t>
        </is>
      </c>
    </row>
    <row r="1451">
      <c r="A1451" s="33" t="inlineStr">
        <is>
          <t>2026-05-25</t>
        </is>
      </c>
      <c r="B1451" s="33" t="inlineStr">
        <is>
          <t>KEYS</t>
        </is>
      </c>
      <c r="C1451" s="33" t="inlineStr">
        <is>
          <t>M2 Rel Str</t>
        </is>
      </c>
      <c r="D1451" s="33" t="n">
        <v>5</v>
      </c>
      <c r="E1451" s="33" t="inlineStr">
        <is>
          <t>Stock doubled from $153 to $345. &gt;60% outperformance vs SOXX</t>
        </is>
      </c>
      <c r="F1451" s="33" t="inlineStr">
        <is>
          <t>Price data</t>
        </is>
      </c>
      <c r="G1451" s="33" t="inlineStr">
        <is>
          <t>High</t>
        </is>
      </c>
      <c r="H1451" s="33" t="inlineStr">
        <is>
          <t>Initial</t>
        </is>
      </c>
    </row>
    <row r="1452">
      <c r="A1452" s="33" t="inlineStr">
        <is>
          <t>2026-05-25</t>
        </is>
      </c>
      <c r="B1452" s="33" t="inlineStr">
        <is>
          <t>KEYS</t>
        </is>
      </c>
      <c r="C1452" s="33" t="inlineStr">
        <is>
          <t>M3 Insider</t>
        </is>
      </c>
      <c r="D1452" s="33" t="n">
        <v>3</v>
      </c>
      <c r="E1452" s="33" t="inlineStr">
        <is>
          <t>No insider data pulled. Default routine</t>
        </is>
      </c>
      <c r="F1452" s="33" t="inlineStr">
        <is>
          <t>Needs Form 4 verification</t>
        </is>
      </c>
      <c r="G1452" s="33" t="inlineStr">
        <is>
          <t>Low</t>
        </is>
      </c>
      <c r="H1452" s="33" t="inlineStr">
        <is>
          <t>Initial</t>
        </is>
      </c>
    </row>
    <row r="1453">
      <c r="A1453" s="33" t="inlineStr">
        <is>
          <t>2026-05-25</t>
        </is>
      </c>
      <c r="B1453" s="33" t="inlineStr">
        <is>
          <t>KEYS</t>
        </is>
      </c>
      <c r="C1453" s="33" t="inlineStr">
        <is>
          <t>R1 Cust Conc</t>
        </is>
      </c>
      <c r="D1453" s="33" t="n">
        <v>4</v>
      </c>
      <c r="E1453" s="33" t="inlineStr">
        <is>
          <t>T&amp;M companies have broad customer bases. No customer likely &gt;15%</t>
        </is>
      </c>
      <c r="F1453" s="33" t="inlineStr">
        <is>
          <t>Industry structure</t>
        </is>
      </c>
      <c r="G1453" s="33" t="inlineStr">
        <is>
          <t>Medium</t>
        </is>
      </c>
      <c r="H1453" s="33" t="inlineStr">
        <is>
          <t>Initial</t>
        </is>
      </c>
    </row>
    <row r="1454">
      <c r="A1454" s="33" t="inlineStr">
        <is>
          <t>2026-05-25</t>
        </is>
      </c>
      <c r="B1454" s="33" t="inlineStr">
        <is>
          <t>KEYS</t>
        </is>
      </c>
      <c r="C1454" s="33" t="inlineStr">
        <is>
          <t>R2 Geo Risk</t>
        </is>
      </c>
      <c r="D1454" s="33" t="n">
        <v>3</v>
      </c>
      <c r="E1454" s="33" t="inlineStr">
        <is>
          <t>Global sales. $75M tariff exposure. Advanced test equipment could face export tightening</t>
        </is>
      </c>
      <c r="F1454" s="33" t="inlineStr">
        <is>
          <t>Tariff disclosure Q2 FY2026</t>
        </is>
      </c>
      <c r="G1454" s="33" t="inlineStr">
        <is>
          <t>Medium</t>
        </is>
      </c>
      <c r="H1454" s="33" t="inlineStr">
        <is>
          <t>Initial</t>
        </is>
      </c>
    </row>
    <row r="1455">
      <c r="A1455" s="33" t="inlineStr">
        <is>
          <t>2026-05-25</t>
        </is>
      </c>
      <c r="B1455" s="33" t="inlineStr">
        <is>
          <t>KEYS</t>
        </is>
      </c>
      <c r="C1455" s="33" t="inlineStr">
        <is>
          <t>R3 BS Risk</t>
        </is>
      </c>
      <c r="D1455" s="33" t="n">
        <v>4</v>
      </c>
      <c r="E1455" s="33" t="inlineStr">
        <is>
          <t>ND/EBITDA=0.23. $472M FCF in Q2. Modest leverage</t>
        </is>
      </c>
      <c r="F1455" s="33" t="inlineStr">
        <is>
          <t>Q2 FY2026 financials</t>
        </is>
      </c>
      <c r="G1455" s="33" t="inlineStr">
        <is>
          <t>High</t>
        </is>
      </c>
      <c r="H1455" s="33" t="inlineStr">
        <is>
          <t>Initial</t>
        </is>
      </c>
    </row>
    <row r="1456">
      <c r="A1456" s="33" t="inlineStr">
        <is>
          <t>2026-05-25</t>
        </is>
      </c>
      <c r="B1456" s="33" t="inlineStr">
        <is>
          <t>KEYS</t>
        </is>
      </c>
      <c r="C1456" s="33" t="inlineStr">
        <is>
          <t>R4 Reg Risk</t>
        </is>
      </c>
      <c r="D1456" s="33" t="n">
        <v>4</v>
      </c>
      <c r="E1456" s="33" t="inlineStr">
        <is>
          <t>$40M IEEPA ruling one-time hit. Tariff mitigation in place. Routine</t>
        </is>
      </c>
      <c r="F1456" s="33" t="inlineStr">
        <is>
          <t>IEEPA ruling, tariff commentary</t>
        </is>
      </c>
      <c r="G1456" s="33" t="inlineStr">
        <is>
          <t>Medium</t>
        </is>
      </c>
      <c r="H1456" s="33" t="inlineStr">
        <is>
          <t>Initial</t>
        </is>
      </c>
    </row>
    <row r="1457">
      <c r="A1457" s="33" t="inlineStr">
        <is>
          <t>2026-05-25</t>
        </is>
      </c>
      <c r="B1457" s="33" t="inlineStr">
        <is>
          <t>TTMI</t>
        </is>
      </c>
      <c r="C1457" s="33" t="inlineStr">
        <is>
          <t>D1 AI Rev %</t>
        </is>
      </c>
      <c r="D1457" s="33" t="n">
        <v>4</v>
      </c>
      <c r="E1457" s="33" t="inlineStr">
        <is>
          <t>Data Center &amp; Networking = 36% of revenue, growing 61% YoY</t>
        </is>
      </c>
      <c r="F1457" s="33" t="inlineStr">
        <is>
          <t>Q1 2026 segment data</t>
        </is>
      </c>
      <c r="G1457" s="33" t="inlineStr">
        <is>
          <t>High</t>
        </is>
      </c>
      <c r="H1457" s="33" t="inlineStr">
        <is>
          <t>Initial</t>
        </is>
      </c>
    </row>
    <row r="1458">
      <c r="A1458" s="33" t="inlineStr">
        <is>
          <t>2026-05-25</t>
        </is>
      </c>
      <c r="B1458" s="33" t="inlineStr">
        <is>
          <t>TTMI</t>
        </is>
      </c>
      <c r="C1458" s="33" t="inlineStr">
        <is>
          <t>D2 Position</t>
        </is>
      </c>
      <c r="D1458" s="33" t="n">
        <v>3</v>
      </c>
      <c r="E1458" s="33" t="inlineStr">
        <is>
          <t>Mid-chain; ultra-HDI differentiation but Asian competitors compete. Qualification cycles add cost</t>
        </is>
      </c>
      <c r="F1458" s="33" t="inlineStr">
        <is>
          <t>Industry context, Syracuse facility</t>
        </is>
      </c>
      <c r="G1458" s="33" t="inlineStr">
        <is>
          <t>Medium</t>
        </is>
      </c>
      <c r="H1458" s="33" t="inlineStr">
        <is>
          <t>Initial</t>
        </is>
      </c>
    </row>
    <row r="1459">
      <c r="A1459" s="33" t="inlineStr">
        <is>
          <t>2026-05-25</t>
        </is>
      </c>
      <c r="B1459" s="33" t="inlineStr">
        <is>
          <t>TTMI</t>
        </is>
      </c>
      <c r="C1459" s="33" t="inlineStr">
        <is>
          <t>D3 Moat</t>
        </is>
      </c>
      <c r="D1459" s="33" t="n">
        <v>2</v>
      </c>
      <c r="E1459" s="33" t="inlineStr">
        <is>
          <t>PCBs commodity-adjacent. 21% gross margin confirms limited pricing power. Asian cost advantages</t>
        </is>
      </c>
      <c r="F1459" s="33" t="inlineStr">
        <is>
          <t>Gross margin, competitive landscape</t>
        </is>
      </c>
      <c r="G1459" s="33" t="inlineStr">
        <is>
          <t>High</t>
        </is>
      </c>
      <c r="H1459" s="33" t="inlineStr">
        <is>
          <t>Initial</t>
        </is>
      </c>
    </row>
    <row r="1460">
      <c r="A1460" s="33" t="inlineStr">
        <is>
          <t>2026-05-25</t>
        </is>
      </c>
      <c r="B1460" s="33" t="inlineStr">
        <is>
          <t>TTMI</t>
        </is>
      </c>
      <c r="C1460" s="33" t="inlineStr">
        <is>
          <t>D4 Capacity</t>
        </is>
      </c>
      <c r="D1460" s="33" t="n">
        <v>5</v>
      </c>
      <c r="E1460" s="33" t="inlineStr">
        <is>
          <t>Syracuse $212M, China $200-300M, capex $240-260M. Raytheon $200M contract backing it</t>
        </is>
      </c>
      <c r="F1460" s="33" t="inlineStr">
        <is>
          <t>Capex guidance, SEC 10-Q</t>
        </is>
      </c>
      <c r="G1460" s="33" t="inlineStr">
        <is>
          <t>High</t>
        </is>
      </c>
      <c r="H1460" s="33" t="inlineStr">
        <is>
          <t>Initial</t>
        </is>
      </c>
    </row>
    <row r="1461">
      <c r="A1461" s="33" t="inlineStr">
        <is>
          <t>2026-05-25</t>
        </is>
      </c>
      <c r="B1461" s="33" t="inlineStr">
        <is>
          <t>TTMI</t>
        </is>
      </c>
      <c r="C1461" s="33" t="inlineStr">
        <is>
          <t>D5 Hyperscaler</t>
        </is>
      </c>
      <c r="D1461" s="33" t="n">
        <v>3</v>
      </c>
      <c r="E1461" s="33" t="inlineStr">
        <is>
          <t>Sells to hyperscalers through OEMs. PCBs go through intermediaries. Not concentrated</t>
        </is>
      </c>
      <c r="F1461" s="33" t="inlineStr">
        <is>
          <t>Segment data</t>
        </is>
      </c>
      <c r="G1461" s="33" t="inlineStr">
        <is>
          <t>Medium</t>
        </is>
      </c>
      <c r="H1461" s="33" t="inlineStr">
        <is>
          <t>Initial</t>
        </is>
      </c>
    </row>
    <row r="1462">
      <c r="A1462" s="33" t="inlineStr">
        <is>
          <t>2026-05-25</t>
        </is>
      </c>
      <c r="B1462" s="33" t="inlineStr">
        <is>
          <t>TTMI</t>
        </is>
      </c>
      <c r="C1462" s="33" t="inlineStr">
        <is>
          <t>M1 EPS Rev</t>
        </is>
      </c>
      <c r="D1462" s="33" t="n">
        <v>5</v>
      </c>
      <c r="E1462" s="33" t="inlineStr">
        <is>
          <t>Blowout Q1. CEO projects $4B for FY2026 (was 15-20% guide). Massive raise</t>
        </is>
      </c>
      <c r="F1462" s="33" t="inlineStr">
        <is>
          <t>Q1 2026 earnings, CEO projection</t>
        </is>
      </c>
      <c r="G1462" s="33" t="inlineStr">
        <is>
          <t>High</t>
        </is>
      </c>
      <c r="H1462" s="33" t="inlineStr">
        <is>
          <t>Initial</t>
        </is>
      </c>
    </row>
    <row r="1463">
      <c r="A1463" s="33" t="inlineStr">
        <is>
          <t>2026-05-25</t>
        </is>
      </c>
      <c r="B1463" s="33" t="inlineStr">
        <is>
          <t>TTMI</t>
        </is>
      </c>
      <c r="C1463" s="33" t="inlineStr">
        <is>
          <t>M2 Rel Str</t>
        </is>
      </c>
      <c r="D1463" s="33" t="n">
        <v>5</v>
      </c>
      <c r="E1463" s="33" t="inlineStr">
        <is>
          <t>Stock up ~600%. Demolished any sector benchmark</t>
        </is>
      </c>
      <c r="F1463" s="33" t="inlineStr">
        <is>
          <t>Price data</t>
        </is>
      </c>
      <c r="G1463" s="33" t="inlineStr">
        <is>
          <t>High</t>
        </is>
      </c>
      <c r="H1463" s="33" t="inlineStr">
        <is>
          <t>Initial</t>
        </is>
      </c>
    </row>
    <row r="1464">
      <c r="A1464" s="33" t="inlineStr">
        <is>
          <t>2026-05-25</t>
        </is>
      </c>
      <c r="B1464" s="33" t="inlineStr">
        <is>
          <t>TTMI</t>
        </is>
      </c>
      <c r="C1464" s="33" t="inlineStr">
        <is>
          <t>M3 Insider</t>
        </is>
      </c>
      <c r="D1464" s="33" t="n">
        <v>2</v>
      </c>
      <c r="E1464" s="33" t="inlineStr">
        <is>
          <t>7 sales, 0 purchases in Q1. $10.4M net selling. Zero buying after 600% run</t>
        </is>
      </c>
      <c r="F1464" s="33" t="inlineStr">
        <is>
          <t>Yahoo Finance insider data</t>
        </is>
      </c>
      <c r="G1464" s="33" t="inlineStr">
        <is>
          <t>Medium</t>
        </is>
      </c>
      <c r="H1464" s="33" t="inlineStr">
        <is>
          <t>Initial</t>
        </is>
      </c>
    </row>
    <row r="1465">
      <c r="A1465" s="33" t="inlineStr">
        <is>
          <t>2026-05-25</t>
        </is>
      </c>
      <c r="B1465" s="33" t="inlineStr">
        <is>
          <t>TTMI</t>
        </is>
      </c>
      <c r="C1465" s="33" t="inlineStr">
        <is>
          <t>R1 Cust Conc</t>
        </is>
      </c>
      <c r="D1465" s="33" t="n">
        <v>3</v>
      </c>
      <c r="E1465" s="33" t="inlineStr">
        <is>
          <t>A&amp;D 40% + Data Center 36% diversified across primes and OEMs</t>
        </is>
      </c>
      <c r="F1465" s="33" t="inlineStr">
        <is>
          <t>Segment data</t>
        </is>
      </c>
      <c r="G1465" s="33" t="inlineStr">
        <is>
          <t>Medium</t>
        </is>
      </c>
      <c r="H1465" s="33" t="inlineStr">
        <is>
          <t>Initial</t>
        </is>
      </c>
    </row>
    <row r="1466">
      <c r="A1466" s="33" t="inlineStr">
        <is>
          <t>2026-05-25</t>
        </is>
      </c>
      <c r="B1466" s="33" t="inlineStr">
        <is>
          <t>TTMI</t>
        </is>
      </c>
      <c r="C1466" s="33" t="inlineStr">
        <is>
          <t>R2 Geo Risk</t>
        </is>
      </c>
      <c r="D1466" s="33" t="n">
        <v>2</v>
      </c>
      <c r="E1466" s="33" t="inlineStr">
        <is>
          <t>China expansion capex $200-300M. Dual US-China manufacturing exposure</t>
        </is>
      </c>
      <c r="F1466" s="33" t="inlineStr">
        <is>
          <t>China capex plans</t>
        </is>
      </c>
      <c r="G1466" s="33" t="inlineStr">
        <is>
          <t>High</t>
        </is>
      </c>
      <c r="H1466" s="33" t="inlineStr">
        <is>
          <t>Initial</t>
        </is>
      </c>
    </row>
    <row r="1467">
      <c r="A1467" s="33" t="inlineStr">
        <is>
          <t>2026-05-25</t>
        </is>
      </c>
      <c r="B1467" s="33" t="inlineStr">
        <is>
          <t>TTMI</t>
        </is>
      </c>
      <c r="C1467" s="33" t="inlineStr">
        <is>
          <t>R3 BS Risk</t>
        </is>
      </c>
      <c r="D1467" s="33" t="n">
        <v>3</v>
      </c>
      <c r="E1467" s="33" t="inlineStr">
        <is>
          <t>$912M debt, $414M cash. FCF negative (-$85M Q1). Heavy capex cycle</t>
        </is>
      </c>
      <c r="F1467" s="33" t="inlineStr">
        <is>
          <t>Q1 2026 balance sheet</t>
        </is>
      </c>
      <c r="G1467" s="33" t="inlineStr">
        <is>
          <t>High</t>
        </is>
      </c>
      <c r="H1467" s="33" t="inlineStr">
        <is>
          <t>Initial</t>
        </is>
      </c>
    </row>
    <row r="1468">
      <c r="A1468" s="33" t="inlineStr">
        <is>
          <t>2026-05-25</t>
        </is>
      </c>
      <c r="B1468" s="33" t="inlineStr">
        <is>
          <t>TTMI</t>
        </is>
      </c>
      <c r="C1468" s="33" t="inlineStr">
        <is>
          <t>R4 Reg Risk</t>
        </is>
      </c>
      <c r="D1468" s="33" t="n">
        <v>4</v>
      </c>
      <c r="E1468" s="33" t="inlineStr">
        <is>
          <t>No major litigation. Defense contracts require routine compliance</t>
        </is>
      </c>
      <c r="F1468" s="33" t="inlineStr">
        <is>
          <t>General assessment</t>
        </is>
      </c>
      <c r="G1468" s="33" t="inlineStr">
        <is>
          <t>Medium</t>
        </is>
      </c>
      <c r="H1468" s="33" t="inlineStr">
        <is>
          <t>Initial</t>
        </is>
      </c>
    </row>
    <row r="1469">
      <c r="A1469" s="33" t="inlineStr">
        <is>
          <t>2026-05-25</t>
        </is>
      </c>
      <c r="B1469" s="33" t="inlineStr">
        <is>
          <t>FLEX</t>
        </is>
      </c>
      <c r="C1469" s="33" t="inlineStr">
        <is>
          <t>D1 AI Rev %</t>
        </is>
      </c>
      <c r="D1469" s="33" t="n">
        <v>4</v>
      </c>
      <c r="E1469" s="33" t="inlineStr">
        <is>
          <t>CPI segment ~$6.5B, ~25% of total revenue, growing 38%</t>
        </is>
      </c>
      <c r="F1469" s="33" t="inlineStr">
        <is>
          <t>FY2026 segment data</t>
        </is>
      </c>
      <c r="G1469" s="33" t="inlineStr">
        <is>
          <t>High</t>
        </is>
      </c>
      <c r="H1469" s="33" t="inlineStr">
        <is>
          <t>Initial</t>
        </is>
      </c>
    </row>
    <row r="1470">
      <c r="A1470" s="33" t="inlineStr">
        <is>
          <t>2026-05-25</t>
        </is>
      </c>
      <c r="B1470" s="33" t="inlineStr">
        <is>
          <t>FLEX</t>
        </is>
      </c>
      <c r="C1470" s="33" t="inlineStr">
        <is>
          <t>D2 Position</t>
        </is>
      </c>
      <c r="D1470" s="33" t="n">
        <v>2</v>
      </c>
      <c r="E1470" s="33" t="inlineStr">
        <is>
          <t>EMS/ODM commoditized. Multiple competitors (Jabil, Celestica, Foxconn)</t>
        </is>
      </c>
      <c r="F1470" s="33" t="inlineStr">
        <is>
          <t>Competitive landscape</t>
        </is>
      </c>
      <c r="G1470" s="33" t="inlineStr">
        <is>
          <t>High</t>
        </is>
      </c>
      <c r="H1470" s="33" t="inlineStr">
        <is>
          <t>Initial</t>
        </is>
      </c>
    </row>
    <row r="1471">
      <c r="A1471" s="33" t="inlineStr">
        <is>
          <t>2026-05-25</t>
        </is>
      </c>
      <c r="B1471" s="33" t="inlineStr">
        <is>
          <t>FLEX</t>
        </is>
      </c>
      <c r="C1471" s="33" t="inlineStr">
        <is>
          <t>D3 Moat</t>
        </is>
      </c>
      <c r="D1471" s="33" t="n">
        <v>2</v>
      </c>
      <c r="E1471" s="33" t="inlineStr">
        <is>
          <t>9.9% gross margin confirms limited pricing power. Execution/scale not product IP</t>
        </is>
      </c>
      <c r="F1471" s="33" t="inlineStr">
        <is>
          <t>Gross margin, competitive dynamics</t>
        </is>
      </c>
      <c r="G1471" s="33" t="inlineStr">
        <is>
          <t>High</t>
        </is>
      </c>
      <c r="H1471" s="33" t="inlineStr">
        <is>
          <t>Initial</t>
        </is>
      </c>
    </row>
    <row r="1472">
      <c r="A1472" s="33" t="inlineStr">
        <is>
          <t>2026-05-25</t>
        </is>
      </c>
      <c r="B1472" s="33" t="inlineStr">
        <is>
          <t>FLEX</t>
        </is>
      </c>
      <c r="C1472" s="33" t="inlineStr">
        <is>
          <t>D4 Capacity</t>
        </is>
      </c>
      <c r="D1472" s="33" t="n">
        <v>5</v>
      </c>
      <c r="E1472" s="33" t="inlineStr">
        <is>
          <t>Capex $1.4-1.6B FY2027. Google multiyear, AMD MI355X, NVIDIA collab. CEO going with SpinCo</t>
        </is>
      </c>
      <c r="F1472" s="33" t="inlineStr">
        <is>
          <t>Spin-off announcement, capex guidance</t>
        </is>
      </c>
      <c r="G1472" s="33" t="inlineStr">
        <is>
          <t>High</t>
        </is>
      </c>
      <c r="H1472" s="33" t="inlineStr">
        <is>
          <t>Initial</t>
        </is>
      </c>
    </row>
    <row r="1473">
      <c r="A1473" s="33" t="inlineStr">
        <is>
          <t>2026-05-25</t>
        </is>
      </c>
      <c r="B1473" s="33" t="inlineStr">
        <is>
          <t>FLEX</t>
        </is>
      </c>
      <c r="C1473" s="33" t="inlineStr">
        <is>
          <t>D5 Hyperscaler</t>
        </is>
      </c>
      <c r="D1473" s="33" t="n">
        <v>5</v>
      </c>
      <c r="E1473" s="33" t="inlineStr">
        <is>
          <t>Named Google multiyear, AMD MI355X manufacturing, NVIDIA collaboration. &gt;30% combined</t>
        </is>
      </c>
      <c r="F1473" s="33" t="inlineStr">
        <is>
          <t>Named partnerships, press releases</t>
        </is>
      </c>
      <c r="G1473" s="33" t="inlineStr">
        <is>
          <t>High</t>
        </is>
      </c>
      <c r="H1473" s="33" t="inlineStr">
        <is>
          <t>Initial</t>
        </is>
      </c>
    </row>
    <row r="1474">
      <c r="A1474" s="33" t="inlineStr">
        <is>
          <t>2026-05-25</t>
        </is>
      </c>
      <c r="B1474" s="33" t="inlineStr">
        <is>
          <t>FLEX</t>
        </is>
      </c>
      <c r="C1474" s="33" t="inlineStr">
        <is>
          <t>M1 EPS Rev</t>
        </is>
      </c>
      <c r="D1474" s="33" t="n">
        <v>5</v>
      </c>
      <c r="E1474" s="33" t="inlineStr">
        <is>
          <t>Q4 beat 8% on revenue. FY2027 guide +18%, EPS +32%. Multiple raises</t>
        </is>
      </c>
      <c r="F1474" s="33" t="inlineStr">
        <is>
          <t>FY2026 results, FY2027 guidance</t>
        </is>
      </c>
      <c r="G1474" s="33" t="inlineStr">
        <is>
          <t>High</t>
        </is>
      </c>
      <c r="H1474" s="33" t="inlineStr">
        <is>
          <t>Initial</t>
        </is>
      </c>
    </row>
    <row r="1475">
      <c r="A1475" s="33" t="inlineStr">
        <is>
          <t>2026-05-25</t>
        </is>
      </c>
      <c r="B1475" s="33" t="inlineStr">
        <is>
          <t>FLEX</t>
        </is>
      </c>
      <c r="C1475" s="33" t="inlineStr">
        <is>
          <t>M2 Rel Str</t>
        </is>
      </c>
      <c r="D1475" s="33" t="n">
        <v>5</v>
      </c>
      <c r="E1475" s="33" t="inlineStr">
        <is>
          <t>Stock tripled ($41 to $132). &gt;100% outperformance vs XLI</t>
        </is>
      </c>
      <c r="F1475" s="33" t="inlineStr">
        <is>
          <t>Price data</t>
        </is>
      </c>
      <c r="G1475" s="33" t="inlineStr">
        <is>
          <t>High</t>
        </is>
      </c>
      <c r="H1475" s="33" t="inlineStr">
        <is>
          <t>Initial</t>
        </is>
      </c>
    </row>
    <row r="1476">
      <c r="A1476" s="33" t="inlineStr">
        <is>
          <t>2026-05-25</t>
        </is>
      </c>
      <c r="B1476" s="33" t="inlineStr">
        <is>
          <t>FLEX</t>
        </is>
      </c>
      <c r="C1476" s="33" t="inlineStr">
        <is>
          <t>M3 Insider</t>
        </is>
      </c>
      <c r="D1476" s="33" t="n">
        <v>3</v>
      </c>
      <c r="E1476" s="33" t="inlineStr">
        <is>
          <t>No insider data pulled. CEO going with SpinCo = career conviction. Default routine</t>
        </is>
      </c>
      <c r="F1476" s="33" t="inlineStr">
        <is>
          <t>Needs Form 4 verification</t>
        </is>
      </c>
      <c r="G1476" s="33" t="inlineStr">
        <is>
          <t>Low</t>
        </is>
      </c>
      <c r="H1476" s="33" t="inlineStr">
        <is>
          <t>Initial</t>
        </is>
      </c>
    </row>
    <row r="1477">
      <c r="A1477" s="33" t="inlineStr">
        <is>
          <t>2026-05-25</t>
        </is>
      </c>
      <c r="B1477" s="33" t="inlineStr">
        <is>
          <t>FLEX</t>
        </is>
      </c>
      <c r="C1477" s="33" t="inlineStr">
        <is>
          <t>R1 Cust Conc</t>
        </is>
      </c>
      <c r="D1477" s="33" t="n">
        <v>3</v>
      </c>
      <c r="E1477" s="33" t="inlineStr">
        <is>
          <t>Google multiyear is major driver. CPI segment likely concentrated in 2-3 hyperscalers</t>
        </is>
      </c>
      <c r="F1477" s="33" t="inlineStr">
        <is>
          <t>Named customer relationships</t>
        </is>
      </c>
      <c r="G1477" s="33" t="inlineStr">
        <is>
          <t>Medium</t>
        </is>
      </c>
      <c r="H1477" s="33" t="inlineStr">
        <is>
          <t>Initial</t>
        </is>
      </c>
    </row>
    <row r="1478">
      <c r="A1478" s="33" t="inlineStr">
        <is>
          <t>2026-05-25</t>
        </is>
      </c>
      <c r="B1478" s="33" t="inlineStr">
        <is>
          <t>FLEX</t>
        </is>
      </c>
      <c r="C1478" s="33" t="inlineStr">
        <is>
          <t>R2 Geo Risk</t>
        </is>
      </c>
      <c r="D1478" s="33" t="n">
        <v>4</v>
      </c>
      <c r="E1478" s="33" t="inlineStr">
        <is>
          <t>US manufacturing expanding (Austin). Global footprint. No export-control issues</t>
        </is>
      </c>
      <c r="F1478" s="33" t="inlineStr">
        <is>
          <t>Manufacturing footprint</t>
        </is>
      </c>
      <c r="G1478" s="33" t="inlineStr">
        <is>
          <t>Medium</t>
        </is>
      </c>
      <c r="H1478" s="33" t="inlineStr">
        <is>
          <t>Initial</t>
        </is>
      </c>
    </row>
    <row r="1479">
      <c r="A1479" s="33" t="inlineStr">
        <is>
          <t>2026-05-25</t>
        </is>
      </c>
      <c r="B1479" s="33" t="inlineStr">
        <is>
          <t>FLEX</t>
        </is>
      </c>
      <c r="C1479" s="33" t="inlineStr">
        <is>
          <t>R3 BS Risk</t>
        </is>
      </c>
      <c r="D1479" s="33" t="n">
        <v>4</v>
      </c>
      <c r="E1479" s="33" t="inlineStr">
        <is>
          <t>ND/EBITDA=1.01. $1.06B FCF. Capex peak FY2027 but funded by ops</t>
        </is>
      </c>
      <c r="F1479" s="33" t="inlineStr">
        <is>
          <t>FY2026 financials</t>
        </is>
      </c>
      <c r="G1479" s="33" t="inlineStr">
        <is>
          <t>High</t>
        </is>
      </c>
      <c r="H1479" s="33" t="inlineStr">
        <is>
          <t>Initial</t>
        </is>
      </c>
    </row>
    <row r="1480">
      <c r="A1480" s="33" t="inlineStr">
        <is>
          <t>2026-05-25</t>
        </is>
      </c>
      <c r="B1480" s="33" t="inlineStr">
        <is>
          <t>FLEX</t>
        </is>
      </c>
      <c r="C1480" s="33" t="inlineStr">
        <is>
          <t>R4 Reg Risk</t>
        </is>
      </c>
      <c r="D1480" s="33" t="n">
        <v>4</v>
      </c>
      <c r="E1480" s="33" t="inlineStr">
        <is>
          <t>No major litigation. Spin-off requires routine SEC approval</t>
        </is>
      </c>
      <c r="F1480" s="33" t="inlineStr">
        <is>
          <t>General assessment</t>
        </is>
      </c>
      <c r="G1480" s="33" t="inlineStr">
        <is>
          <t>Medium</t>
        </is>
      </c>
      <c r="H1480" s="33" t="inlineStr">
        <is>
          <t>Initial</t>
        </is>
      </c>
    </row>
    <row r="1481">
      <c r="A1481" s="33" t="inlineStr">
        <is>
          <t>2026-05-25</t>
        </is>
      </c>
      <c r="B1481" s="33" t="inlineStr">
        <is>
          <t>PSTG</t>
        </is>
      </c>
      <c r="C1481" s="33" t="inlineStr">
        <is>
          <t>D1 AI Rev %</t>
        </is>
      </c>
      <c r="D1481" s="33" t="n">
        <v>3</v>
      </c>
      <c r="E1481" s="33" t="inlineStr">
        <is>
          <t>AI revenue not disclosed. FlashBlade//EXA + Meta DirectFlash royalties are AI-tied. Estimate 15-25%</t>
        </is>
      </c>
      <c r="F1481" s="33" t="inlineStr">
        <is>
          <t>No explicit disclosure; estimate from hyperscaler commentary</t>
        </is>
      </c>
      <c r="G1481" s="33" t="inlineStr">
        <is>
          <t>Low</t>
        </is>
      </c>
      <c r="H1481" s="33" t="inlineStr">
        <is>
          <t>Initial</t>
        </is>
      </c>
    </row>
    <row r="1482">
      <c r="A1482" s="33" t="inlineStr">
        <is>
          <t>2026-05-25</t>
        </is>
      </c>
      <c r="B1482" s="33" t="inlineStr">
        <is>
          <t>PSTG</t>
        </is>
      </c>
      <c r="C1482" s="33" t="inlineStr">
        <is>
          <t>D2 Position</t>
        </is>
      </c>
      <c r="D1482" s="33" t="n">
        <v>3</v>
      </c>
      <c r="E1482" s="33" t="inlineStr">
        <is>
          <t>Mid-chain storage with DirectFlash differentiation. NetApp, Dell EMC, hyperscaler internal storage compete</t>
        </is>
      </c>
      <c r="F1482" s="33" t="inlineStr">
        <is>
          <t>Competitive landscape</t>
        </is>
      </c>
      <c r="G1482" s="33" t="inlineStr">
        <is>
          <t>Medium</t>
        </is>
      </c>
      <c r="H1482" s="33" t="inlineStr">
        <is>
          <t>Initial</t>
        </is>
      </c>
    </row>
    <row r="1483">
      <c r="A1483" s="33" t="inlineStr">
        <is>
          <t>2026-05-25</t>
        </is>
      </c>
      <c r="B1483" s="33" t="inlineStr">
        <is>
          <t>PSTG</t>
        </is>
      </c>
      <c r="C1483" s="33" t="inlineStr">
        <is>
          <t>D3 Moat</t>
        </is>
      </c>
      <c r="D1483" s="33" t="n">
        <v>3</v>
      </c>
      <c r="E1483" s="33" t="inlineStr">
        <is>
          <t>DirectFlash IP validated by Meta near-100% margin royalty. NVIDIA HPS certified. But hyperscaler in-housing risk</t>
        </is>
      </c>
      <c r="F1483" s="33" t="inlineStr">
        <is>
          <t>Meta royalty model, in-housing risk</t>
        </is>
      </c>
      <c r="G1483" s="33" t="inlineStr">
        <is>
          <t>Medium</t>
        </is>
      </c>
      <c r="H1483" s="33" t="inlineStr">
        <is>
          <t>Initial</t>
        </is>
      </c>
    </row>
    <row r="1484">
      <c r="A1484" s="33" t="inlineStr">
        <is>
          <t>2026-05-25</t>
        </is>
      </c>
      <c r="B1484" s="33" t="inlineStr">
        <is>
          <t>PSTG</t>
        </is>
      </c>
      <c r="C1484" s="33" t="inlineStr">
        <is>
          <t>D4 Capacity</t>
        </is>
      </c>
      <c r="D1484" s="33" t="n">
        <v>3</v>
      </c>
      <c r="E1484" s="33" t="inlineStr">
        <is>
          <t>Steady-state; designs/sells arrays, not building fabs. R&amp;D investment in FlashBlade//EXA, Fusion 2.0</t>
        </is>
      </c>
      <c r="F1484" s="33" t="inlineStr">
        <is>
          <t>Capital allocation</t>
        </is>
      </c>
      <c r="G1484" s="33" t="inlineStr">
        <is>
          <t>High</t>
        </is>
      </c>
      <c r="H1484" s="33" t="inlineStr">
        <is>
          <t>Initial</t>
        </is>
      </c>
    </row>
    <row r="1485">
      <c r="A1485" s="33" t="inlineStr">
        <is>
          <t>2026-05-25</t>
        </is>
      </c>
      <c r="B1485" s="33" t="inlineStr">
        <is>
          <t>PSTG</t>
        </is>
      </c>
      <c r="C1485" s="33" t="inlineStr">
        <is>
          <t>D5 Hyperscaler</t>
        </is>
      </c>
      <c r="D1485" s="33" t="n">
        <v>4</v>
      </c>
      <c r="E1485" s="33" t="inlineStr">
        <is>
          <t>Meta anchor customer (DirectFlash royalty, &gt;1 EB deployed). Additional hyperscalers in POC</t>
        </is>
      </c>
      <c r="F1485" s="33" t="inlineStr">
        <is>
          <t>Meta deal, SEC 8-K</t>
        </is>
      </c>
      <c r="G1485" s="33" t="inlineStr">
        <is>
          <t>Medium</t>
        </is>
      </c>
      <c r="H1485" s="33" t="inlineStr">
        <is>
          <t>Initial</t>
        </is>
      </c>
    </row>
    <row r="1486">
      <c r="A1486" s="33" t="inlineStr">
        <is>
          <t>2026-05-25</t>
        </is>
      </c>
      <c r="B1486" s="33" t="inlineStr">
        <is>
          <t>PSTG</t>
        </is>
      </c>
      <c r="C1486" s="33" t="inlineStr">
        <is>
          <t>M1 EPS Rev</t>
        </is>
      </c>
      <c r="D1486" s="33" t="n">
        <v>4</v>
      </c>
      <c r="E1486" s="33" t="inlineStr">
        <is>
          <t>Q4 beat. FY2027 guide above consensus. RPO +40%. But stock pulled back 25%</t>
        </is>
      </c>
      <c r="F1486" s="33" t="inlineStr">
        <is>
          <t>FY2026 results, FY2027 guidance</t>
        </is>
      </c>
      <c r="G1486" s="33" t="inlineStr">
        <is>
          <t>Medium</t>
        </is>
      </c>
      <c r="H1486" s="33" t="inlineStr">
        <is>
          <t>Initial</t>
        </is>
      </c>
    </row>
    <row r="1487">
      <c r="A1487" s="33" t="inlineStr">
        <is>
          <t>2026-05-25</t>
        </is>
      </c>
      <c r="B1487" s="33" t="inlineStr">
        <is>
          <t>PSTG</t>
        </is>
      </c>
      <c r="C1487" s="33" t="inlineStr">
        <is>
          <t>M2 Rel Str</t>
        </is>
      </c>
      <c r="D1487" s="33" t="n">
        <v>3</v>
      </c>
      <c r="E1487" s="33" t="inlineStr">
        <is>
          <t>Stock volatile $67-78 in May. Down ~25% from highs. Roughly in line with sector</t>
        </is>
      </c>
      <c r="F1487" s="33" t="inlineStr">
        <is>
          <t>Price data</t>
        </is>
      </c>
      <c r="G1487" s="33" t="inlineStr">
        <is>
          <t>Medium</t>
        </is>
      </c>
      <c r="H1487" s="33" t="inlineStr">
        <is>
          <t>Initial</t>
        </is>
      </c>
    </row>
    <row r="1488">
      <c r="A1488" s="33" t="inlineStr">
        <is>
          <t>2026-05-25</t>
        </is>
      </c>
      <c r="B1488" s="33" t="inlineStr">
        <is>
          <t>PSTG</t>
        </is>
      </c>
      <c r="C1488" s="33" t="inlineStr">
        <is>
          <t>M3 Insider</t>
        </is>
      </c>
      <c r="D1488" s="33" t="n">
        <v>3</v>
      </c>
      <c r="E1488" s="33" t="inlineStr">
        <is>
          <t>No insider data surfaced. Default routine</t>
        </is>
      </c>
      <c r="F1488" s="33" t="inlineStr">
        <is>
          <t>Needs Form 4 verification</t>
        </is>
      </c>
      <c r="G1488" s="33" t="inlineStr">
        <is>
          <t>Low</t>
        </is>
      </c>
      <c r="H1488" s="33" t="inlineStr">
        <is>
          <t>Initial</t>
        </is>
      </c>
    </row>
    <row r="1489">
      <c r="A1489" s="33" t="inlineStr">
        <is>
          <t>2026-05-25</t>
        </is>
      </c>
      <c r="B1489" s="33" t="inlineStr">
        <is>
          <t>PSTG</t>
        </is>
      </c>
      <c r="C1489" s="33" t="inlineStr">
        <is>
          <t>R1 Cust Conc</t>
        </is>
      </c>
      <c r="D1489" s="33" t="n">
        <v>3</v>
      </c>
      <c r="E1489" s="33" t="inlineStr">
        <is>
          <t>Meta likely &gt;15% of revenue via DirectFlash royalties. Enterprise base diversified</t>
        </is>
      </c>
      <c r="F1489" s="33" t="inlineStr">
        <is>
          <t>Meta deal sizing</t>
        </is>
      </c>
      <c r="G1489" s="33" t="inlineStr">
        <is>
          <t>Medium</t>
        </is>
      </c>
      <c r="H1489" s="33" t="inlineStr">
        <is>
          <t>Initial</t>
        </is>
      </c>
    </row>
    <row r="1490">
      <c r="A1490" s="33" t="inlineStr">
        <is>
          <t>2026-05-25</t>
        </is>
      </c>
      <c r="B1490" s="33" t="inlineStr">
        <is>
          <t>PSTG</t>
        </is>
      </c>
      <c r="C1490" s="33" t="inlineStr">
        <is>
          <t>R2 Geo Risk</t>
        </is>
      </c>
      <c r="D1490" s="33" t="n">
        <v>4</v>
      </c>
      <c r="E1490" s="33" t="inlineStr">
        <is>
          <t>US-based. Storage not export-controlled. No China dependency</t>
        </is>
      </c>
      <c r="F1490" s="33" t="inlineStr">
        <is>
          <t>Business model</t>
        </is>
      </c>
      <c r="G1490" s="33" t="inlineStr">
        <is>
          <t>High</t>
        </is>
      </c>
      <c r="H1490" s="33" t="inlineStr">
        <is>
          <t>Initial</t>
        </is>
      </c>
    </row>
    <row r="1491">
      <c r="A1491" s="33" t="inlineStr">
        <is>
          <t>2026-05-25</t>
        </is>
      </c>
      <c r="B1491" s="33" t="inlineStr">
        <is>
          <t>PSTG</t>
        </is>
      </c>
      <c r="C1491" s="33" t="inlineStr">
        <is>
          <t>R3 BS Risk</t>
        </is>
      </c>
      <c r="D1491" s="33" t="n">
        <v>5</v>
      </c>
      <c r="E1491" s="33" t="inlineStr">
        <is>
          <t>Net cash. ND/EBITDA=-1.23. $616M FCF. Strong cash generation</t>
        </is>
      </c>
      <c r="F1491" s="33" t="inlineStr">
        <is>
          <t>FY2026 financials</t>
        </is>
      </c>
      <c r="G1491" s="33" t="inlineStr">
        <is>
          <t>High</t>
        </is>
      </c>
      <c r="H1491" s="33" t="inlineStr">
        <is>
          <t>Initial</t>
        </is>
      </c>
    </row>
    <row r="1492">
      <c r="A1492" s="33" t="inlineStr">
        <is>
          <t>2026-05-25</t>
        </is>
      </c>
      <c r="B1492" s="33" t="inlineStr">
        <is>
          <t>PSTG</t>
        </is>
      </c>
      <c r="C1492" s="33" t="inlineStr">
        <is>
          <t>R4 Reg Risk</t>
        </is>
      </c>
      <c r="D1492" s="33" t="n">
        <v>4</v>
      </c>
      <c r="E1492" s="33" t="inlineStr">
        <is>
          <t>No major litigation. Rebrand is cosmetic</t>
        </is>
      </c>
      <c r="F1492" s="33" t="inlineStr">
        <is>
          <t>General assessment</t>
        </is>
      </c>
      <c r="G1492" s="33" t="inlineStr">
        <is>
          <t>Medium</t>
        </is>
      </c>
      <c r="H1492" s="33" t="inlineStr">
        <is>
          <t>Initial</t>
        </is>
      </c>
    </row>
    <row r="1493">
      <c r="A1493" s="33" t="inlineStr">
        <is>
          <t>2026-05-25</t>
        </is>
      </c>
      <c r="B1493" s="33" t="inlineStr">
        <is>
          <t>DDOG</t>
        </is>
      </c>
      <c r="C1493" s="33" t="inlineStr">
        <is>
          <t>D1 AI Rev %</t>
        </is>
      </c>
      <c r="D1493" s="33" t="n">
        <v>3</v>
      </c>
      <c r="E1493" s="33" t="inlineStr">
        <is>
          <t>AI ~10-20% est. GPU Monitoring, LLM Obs, Agent Monitoring all GA. H1 AI &gt; full FY2025. Not disclosed</t>
        </is>
      </c>
      <c r="F1493" s="33" t="inlineStr">
        <is>
          <t>Q1 FY2026 earnings, product launches</t>
        </is>
      </c>
      <c r="G1493" s="33" t="inlineStr">
        <is>
          <t>Low</t>
        </is>
      </c>
      <c r="H1493" s="33" t="inlineStr">
        <is>
          <t>Initial</t>
        </is>
      </c>
    </row>
    <row r="1494">
      <c r="A1494" s="33" t="inlineStr">
        <is>
          <t>2026-05-25</t>
        </is>
      </c>
      <c r="B1494" s="33" t="inlineStr">
        <is>
          <t>DDOG</t>
        </is>
      </c>
      <c r="C1494" s="33" t="inlineStr">
        <is>
          <t>D2 Position</t>
        </is>
      </c>
      <c r="D1494" s="33" t="n">
        <v>3</v>
      </c>
      <c r="E1494" s="33" t="inlineStr">
        <is>
          <t>Observability software. Multiple substitutes (Grafana free, CloudWatch bundled). Switching has cost</t>
        </is>
      </c>
      <c r="F1494" s="33" t="inlineStr">
        <is>
          <t>Competitive landscape</t>
        </is>
      </c>
      <c r="G1494" s="33" t="inlineStr">
        <is>
          <t>High</t>
        </is>
      </c>
      <c r="H1494" s="33" t="inlineStr">
        <is>
          <t>Initial</t>
        </is>
      </c>
    </row>
    <row r="1495">
      <c r="A1495" s="33" t="inlineStr">
        <is>
          <t>2026-05-25</t>
        </is>
      </c>
      <c r="B1495" s="33" t="inlineStr">
        <is>
          <t>DDOG</t>
        </is>
      </c>
      <c r="C1495" s="33" t="inlineStr">
        <is>
          <t>D3 Moat</t>
        </is>
      </c>
      <c r="D1495" s="33" t="n">
        <v>4</v>
      </c>
      <c r="E1495" s="33" t="inlineStr">
        <is>
          <t>Deep instrumentation switching costs. 51% big data market share. 120% NRR. 80% gross margin</t>
        </is>
      </c>
      <c r="F1495" s="33" t="inlineStr">
        <is>
          <t>NRR, market share, gross margin</t>
        </is>
      </c>
      <c r="G1495" s="33" t="inlineStr">
        <is>
          <t>High</t>
        </is>
      </c>
      <c r="H1495" s="33" t="inlineStr">
        <is>
          <t>Initial</t>
        </is>
      </c>
    </row>
    <row r="1496">
      <c r="A1496" s="33" t="inlineStr">
        <is>
          <t>2026-05-25</t>
        </is>
      </c>
      <c r="B1496" s="33" t="inlineStr">
        <is>
          <t>DDOG</t>
        </is>
      </c>
      <c r="C1496" s="33" t="inlineStr">
        <is>
          <t>D4 Capacity</t>
        </is>
      </c>
      <c r="D1496" s="33" t="n">
        <v>3</v>
      </c>
      <c r="E1496" s="33" t="inlineStr">
        <is>
          <t>Asset-light SaaS. R&amp;D expansion in AI product suite. Not physical buildout</t>
        </is>
      </c>
      <c r="F1496" s="33" t="inlineStr">
        <is>
          <t>Business model</t>
        </is>
      </c>
      <c r="G1496" s="33" t="inlineStr">
        <is>
          <t>High</t>
        </is>
      </c>
      <c r="H1496" s="33" t="inlineStr">
        <is>
          <t>Initial</t>
        </is>
      </c>
    </row>
    <row r="1497">
      <c r="A1497" s="33" t="inlineStr">
        <is>
          <t>2026-05-25</t>
        </is>
      </c>
      <c r="B1497" s="33" t="inlineStr">
        <is>
          <t>DDOG</t>
        </is>
      </c>
      <c r="C1497" s="33" t="inlineStr">
        <is>
          <t>D5 Hyperscaler</t>
        </is>
      </c>
      <c r="D1497" s="33" t="n">
        <v>3</v>
      </c>
      <c r="E1497" s="33" t="inlineStr">
        <is>
          <t>Sells to hyperscalers as monitoring tool but also competes with their native tools</t>
        </is>
      </c>
      <c r="F1497" s="33" t="inlineStr">
        <is>
          <t>Customer dynamics</t>
        </is>
      </c>
      <c r="G1497" s="33" t="inlineStr">
        <is>
          <t>Medium</t>
        </is>
      </c>
      <c r="H1497" s="33" t="inlineStr">
        <is>
          <t>Initial</t>
        </is>
      </c>
    </row>
    <row r="1498">
      <c r="A1498" s="33" t="inlineStr">
        <is>
          <t>2026-05-25</t>
        </is>
      </c>
      <c r="B1498" s="33" t="inlineStr">
        <is>
          <t>DDOG</t>
        </is>
      </c>
      <c r="C1498" s="33" t="inlineStr">
        <is>
          <t>M1 EPS Rev</t>
        </is>
      </c>
      <c r="D1498" s="33" t="n">
        <v>5</v>
      </c>
      <c r="E1498" s="33" t="inlineStr">
        <is>
          <t>Q1 beat 4% rev, 17% EPS. Guide raised from ~19% to ~26% growth. 44/45 Buy</t>
        </is>
      </c>
      <c r="F1498" s="33" t="inlineStr">
        <is>
          <t>Q1 FY2026 earnings</t>
        </is>
      </c>
      <c r="G1498" s="33" t="inlineStr">
        <is>
          <t>High</t>
        </is>
      </c>
      <c r="H1498" s="33" t="inlineStr">
        <is>
          <t>Initial</t>
        </is>
      </c>
    </row>
    <row r="1499">
      <c r="A1499" s="33" t="inlineStr">
        <is>
          <t>2026-05-25</t>
        </is>
      </c>
      <c r="B1499" s="33" t="inlineStr">
        <is>
          <t>DDOG</t>
        </is>
      </c>
      <c r="C1499" s="33" t="inlineStr">
        <is>
          <t>M2 Rel Str</t>
        </is>
      </c>
      <c r="D1499" s="33" t="n">
        <v>5</v>
      </c>
      <c r="E1499" s="33" t="inlineStr">
        <is>
          <t>Stock +78% since Jan. &gt;50% outperformance vs IGV</t>
        </is>
      </c>
      <c r="F1499" s="33" t="inlineStr">
        <is>
          <t>Price data vs IGV</t>
        </is>
      </c>
      <c r="G1499" s="33" t="inlineStr">
        <is>
          <t>High</t>
        </is>
      </c>
      <c r="H1499" s="33" t="inlineStr">
        <is>
          <t>Initial</t>
        </is>
      </c>
    </row>
    <row r="1500">
      <c r="A1500" s="33" t="inlineStr">
        <is>
          <t>2026-05-25</t>
        </is>
      </c>
      <c r="B1500" s="33" t="inlineStr">
        <is>
          <t>DDOG</t>
        </is>
      </c>
      <c r="C1500" s="33" t="inlineStr">
        <is>
          <t>M3 Insider</t>
        </is>
      </c>
      <c r="D1500" s="33" t="n">
        <v>3</v>
      </c>
      <c r="E1500" s="33" t="inlineStr">
        <is>
          <t>No insider data surfaced. Default routine</t>
        </is>
      </c>
      <c r="F1500" s="33" t="inlineStr">
        <is>
          <t>Needs Form 4 verification</t>
        </is>
      </c>
      <c r="G1500" s="33" t="inlineStr">
        <is>
          <t>Low</t>
        </is>
      </c>
      <c r="H1500" s="33" t="inlineStr">
        <is>
          <t>Initial</t>
        </is>
      </c>
    </row>
    <row r="1501">
      <c r="A1501" s="33" t="inlineStr">
        <is>
          <t>2026-05-25</t>
        </is>
      </c>
      <c r="B1501" s="33" t="inlineStr">
        <is>
          <t>DDOG</t>
        </is>
      </c>
      <c r="C1501" s="33" t="inlineStr">
        <is>
          <t>R1 Cust Conc</t>
        </is>
      </c>
      <c r="D1501" s="33" t="n">
        <v>5</v>
      </c>
      <c r="E1501" s="33" t="inlineStr">
        <is>
          <t>33,200 customers. No customer &gt;10%. Highly diversified</t>
        </is>
      </c>
      <c r="F1501" s="33" t="inlineStr">
        <is>
          <t>Q1 FY2026 customer metrics</t>
        </is>
      </c>
      <c r="G1501" s="33" t="inlineStr">
        <is>
          <t>High</t>
        </is>
      </c>
      <c r="H1501" s="33" t="inlineStr">
        <is>
          <t>Initial</t>
        </is>
      </c>
    </row>
    <row r="1502">
      <c r="A1502" s="33" t="inlineStr">
        <is>
          <t>2026-05-25</t>
        </is>
      </c>
      <c r="B1502" s="33" t="inlineStr">
        <is>
          <t>DDOG</t>
        </is>
      </c>
      <c r="C1502" s="33" t="inlineStr">
        <is>
          <t>R2 Geo Risk</t>
        </is>
      </c>
      <c r="D1502" s="33" t="n">
        <v>4</v>
      </c>
      <c r="E1502" s="33" t="inlineStr">
        <is>
          <t>US-based SaaS. Not export-controlled. No China dependency</t>
        </is>
      </c>
      <c r="F1502" s="33" t="inlineStr">
        <is>
          <t>Business model</t>
        </is>
      </c>
      <c r="G1502" s="33" t="inlineStr">
        <is>
          <t>High</t>
        </is>
      </c>
      <c r="H1502" s="33" t="inlineStr">
        <is>
          <t>Initial</t>
        </is>
      </c>
    </row>
    <row r="1503">
      <c r="A1503" s="33" t="inlineStr">
        <is>
          <t>2026-05-25</t>
        </is>
      </c>
      <c r="B1503" s="33" t="inlineStr">
        <is>
          <t>DDOG</t>
        </is>
      </c>
      <c r="C1503" s="33" t="inlineStr">
        <is>
          <t>R3 BS Risk</t>
        </is>
      </c>
      <c r="D1503" s="33" t="n">
        <v>5</v>
      </c>
      <c r="E1503" s="33" t="inlineStr">
        <is>
          <t>$4.8B cash. Net cash. FCF $289M Q1 (28% margin)</t>
        </is>
      </c>
      <c r="F1503" s="33" t="inlineStr">
        <is>
          <t>Q1 FY2026 balance sheet</t>
        </is>
      </c>
      <c r="G1503" s="33" t="inlineStr">
        <is>
          <t>High</t>
        </is>
      </c>
      <c r="H1503" s="33" t="inlineStr">
        <is>
          <t>Initial</t>
        </is>
      </c>
    </row>
    <row r="1504">
      <c r="A1504" s="33" t="inlineStr">
        <is>
          <t>2026-05-25</t>
        </is>
      </c>
      <c r="B1504" s="33" t="inlineStr">
        <is>
          <t>DDOG</t>
        </is>
      </c>
      <c r="C1504" s="33" t="inlineStr">
        <is>
          <t>R4 Reg Risk</t>
        </is>
      </c>
      <c r="D1504" s="33" t="n">
        <v>5</v>
      </c>
      <c r="E1504" s="33" t="inlineStr">
        <is>
          <t>No litigation or regulatory overhangs. Clean</t>
        </is>
      </c>
      <c r="F1504" s="33" t="inlineStr">
        <is>
          <t>General assessment</t>
        </is>
      </c>
      <c r="G1504" s="33" t="inlineStr">
        <is>
          <t>Medium</t>
        </is>
      </c>
      <c r="H1504" s="33" t="inlineStr">
        <is>
          <t>Initial</t>
        </is>
      </c>
    </row>
    <row r="1505">
      <c r="A1505" s="33" t="inlineStr">
        <is>
          <t>2026-05-25</t>
        </is>
      </c>
      <c r="B1505" s="33" t="inlineStr">
        <is>
          <t>CRWD</t>
        </is>
      </c>
      <c r="C1505" s="33" t="inlineStr">
        <is>
          <t>D1 AI Rev %</t>
        </is>
      </c>
      <c r="D1505" s="33" t="n">
        <v>2</v>
      </c>
      <c r="E1505" s="33" t="inlineStr">
        <is>
          <t>Cybersecurity company using AI, not AI infrastructure. Charlotte AI drives upsells. Est 5-10%</t>
        </is>
      </c>
      <c r="F1505" s="33" t="inlineStr">
        <is>
          <t>Revenue composition — security ARR</t>
        </is>
      </c>
      <c r="G1505" s="33" t="inlineStr">
        <is>
          <t>Medium</t>
        </is>
      </c>
      <c r="H1505" s="33" t="inlineStr">
        <is>
          <t>Initial</t>
        </is>
      </c>
    </row>
    <row r="1506">
      <c r="A1506" s="33" t="inlineStr">
        <is>
          <t>2026-05-25</t>
        </is>
      </c>
      <c r="B1506" s="33" t="inlineStr">
        <is>
          <t>CRWD</t>
        </is>
      </c>
      <c r="C1506" s="33" t="inlineStr">
        <is>
          <t>D2 Position</t>
        </is>
      </c>
      <c r="D1506" s="33" t="n">
        <v>3</v>
      </c>
      <c r="E1506" s="33" t="inlineStr">
        <is>
          <t>Security software. PANW, SentinelOne, MSFT Defender compete. Switching has cost but doable</t>
        </is>
      </c>
      <c r="F1506" s="33" t="inlineStr">
        <is>
          <t>Competitive landscape</t>
        </is>
      </c>
      <c r="G1506" s="33" t="inlineStr">
        <is>
          <t>High</t>
        </is>
      </c>
      <c r="H1506" s="33" t="inlineStr">
        <is>
          <t>Initial</t>
        </is>
      </c>
    </row>
    <row r="1507">
      <c r="A1507" s="33" t="inlineStr">
        <is>
          <t>2026-05-25</t>
        </is>
      </c>
      <c r="B1507" s="33" t="inlineStr">
        <is>
          <t>CRWD</t>
        </is>
      </c>
      <c r="C1507" s="33" t="inlineStr">
        <is>
          <t>D3 Moat</t>
        </is>
      </c>
      <c r="D1507" s="33" t="n">
        <v>4</v>
      </c>
      <c r="E1507" s="33" t="inlineStr">
        <is>
          <t>Deep endpoint agent switching costs. 98% gross retention post-outage. 81% gross margin. AgentWorks ecosystem</t>
        </is>
      </c>
      <c r="F1507" s="33" t="inlineStr">
        <is>
          <t>Gross retention, gross margin</t>
        </is>
      </c>
      <c r="G1507" s="33" t="inlineStr">
        <is>
          <t>High</t>
        </is>
      </c>
      <c r="H1507" s="33" t="inlineStr">
        <is>
          <t>Initial</t>
        </is>
      </c>
    </row>
    <row r="1508">
      <c r="A1508" s="33" t="inlineStr">
        <is>
          <t>2026-05-25</t>
        </is>
      </c>
      <c r="B1508" s="33" t="inlineStr">
        <is>
          <t>CRWD</t>
        </is>
      </c>
      <c r="C1508" s="33" t="inlineStr">
        <is>
          <t>D4 Capacity</t>
        </is>
      </c>
      <c r="D1508" s="33" t="n">
        <v>3</v>
      </c>
      <c r="E1508" s="33" t="inlineStr">
        <is>
          <t>SaaS model. Charlotte AI / AgentWorks is R&amp;D, not physical buildout</t>
        </is>
      </c>
      <c r="F1508" s="33" t="inlineStr">
        <is>
          <t>Business model</t>
        </is>
      </c>
      <c r="G1508" s="33" t="inlineStr">
        <is>
          <t>High</t>
        </is>
      </c>
      <c r="H1508" s="33" t="inlineStr">
        <is>
          <t>Initial</t>
        </is>
      </c>
    </row>
    <row r="1509">
      <c r="A1509" s="33" t="inlineStr">
        <is>
          <t>2026-05-25</t>
        </is>
      </c>
      <c r="B1509" s="33" t="inlineStr">
        <is>
          <t>CRWD</t>
        </is>
      </c>
      <c r="C1509" s="33" t="inlineStr">
        <is>
          <t>D5 Hyperscaler</t>
        </is>
      </c>
      <c r="D1509" s="33" t="n">
        <v>2</v>
      </c>
      <c r="E1509" s="33" t="inlineStr">
        <is>
          <t>Partners with AWS/NVIDIA for Charlotte AI. But hyperscalers are partners/channels, not revenue customers</t>
        </is>
      </c>
      <c r="F1509" s="33" t="inlineStr">
        <is>
          <t>Partnership announcements</t>
        </is>
      </c>
      <c r="G1509" s="33" t="inlineStr">
        <is>
          <t>Medium</t>
        </is>
      </c>
      <c r="H1509" s="33" t="inlineStr">
        <is>
          <t>Initial</t>
        </is>
      </c>
    </row>
    <row r="1510">
      <c r="A1510" s="33" t="inlineStr">
        <is>
          <t>2026-05-25</t>
        </is>
      </c>
      <c r="B1510" s="33" t="inlineStr">
        <is>
          <t>CRWD</t>
        </is>
      </c>
      <c r="C1510" s="33" t="inlineStr">
        <is>
          <t>M1 EPS Rev</t>
        </is>
      </c>
      <c r="D1510" s="33" t="n">
        <v>4</v>
      </c>
      <c r="E1510" s="33" t="inlineStr">
        <is>
          <t>Q4 net new ARR +47% YoY blowout. But growth decelerating to 22-23%. Net positive</t>
        </is>
      </c>
      <c r="F1510" s="33" t="inlineStr">
        <is>
          <t>Q4 FY2026 results, FY2027 guide</t>
        </is>
      </c>
      <c r="G1510" s="33" t="inlineStr">
        <is>
          <t>High</t>
        </is>
      </c>
      <c r="H1510" s="33" t="inlineStr">
        <is>
          <t>Initial</t>
        </is>
      </c>
    </row>
    <row r="1511">
      <c r="A1511" s="33" t="inlineStr">
        <is>
          <t>2026-05-25</t>
        </is>
      </c>
      <c r="B1511" s="33" t="inlineStr">
        <is>
          <t>CRWD</t>
        </is>
      </c>
      <c r="C1511" s="33" t="inlineStr">
        <is>
          <t>M2 Rel Str</t>
        </is>
      </c>
      <c r="D1511" s="33" t="n">
        <v>5</v>
      </c>
      <c r="E1511" s="33" t="inlineStr">
        <is>
          <t>ATH $674.84. Doubled from 52-week low. &gt;40% outperformance vs IGV</t>
        </is>
      </c>
      <c r="F1511" s="33" t="inlineStr">
        <is>
          <t>Price data vs IGV</t>
        </is>
      </c>
      <c r="G1511" s="33" t="inlineStr">
        <is>
          <t>High</t>
        </is>
      </c>
      <c r="H1511" s="33" t="inlineStr">
        <is>
          <t>Initial</t>
        </is>
      </c>
    </row>
    <row r="1512">
      <c r="A1512" s="33" t="inlineStr">
        <is>
          <t>2026-05-25</t>
        </is>
      </c>
      <c r="B1512" s="33" t="inlineStr">
        <is>
          <t>CRWD</t>
        </is>
      </c>
      <c r="C1512" s="33" t="inlineStr">
        <is>
          <t>M3 Insider</t>
        </is>
      </c>
      <c r="D1512" s="33" t="n">
        <v>3</v>
      </c>
      <c r="E1512" s="33" t="inlineStr">
        <is>
          <t>President sold via 10b5-1 (routine). $1.5B buyback authorized</t>
        </is>
      </c>
      <c r="F1512" s="33" t="inlineStr">
        <is>
          <t>Form 4, buyback disclosure</t>
        </is>
      </c>
      <c r="G1512" s="33" t="inlineStr">
        <is>
          <t>High</t>
        </is>
      </c>
      <c r="H1512" s="33" t="inlineStr">
        <is>
          <t>Initial</t>
        </is>
      </c>
    </row>
    <row r="1513">
      <c r="A1513" s="33" t="inlineStr">
        <is>
          <t>2026-05-25</t>
        </is>
      </c>
      <c r="B1513" s="33" t="inlineStr">
        <is>
          <t>CRWD</t>
        </is>
      </c>
      <c r="C1513" s="33" t="inlineStr">
        <is>
          <t>R1 Cust Conc</t>
        </is>
      </c>
      <c r="D1513" s="33" t="n">
        <v>5</v>
      </c>
      <c r="E1513" s="33" t="inlineStr">
        <is>
          <t>$5.25B ARR across enterprise/government. No customer &gt;10%. Diversified</t>
        </is>
      </c>
      <c r="F1513" s="33" t="inlineStr">
        <is>
          <t>ARR scale, customer breadth</t>
        </is>
      </c>
      <c r="G1513" s="33" t="inlineStr">
        <is>
          <t>Medium</t>
        </is>
      </c>
      <c r="H1513" s="33" t="inlineStr">
        <is>
          <t>Initial</t>
        </is>
      </c>
    </row>
    <row r="1514">
      <c r="A1514" s="33" t="inlineStr">
        <is>
          <t>2026-05-25</t>
        </is>
      </c>
      <c r="B1514" s="33" t="inlineStr">
        <is>
          <t>CRWD</t>
        </is>
      </c>
      <c r="C1514" s="33" t="inlineStr">
        <is>
          <t>R2 Geo Risk</t>
        </is>
      </c>
      <c r="D1514" s="33" t="n">
        <v>4</v>
      </c>
      <c r="E1514" s="33" t="inlineStr">
        <is>
          <t>US-based SaaS. Not export-controlled. No China dependency</t>
        </is>
      </c>
      <c r="F1514" s="33" t="inlineStr">
        <is>
          <t>Business model</t>
        </is>
      </c>
      <c r="G1514" s="33" t="inlineStr">
        <is>
          <t>High</t>
        </is>
      </c>
      <c r="H1514" s="33" t="inlineStr">
        <is>
          <t>Initial</t>
        </is>
      </c>
    </row>
    <row r="1515">
      <c r="A1515" s="33" t="inlineStr">
        <is>
          <t>2026-05-25</t>
        </is>
      </c>
      <c r="B1515" s="33" t="inlineStr">
        <is>
          <t>CRWD</t>
        </is>
      </c>
      <c r="C1515" s="33" t="inlineStr">
        <is>
          <t>R3 BS Risk</t>
        </is>
      </c>
      <c r="D1515" s="33" t="n">
        <v>5</v>
      </c>
      <c r="E1515" s="33" t="inlineStr">
        <is>
          <t>FCF $1.24B. GAAP profitable Q4. $1.5B buyback. Net cash</t>
        </is>
      </c>
      <c r="F1515" s="33" t="inlineStr">
        <is>
          <t>FY2026 financials</t>
        </is>
      </c>
      <c r="G1515" s="33" t="inlineStr">
        <is>
          <t>High</t>
        </is>
      </c>
      <c r="H1515" s="33" t="inlineStr">
        <is>
          <t>Initial</t>
        </is>
      </c>
    </row>
    <row r="1516">
      <c r="A1516" s="33" t="inlineStr">
        <is>
          <t>2026-05-25</t>
        </is>
      </c>
      <c r="B1516" s="33" t="inlineStr">
        <is>
          <t>CRWD</t>
        </is>
      </c>
      <c r="C1516" s="33" t="inlineStr">
        <is>
          <t>R4 Reg Risk</t>
        </is>
      </c>
      <c r="D1516" s="33" t="n">
        <v>4</v>
      </c>
      <c r="E1516" s="33" t="inlineStr">
        <is>
          <t>Outage lawsuit dismissed Jan 2026. Residual smaller claims possible. Routine now</t>
        </is>
      </c>
      <c r="F1516" s="33" t="inlineStr">
        <is>
          <t>CNBC lawsuit dismissal</t>
        </is>
      </c>
      <c r="G1516" s="33" t="inlineStr">
        <is>
          <t>Medium</t>
        </is>
      </c>
      <c r="H1516" s="33" t="inlineStr">
        <is>
          <t>Initial</t>
        </is>
      </c>
    </row>
    <row r="1517">
      <c r="A1517" s="33" t="inlineStr">
        <is>
          <t>2026-05-25</t>
        </is>
      </c>
      <c r="B1517" s="33" t="inlineStr">
        <is>
          <t>MDB</t>
        </is>
      </c>
      <c r="C1517" s="33" t="inlineStr">
        <is>
          <t>D1 AI Rev %</t>
        </is>
      </c>
      <c r="D1517" s="33" t="n">
        <v>2</v>
      </c>
      <c r="E1517" s="33" t="inlineStr">
        <is>
          <t>AI revenue not disclosed. Voyage AI + Vector Search real but most Atlas is traditional DB. Est 5-10%</t>
        </is>
      </c>
      <c r="F1517" s="33" t="inlineStr">
        <is>
          <t>Qualitative commentary, no disclosure</t>
        </is>
      </c>
      <c r="G1517" s="33" t="inlineStr">
        <is>
          <t>Low</t>
        </is>
      </c>
      <c r="H1517" s="33" t="inlineStr">
        <is>
          <t>Initial</t>
        </is>
      </c>
    </row>
    <row r="1518">
      <c r="A1518" s="33" t="inlineStr">
        <is>
          <t>2026-05-25</t>
        </is>
      </c>
      <c r="B1518" s="33" t="inlineStr">
        <is>
          <t>MDB</t>
        </is>
      </c>
      <c r="C1518" s="33" t="inlineStr">
        <is>
          <t>D2 Position</t>
        </is>
      </c>
      <c r="D1518" s="33" t="n">
        <v>3</v>
      </c>
      <c r="E1518" s="33" t="inlineStr">
        <is>
          <t>Mid-chain database. PostgreSQL free, DynamoDB, Firestore compete. Switching has cost</t>
        </is>
      </c>
      <c r="F1518" s="33" t="inlineStr">
        <is>
          <t>Competitive landscape</t>
        </is>
      </c>
      <c r="G1518" s="33" t="inlineStr">
        <is>
          <t>High</t>
        </is>
      </c>
      <c r="H1518" s="33" t="inlineStr">
        <is>
          <t>Initial</t>
        </is>
      </c>
    </row>
    <row r="1519">
      <c r="A1519" s="33" t="inlineStr">
        <is>
          <t>2026-05-25</t>
        </is>
      </c>
      <c r="B1519" s="33" t="inlineStr">
        <is>
          <t>MDB</t>
        </is>
      </c>
      <c r="C1519" s="33" t="inlineStr">
        <is>
          <t>D3 Moat</t>
        </is>
      </c>
      <c r="D1519" s="33" t="n">
        <v>3</v>
      </c>
      <c r="E1519" s="33" t="inlineStr">
        <is>
          <t>Document model switching costs. Voyage AI integration differentiated. But PG+pgvector free. NRR 121% declining</t>
        </is>
      </c>
      <c r="F1519" s="33" t="inlineStr">
        <is>
          <t>Gross margin 75%, NRR, PG competition</t>
        </is>
      </c>
      <c r="G1519" s="33" t="inlineStr">
        <is>
          <t>High</t>
        </is>
      </c>
      <c r="H1519" s="33" t="inlineStr">
        <is>
          <t>Initial</t>
        </is>
      </c>
    </row>
    <row r="1520">
      <c r="A1520" s="33" t="inlineStr">
        <is>
          <t>2026-05-25</t>
        </is>
      </c>
      <c r="B1520" s="33" t="inlineStr">
        <is>
          <t>MDB</t>
        </is>
      </c>
      <c r="C1520" s="33" t="inlineStr">
        <is>
          <t>D4 Capacity</t>
        </is>
      </c>
      <c r="D1520" s="33" t="n">
        <v>3</v>
      </c>
      <c r="E1520" s="33" t="inlineStr">
        <is>
          <t>Asset-light SaaS. Atlas on AWS/GCP/Azure. $800M buyback = capital return not expansion</t>
        </is>
      </c>
      <c r="F1520" s="33" t="inlineStr">
        <is>
          <t>Capital allocation</t>
        </is>
      </c>
      <c r="G1520" s="33" t="inlineStr">
        <is>
          <t>High</t>
        </is>
      </c>
      <c r="H1520" s="33" t="inlineStr">
        <is>
          <t>Initial</t>
        </is>
      </c>
    </row>
    <row r="1521">
      <c r="A1521" s="33" t="inlineStr">
        <is>
          <t>2026-05-25</t>
        </is>
      </c>
      <c r="B1521" s="33" t="inlineStr">
        <is>
          <t>MDB</t>
        </is>
      </c>
      <c r="C1521" s="33" t="inlineStr">
        <is>
          <t>D5 Hyperscaler</t>
        </is>
      </c>
      <c r="D1521" s="33" t="n">
        <v>2</v>
      </c>
      <c r="E1521" s="33" t="inlineStr">
        <is>
          <t>Atlas runs ON clouds but doesn't sell TO hyperscalers as infrastructure. Indirect</t>
        </is>
      </c>
      <c r="F1521" s="33" t="inlineStr">
        <is>
          <t>Revenue model</t>
        </is>
      </c>
      <c r="G1521" s="33" t="inlineStr">
        <is>
          <t>Medium</t>
        </is>
      </c>
      <c r="H1521" s="33" t="inlineStr">
        <is>
          <t>Initial</t>
        </is>
      </c>
    </row>
    <row r="1522">
      <c r="A1522" s="33" t="inlineStr">
        <is>
          <t>2026-05-25</t>
        </is>
      </c>
      <c r="B1522" s="33" t="inlineStr">
        <is>
          <t>MDB</t>
        </is>
      </c>
      <c r="C1522" s="33" t="inlineStr">
        <is>
          <t>M1 EPS Rev</t>
        </is>
      </c>
      <c r="D1522" s="33" t="n">
        <v>4</v>
      </c>
      <c r="E1522" s="33" t="inlineStr">
        <is>
          <t>Q4 beat +3.5% rev, +12% EPS. BMO raised PT. 30 Buy, 0 Sell. But FY2027 decel to 16-18%</t>
        </is>
      </c>
      <c r="F1522" s="33" t="inlineStr">
        <is>
          <t>Q4 FY2026 earnings, analyst consensus</t>
        </is>
      </c>
      <c r="G1522" s="33" t="inlineStr">
        <is>
          <t>High</t>
        </is>
      </c>
      <c r="H1522" s="33" t="inlineStr">
        <is>
          <t>Initial</t>
        </is>
      </c>
    </row>
    <row r="1523">
      <c r="A1523" s="33" t="inlineStr">
        <is>
          <t>2026-05-25</t>
        </is>
      </c>
      <c r="B1523" s="33" t="inlineStr">
        <is>
          <t>MDB</t>
        </is>
      </c>
      <c r="C1523" s="33" t="inlineStr">
        <is>
          <t>M2 Rel Str</t>
        </is>
      </c>
      <c r="D1523" s="33" t="n">
        <v>3</v>
      </c>
      <c r="E1523" s="33" t="inlineStr">
        <is>
          <t>Stock ~$325, range-bound post-Q3 rally. Roughly in line with IGV over 6 months</t>
        </is>
      </c>
      <c r="F1523" s="33" t="inlineStr">
        <is>
          <t>Price data vs IGV</t>
        </is>
      </c>
      <c r="G1523" s="33" t="inlineStr">
        <is>
          <t>Medium</t>
        </is>
      </c>
      <c r="H1523" s="33" t="inlineStr">
        <is>
          <t>Initial</t>
        </is>
      </c>
    </row>
    <row r="1524">
      <c r="A1524" s="33" t="inlineStr">
        <is>
          <t>2026-05-25</t>
        </is>
      </c>
      <c r="B1524" s="33" t="inlineStr">
        <is>
          <t>MDB</t>
        </is>
      </c>
      <c r="C1524" s="33" t="inlineStr">
        <is>
          <t>M3 Insider</t>
        </is>
      </c>
      <c r="D1524" s="33" t="n">
        <v>3</v>
      </c>
      <c r="E1524" s="33" t="inlineStr">
        <is>
          <t>Director sold ~$2.9M, holds ~$507M (&lt;1% of holdings). Routine</t>
        </is>
      </c>
      <c r="F1524" s="33" t="inlineStr">
        <is>
          <t>Form 144 filings</t>
        </is>
      </c>
      <c r="G1524" s="33" t="inlineStr">
        <is>
          <t>High</t>
        </is>
      </c>
      <c r="H1524" s="33" t="inlineStr">
        <is>
          <t>Initial</t>
        </is>
      </c>
    </row>
    <row r="1525">
      <c r="A1525" s="33" t="inlineStr">
        <is>
          <t>2026-05-25</t>
        </is>
      </c>
      <c r="B1525" s="33" t="inlineStr">
        <is>
          <t>MDB</t>
        </is>
      </c>
      <c r="C1525" s="33" t="inlineStr">
        <is>
          <t>R1 Cust Conc</t>
        </is>
      </c>
      <c r="D1525" s="33" t="n">
        <v>5</v>
      </c>
      <c r="E1525" s="33" t="inlineStr">
        <is>
          <t>65,200 customers, 2,799 at $100K+. No customer &gt;10%. Highly diversified</t>
        </is>
      </c>
      <c r="F1525" s="33" t="inlineStr">
        <is>
          <t>Q4 FY2026 customer metrics</t>
        </is>
      </c>
      <c r="G1525" s="33" t="inlineStr">
        <is>
          <t>High</t>
        </is>
      </c>
      <c r="H1525" s="33" t="inlineStr">
        <is>
          <t>Initial</t>
        </is>
      </c>
    </row>
    <row r="1526">
      <c r="A1526" s="33" t="inlineStr">
        <is>
          <t>2026-05-25</t>
        </is>
      </c>
      <c r="B1526" s="33" t="inlineStr">
        <is>
          <t>MDB</t>
        </is>
      </c>
      <c r="C1526" s="33" t="inlineStr">
        <is>
          <t>R2 Geo Risk</t>
        </is>
      </c>
      <c r="D1526" s="33" t="n">
        <v>4</v>
      </c>
      <c r="E1526" s="33" t="inlineStr">
        <is>
          <t>US-based SaaS. Database not export-controlled. Global deployment</t>
        </is>
      </c>
      <c r="F1526" s="33" t="inlineStr">
        <is>
          <t>Business model</t>
        </is>
      </c>
      <c r="G1526" s="33" t="inlineStr">
        <is>
          <t>High</t>
        </is>
      </c>
      <c r="H1526" s="33" t="inlineStr">
        <is>
          <t>Initial</t>
        </is>
      </c>
    </row>
    <row r="1527">
      <c r="A1527" s="33" t="inlineStr">
        <is>
          <t>2026-05-25</t>
        </is>
      </c>
      <c r="B1527" s="33" t="inlineStr">
        <is>
          <t>MDB</t>
        </is>
      </c>
      <c r="C1527" s="33" t="inlineStr">
        <is>
          <t>R3 BS Risk</t>
        </is>
      </c>
      <c r="D1527" s="33" t="n">
        <v>5</v>
      </c>
      <c r="E1527" s="33" t="inlineStr">
        <is>
          <t>Net cash. $500M FCF FY2026. Strong cash generation</t>
        </is>
      </c>
      <c r="F1527" s="33" t="inlineStr">
        <is>
          <t>FY2026 financials</t>
        </is>
      </c>
      <c r="G1527" s="33" t="inlineStr">
        <is>
          <t>High</t>
        </is>
      </c>
      <c r="H1527" s="33" t="inlineStr">
        <is>
          <t>Initial</t>
        </is>
      </c>
    </row>
    <row r="1528">
      <c r="A1528" s="33" t="inlineStr">
        <is>
          <t>2026-05-25</t>
        </is>
      </c>
      <c r="B1528" s="33" t="inlineStr">
        <is>
          <t>MDB</t>
        </is>
      </c>
      <c r="C1528" s="33" t="inlineStr">
        <is>
          <t>R4 Reg Risk</t>
        </is>
      </c>
      <c r="D1528" s="33" t="n">
        <v>3</v>
      </c>
      <c r="E1528" s="33" t="inlineStr">
        <is>
          <t>Securities class action survived MTD but likely immaterial financially. Fiduciary investigation</t>
        </is>
      </c>
      <c r="F1528" s="33" t="inlineStr">
        <is>
          <t>StocksToTrade, Morningstar</t>
        </is>
      </c>
      <c r="G1528" s="33" t="inlineStr">
        <is>
          <t>High</t>
        </is>
      </c>
      <c r="H1528" s="33" t="inlineStr">
        <is>
          <t>Initial</t>
        </is>
      </c>
    </row>
    <row r="1529">
      <c r="A1529" s="33" t="inlineStr">
        <is>
          <t>2026-05-25</t>
        </is>
      </c>
      <c r="B1529" s="33" t="inlineStr">
        <is>
          <t>PATH</t>
        </is>
      </c>
      <c r="C1529" s="33" t="inlineStr">
        <is>
          <t>D1 AI Rev %</t>
        </is>
      </c>
      <c r="D1529" s="33" t="n">
        <v>1</v>
      </c>
      <c r="E1529" s="33" t="inlineStr">
        <is>
          <t>Agentic AI platform real but mgmt says revenue impact is FY2027+. Current rev is traditional RPA. &lt;5%</t>
        </is>
      </c>
      <c r="F1529" s="33" t="inlineStr">
        <is>
          <t>Management commentary, FY2027 guidance</t>
        </is>
      </c>
      <c r="G1529" s="33" t="inlineStr">
        <is>
          <t>High</t>
        </is>
      </c>
      <c r="H1529" s="33" t="inlineStr">
        <is>
          <t>Initial</t>
        </is>
      </c>
    </row>
    <row r="1530">
      <c r="A1530" s="33" t="inlineStr">
        <is>
          <t>2026-05-25</t>
        </is>
      </c>
      <c r="B1530" s="33" t="inlineStr">
        <is>
          <t>PATH</t>
        </is>
      </c>
      <c r="C1530" s="33" t="inlineStr">
        <is>
          <t>D2 Position</t>
        </is>
      </c>
      <c r="D1530" s="33" t="n">
        <v>2</v>
      </c>
      <c r="E1530" s="33" t="inlineStr">
        <is>
          <t>MSFT Power Automate 60-90% cheaper, covers 70-80% of use cases. Dual-platform market emerging</t>
        </is>
      </c>
      <c r="F1530" s="33" t="inlineStr">
        <is>
          <t>DreamIT, EPC Group comparisons</t>
        </is>
      </c>
      <c r="G1530" s="33" t="inlineStr">
        <is>
          <t>High</t>
        </is>
      </c>
      <c r="H1530" s="33" t="inlineStr">
        <is>
          <t>Initial</t>
        </is>
      </c>
    </row>
    <row r="1531">
      <c r="A1531" s="33" t="inlineStr">
        <is>
          <t>2026-05-25</t>
        </is>
      </c>
      <c r="B1531" s="33" t="inlineStr">
        <is>
          <t>PATH</t>
        </is>
      </c>
      <c r="C1531" s="33" t="inlineStr">
        <is>
          <t>D3 Moat</t>
        </is>
      </c>
      <c r="D1531" s="33" t="n">
        <v>2</v>
      </c>
      <c r="E1531" s="33" t="inlineStr">
        <is>
          <t>Organic net new ARR negative 3-1%. NRR 107% declining. Losing ground despite 85% GM</t>
        </is>
      </c>
      <c r="F1531" s="33" t="inlineStr">
        <is>
          <t>FY2027 ARR guidance, NRR trend</t>
        </is>
      </c>
      <c r="G1531" s="33" t="inlineStr">
        <is>
          <t>High</t>
        </is>
      </c>
      <c r="H1531" s="33" t="inlineStr">
        <is>
          <t>Initial</t>
        </is>
      </c>
    </row>
    <row r="1532">
      <c r="A1532" s="33" t="inlineStr">
        <is>
          <t>2026-05-25</t>
        </is>
      </c>
      <c r="B1532" s="33" t="inlineStr">
        <is>
          <t>PATH</t>
        </is>
      </c>
      <c r="C1532" s="33" t="inlineStr">
        <is>
          <t>D4 Capacity</t>
        </is>
      </c>
      <c r="D1532" s="33" t="n">
        <v>3</v>
      </c>
      <c r="E1532" s="33" t="inlineStr">
        <is>
          <t>SaaS. WorkFusion acquisition. BYOM/on-prem product R&amp;D. Not physical buildout</t>
        </is>
      </c>
      <c r="F1532" s="33" t="inlineStr">
        <is>
          <t>Product announcements</t>
        </is>
      </c>
      <c r="G1532" s="33" t="inlineStr">
        <is>
          <t>High</t>
        </is>
      </c>
      <c r="H1532" s="33" t="inlineStr">
        <is>
          <t>Initial</t>
        </is>
      </c>
    </row>
    <row r="1533">
      <c r="A1533" s="33" t="inlineStr">
        <is>
          <t>2026-05-25</t>
        </is>
      </c>
      <c r="B1533" s="33" t="inlineStr">
        <is>
          <t>PATH</t>
        </is>
      </c>
      <c r="C1533" s="33" t="inlineStr">
        <is>
          <t>D5 Hyperscaler</t>
        </is>
      </c>
      <c r="D1533" s="33" t="n">
        <v>1</v>
      </c>
      <c r="E1533" s="33" t="inlineStr">
        <is>
          <t>Google Cloud partnership is channel/marketplace. No anchor hyperscaler revenue</t>
        </is>
      </c>
      <c r="F1533" s="33" t="inlineStr">
        <is>
          <t>Partnership structure</t>
        </is>
      </c>
      <c r="G1533" s="33" t="inlineStr">
        <is>
          <t>High</t>
        </is>
      </c>
      <c r="H1533" s="33" t="inlineStr">
        <is>
          <t>Initial</t>
        </is>
      </c>
    </row>
    <row r="1534">
      <c r="A1534" s="33" t="inlineStr">
        <is>
          <t>2026-05-25</t>
        </is>
      </c>
      <c r="B1534" s="33" t="inlineStr">
        <is>
          <t>PATH</t>
        </is>
      </c>
      <c r="C1534" s="33" t="inlineStr">
        <is>
          <t>M1 EPS Rev</t>
        </is>
      </c>
      <c r="D1534" s="33" t="n">
        <v>3</v>
      </c>
      <c r="E1534" s="33" t="inlineStr">
        <is>
          <t>Q4 beat (17th consecutive). Needham upgrade. But FY2027 guide 9% with negative organic ARR. Neutral</t>
        </is>
      </c>
      <c r="F1534" s="33" t="inlineStr">
        <is>
          <t>FY2027 guidance, Needham upgrade</t>
        </is>
      </c>
      <c r="G1534" s="33" t="inlineStr">
        <is>
          <t>Medium</t>
        </is>
      </c>
      <c r="H1534" s="33" t="inlineStr">
        <is>
          <t>Initial</t>
        </is>
      </c>
    </row>
    <row r="1535">
      <c r="A1535" s="33" t="inlineStr">
        <is>
          <t>2026-05-25</t>
        </is>
      </c>
      <c r="B1535" s="33" t="inlineStr">
        <is>
          <t>PATH</t>
        </is>
      </c>
      <c r="C1535" s="33" t="inlineStr">
        <is>
          <t>M2 Rel Str</t>
        </is>
      </c>
      <c r="D1535" s="33" t="n">
        <v>1</v>
      </c>
      <c r="E1535" s="33" t="inlineStr">
        <is>
          <t>Down 36% YTD. Near 52-week low. IGV up ~15-20%. Lagging &gt;50%</t>
        </is>
      </c>
      <c r="F1535" s="33" t="inlineStr">
        <is>
          <t>Price data vs IGV</t>
        </is>
      </c>
      <c r="G1535" s="33" t="inlineStr">
        <is>
          <t>High</t>
        </is>
      </c>
      <c r="H1535" s="33" t="inlineStr">
        <is>
          <t>Initial</t>
        </is>
      </c>
    </row>
    <row r="1536">
      <c r="A1536" s="33" t="inlineStr">
        <is>
          <t>2026-05-25</t>
        </is>
      </c>
      <c r="B1536" s="33" t="inlineStr">
        <is>
          <t>PATH</t>
        </is>
      </c>
      <c r="C1536" s="33" t="inlineStr">
        <is>
          <t>M3 Insider</t>
        </is>
      </c>
      <c r="D1536" s="33" t="n">
        <v>3</v>
      </c>
      <c r="E1536" s="33" t="inlineStr">
        <is>
          <t>CEO sold at $15-16 via 10b5-1 (routine). $500M buyback active</t>
        </is>
      </c>
      <c r="F1536" s="33" t="inlineStr">
        <is>
          <t>Investing.com insider filings</t>
        </is>
      </c>
      <c r="G1536" s="33" t="inlineStr">
        <is>
          <t>High</t>
        </is>
      </c>
      <c r="H1536" s="33" t="inlineStr">
        <is>
          <t>Initial</t>
        </is>
      </c>
    </row>
    <row r="1537">
      <c r="A1537" s="33" t="inlineStr">
        <is>
          <t>2026-05-25</t>
        </is>
      </c>
      <c r="B1537" s="33" t="inlineStr">
        <is>
          <t>PATH</t>
        </is>
      </c>
      <c r="C1537" s="33" t="inlineStr">
        <is>
          <t>R1 Cust Conc</t>
        </is>
      </c>
      <c r="D1537" s="33" t="n">
        <v>4</v>
      </c>
      <c r="E1537" s="33" t="inlineStr">
        <is>
          <t>Enterprise automation base. NRR 107% across base suggests breadth. Needs 10-K confirmation</t>
        </is>
      </c>
      <c r="F1537" s="33" t="inlineStr">
        <is>
          <t>Customer structure</t>
        </is>
      </c>
      <c r="G1537" s="33" t="inlineStr">
        <is>
          <t>Medium</t>
        </is>
      </c>
      <c r="H1537" s="33" t="inlineStr">
        <is>
          <t>Initial</t>
        </is>
      </c>
    </row>
    <row r="1538">
      <c r="A1538" s="33" t="inlineStr">
        <is>
          <t>2026-05-25</t>
        </is>
      </c>
      <c r="B1538" s="33" t="inlineStr">
        <is>
          <t>PATH</t>
        </is>
      </c>
      <c r="C1538" s="33" t="inlineStr">
        <is>
          <t>R2 Geo Risk</t>
        </is>
      </c>
      <c r="D1538" s="33" t="n">
        <v>4</v>
      </c>
      <c r="E1538" s="33" t="inlineStr">
        <is>
          <t>US-headquartered. On-prem for gov reduces geo dependency. No export issues</t>
        </is>
      </c>
      <c r="F1538" s="33" t="inlineStr">
        <is>
          <t>Business model</t>
        </is>
      </c>
      <c r="G1538" s="33" t="inlineStr">
        <is>
          <t>High</t>
        </is>
      </c>
      <c r="H1538" s="33" t="inlineStr">
        <is>
          <t>Initial</t>
        </is>
      </c>
    </row>
    <row r="1539">
      <c r="A1539" s="33" t="inlineStr">
        <is>
          <t>2026-05-25</t>
        </is>
      </c>
      <c r="B1539" s="33" t="inlineStr">
        <is>
          <t>PATH</t>
        </is>
      </c>
      <c r="C1539" s="33" t="inlineStr">
        <is>
          <t>R3 BS Risk</t>
        </is>
      </c>
      <c r="D1539" s="33" t="n">
        <v>5</v>
      </c>
      <c r="E1539" s="33" t="inlineStr">
        <is>
          <t>$1.69B cash, no debt. $372M FCF. $500M buyback. Fortress</t>
        </is>
      </c>
      <c r="F1539" s="33" t="inlineStr">
        <is>
          <t>FY2026 balance sheet</t>
        </is>
      </c>
      <c r="G1539" s="33" t="inlineStr">
        <is>
          <t>High</t>
        </is>
      </c>
      <c r="H1539" s="33" t="inlineStr">
        <is>
          <t>Initial</t>
        </is>
      </c>
    </row>
    <row r="1540">
      <c r="A1540" s="33" t="inlineStr">
        <is>
          <t>2026-05-25</t>
        </is>
      </c>
      <c r="B1540" s="33" t="inlineStr">
        <is>
          <t>PATH</t>
        </is>
      </c>
      <c r="C1540" s="33" t="inlineStr">
        <is>
          <t>R4 Reg Risk</t>
        </is>
      </c>
      <c r="D1540" s="33" t="n">
        <v>5</v>
      </c>
      <c r="E1540" s="33" t="inlineStr">
        <is>
          <t>No litigation or investigations. Clean</t>
        </is>
      </c>
      <c r="F1540" s="33" t="inlineStr">
        <is>
          <t>General assessment</t>
        </is>
      </c>
      <c r="G1540" s="33" t="inlineStr">
        <is>
          <t>Medium</t>
        </is>
      </c>
      <c r="H1540" s="33" t="inlineStr">
        <is>
          <t>Initial</t>
        </is>
      </c>
    </row>
    <row r="1541">
      <c r="A1541" s="33" t="inlineStr">
        <is>
          <t>2026-05-26</t>
        </is>
      </c>
      <c r="B1541" s="33" t="inlineStr">
        <is>
          <t>MU</t>
        </is>
      </c>
      <c r="C1541" s="33" t="inlineStr">
        <is>
          <t>D1</t>
        </is>
      </c>
      <c r="D1541" s="33" t="n">
        <v>5</v>
      </c>
      <c r="E1541" s="33" t="inlineStr">
        <is>
          <t>Cloud+DC = 56% of rev; HBM4 sold out under LTAs; loss of AI demand = existential</t>
        </is>
      </c>
      <c r="F1541" s="33" t="inlineStr">
        <is>
          <t>Q2 FY2026 8-K segment data</t>
        </is>
      </c>
      <c r="G1541" s="33" t="inlineStr">
        <is>
          <t>High</t>
        </is>
      </c>
      <c r="H1541" s="33" t="inlineStr">
        <is>
          <t>Update</t>
        </is>
      </c>
    </row>
    <row r="1542">
      <c r="A1542" s="33" t="inlineStr">
        <is>
          <t>2026-05-26</t>
        </is>
      </c>
      <c r="B1542" s="33" t="inlineStr">
        <is>
          <t>MU</t>
        </is>
      </c>
      <c r="C1542" s="33" t="inlineStr">
        <is>
          <t>D4</t>
        </is>
      </c>
      <c r="D1542" s="33" t="n">
        <v>5</v>
      </c>
      <c r="E1542" s="33" t="inlineStr">
        <is>
          <t>$25B+ FY2026 capex across 6 countries; customer-backed LTAs funding expansion</t>
        </is>
      </c>
      <c r="F1542" s="33" t="inlineStr">
        <is>
          <t>Q2 FY2026 8-K + Futurum analysis</t>
        </is>
      </c>
      <c r="G1542" s="33" t="inlineStr">
        <is>
          <t>High</t>
        </is>
      </c>
      <c r="H1542" s="33" t="inlineStr">
        <is>
          <t>Update</t>
        </is>
      </c>
    </row>
    <row r="1543">
      <c r="A1543" s="33" t="inlineStr">
        <is>
          <t>2026-05-26</t>
        </is>
      </c>
      <c r="B1543" s="33" t="inlineStr">
        <is>
          <t>MU</t>
        </is>
      </c>
      <c r="C1543" s="33" t="inlineStr">
        <is>
          <t>M2</t>
        </is>
      </c>
      <c r="D1543" s="33" t="n">
        <v>5</v>
      </c>
      <c r="E1543" s="33" t="inlineStr">
        <is>
          <t>+822% 52-week; massive outperformance vs SOXX; just crossed $1T</t>
        </is>
      </c>
      <c r="F1543" s="33" t="inlineStr">
        <is>
          <t>Yahoo Finance price data</t>
        </is>
      </c>
      <c r="G1543" s="33" t="inlineStr">
        <is>
          <t>High</t>
        </is>
      </c>
      <c r="H1543" s="33" t="inlineStr">
        <is>
          <t>Update</t>
        </is>
      </c>
    </row>
    <row r="1544">
      <c r="A1544" s="33" t="inlineStr">
        <is>
          <t>2026-05-26</t>
        </is>
      </c>
      <c r="B1544" s="33" t="inlineStr">
        <is>
          <t>MU</t>
        </is>
      </c>
      <c r="C1544" s="33" t="inlineStr">
        <is>
          <t>R3</t>
        </is>
      </c>
      <c r="D1544" s="33" t="n">
        <v>5</v>
      </c>
      <c r="E1544" s="33" t="inlineStr">
        <is>
          <t>ND/EBITDA -0.1 (net cash); FCF $5.5B/qtr; 30% dividend hike; $25B capex funded from operations</t>
        </is>
      </c>
      <c r="F1544" s="33" t="inlineStr">
        <is>
          <t>Q2 FY2026 8-K cash flow statement</t>
        </is>
      </c>
      <c r="G1544" s="33" t="inlineStr">
        <is>
          <t>High</t>
        </is>
      </c>
      <c r="H1544" s="33" t="inlineStr">
        <is>
          <t>Update</t>
        </is>
      </c>
    </row>
    <row r="1545">
      <c r="A1545" s="33" t="inlineStr">
        <is>
          <t>2026-05-26</t>
        </is>
      </c>
      <c r="B1545" s="33" t="inlineStr">
        <is>
          <t>MOD</t>
        </is>
      </c>
      <c r="C1545" s="33" t="inlineStr">
        <is>
          <t>D3</t>
        </is>
      </c>
      <c r="D1545" s="33" t="n">
        <v>4</v>
      </c>
      <c r="E1545" s="33" t="inlineStr">
        <is>
          <t>$4B LTA + $165M upfront capacity reservation = demonstrated switching costs; Schneider $1.9B Switch deal confirms structural dynamic</t>
        </is>
      </c>
      <c r="F1545" s="33" t="inlineStr">
        <is>
          <t>Q4 FY2026 LTA announcement + Schneider precedent</t>
        </is>
      </c>
      <c r="G1545" s="33" t="inlineStr">
        <is>
          <t>Medium</t>
        </is>
      </c>
      <c r="H1545" s="33" t="inlineStr">
        <is>
          <t>Update</t>
        </is>
      </c>
    </row>
    <row r="1546">
      <c r="A1546" s="33" t="inlineStr">
        <is>
          <t>2026-05-26</t>
        </is>
      </c>
      <c r="B1546" s="33" t="inlineStr">
        <is>
          <t>MOD</t>
        </is>
      </c>
      <c r="C1546" s="33" t="inlineStr">
        <is>
          <t>R1</t>
        </is>
      </c>
      <c r="D1546" s="33" t="n">
        <v>2</v>
      </c>
      <c r="E1546" s="33" t="inlineStr">
        <is>
          <t>Single unnamed hyperscaler at ~$1.33B/yr = 40-50% of post-spin revenue; rubric: top customer 40-60% = 2</t>
        </is>
      </c>
      <c r="F1546" s="33" t="inlineStr">
        <is>
          <t>LTA revenue math vs Q4 FY2026 segment data</t>
        </is>
      </c>
      <c r="G1546" s="33" t="inlineStr">
        <is>
          <t>High</t>
        </is>
      </c>
      <c r="H1546" s="33" t="inlineStr">
        <is>
          <t>Update</t>
        </is>
      </c>
    </row>
    <row r="1547">
      <c r="A1547" s="33" t="inlineStr">
        <is>
          <t>2026-05-26</t>
        </is>
      </c>
      <c r="B1547" s="33" t="inlineStr">
        <is>
          <t>MOD</t>
        </is>
      </c>
      <c r="C1547" s="33" t="inlineStr">
        <is>
          <t>R3</t>
        </is>
      </c>
      <c r="D1547" s="33" t="n">
        <v>3</v>
      </c>
      <c r="E1547" s="33" t="inlineStr">
        <is>
          <t>Negative TTM FCF (-0.13% yield), net debt +30% YoY, capex surge $143M vs $84M; temporary build-phase but real cash flow pressure</t>
        </is>
      </c>
      <c r="F1547" s="33" t="inlineStr">
        <is>
          <t>Q4 FY2026 press release cash flow data</t>
        </is>
      </c>
      <c r="G1547" s="33" t="inlineStr">
        <is>
          <t>Medium</t>
        </is>
      </c>
      <c r="H1547" s="33" t="inlineStr">
        <is>
          <t>Update</t>
        </is>
      </c>
    </row>
    <row r="1548">
      <c r="A1548" s="33" t="inlineStr">
        <is>
          <t>2026-05-26</t>
        </is>
      </c>
      <c r="B1548" s="33" t="inlineStr">
        <is>
          <t>AMD</t>
        </is>
      </c>
      <c r="C1548" s="33" t="inlineStr">
        <is>
          <t>D3</t>
        </is>
      </c>
      <c r="D1548" s="33" t="n">
        <v>5</v>
      </c>
      <c r="E1548" s="33" t="inlineStr">
        <is>
          <t>Meta $100B+ deal + OpenAI 6GW commitment = sole credible #2 GPU at hyperscale; custom MI450 co-design creates switching costs; warrant alignment deepens relationships</t>
        </is>
      </c>
      <c r="F1548" s="33" t="inlineStr">
        <is>
          <t>Q1 2026 earnings + Meta/OpenAI deal announcements</t>
        </is>
      </c>
      <c r="G1548" s="33" t="inlineStr">
        <is>
          <t>Medium</t>
        </is>
      </c>
      <c r="H1548" s="33" t="inlineStr">
        <is>
          <t>Update</t>
        </is>
      </c>
    </row>
    <row r="1549">
      <c r="A1549" s="33" t="inlineStr">
        <is>
          <t>2026-05-26</t>
        </is>
      </c>
      <c r="B1549" s="33" t="inlineStr">
        <is>
          <t>AMD</t>
        </is>
      </c>
      <c r="C1549" s="33" t="inlineStr">
        <is>
          <t>R1</t>
        </is>
      </c>
      <c r="D1549" s="33" t="n">
        <v>3</v>
      </c>
      <c r="E1549" s="33" t="inlineStr">
        <is>
          <t>Meta + OpenAI dominate GPU pipeline; 320M warrant shares (~20% dilution) at $0.01; offset by diversified EPYC CPU business</t>
        </is>
      </c>
      <c r="F1549" s="33" t="inlineStr">
        <is>
          <t>Q1 2026 earnings + deal terms</t>
        </is>
      </c>
      <c r="G1549" s="33" t="inlineStr">
        <is>
          <t>Medium-High</t>
        </is>
      </c>
      <c r="H1549" s="33" t="inlineStr">
        <is>
          <t>Update</t>
        </is>
      </c>
    </row>
    <row r="1550">
      <c r="A1550" s="33" t="inlineStr">
        <is>
          <t>2026-05-26</t>
        </is>
      </c>
      <c r="B1550" s="33" t="inlineStr">
        <is>
          <t>NVDA</t>
        </is>
      </c>
      <c r="C1550" s="33" t="inlineStr">
        <is>
          <t>R1</t>
        </is>
      </c>
      <c r="D1550" s="33" t="n">
        <v>4</v>
      </c>
      <c r="E1550" s="33" t="inlineStr">
        <is>
          <t>Customer diversification improving: 50/50 hyperscale/ACIE split, ACIE growing 2.6x faster than hyperscale</t>
        </is>
      </c>
      <c r="F1550" s="33" t="inlineStr">
        <is>
          <t>Q1 FY2027 earnings call segment data</t>
        </is>
      </c>
      <c r="G1550" s="33" t="inlineStr">
        <is>
          <t>High</t>
        </is>
      </c>
      <c r="H1550" s="33" t="inlineStr">
        <is>
          <t>Update</t>
        </is>
      </c>
    </row>
    <row r="1551">
      <c r="A1551" s="33" t="inlineStr">
        <is>
          <t>2026-05-26</t>
        </is>
      </c>
      <c r="B1551" s="33" t="inlineStr">
        <is>
          <t>ANET</t>
        </is>
      </c>
      <c r="C1551" s="33" t="inlineStr">
        <is>
          <t>D4</t>
        </is>
      </c>
      <c r="D1551" s="33" t="n">
        <v>5</v>
      </c>
      <c r="E1551" s="33" t="inlineStr">
        <is>
          <t>$8.9B purchase commitments, Building 10 fast-tracked (2M sq ft), 52-week lead times. Supply-constrained expansion</t>
        </is>
      </c>
      <c r="F1551" s="33" t="inlineStr">
        <is>
          <t>Q1 2026 earnings call + CFO commentary</t>
        </is>
      </c>
      <c r="G1551" s="33" t="inlineStr">
        <is>
          <t>High</t>
        </is>
      </c>
      <c r="H1551" s="33" t="inlineStr">
        <is>
          <t>Update</t>
        </is>
      </c>
    </row>
    <row r="1552">
      <c r="A1552" s="33" t="inlineStr">
        <is>
          <t>2026-05-26</t>
        </is>
      </c>
      <c r="B1552" s="33" t="inlineStr">
        <is>
          <t>ANET</t>
        </is>
      </c>
      <c r="C1552" s="33" t="inlineStr">
        <is>
          <t>M2</t>
        </is>
      </c>
      <c r="D1552" s="33" t="n">
        <v>2</v>
      </c>
      <c r="E1552" s="33" t="inlineStr">
        <is>
          <t>Stock fell 14% on earnings despite beat-and-raise; supply chain warnings and margin compression spooked market</t>
        </is>
      </c>
      <c r="F1552" s="33" t="inlineStr">
        <is>
          <t>Price data post-earnings May 5-6 2026</t>
        </is>
      </c>
      <c r="G1552" s="33" t="inlineStr">
        <is>
          <t>High</t>
        </is>
      </c>
      <c r="H1552" s="33" t="inlineStr">
        <is>
          <t>Update</t>
        </is>
      </c>
    </row>
    <row r="1553">
      <c r="A1553" s="33" t="inlineStr">
        <is>
          <t>2026-05-26</t>
        </is>
      </c>
      <c r="B1553" s="33" t="inlineStr">
        <is>
          <t>ALAB</t>
        </is>
      </c>
      <c r="C1553" s="33" t="inlineStr">
        <is>
          <t>D3</t>
        </is>
      </c>
      <c r="D1553" s="33" t="n">
        <v>5</v>
      </c>
      <c r="E1553" s="33" t="inlineStr">
        <is>
          <t>Scorpio fabric switch becoming largest product line; embedded in NVLink Fusion + UALink ecosystems; Hypercast IP creates proprietary standard</t>
        </is>
      </c>
      <c r="F1553" s="33" t="inlineStr">
        <is>
          <t>Q1 2026 earnings call, CEO commentary on Scorpio pivot</t>
        </is>
      </c>
      <c r="G1553" s="33" t="inlineStr">
        <is>
          <t>Medium</t>
        </is>
      </c>
      <c r="H1553" s="33" t="inlineStr">
        <is>
          <t>Update</t>
        </is>
      </c>
    </row>
    <row r="1554">
      <c r="A1554" s="33" t="inlineStr">
        <is>
          <t>2026-05-26</t>
        </is>
      </c>
      <c r="B1554" s="33" t="inlineStr">
        <is>
          <t>PLTR</t>
        </is>
      </c>
      <c r="C1554" s="33" t="inlineStr">
        <is>
          <t>D4</t>
        </is>
      </c>
      <c r="D1554" s="33" t="n">
        <v>5</v>
      </c>
      <c r="E1554" s="33" t="inlineStr">
        <is>
          <t>$925M/qtr FCF funding growth; $4.7B commercial TCV; USDA $300M contract; customer-backed scaling across gov + commercial</t>
        </is>
      </c>
      <c r="F1554" s="33" t="inlineStr">
        <is>
          <t>Q1 2026 earnings call</t>
        </is>
      </c>
      <c r="G1554" s="33" t="inlineStr">
        <is>
          <t>High</t>
        </is>
      </c>
      <c r="H1554" s="33" t="inlineStr">
        <is>
          <t>Update</t>
        </is>
      </c>
    </row>
    <row r="1555">
      <c r="A1555" s="33" t="inlineStr">
        <is>
          <t>2026-05-26</t>
        </is>
      </c>
      <c r="B1555" s="33" t="inlineStr">
        <is>
          <t>TLN</t>
        </is>
      </c>
      <c r="C1555" s="33" t="inlineStr">
        <is>
          <t>D3</t>
        </is>
      </c>
      <c r="D1555" s="33" t="n">
        <v>5</v>
      </c>
      <c r="E1555" s="33" t="inlineStr">
        <is>
          <t>Susquehanna nuclear under 17-year up-to-$18B AWS PPA; irreplaceable baseload in specific geographic location; spring outage reconfiguration completed</t>
        </is>
      </c>
      <c r="F1555" s="33" t="inlineStr">
        <is>
          <t>Q1 2026 earnings + AWS PPA terms</t>
        </is>
      </c>
      <c r="G1555" s="33" t="inlineStr">
        <is>
          <t>High</t>
        </is>
      </c>
      <c r="H1555" s="33" t="inlineStr">
        <is>
          <t>Update</t>
        </is>
      </c>
    </row>
    <row r="1556">
      <c r="A1556" s="33" t="inlineStr">
        <is>
          <t>2026-05-26</t>
        </is>
      </c>
      <c r="B1556" s="33" t="inlineStr">
        <is>
          <t>VST</t>
        </is>
      </c>
      <c r="C1556" s="33" t="inlineStr">
        <is>
          <t>D3</t>
        </is>
      </c>
      <c r="D1556" s="33" t="n">
        <v>5</v>
      </c>
      <c r="E1556" s="33" t="inlineStr">
        <is>
          <t>3,800 MW nuclear under 20-year PPAs with Meta (2,600 MW) + AWS (1,200 MW); irreplaceable baseload with geographic monopoly in PJM</t>
        </is>
      </c>
      <c r="F1556" s="33" t="inlineStr">
        <is>
          <t>Q1 2026 earnings call + PPA disclosures</t>
        </is>
      </c>
      <c r="G1556" s="33" t="inlineStr">
        <is>
          <t>High</t>
        </is>
      </c>
      <c r="H1556" s="33" t="inlineStr">
        <is>
          <t>Update</t>
        </is>
      </c>
    </row>
    <row r="1557">
      <c r="A1557" s="33" t="inlineStr">
        <is>
          <t>2026-05-26</t>
        </is>
      </c>
      <c r="B1557" s="33" t="inlineStr">
        <is>
          <t>VST</t>
        </is>
      </c>
      <c r="C1557" s="33" t="inlineStr">
        <is>
          <t>R3</t>
        </is>
      </c>
      <c r="D1557" s="33" t="n">
        <v>4</v>
      </c>
      <c r="E1557" s="33" t="inlineStr">
        <is>
          <t>Investment grade at Fitch + S&amp;P; record EBITDA $1,494M; 98% hedged 2026; Cogentrix funded</t>
        </is>
      </c>
      <c r="F1557" s="33" t="inlineStr">
        <is>
          <t>Q1 2026 earnings + credit ratings</t>
        </is>
      </c>
      <c r="G1557" s="33" t="inlineStr">
        <is>
          <t>High</t>
        </is>
      </c>
      <c r="H1557" s="33" t="inlineStr">
        <is>
          <t>Update</t>
        </is>
      </c>
    </row>
    <row r="1558">
      <c r="A1558" s="33" t="inlineStr">
        <is>
          <t>2026-05-26</t>
        </is>
      </c>
      <c r="B1558" s="33" t="inlineStr">
        <is>
          <t>AMAT</t>
        </is>
      </c>
      <c r="C1558" s="33" t="inlineStr">
        <is>
          <t>R2</t>
        </is>
      </c>
      <c r="D1558" s="33" t="n">
        <v>3</v>
      </c>
      <c r="E1558" s="33" t="inlineStr">
        <is>
          <t>BIS $252.5M penalty fully resolved and paid; China revenue declining organically to 24%; export controls already baked into guidance</t>
        </is>
      </c>
      <c r="F1558" s="33" t="inlineStr">
        <is>
          <t>Q2 FY2026 earnings + BIS settlement disclosure</t>
        </is>
      </c>
      <c r="G1558" s="33" t="inlineStr">
        <is>
          <t>High</t>
        </is>
      </c>
      <c r="H1558" s="33" t="inlineStr">
        <is>
          <t>Update</t>
        </is>
      </c>
    </row>
    <row r="1559">
      <c r="A1559" s="33" t="inlineStr">
        <is>
          <t>2026-05-26</t>
        </is>
      </c>
      <c r="B1559" s="33" t="inlineStr">
        <is>
          <t>AMAT</t>
        </is>
      </c>
      <c r="C1559" s="33" t="inlineStr">
        <is>
          <t>R4</t>
        </is>
      </c>
      <c r="D1559" s="33" t="n">
        <v>4</v>
      </c>
      <c r="E1559" s="33" t="inlineStr">
        <is>
          <t>BIS investigation settled, penalty paid, matter closed; no active regulatory proceedings remaining</t>
        </is>
      </c>
      <c r="F1559" s="33" t="inlineStr">
        <is>
          <t>Q2 FY2026 8-K BIS settlement</t>
        </is>
      </c>
      <c r="G1559" s="33" t="inlineStr">
        <is>
          <t>High</t>
        </is>
      </c>
      <c r="H1559" s="33" t="inlineStr">
        <is>
          <t>Update</t>
        </is>
      </c>
    </row>
    <row r="1560">
      <c r="A1560" s="33" t="inlineStr">
        <is>
          <t>2026-05-26</t>
        </is>
      </c>
      <c r="B1560" s="33" t="inlineStr">
        <is>
          <t>META</t>
        </is>
      </c>
      <c r="C1560" s="33" t="inlineStr">
        <is>
          <t>D5</t>
        </is>
      </c>
      <c r="D1560" s="33" t="n">
        <v>5</v>
      </c>
      <c r="E1560" s="33" t="inlineStr">
        <is>
          <t>Methodology change: D5 reinterpreted for Layer 9 as "AI Infrastructure Commitment" — META spending $40B+/yr capex, $100B+ AMD GPU deal, multi-GW nuclear PPAs with VST; prior rating of 1 penalized for not selling cloud, missing that META is the largest AI infrastructure demand driver</t>
        </is>
      </c>
      <c r="F1560" s="33" t="inlineStr">
        <is>
          <t>Q1 2026 capex data + AMD/VST deal announcements</t>
        </is>
      </c>
      <c r="G1560" s="33" t="inlineStr">
        <is>
          <t>High</t>
        </is>
      </c>
      <c r="H1560" s="33" t="inlineStr">
        <is>
          <t>Update (methodology)</t>
        </is>
      </c>
    </row>
    <row r="1561">
      <c r="A1561" s="33" t="inlineStr">
        <is>
          <t>2026-05-27</t>
        </is>
      </c>
      <c r="B1561" s="33" t="inlineStr">
        <is>
          <t>AMBA</t>
        </is>
      </c>
      <c r="C1561" s="33" t="inlineStr">
        <is>
          <t>D1-AI Rev%</t>
        </is>
      </c>
      <c r="D1561" s="33" t="n">
        <v>5</v>
      </c>
      <c r="E1561" s="33" t="inlineStr">
        <is>
          <t>Edge AI SoCs = ~80% of FY2026 revenue</t>
        </is>
      </c>
      <c r="F1561" s="33" t="inlineStr">
        <is>
          <t>Q4 FY2026 earnings release</t>
        </is>
      </c>
      <c r="G1561" s="33" t="inlineStr">
        <is>
          <t>High</t>
        </is>
      </c>
      <c r="H1561" s="33" t="inlineStr">
        <is>
          <t>Initial</t>
        </is>
      </c>
    </row>
    <row r="1562">
      <c r="A1562" s="33" t="inlineStr">
        <is>
          <t>2026-05-27</t>
        </is>
      </c>
      <c r="B1562" s="33" t="inlineStr">
        <is>
          <t>AMBA</t>
        </is>
      </c>
      <c r="C1562" s="33" t="inlineStr">
        <is>
          <t>D2-Position</t>
        </is>
      </c>
      <c r="D1562" s="33" t="n">
        <v>3</v>
      </c>
      <c r="E1562" s="33" t="inlineStr">
        <is>
          <t>Mid-chain differentiated; 5+ competitors (QCOM, NVDA, TI, NXP, Mobileye)</t>
        </is>
      </c>
      <c r="F1562" s="33" t="inlineStr">
        <is>
          <t>10-K FY2026 risk factors</t>
        </is>
      </c>
      <c r="G1562" s="33" t="inlineStr">
        <is>
          <t>Medium</t>
        </is>
      </c>
      <c r="H1562" s="33" t="inlineStr">
        <is>
          <t>Initial</t>
        </is>
      </c>
    </row>
    <row r="1563">
      <c r="A1563" s="33" t="inlineStr">
        <is>
          <t>2026-05-27</t>
        </is>
      </c>
      <c r="B1563" s="33" t="inlineStr">
        <is>
          <t>AMBA</t>
        </is>
      </c>
      <c r="C1563" s="33" t="inlineStr">
        <is>
          <t>D3-Moat</t>
        </is>
      </c>
      <c r="D1563" s="33" t="n">
        <v>3</v>
      </c>
      <c r="E1563" s="33" t="inlineStr">
        <is>
          <t>CVflow power-efficiency advantage in edge vision, but narrow moat (cameras only), no pricing power demonstrated</t>
        </is>
      </c>
      <c r="F1563" s="33" t="inlineStr">
        <is>
          <t>Competitive analysis, 10-K FY2026</t>
        </is>
      </c>
      <c r="G1563" s="33" t="inlineStr">
        <is>
          <t>Medium</t>
        </is>
      </c>
      <c r="H1563" s="33" t="inlineStr">
        <is>
          <t>Initial</t>
        </is>
      </c>
    </row>
    <row r="1564">
      <c r="A1564" s="33" t="inlineStr">
        <is>
          <t>2026-05-27</t>
        </is>
      </c>
      <c r="B1564" s="33" t="inlineStr">
        <is>
          <t>AMBA</t>
        </is>
      </c>
      <c r="C1564" s="33" t="inlineStr">
        <is>
          <t>D4-Capacity</t>
        </is>
      </c>
      <c r="D1564" s="33" t="n">
        <v>3</v>
      </c>
      <c r="E1564" s="33" t="inlineStr">
        <is>
          <t>Fabless normal product cadence: CV7 launched, 2nm taped out, CV3-AD sampling</t>
        </is>
      </c>
      <c r="F1564" s="33" t="inlineStr">
        <is>
          <t>CES 2026, Q4 FY2026 earnings</t>
        </is>
      </c>
      <c r="G1564" s="33" t="inlineStr">
        <is>
          <t>High</t>
        </is>
      </c>
      <c r="H1564" s="33" t="inlineStr">
        <is>
          <t>Initial</t>
        </is>
      </c>
    </row>
    <row r="1565">
      <c r="A1565" s="33" t="inlineStr">
        <is>
          <t>2026-05-27</t>
        </is>
      </c>
      <c r="B1565" s="33" t="inlineStr">
        <is>
          <t>AMBA</t>
        </is>
      </c>
      <c r="C1565" s="33" t="inlineStr">
        <is>
          <t>D5-Hypersc</t>
        </is>
      </c>
      <c r="D1565" s="33" t="n">
        <v>1</v>
      </c>
      <c r="E1565" s="33" t="inlineStr">
        <is>
          <t>Zero hyperscaler revenue; edge AI play (cameras, automotive, robotics)</t>
        </is>
      </c>
      <c r="F1565" s="33" t="inlineStr">
        <is>
          <t>Revenue breakdown, 10-K</t>
        </is>
      </c>
      <c r="G1565" s="33" t="inlineStr">
        <is>
          <t>High</t>
        </is>
      </c>
      <c r="H1565" s="33" t="inlineStr">
        <is>
          <t>Initial</t>
        </is>
      </c>
    </row>
    <row r="1566">
      <c r="A1566" s="33" t="inlineStr">
        <is>
          <t>2026-05-27</t>
        </is>
      </c>
      <c r="B1566" s="33" t="inlineStr">
        <is>
          <t>AMBA</t>
        </is>
      </c>
      <c r="C1566" s="33" t="inlineStr">
        <is>
          <t>M1-EPSRev</t>
        </is>
      </c>
      <c r="D1566" s="33" t="n">
        <v>3</v>
      </c>
      <c r="E1566" s="33" t="inlineStr">
        <is>
          <t>Stable pre-Q1 FY2027 earnings (reporting May 28). FY2027 guidance 10-15% = deceleration.</t>
        </is>
      </c>
      <c r="F1566" s="33" t="inlineStr">
        <is>
          <t>Consensus estimates</t>
        </is>
      </c>
      <c r="G1566" s="33" t="inlineStr">
        <is>
          <t>Medium</t>
        </is>
      </c>
      <c r="H1566" s="33" t="inlineStr">
        <is>
          <t>Initial</t>
        </is>
      </c>
    </row>
    <row r="1567">
      <c r="A1567" s="33" t="inlineStr">
        <is>
          <t>2026-05-27</t>
        </is>
      </c>
      <c r="B1567" s="33" t="inlineStr">
        <is>
          <t>AMBA</t>
        </is>
      </c>
      <c r="C1567" s="33" t="inlineStr">
        <is>
          <t>M2-RelStr</t>
        </is>
      </c>
      <c r="D1567" s="33" t="n">
        <v>4</v>
      </c>
      <c r="E1567" s="33" t="inlineStr">
        <is>
          <t>Stock ~$93.52 above consensus PT $87.92, recovered from ITC dip</t>
        </is>
      </c>
      <c r="F1567" s="33" t="inlineStr">
        <is>
          <t>Price data, analyst PTs</t>
        </is>
      </c>
      <c r="G1567" s="33" t="inlineStr">
        <is>
          <t>Low</t>
        </is>
      </c>
      <c r="H1567" s="33" t="inlineStr">
        <is>
          <t>Initial</t>
        </is>
      </c>
    </row>
    <row r="1568">
      <c r="A1568" s="33" t="inlineStr">
        <is>
          <t>2026-05-27</t>
        </is>
      </c>
      <c r="B1568" s="33" t="inlineStr">
        <is>
          <t>AMBA</t>
        </is>
      </c>
      <c r="C1568" s="33" t="inlineStr">
        <is>
          <t>M3-Insider</t>
        </is>
      </c>
      <c r="D1568" s="33" t="n">
        <v>3</v>
      </c>
      <c r="E1568" s="33" t="inlineStr">
        <is>
          <t>Routine; no notable buying or selling flagged</t>
        </is>
      </c>
      <c r="F1568" s="33" t="inlineStr">
        <is>
          <t>General (no specific Form 4 review)</t>
        </is>
      </c>
      <c r="G1568" s="33" t="inlineStr">
        <is>
          <t>Medium</t>
        </is>
      </c>
      <c r="H1568" s="33" t="inlineStr">
        <is>
          <t>Initial</t>
        </is>
      </c>
    </row>
    <row r="1569">
      <c r="A1569" s="33" t="inlineStr">
        <is>
          <t>2026-05-27</t>
        </is>
      </c>
      <c r="B1569" s="33" t="inlineStr">
        <is>
          <t>AMBA</t>
        </is>
      </c>
      <c r="C1569" s="33" t="inlineStr">
        <is>
          <t>R1-CustConc</t>
        </is>
      </c>
      <c r="D1569" s="33" t="n">
        <v>1</v>
      </c>
      <c r="E1569" s="33" t="inlineStr">
        <is>
          <t>WT Microelectronics = ~70% of revenue (channel, not end-customer, but still extreme)</t>
        </is>
      </c>
      <c r="F1569" s="33" t="inlineStr">
        <is>
          <t>10-K FY2026</t>
        </is>
      </c>
      <c r="G1569" s="33" t="inlineStr">
        <is>
          <t>High</t>
        </is>
      </c>
      <c r="H1569" s="33" t="inlineStr">
        <is>
          <t>Initial</t>
        </is>
      </c>
    </row>
    <row r="1570">
      <c r="A1570" s="33" t="inlineStr">
        <is>
          <t>2026-05-27</t>
        </is>
      </c>
      <c r="B1570" s="33" t="inlineStr">
        <is>
          <t>AMBA</t>
        </is>
      </c>
      <c r="C1570" s="33" t="inlineStr">
        <is>
          <t>R2-GeoRisk</t>
        </is>
      </c>
      <c r="D1570" s="33" t="n">
        <v>2</v>
      </c>
      <c r="E1570" s="33" t="inlineStr">
        <is>
          <t>Asia = 88% of revenue, China-adjacent. Benefits from HiSilicon restrictions but exposed to policy shifts.</t>
        </is>
      </c>
      <c r="F1570" s="33" t="inlineStr">
        <is>
          <t>10-K FY2026 geographic breakdown</t>
        </is>
      </c>
      <c r="G1570" s="33" t="inlineStr">
        <is>
          <t>Medium</t>
        </is>
      </c>
      <c r="H1570" s="33" t="inlineStr">
        <is>
          <t>Initial</t>
        </is>
      </c>
    </row>
    <row r="1571">
      <c r="A1571" s="33" t="inlineStr">
        <is>
          <t>2026-05-27</t>
        </is>
      </c>
      <c r="B1571" s="33" t="inlineStr">
        <is>
          <t>AMBA</t>
        </is>
      </c>
      <c r="C1571" s="33" t="inlineStr">
        <is>
          <t>R3-BSRisk</t>
        </is>
      </c>
      <c r="D1571" s="33" t="n">
        <v>4</v>
      </c>
      <c r="E1571" s="33" t="inlineStr">
        <is>
          <t>$312.6M cash, zero debt. But SBC $98M (25% rev) vs FCF $58M = weak GAAP profitability.</t>
        </is>
      </c>
      <c r="F1571" s="33" t="inlineStr">
        <is>
          <t>Q4 FY2026 balance sheet</t>
        </is>
      </c>
      <c r="G1571" s="33" t="inlineStr">
        <is>
          <t>High</t>
        </is>
      </c>
      <c r="H1571" s="33" t="inlineStr">
        <is>
          <t>Initial</t>
        </is>
      </c>
    </row>
    <row r="1572">
      <c r="A1572" s="33" t="inlineStr">
        <is>
          <t>2026-05-27</t>
        </is>
      </c>
      <c r="B1572" s="33" t="inlineStr">
        <is>
          <t>AMBA</t>
        </is>
      </c>
      <c r="C1572" s="33" t="inlineStr">
        <is>
          <t>R4-RegRisk</t>
        </is>
      </c>
      <c r="D1572" s="33" t="n">
        <v>3</v>
      </c>
      <c r="E1572" s="33" t="inlineStr">
        <is>
          <t>GoPro/Insta360 ITC ruling active but manageable per Oppenheimer analysis</t>
        </is>
      </c>
      <c r="F1572" s="33" t="inlineStr">
        <is>
          <t>ITC ruling, analyst commentary</t>
        </is>
      </c>
      <c r="G1572" s="33" t="inlineStr">
        <is>
          <t>Medium</t>
        </is>
      </c>
      <c r="H1572" s="33" t="inlineStr">
        <is>
          <t>Initial</t>
        </is>
      </c>
    </row>
    <row r="1573">
      <c r="A1573" s="33" t="inlineStr">
        <is>
          <t>2026-05-27</t>
        </is>
      </c>
      <c r="B1573" s="33" t="inlineStr">
        <is>
          <t>CEVA</t>
        </is>
      </c>
      <c r="C1573" s="33" t="inlineStr">
        <is>
          <t>D1-AI Rev%</t>
        </is>
      </c>
      <c r="D1573" s="33" t="n">
        <v>2</v>
      </c>
      <c r="E1573" s="33" t="inlineStr">
        <is>
          <t>AI &gt;20% of licensing (~$13M), but &lt;10% of total revenue incl royalties. Royalty payoff 2-4yr lag.</t>
        </is>
      </c>
      <c r="F1573" s="33" t="inlineStr">
        <is>
          <t>Q1 2026 earnings, FY2025 press release</t>
        </is>
      </c>
      <c r="G1573" s="33" t="inlineStr">
        <is>
          <t>Medium</t>
        </is>
      </c>
      <c r="H1573" s="33" t="inlineStr">
        <is>
          <t>Initial</t>
        </is>
      </c>
    </row>
    <row r="1574">
      <c r="A1574" s="33" t="inlineStr">
        <is>
          <t>2026-05-27</t>
        </is>
      </c>
      <c r="B1574" s="33" t="inlineStr">
        <is>
          <t>CEVA</t>
        </is>
      </c>
      <c r="C1574" s="33" t="inlineStr">
        <is>
          <t>D2-Position</t>
        </is>
      </c>
      <c r="D1574" s="33" t="n">
        <v>3</v>
      </c>
      <c r="E1574" s="33" t="inlineStr">
        <is>
          <t>Mid-chain differentiated: wireless+AI IP intersection unique, but tiny vs Arm ($3.5B rev)</t>
        </is>
      </c>
      <c r="F1574" s="33" t="inlineStr">
        <is>
          <t>CEVA website, competitive analysis</t>
        </is>
      </c>
      <c r="G1574" s="33" t="inlineStr">
        <is>
          <t>High</t>
        </is>
      </c>
      <c r="H1574" s="33" t="inlineStr">
        <is>
          <t>Initial</t>
        </is>
      </c>
    </row>
    <row r="1575">
      <c r="A1575" s="33" t="inlineStr">
        <is>
          <t>2026-05-27</t>
        </is>
      </c>
      <c r="B1575" s="33" t="inlineStr">
        <is>
          <t>CEVA</t>
        </is>
      </c>
      <c r="C1575" s="33" t="inlineStr">
        <is>
          <t>D3-Moat</t>
        </is>
      </c>
      <c r="D1575" s="33" t="n">
        <v>3</v>
      </c>
      <c r="E1575" s="33" t="inlineStr">
        <is>
          <t>35% BT IoT share, growing AI NPU portfolio, but vulnerable to Arm bundling CPU+NPU</t>
        </is>
      </c>
      <c r="F1575" s="33" t="inlineStr">
        <is>
          <t>Market share data, competitive dynamics</t>
        </is>
      </c>
      <c r="G1575" s="33" t="inlineStr">
        <is>
          <t>Medium</t>
        </is>
      </c>
      <c r="H1575" s="33" t="inlineStr">
        <is>
          <t>Initial</t>
        </is>
      </c>
    </row>
    <row r="1576">
      <c r="A1576" s="33" t="inlineStr">
        <is>
          <t>2026-05-27</t>
        </is>
      </c>
      <c r="B1576" s="33" t="inlineStr">
        <is>
          <t>CEVA</t>
        </is>
      </c>
      <c r="C1576" s="33" t="inlineStr">
        <is>
          <t>D4-Capacity</t>
        </is>
      </c>
      <c r="D1576" s="33" t="n">
        <v>3</v>
      </c>
      <c r="E1576" s="33" t="inlineStr">
        <is>
          <t>Asset-light IP model, steady-state product development. No capex buildout.</t>
        </is>
      </c>
      <c r="F1576" s="33" t="inlineStr">
        <is>
          <t>Business model</t>
        </is>
      </c>
      <c r="G1576" s="33" t="inlineStr">
        <is>
          <t>High</t>
        </is>
      </c>
      <c r="H1576" s="33" t="inlineStr">
        <is>
          <t>Initial</t>
        </is>
      </c>
    </row>
    <row r="1577">
      <c r="A1577" s="33" t="inlineStr">
        <is>
          <t>2026-05-27</t>
        </is>
      </c>
      <c r="B1577" s="33" t="inlineStr">
        <is>
          <t>CEVA</t>
        </is>
      </c>
      <c r="C1577" s="33" t="inlineStr">
        <is>
          <t>D5-Hypersc</t>
        </is>
      </c>
      <c r="D1577" s="33" t="n">
        <v>1</v>
      </c>
      <c r="E1577" s="33" t="inlineStr">
        <is>
          <t>No hyperscaler exposure; edge/IoT focused (BT earbuds, WiFi, automotive sensors)</t>
        </is>
      </c>
      <c r="F1577" s="33" t="inlineStr">
        <is>
          <t>Revenue breakdown</t>
        </is>
      </c>
      <c r="G1577" s="33" t="inlineStr">
        <is>
          <t>High</t>
        </is>
      </c>
      <c r="H1577" s="33" t="inlineStr">
        <is>
          <t>Initial</t>
        </is>
      </c>
    </row>
    <row r="1578">
      <c r="A1578" s="33" t="inlineStr">
        <is>
          <t>2026-05-27</t>
        </is>
      </c>
      <c r="B1578" s="33" t="inlineStr">
        <is>
          <t>CEVA</t>
        </is>
      </c>
      <c r="C1578" s="33" t="inlineStr">
        <is>
          <t>M1-EPSRev</t>
        </is>
      </c>
      <c r="D1578" s="33" t="n">
        <v>4</v>
      </c>
      <c r="E1578" s="33" t="inlineStr">
        <is>
          <t>Guided top end of 8-12% rev growth, non-GAAP profit growth 40-50%. Net positive.</t>
        </is>
      </c>
      <c r="F1578" s="33" t="inlineStr">
        <is>
          <t>Q1 2026 guidance</t>
        </is>
      </c>
      <c r="G1578" s="33" t="inlineStr">
        <is>
          <t>Medium</t>
        </is>
      </c>
      <c r="H1578" s="33" t="inlineStr">
        <is>
          <t>Initial</t>
        </is>
      </c>
    </row>
    <row r="1579">
      <c r="A1579" s="33" t="inlineStr">
        <is>
          <t>2026-05-27</t>
        </is>
      </c>
      <c r="B1579" s="33" t="inlineStr">
        <is>
          <t>CEVA</t>
        </is>
      </c>
      <c r="C1579" s="33" t="inlineStr">
        <is>
          <t>M2-RelStr</t>
        </is>
      </c>
      <c r="D1579" s="33" t="n">
        <v>3</v>
      </c>
      <c r="E1579" s="33" t="inlineStr">
        <is>
          <t>Stock ~$40.55, roughly in line with semi sector over 3-6 months</t>
        </is>
      </c>
      <c r="F1579" s="33" t="inlineStr">
        <is>
          <t>Price data</t>
        </is>
      </c>
      <c r="G1579" s="33" t="inlineStr">
        <is>
          <t>Low</t>
        </is>
      </c>
      <c r="H1579" s="33" t="inlineStr">
        <is>
          <t>Initial</t>
        </is>
      </c>
    </row>
    <row r="1580">
      <c r="A1580" s="33" t="inlineStr">
        <is>
          <t>2026-05-27</t>
        </is>
      </c>
      <c r="B1580" s="33" t="inlineStr">
        <is>
          <t>CEVA</t>
        </is>
      </c>
      <c r="C1580" s="33" t="inlineStr">
        <is>
          <t>M3-Insider</t>
        </is>
      </c>
      <c r="D1580" s="33" t="n">
        <v>3</v>
      </c>
      <c r="E1580" s="33" t="inlineStr">
        <is>
          <t>No notable insider activity flagged in context</t>
        </is>
      </c>
      <c r="F1580" s="33" t="inlineStr">
        <is>
          <t>General</t>
        </is>
      </c>
      <c r="G1580" s="33" t="inlineStr">
        <is>
          <t>Low</t>
        </is>
      </c>
      <c r="H1580" s="33" t="inlineStr">
        <is>
          <t>Initial</t>
        </is>
      </c>
    </row>
    <row r="1581">
      <c r="A1581" s="33" t="inlineStr">
        <is>
          <t>2026-05-27</t>
        </is>
      </c>
      <c r="B1581" s="33" t="inlineStr">
        <is>
          <t>CEVA</t>
        </is>
      </c>
      <c r="C1581" s="33" t="inlineStr">
        <is>
          <t>R1-CustConc</t>
        </is>
      </c>
      <c r="D1581" s="33" t="n">
        <v>3</v>
      </c>
      <c r="E1581" s="33" t="inlineStr">
        <is>
          <t>Top customer 24%, top 3 = 48%. Fits mid-range.</t>
        </is>
      </c>
      <c r="F1581" s="33" t="inlineStr">
        <is>
          <t>10-Q Q1 2026</t>
        </is>
      </c>
      <c r="G1581" s="33" t="inlineStr">
        <is>
          <t>High</t>
        </is>
      </c>
      <c r="H1581" s="33" t="inlineStr">
        <is>
          <t>Initial</t>
        </is>
      </c>
    </row>
    <row r="1582">
      <c r="A1582" s="33" t="inlineStr">
        <is>
          <t>2026-05-27</t>
        </is>
      </c>
      <c r="B1582" s="33" t="inlineStr">
        <is>
          <t>CEVA</t>
        </is>
      </c>
      <c r="C1582" s="33" t="inlineStr">
        <is>
          <t>R2-GeoRisk</t>
        </is>
      </c>
      <c r="D1582" s="33" t="n">
        <v>3</v>
      </c>
      <c r="E1582" s="33" t="inlineStr">
        <is>
          <t>Global customer base likely includes China (MediaTek, UNISOC). Not disclosed specifically.</t>
        </is>
      </c>
      <c r="F1582" s="33" t="inlineStr">
        <is>
          <t>10-Q, licensee list</t>
        </is>
      </c>
      <c r="G1582" s="33" t="inlineStr">
        <is>
          <t>Medium</t>
        </is>
      </c>
      <c r="H1582" s="33" t="inlineStr">
        <is>
          <t>Initial</t>
        </is>
      </c>
    </row>
    <row r="1583">
      <c r="A1583" s="33" t="inlineStr">
        <is>
          <t>2026-05-27</t>
        </is>
      </c>
      <c r="B1583" s="33" t="inlineStr">
        <is>
          <t>CEVA</t>
        </is>
      </c>
      <c r="C1583" s="33" t="inlineStr">
        <is>
          <t>R3-BSRisk</t>
        </is>
      </c>
      <c r="D1583" s="33" t="n">
        <v>4</v>
      </c>
      <c r="E1583" s="33" t="inlineStr">
        <is>
          <t>$215.7M liquid assets, zero debt. FCF weak but balance sheet is fortress.</t>
        </is>
      </c>
      <c r="F1583" s="33" t="inlineStr">
        <is>
          <t>Q1 2026 balance sheet</t>
        </is>
      </c>
      <c r="G1583" s="33" t="inlineStr">
        <is>
          <t>High</t>
        </is>
      </c>
      <c r="H1583" s="33" t="inlineStr">
        <is>
          <t>Initial</t>
        </is>
      </c>
    </row>
    <row r="1584">
      <c r="A1584" s="33" t="inlineStr">
        <is>
          <t>2026-05-27</t>
        </is>
      </c>
      <c r="B1584" s="33" t="inlineStr">
        <is>
          <t>CEVA</t>
        </is>
      </c>
      <c r="C1584" s="33" t="inlineStr">
        <is>
          <t>R4-RegRisk</t>
        </is>
      </c>
      <c r="D1584" s="33" t="n">
        <v>4</v>
      </c>
      <c r="E1584" s="33" t="inlineStr">
        <is>
          <t>No material litigation or regulatory issues identified</t>
        </is>
      </c>
      <c r="F1584" s="33" t="inlineStr">
        <is>
          <t>General</t>
        </is>
      </c>
      <c r="G1584" s="33" t="inlineStr">
        <is>
          <t>Medium</t>
        </is>
      </c>
      <c r="H1584" s="33" t="inlineStr">
        <is>
          <t>Initial</t>
        </is>
      </c>
    </row>
    <row r="1585">
      <c r="A1585" s="33" t="inlineStr">
        <is>
          <t>2026-05-27</t>
        </is>
      </c>
      <c r="B1585" s="33" t="inlineStr">
        <is>
          <t>AIP</t>
        </is>
      </c>
      <c r="C1585" s="33" t="inlineStr">
        <is>
          <t>D1-AI Rev%</t>
        </is>
      </c>
      <c r="D1585" s="33" t="n">
        <v>3</v>
      </c>
      <c r="E1585" s="33" t="inlineStr">
        <is>
          <t>Enterprise computing now largest licensing vertical; AMD FlexGen win, Whalechip data center. ~20-30% of licensing AI-tied.</t>
        </is>
      </c>
      <c r="F1585" s="33" t="inlineStr">
        <is>
          <t>Q1 2026 earnings, AMD FlexGen PR</t>
        </is>
      </c>
      <c r="G1585" s="33" t="inlineStr">
        <is>
          <t>Medium</t>
        </is>
      </c>
      <c r="H1585" s="33" t="inlineStr">
        <is>
          <t>Initial</t>
        </is>
      </c>
    </row>
    <row r="1586">
      <c r="A1586" s="33" t="inlineStr">
        <is>
          <t>2026-05-27</t>
        </is>
      </c>
      <c r="B1586" s="33" t="inlineStr">
        <is>
          <t>AIP</t>
        </is>
      </c>
      <c r="C1586" s="33" t="inlineStr">
        <is>
          <t>D2-Position</t>
        </is>
      </c>
      <c r="D1586" s="33" t="n">
        <v>3</v>
      </c>
      <c r="E1586" s="33" t="inlineStr">
        <is>
          <t>NoC IP necessary but not bottleneck; Arm AMBA/CHI competes. Neutral-party advantage.</t>
        </is>
      </c>
      <c r="F1586" s="33" t="inlineStr">
        <is>
          <t>Product positioning, competitive analysis</t>
        </is>
      </c>
      <c r="G1586" s="33" t="inlineStr">
        <is>
          <t>Medium</t>
        </is>
      </c>
      <c r="H1586" s="33" t="inlineStr">
        <is>
          <t>Initial</t>
        </is>
      </c>
    </row>
    <row r="1587">
      <c r="A1587" s="33" t="inlineStr">
        <is>
          <t>2026-05-27</t>
        </is>
      </c>
      <c r="B1587" s="33" t="inlineStr">
        <is>
          <t>AIP</t>
        </is>
      </c>
      <c r="C1587" s="33" t="inlineStr">
        <is>
          <t>D3-Moat</t>
        </is>
      </c>
      <c r="D1587" s="33" t="n">
        <v>3</v>
      </c>
      <c r="E1587" s="33" t="inlineStr">
        <is>
          <t>4B+ chips shipped, FlexGen product differentiation, but Arm bundling risk is real</t>
        </is>
      </c>
      <c r="F1587" s="33" t="inlineStr">
        <is>
          <t>Arteris website, competitive dynamics</t>
        </is>
      </c>
      <c r="G1587" s="33" t="inlineStr">
        <is>
          <t>Medium</t>
        </is>
      </c>
      <c r="H1587" s="33" t="inlineStr">
        <is>
          <t>Initial</t>
        </is>
      </c>
    </row>
    <row r="1588">
      <c r="A1588" s="33" t="inlineStr">
        <is>
          <t>2026-05-27</t>
        </is>
      </c>
      <c r="B1588" s="33" t="inlineStr">
        <is>
          <t>AIP</t>
        </is>
      </c>
      <c r="C1588" s="33" t="inlineStr">
        <is>
          <t>D4-Capacity</t>
        </is>
      </c>
      <c r="D1588" s="33" t="n">
        <v>4</v>
      </c>
      <c r="E1588" s="33" t="inlineStr">
        <is>
          <t>Active expansion: Cycuity acquisition, FlexGen launch, enterprise vertical surging, royalties inflecting (+114% YoY)</t>
        </is>
      </c>
      <c r="F1588" s="33" t="inlineStr">
        <is>
          <t>Q1 2026 earnings, Cycuity acquisition</t>
        </is>
      </c>
      <c r="G1588" s="33" t="inlineStr">
        <is>
          <t>High</t>
        </is>
      </c>
      <c r="H1588" s="33" t="inlineStr">
        <is>
          <t>Initial</t>
        </is>
      </c>
    </row>
    <row r="1589">
      <c r="A1589" s="33" t="inlineStr">
        <is>
          <t>2026-05-27</t>
        </is>
      </c>
      <c r="B1589" s="33" t="inlineStr">
        <is>
          <t>AIP</t>
        </is>
      </c>
      <c r="C1589" s="33" t="inlineStr">
        <is>
          <t>D5-Hypersc</t>
        </is>
      </c>
      <c r="D1589" s="33" t="n">
        <v>2</v>
      </c>
      <c r="E1589" s="33" t="inlineStr">
        <is>
          <t>Indirect: AMD uses FlexGen for AI chiplets; Whalechip is data center. Not direct hyperscaler revenue.</t>
        </is>
      </c>
      <c r="F1589" s="33" t="inlineStr">
        <is>
          <t>Design win disclosures</t>
        </is>
      </c>
      <c r="G1589" s="33" t="inlineStr">
        <is>
          <t>Medium</t>
        </is>
      </c>
      <c r="H1589" s="33" t="inlineStr">
        <is>
          <t>Initial</t>
        </is>
      </c>
    </row>
    <row r="1590">
      <c r="A1590" s="33" t="inlineStr">
        <is>
          <t>2026-05-27</t>
        </is>
      </c>
      <c r="B1590" s="33" t="inlineStr">
        <is>
          <t>AIP</t>
        </is>
      </c>
      <c r="C1590" s="33" t="inlineStr">
        <is>
          <t>M1-EPSRev</t>
        </is>
      </c>
      <c r="D1590" s="33" t="n">
        <v>5</v>
      </c>
      <c r="E1590" s="33" t="inlineStr">
        <is>
          <t>Beat Q1, raised FY2026 guidance ($89-93M→$91-95M), stock +13.2% on earnings day</t>
        </is>
      </c>
      <c r="F1590" s="33" t="inlineStr">
        <is>
          <t>Q1 2026 earnings, guidance revision</t>
        </is>
      </c>
      <c r="G1590" s="33" t="inlineStr">
        <is>
          <t>High</t>
        </is>
      </c>
      <c r="H1590" s="33" t="inlineStr">
        <is>
          <t>Initial</t>
        </is>
      </c>
    </row>
    <row r="1591">
      <c r="A1591" s="33" t="inlineStr">
        <is>
          <t>2026-05-27</t>
        </is>
      </c>
      <c r="B1591" s="33" t="inlineStr">
        <is>
          <t>AIP</t>
        </is>
      </c>
      <c r="C1591" s="33" t="inlineStr">
        <is>
          <t>M2-RelStr</t>
        </is>
      </c>
      <c r="D1591" s="33" t="n">
        <v>5</v>
      </c>
      <c r="E1591" s="33" t="inlineStr">
        <is>
          <t>Stock from $7.14→$38.50 (5x in 1yr). Massively outperforming SOXX.</t>
        </is>
      </c>
      <c r="F1591" s="33" t="inlineStr">
        <is>
          <t>Price data, 52-week range</t>
        </is>
      </c>
      <c r="G1591" s="33" t="inlineStr">
        <is>
          <t>High</t>
        </is>
      </c>
      <c r="H1591" s="33" t="inlineStr">
        <is>
          <t>Initial</t>
        </is>
      </c>
    </row>
    <row r="1592">
      <c r="A1592" s="33" t="inlineStr">
        <is>
          <t>2026-05-27</t>
        </is>
      </c>
      <c r="B1592" s="33" t="inlineStr">
        <is>
          <t>AIP</t>
        </is>
      </c>
      <c r="C1592" s="33" t="inlineStr">
        <is>
          <t>M3-Insider</t>
        </is>
      </c>
      <c r="D1592" s="33" t="n">
        <v>3</v>
      </c>
      <c r="E1592" s="33" t="inlineStr">
        <is>
          <t>CFO retiring Aug 2026. No insider buying signal. Default routine.</t>
        </is>
      </c>
      <c r="F1592" s="33" t="inlineStr">
        <is>
          <t>CFO departure announcement</t>
        </is>
      </c>
      <c r="G1592" s="33" t="inlineStr">
        <is>
          <t>Low</t>
        </is>
      </c>
      <c r="H1592" s="33" t="inlineStr">
        <is>
          <t>Initial</t>
        </is>
      </c>
    </row>
    <row r="1593">
      <c r="A1593" s="33" t="inlineStr">
        <is>
          <t>2026-05-27</t>
        </is>
      </c>
      <c r="B1593" s="33" t="inlineStr">
        <is>
          <t>AIP</t>
        </is>
      </c>
      <c r="C1593" s="33" t="inlineStr">
        <is>
          <t>R1-CustConc</t>
        </is>
      </c>
      <c r="D1593" s="33" t="n">
        <v>4</v>
      </c>
      <c r="E1593" s="33" t="inlineStr">
        <is>
          <t>200+ customers, no single customer disclosed &gt;15% of revenue. RPO diversified.</t>
        </is>
      </c>
      <c r="F1593" s="33" t="inlineStr">
        <is>
          <t>Company disclosures, Q1 2026 earnings</t>
        </is>
      </c>
      <c r="G1593" s="33" t="inlineStr">
        <is>
          <t>Medium</t>
        </is>
      </c>
      <c r="H1593" s="33" t="inlineStr">
        <is>
          <t>Initial</t>
        </is>
      </c>
    </row>
    <row r="1594">
      <c r="A1594" s="33" t="inlineStr">
        <is>
          <t>2026-05-27</t>
        </is>
      </c>
      <c r="B1594" s="33" t="inlineStr">
        <is>
          <t>AIP</t>
        </is>
      </c>
      <c r="C1594" s="33" t="inlineStr">
        <is>
          <t>R2-GeoRisk</t>
        </is>
      </c>
      <c r="D1594" s="33" t="n">
        <v>4</v>
      </c>
      <c r="E1594" s="33" t="inlineStr">
        <is>
          <t>US-headquartered, global IP licensing. No specific China concentration disclosed.</t>
        </is>
      </c>
      <c r="F1594" s="33" t="inlineStr">
        <is>
          <t>Company profile</t>
        </is>
      </c>
      <c r="G1594" s="33" t="inlineStr">
        <is>
          <t>Medium</t>
        </is>
      </c>
      <c r="H1594" s="33" t="inlineStr">
        <is>
          <t>Initial</t>
        </is>
      </c>
    </row>
    <row r="1595">
      <c r="A1595" s="33" t="inlineStr">
        <is>
          <t>2026-05-27</t>
        </is>
      </c>
      <c r="B1595" s="33" t="inlineStr">
        <is>
          <t>AIP</t>
        </is>
      </c>
      <c r="C1595" s="33" t="inlineStr">
        <is>
          <t>R3-BSRisk</t>
        </is>
      </c>
      <c r="D1595" s="33" t="n">
        <v>4</v>
      </c>
      <c r="E1595" s="33" t="inlineStr">
        <is>
          <t>$41.9M cash, zero financial debt. FCF guided positive $5-9M FY2026. Pre-profit but no leverage.</t>
        </is>
      </c>
      <c r="F1595" s="33" t="inlineStr">
        <is>
          <t>Q1 2026 balance sheet, guidance</t>
        </is>
      </c>
      <c r="G1595" s="33" t="inlineStr">
        <is>
          <t>High</t>
        </is>
      </c>
      <c r="H1595" s="33" t="inlineStr">
        <is>
          <t>Initial</t>
        </is>
      </c>
    </row>
    <row r="1596">
      <c r="A1596" s="33" t="inlineStr">
        <is>
          <t>2026-05-27</t>
        </is>
      </c>
      <c r="B1596" s="33" t="inlineStr">
        <is>
          <t>AIP</t>
        </is>
      </c>
      <c r="C1596" s="33" t="inlineStr">
        <is>
          <t>R4-RegRisk</t>
        </is>
      </c>
      <c r="D1596" s="33" t="n">
        <v>3</v>
      </c>
      <c r="E1596" s="33" t="inlineStr">
        <is>
          <t>CFO departure creates uncertainty. Cycuity integration risk. No litigation.</t>
        </is>
      </c>
      <c r="F1596" s="33" t="inlineStr">
        <is>
          <t>CFO retirement announcement</t>
        </is>
      </c>
      <c r="G1596" s="33" t="inlineStr">
        <is>
          <t>Medium</t>
        </is>
      </c>
      <c r="H1596" s="33" t="inlineStr">
        <is>
          <t>Initial</t>
        </is>
      </c>
    </row>
    <row r="1597">
      <c r="A1597" s="33" t="inlineStr">
        <is>
          <t>2026-05-27</t>
        </is>
      </c>
      <c r="B1597" s="33" t="inlineStr">
        <is>
          <t>KN</t>
        </is>
      </c>
      <c r="C1597" s="33" t="inlineStr">
        <is>
          <t>D1-AI Rev%</t>
        </is>
      </c>
      <c r="D1597" s="33" t="n">
        <v>1</v>
      </c>
      <c r="E1597" s="33" t="inlineStr">
        <is>
          <t>No AI revenue disclosed. Management did not mention AI on Q1 call.</t>
        </is>
      </c>
      <c r="F1597" s="33" t="inlineStr">
        <is>
          <t>Q1 2026 earnings call transcript</t>
        </is>
      </c>
      <c r="G1597" s="33" t="inlineStr">
        <is>
          <t>High</t>
        </is>
      </c>
      <c r="H1597" s="33" t="inlineStr">
        <is>
          <t>Initial</t>
        </is>
      </c>
    </row>
    <row r="1598">
      <c r="A1598" s="33" t="inlineStr">
        <is>
          <t>2026-05-27</t>
        </is>
      </c>
      <c r="B1598" s="33" t="inlineStr">
        <is>
          <t>KN</t>
        </is>
      </c>
      <c r="C1598" s="33" t="inlineStr">
        <is>
          <t>D2-Position</t>
        </is>
      </c>
      <c r="D1598" s="33" t="n">
        <v>2</v>
      </c>
      <c r="E1598" s="33" t="inlineStr">
        <is>
          <t>Capacitors mid-chain commoditized for AI; Murata/TDK/Samsung dominate AI server MLCCs</t>
        </is>
      </c>
      <c r="F1598" s="33" t="inlineStr">
        <is>
          <t>MLCC market share data</t>
        </is>
      </c>
      <c r="G1598" s="33" t="inlineStr">
        <is>
          <t>High</t>
        </is>
      </c>
      <c r="H1598" s="33" t="inlineStr">
        <is>
          <t>Initial</t>
        </is>
      </c>
    </row>
    <row r="1599">
      <c r="A1599" s="33" t="inlineStr">
        <is>
          <t>2026-05-27</t>
        </is>
      </c>
      <c r="B1599" s="33" t="inlineStr">
        <is>
          <t>KN</t>
        </is>
      </c>
      <c r="C1599" s="33" t="inlineStr">
        <is>
          <t>D3-Moat</t>
        </is>
      </c>
      <c r="D1599" s="33" t="n">
        <v>3</v>
      </c>
      <c r="E1599" s="33" t="inlineStr">
        <is>
          <t>Sole-source defense positions, hearing aid OEM lock-in, 2-4% pricing power. But domain-specific, not AI.</t>
        </is>
      </c>
      <c r="F1599" s="33" t="inlineStr">
        <is>
          <t>Q1 2026 call, segment analysis</t>
        </is>
      </c>
      <c r="G1599" s="33" t="inlineStr">
        <is>
          <t>Medium</t>
        </is>
      </c>
      <c r="H1599" s="33" t="inlineStr">
        <is>
          <t>Initial</t>
        </is>
      </c>
    </row>
    <row r="1600">
      <c r="A1600" s="33" t="inlineStr">
        <is>
          <t>2026-05-27</t>
        </is>
      </c>
      <c r="B1600" s="33" t="inlineStr">
        <is>
          <t>KN</t>
        </is>
      </c>
      <c r="C1600" s="33" t="inlineStr">
        <is>
          <t>D4-Capacity</t>
        </is>
      </c>
      <c r="D1600" s="33" t="n">
        <v>3</v>
      </c>
      <c r="E1600" s="33" t="inlineStr">
        <is>
          <t>$75M+ film order ramping within existing facilities. Steady-state.</t>
        </is>
      </c>
      <c r="F1600" s="33" t="inlineStr">
        <is>
          <t>Q1 2026 earnings</t>
        </is>
      </c>
      <c r="G1600" s="33" t="inlineStr">
        <is>
          <t>Medium</t>
        </is>
      </c>
      <c r="H1600" s="33" t="inlineStr">
        <is>
          <t>Initial</t>
        </is>
      </c>
    </row>
    <row r="1601">
      <c r="A1601" s="33" t="inlineStr">
        <is>
          <t>2026-05-27</t>
        </is>
      </c>
      <c r="B1601" s="33" t="inlineStr">
        <is>
          <t>KN</t>
        </is>
      </c>
      <c r="C1601" s="33" t="inlineStr">
        <is>
          <t>D5-Hypersc</t>
        </is>
      </c>
      <c r="D1601" s="33" t="n">
        <v>1</v>
      </c>
      <c r="E1601" s="33" t="inlineStr">
        <is>
          <t>Zero hyperscaler exposure. End markets: defense, medtech, industrial.</t>
        </is>
      </c>
      <c r="F1601" s="33" t="inlineStr">
        <is>
          <t>Revenue breakdown</t>
        </is>
      </c>
      <c r="G1601" s="33" t="inlineStr">
        <is>
          <t>High</t>
        </is>
      </c>
      <c r="H1601" s="33" t="inlineStr">
        <is>
          <t>Initial</t>
        </is>
      </c>
    </row>
    <row r="1602">
      <c r="A1602" s="33" t="inlineStr">
        <is>
          <t>2026-05-27</t>
        </is>
      </c>
      <c r="B1602" s="33" t="inlineStr">
        <is>
          <t>KN</t>
        </is>
      </c>
      <c r="C1602" s="33" t="inlineStr">
        <is>
          <t>M1-EPSRev</t>
        </is>
      </c>
      <c r="D1602" s="33" t="n">
        <v>4</v>
      </c>
      <c r="E1602" s="33" t="inlineStr">
        <is>
          <t>Strong Q1 beat (+23% EPS vs est), raised trajectory, 6th consecutive b2b &gt;1.0</t>
        </is>
      </c>
      <c r="F1602" s="33" t="inlineStr">
        <is>
          <t>Q1 2026 earnings</t>
        </is>
      </c>
      <c r="G1602" s="33" t="inlineStr">
        <is>
          <t>Medium</t>
        </is>
      </c>
      <c r="H1602" s="33" t="inlineStr">
        <is>
          <t>Initial</t>
        </is>
      </c>
    </row>
    <row r="1603">
      <c r="A1603" s="33" t="inlineStr">
        <is>
          <t>2026-05-27</t>
        </is>
      </c>
      <c r="B1603" s="33" t="inlineStr">
        <is>
          <t>KN</t>
        </is>
      </c>
      <c r="C1603" s="33" t="inlineStr">
        <is>
          <t>M2-RelStr</t>
        </is>
      </c>
      <c r="D1603" s="33" t="n">
        <v>5</v>
      </c>
      <c r="E1603" s="33" t="inlineStr">
        <is>
          <t>+130% in past year, massively outperforming XLI industrial benchmark</t>
        </is>
      </c>
      <c r="F1603" s="33" t="inlineStr">
        <is>
          <t>Price data</t>
        </is>
      </c>
      <c r="G1603" s="33" t="inlineStr">
        <is>
          <t>High</t>
        </is>
      </c>
      <c r="H1603" s="33" t="inlineStr">
        <is>
          <t>Initial</t>
        </is>
      </c>
    </row>
    <row r="1604">
      <c r="A1604" s="33" t="inlineStr">
        <is>
          <t>2026-05-27</t>
        </is>
      </c>
      <c r="B1604" s="33" t="inlineStr">
        <is>
          <t>KN</t>
        </is>
      </c>
      <c r="C1604" s="33" t="inlineStr">
        <is>
          <t>M3-Insider</t>
        </is>
      </c>
      <c r="D1604" s="33" t="n">
        <v>3</v>
      </c>
      <c r="E1604" s="33" t="inlineStr">
        <is>
          <t>No notable insider activity. Anchor Capital took new 5% position.</t>
        </is>
      </c>
      <c r="F1604" s="33" t="inlineStr">
        <is>
          <t>Anchor Capital filing</t>
        </is>
      </c>
      <c r="G1604" s="33" t="inlineStr">
        <is>
          <t>Low</t>
        </is>
      </c>
      <c r="H1604" s="33" t="inlineStr">
        <is>
          <t>Initial</t>
        </is>
      </c>
    </row>
    <row r="1605">
      <c r="A1605" s="33" t="inlineStr">
        <is>
          <t>2026-05-27</t>
        </is>
      </c>
      <c r="B1605" s="33" t="inlineStr">
        <is>
          <t>KN</t>
        </is>
      </c>
      <c r="C1605" s="33" t="inlineStr">
        <is>
          <t>R1-CustConc</t>
        </is>
      </c>
      <c r="D1605" s="33" t="n">
        <v>2</v>
      </c>
      <c r="E1605" s="33" t="inlineStr">
        <is>
          <t>MSA "very limited customer base" — hearing aid OEM duopoly likely 40-50%+ of total</t>
        </is>
      </c>
      <c r="F1605" s="33" t="inlineStr">
        <is>
          <t>Q1 2026 call, hearing aid market structure</t>
        </is>
      </c>
      <c r="G1605" s="33" t="inlineStr">
        <is>
          <t>Medium</t>
        </is>
      </c>
      <c r="H1605" s="33" t="inlineStr">
        <is>
          <t>Initial</t>
        </is>
      </c>
    </row>
    <row r="1606">
      <c r="A1606" s="33" t="inlineStr">
        <is>
          <t>2026-05-27</t>
        </is>
      </c>
      <c r="B1606" s="33" t="inlineStr">
        <is>
          <t>KN</t>
        </is>
      </c>
      <c r="C1606" s="33" t="inlineStr">
        <is>
          <t>R2-GeoRisk</t>
        </is>
      </c>
      <c r="D1606" s="33" t="n">
        <v>4</v>
      </c>
      <c r="E1606" s="33" t="inlineStr">
        <is>
          <t>US defense, US/European medtech. Minimal China exposure.</t>
        </is>
      </c>
      <c r="F1606" s="33" t="inlineStr">
        <is>
          <t>Segment analysis</t>
        </is>
      </c>
      <c r="G1606" s="33" t="inlineStr">
        <is>
          <t>Medium</t>
        </is>
      </c>
      <c r="H1606" s="33" t="inlineStr">
        <is>
          <t>Initial</t>
        </is>
      </c>
    </row>
    <row r="1607">
      <c r="A1607" s="33" t="inlineStr">
        <is>
          <t>2026-05-27</t>
        </is>
      </c>
      <c r="B1607" s="33" t="inlineStr">
        <is>
          <t>KN</t>
        </is>
      </c>
      <c r="C1607" s="33" t="inlineStr">
        <is>
          <t>R3-BSRisk</t>
        </is>
      </c>
      <c r="D1607" s="33" t="n">
        <v>4</v>
      </c>
      <c r="E1607" s="33" t="inlineStr">
        <is>
          <t>0.6x leverage, $310M+ liquidity, $114M FY2025 OCF</t>
        </is>
      </c>
      <c r="F1607" s="33" t="inlineStr">
        <is>
          <t>Q1 2026 balance sheet</t>
        </is>
      </c>
      <c r="G1607" s="33" t="inlineStr">
        <is>
          <t>High</t>
        </is>
      </c>
      <c r="H1607" s="33" t="inlineStr">
        <is>
          <t>Initial</t>
        </is>
      </c>
    </row>
    <row r="1608">
      <c r="A1608" s="33" t="inlineStr">
        <is>
          <t>2026-05-27</t>
        </is>
      </c>
      <c r="B1608" s="33" t="inlineStr">
        <is>
          <t>KN</t>
        </is>
      </c>
      <c r="C1608" s="33" t="inlineStr">
        <is>
          <t>R4-RegRisk</t>
        </is>
      </c>
      <c r="D1608" s="33" t="n">
        <v>4</v>
      </c>
      <c r="E1608" s="33" t="inlineStr">
        <is>
          <t>No material regulatory or litigation issues. ITAR/FDA routine for industry.</t>
        </is>
      </c>
      <c r="F1608" s="33" t="inlineStr">
        <is>
          <t>General regulatory environment</t>
        </is>
      </c>
      <c r="G1608" s="33" t="inlineStr">
        <is>
          <t>Medium</t>
        </is>
      </c>
      <c r="H1608" s="33" t="inlineStr">
        <is>
          <t>Initial</t>
        </is>
      </c>
    </row>
    <row r="1609">
      <c r="A1609" s="33" t="inlineStr">
        <is>
          <t>2026-05-27</t>
        </is>
      </c>
      <c r="B1609" s="33" t="inlineStr">
        <is>
          <t>CEVA</t>
        </is>
      </c>
      <c r="C1609" s="33" t="inlineStr">
        <is>
          <t>D1-AI Rev%</t>
        </is>
      </c>
      <c r="D1609" s="33" t="n">
        <v>3</v>
      </c>
      <c r="E1609" s="33" t="inlineStr">
        <is>
          <t>AI &gt;20% of licensing (~$13M), ~13-15% of total revenue. 10-25% band.</t>
        </is>
      </c>
      <c r="F1609" s="33" t="inlineStr">
        <is>
          <t>Q1 2026 earnings, licensing breakdown</t>
        </is>
      </c>
      <c r="G1609" s="33" t="inlineStr">
        <is>
          <t>Medium</t>
        </is>
      </c>
      <c r="H1609" s="33" t="inlineStr">
        <is>
          <t>Update</t>
        </is>
      </c>
    </row>
    <row r="1610">
      <c r="A1610" s="33" t="inlineStr">
        <is>
          <t>2026-05-27</t>
        </is>
      </c>
      <c r="B1610" s="33" t="inlineStr">
        <is>
          <t>CEVA</t>
        </is>
      </c>
      <c r="C1610" s="33" t="inlineStr">
        <is>
          <t>M1-EPSRev</t>
        </is>
      </c>
      <c r="D1610" s="33" t="n">
        <v>2</v>
      </c>
      <c r="E1610" s="33" t="inlineStr">
        <is>
          <t>0 upward, 3 downward EPS revisions per Yahoo Finance Analysis tab. Net negative.</t>
        </is>
      </c>
      <c r="F1610" s="33" t="inlineStr">
        <is>
          <t>Yahoo Finance Analysis tab</t>
        </is>
      </c>
      <c r="G1610" s="33" t="inlineStr">
        <is>
          <t>Medium</t>
        </is>
      </c>
      <c r="H1610" s="33" t="inlineStr">
        <is>
          <t>Update</t>
        </is>
      </c>
    </row>
    <row r="1611">
      <c r="A1611" s="33" t="inlineStr">
        <is>
          <t>2026-05-27</t>
        </is>
      </c>
      <c r="B1611" s="33" t="inlineStr">
        <is>
          <t>CEVA</t>
        </is>
      </c>
      <c r="C1611" s="33" t="inlineStr">
        <is>
          <t>M3-Insider</t>
        </is>
      </c>
      <c r="D1611" s="33" t="n">
        <v>4</v>
      </c>
      <c r="E1611" s="33" t="inlineStr">
        <is>
          <t>CEO Panush, CFO Arieli, Director Liu all bought in Feb 2026 at ~$19. $174K combined. COO/CCO sold in May at $36-37 (post-rally diversification).</t>
        </is>
      </c>
      <c r="F1611" s="33" t="inlineStr">
        <is>
          <t>SEC Form 4 filings via secform4.com</t>
        </is>
      </c>
      <c r="G1611" s="33" t="inlineStr">
        <is>
          <t>High</t>
        </is>
      </c>
      <c r="H1611" s="33" t="inlineStr">
        <is>
          <t>Update</t>
        </is>
      </c>
    </row>
    <row r="1612">
      <c r="A1612" s="33" t="inlineStr">
        <is>
          <t>2026-05-27</t>
        </is>
      </c>
      <c r="B1612" s="33" t="inlineStr">
        <is>
          <t>CEVA</t>
        </is>
      </c>
      <c r="C1612" s="33" t="inlineStr">
        <is>
          <t>R1-CustConc</t>
        </is>
      </c>
      <c r="D1612" s="33" t="n">
        <v>2</v>
      </c>
      <c r="E1612" s="33" t="inlineStr">
        <is>
          <t>Top-1 at 24%, top-3 at 48%, plus China = 62% of FY2025 revenue. Layered concentration.</t>
        </is>
      </c>
      <c r="F1612" s="33" t="inlineStr">
        <is>
          <t>10-Q Q1 2026, 10-K FY2025 geo breakdown</t>
        </is>
      </c>
      <c r="G1612" s="33" t="inlineStr">
        <is>
          <t>Medium</t>
        </is>
      </c>
      <c r="H1612" s="33" t="inlineStr">
        <is>
          <t>Update</t>
        </is>
      </c>
    </row>
    <row r="1613">
      <c r="A1613" s="33" t="inlineStr">
        <is>
          <t>2026-05-27</t>
        </is>
      </c>
      <c r="B1613" s="33" t="inlineStr">
        <is>
          <t>CEVA</t>
        </is>
      </c>
      <c r="C1613" s="33" t="inlineStr">
        <is>
          <t>R2-GeoRisk</t>
        </is>
      </c>
      <c r="D1613" s="33" t="n">
        <v>2</v>
      </c>
      <c r="E1613" s="33" t="inlineStr">
        <is>
          <t>China = 62% of FY2025 revenue. EAR applies to semi IP. BIS Dec 2024 rules expanding. Real exposure.</t>
        </is>
      </c>
      <c r="F1613" s="33" t="inlineStr">
        <is>
          <t>10-K FY2025 geographic disclosure, BIS rules</t>
        </is>
      </c>
      <c r="G1613" s="33" t="inlineStr">
        <is>
          <t>Medium</t>
        </is>
      </c>
      <c r="H1613" s="33" t="inlineStr">
        <is>
          <t>Update</t>
        </is>
      </c>
    </row>
    <row r="1614">
      <c r="A1614" s="33" t="inlineStr">
        <is>
          <t>2026-05-27</t>
        </is>
      </c>
      <c r="B1614" s="33" t="inlineStr">
        <is>
          <t>AIP</t>
        </is>
      </c>
      <c r="C1614" s="33" t="inlineStr">
        <is>
          <t>D2-Position</t>
        </is>
      </c>
      <c r="D1614" s="33" t="n">
        <v>4</v>
      </c>
      <c r="E1614" s="33" t="inlineStr">
        <is>
          <t>Upstream IP provider with 2-3 competitors (Arm, Synopsys, internal). Neutral-party advantage structural in chiplet era.</t>
        </is>
      </c>
      <c r="F1614" s="33" t="inlineStr">
        <is>
          <t>10-K FY2025 competition section, AMD FlexGen win</t>
        </is>
      </c>
      <c r="G1614" s="33" t="inlineStr">
        <is>
          <t>High</t>
        </is>
      </c>
      <c r="H1614" s="33" t="inlineStr">
        <is>
          <t>Update</t>
        </is>
      </c>
    </row>
    <row r="1615">
      <c r="A1615" s="33" t="inlineStr">
        <is>
          <t>2026-05-27</t>
        </is>
      </c>
      <c r="B1615" s="33" t="inlineStr">
        <is>
          <t>AIP</t>
        </is>
      </c>
      <c r="C1615" s="33" t="inlineStr">
        <is>
          <t>D3-Moat</t>
        </is>
      </c>
      <c r="D1615" s="33" t="n">
        <v>4</v>
      </c>
      <c r="E1615" s="33" t="inlineStr">
        <is>
          <t>Strong switching costs (full redesign to replace), ISO 26262 certification, 22yr development, 90% customer retention.</t>
        </is>
      </c>
      <c r="F1615" s="33" t="inlineStr">
        <is>
          <t>10-K FY2025, competitive analysis</t>
        </is>
      </c>
      <c r="G1615" s="33" t="inlineStr">
        <is>
          <t>High</t>
        </is>
      </c>
      <c r="H1615" s="33" t="inlineStr">
        <is>
          <t>Update</t>
        </is>
      </c>
    </row>
    <row r="1616">
      <c r="A1616" s="33" t="inlineStr">
        <is>
          <t>2026-05-27</t>
        </is>
      </c>
      <c r="B1616" s="33" t="inlineStr">
        <is>
          <t>AIP</t>
        </is>
      </c>
      <c r="C1616" s="33" t="inlineStr">
        <is>
          <t>D4-Capacity</t>
        </is>
      </c>
      <c r="D1616" s="33" t="n">
        <v>3</v>
      </c>
      <c r="E1616" s="33" t="inlineStr">
        <is>
          <t>IP company, no physical capacity. Cycuity is product expansion, not buildout. Steady-state development.</t>
        </is>
      </c>
      <c r="F1616" s="33" t="inlineStr">
        <is>
          <t>Q1 2026 10-Q, business model</t>
        </is>
      </c>
      <c r="G1616" s="33" t="inlineStr">
        <is>
          <t>Medium</t>
        </is>
      </c>
      <c r="H1616" s="33" t="inlineStr">
        <is>
          <t>Update</t>
        </is>
      </c>
    </row>
    <row r="1617">
      <c r="A1617" s="33" t="inlineStr">
        <is>
          <t>2026-05-27</t>
        </is>
      </c>
      <c r="B1617" s="33" t="inlineStr">
        <is>
          <t>AIP</t>
        </is>
      </c>
      <c r="C1617" s="33" t="inlineStr">
        <is>
          <t>M1-EPSRev</t>
        </is>
      </c>
      <c r="D1617" s="33" t="n">
        <v>4</v>
      </c>
      <c r="E1617" s="33" t="inlineStr">
        <is>
          <t>Beat-and-raise on revenue ($89-93M→$91-95M), but EPS loss widened from ($0.52) to ($0.69) due to Cycuity. Net positive but mixed.</t>
        </is>
      </c>
      <c r="F1617" s="33" t="inlineStr">
        <is>
          <t>Q1 2026 earnings, stockanalysis.com</t>
        </is>
      </c>
      <c r="G1617" s="33" t="inlineStr">
        <is>
          <t>Medium</t>
        </is>
      </c>
      <c r="H1617" s="33" t="inlineStr">
        <is>
          <t>Update</t>
        </is>
      </c>
    </row>
    <row r="1618">
      <c r="A1618" s="33" t="inlineStr">
        <is>
          <t>2026-05-27</t>
        </is>
      </c>
      <c r="B1618" s="33" t="inlineStr">
        <is>
          <t>AIP</t>
        </is>
      </c>
      <c r="C1618" s="33" t="inlineStr">
        <is>
          <t>M3-Insider</t>
        </is>
      </c>
      <c r="D1618" s="33" t="n">
        <v>2</v>
      </c>
      <c r="E1618" s="33" t="inlineStr">
        <is>
          <t>Director Raza sold 28% of holdings, Director Viana sold 48%. All 10b5-1 but exceeds 15% threshold. No buying.</t>
        </is>
      </c>
      <c r="F1618" s="33" t="inlineStr">
        <is>
          <t>SEC Form 4 filings</t>
        </is>
      </c>
      <c r="G1618" s="33" t="inlineStr">
        <is>
          <t>Medium</t>
        </is>
      </c>
      <c r="H1618" s="33" t="inlineStr">
        <is>
          <t>Update</t>
        </is>
      </c>
    </row>
    <row r="1619">
      <c r="A1619" s="33" t="inlineStr">
        <is>
          <t>2026-05-27</t>
        </is>
      </c>
      <c r="B1619" s="33" t="inlineStr">
        <is>
          <t>AIP</t>
        </is>
      </c>
      <c r="C1619" s="33" t="inlineStr">
        <is>
          <t>R2-GeoRisk</t>
        </is>
      </c>
      <c r="D1619" s="33" t="n">
        <v>3</v>
      </c>
      <c r="E1619" s="33" t="inlineStr">
        <is>
          <t>APAC = 47.6% of FY2025 revenue. China offices, 10-K flags China risk. IP licensing partially shielded from export controls but exposed.</t>
        </is>
      </c>
      <c r="F1619" s="33" t="inlineStr">
        <is>
          <t>10-K FY2025 geographic breakdown</t>
        </is>
      </c>
      <c r="G1619" s="33" t="inlineStr">
        <is>
          <t>Medium</t>
        </is>
      </c>
      <c r="H1619" s="33" t="inlineStr">
        <is>
          <t>Update</t>
        </is>
      </c>
    </row>
    <row r="1620">
      <c r="A1620" s="33" t="inlineStr">
        <is>
          <t>2026-05-28</t>
        </is>
      </c>
      <c r="B1620" s="33" t="inlineStr">
        <is>
          <t>CEVA</t>
        </is>
      </c>
      <c r="C1620" s="33" t="inlineStr">
        <is>
          <t>M3-Insider</t>
        </is>
      </c>
      <c r="D1620" s="33" t="n">
        <v>5</v>
      </c>
      <c r="E1620" s="33" t="inlineStr">
        <is>
          <t>Rubric correction: CEO+CFO+Director all bought open-market Feb 2026 = "multiple insiders buying" = 5. Prior 4 wrongly discounted on dollar size (a flagged failure mode).</t>
        </is>
      </c>
      <c r="F1620" s="33" t="inlineStr">
        <is>
          <t>SEC Form 4, rubric M3</t>
        </is>
      </c>
      <c r="G1620" s="33" t="inlineStr">
        <is>
          <t>High</t>
        </is>
      </c>
      <c r="H1620" s="33" t="inlineStr">
        <is>
          <t>Override</t>
        </is>
      </c>
    </row>
    <row r="1621">
      <c r="A1621" s="33" t="inlineStr">
        <is>
          <t>2026-05-28</t>
        </is>
      </c>
      <c r="B1621" s="33" t="inlineStr">
        <is>
          <t>AIP</t>
        </is>
      </c>
      <c r="C1621" s="33" t="inlineStr">
        <is>
          <t>M3-Insider</t>
        </is>
      </c>
      <c r="D1621" s="33" t="n">
        <v>3</v>
      </c>
      <c r="E1621" s="33" t="inlineStr">
        <is>
          <t>Rubric correction: director sales were 10b5-1 (rubric: treat as routine, post-rally default = 3). Prior 2 penalized by magnitude despite 10b5-1 nature (flagged failure mode). No buying.</t>
        </is>
      </c>
      <c r="F1621" s="33" t="inlineStr">
        <is>
          <t>SEC Form 4, rubric M3</t>
        </is>
      </c>
      <c r="G1621" s="33" t="inlineStr">
        <is>
          <t>Medium</t>
        </is>
      </c>
      <c r="H1621" s="33" t="inlineStr">
        <is>
          <t>Override</t>
        </is>
      </c>
    </row>
    <row r="1622">
      <c r="A1622" s="33" t="inlineStr">
        <is>
          <t>2026-06-05</t>
        </is>
      </c>
      <c r="B1622" s="33" t="inlineStr">
        <is>
          <t>NXT</t>
        </is>
      </c>
      <c r="C1622" s="33" t="inlineStr">
        <is>
          <t>D1</t>
        </is>
      </c>
      <c r="D1622" s="33" t="n">
        <v>2</v>
      </c>
      <c r="E1622" s="33" t="inlineStr">
        <is>
          <t>DC/AI a demand tailwind + new Prevalon BESS vector, but no disclosed material AI-tied revenue; core utility-scale solar.</t>
        </is>
      </c>
      <c r="F1622" s="33" t="inlineStr">
        <is>
          <t>10-K FY26</t>
        </is>
      </c>
      <c r="G1622" s="33" t="inlineStr">
        <is>
          <t>Med</t>
        </is>
      </c>
      <c r="H1622" s="33" t="inlineStr">
        <is>
          <t>Initial</t>
        </is>
      </c>
    </row>
    <row r="1623">
      <c r="A1623" s="33" t="inlineStr">
        <is>
          <t>2026-06-05</t>
        </is>
      </c>
      <c r="B1623" s="33" t="inlineStr">
        <is>
          <t>NXT</t>
        </is>
      </c>
      <c r="C1623" s="33" t="inlineStr">
        <is>
          <t>D2</t>
        </is>
      </c>
      <c r="D1623" s="33" t="n">
        <v>4</v>
      </c>
      <c r="E1623" s="33" t="inlineStr">
        <is>
          <t>#1 global tracker share, EBOS scale, record &gt;$5.25B backlog, firm pricing; 2-3 competitors (Array/GameChange).</t>
        </is>
      </c>
      <c r="F1623" s="33" t="inlineStr">
        <is>
          <t>context-2026-06-05.md</t>
        </is>
      </c>
      <c r="G1623" s="33" t="inlineStr">
        <is>
          <t>High</t>
        </is>
      </c>
      <c r="H1623" s="33" t="inlineStr">
        <is>
          <t>Initial</t>
        </is>
      </c>
    </row>
    <row r="1624">
      <c r="A1624" s="33" t="inlineStr">
        <is>
          <t>2026-06-05</t>
        </is>
      </c>
      <c r="B1624" s="33" t="inlineStr">
        <is>
          <t>NXT</t>
        </is>
      </c>
      <c r="C1624" s="33" t="inlineStr">
        <is>
          <t>D3</t>
        </is>
      </c>
      <c r="D1624" s="33" t="n">
        <v>3</v>
      </c>
      <c r="E1624" s="33" t="inlineStr">
        <is>
          <t>Tracking/software IP + scale + design-in switching cost, but trackers face credible competition.</t>
        </is>
      </c>
      <c r="F1624" s="33" t="inlineStr">
        <is>
          <t>context-2026-06-05.md</t>
        </is>
      </c>
      <c r="G1624" s="33" t="inlineStr">
        <is>
          <t>Med</t>
        </is>
      </c>
      <c r="H1624" s="33" t="inlineStr">
        <is>
          <t>Initial</t>
        </is>
      </c>
    </row>
    <row r="1625">
      <c r="A1625" s="33" t="inlineStr">
        <is>
          <t>2026-06-05</t>
        </is>
      </c>
      <c r="B1625" s="33" t="inlineStr">
        <is>
          <t>NXT</t>
        </is>
      </c>
      <c r="C1625" s="33" t="inlineStr">
        <is>
          <t>D4</t>
        </is>
      </c>
      <c r="D1625" s="33" t="n">
        <v>4</v>
      </c>
      <c r="E1625" s="33" t="inlineStr">
        <is>
          <t>Active M&amp;A-led expansion (Zigor + Prevalon $365M), domestic supply build, power-conversion entry.</t>
        </is>
      </c>
      <c r="F1625" s="33" t="inlineStr">
        <is>
          <t>8-K 2026-05-28</t>
        </is>
      </c>
      <c r="G1625" s="33" t="inlineStr">
        <is>
          <t>High</t>
        </is>
      </c>
      <c r="H1625" s="33" t="inlineStr">
        <is>
          <t>Initial</t>
        </is>
      </c>
    </row>
    <row r="1626">
      <c r="A1626" s="33" t="inlineStr">
        <is>
          <t>2026-06-05</t>
        </is>
      </c>
      <c r="B1626" s="33" t="inlineStr">
        <is>
          <t>NXT</t>
        </is>
      </c>
      <c r="C1626" s="33" t="inlineStr">
        <is>
          <t>D5</t>
        </is>
      </c>
      <c r="D1626" s="33" t="n">
        <v>2</v>
      </c>
      <c r="E1626" s="33" t="inlineStr">
        <is>
          <t>Indirect — sells to utilities/IPPs/developers; Prevalon adds only indirect DC linkage.</t>
        </is>
      </c>
      <c r="F1626" s="33" t="inlineStr">
        <is>
          <t>context-2026-06-05.md</t>
        </is>
      </c>
      <c r="G1626" s="33" t="inlineStr">
        <is>
          <t>Med</t>
        </is>
      </c>
      <c r="H1626" s="33" t="inlineStr">
        <is>
          <t>Initial</t>
        </is>
      </c>
    </row>
    <row r="1627">
      <c r="A1627" s="33" t="inlineStr">
        <is>
          <t>2026-06-05</t>
        </is>
      </c>
      <c r="B1627" s="33" t="inlineStr">
        <is>
          <t>NXT</t>
        </is>
      </c>
      <c r="C1627" s="33" t="inlineStr">
        <is>
          <t>M1</t>
        </is>
      </c>
      <c r="D1627" s="33" t="n">
        <v>5</v>
      </c>
      <c r="E1627" s="33" t="inlineStr">
        <is>
          <t>Beat-and-raise + PT hikes (Susquehanna $180, UBS $170, Northland, Wolfe, Jefferies) in 90d.</t>
        </is>
      </c>
      <c r="F1627" s="33" t="inlineStr">
        <is>
          <t>context-2026-06-05.md</t>
        </is>
      </c>
      <c r="G1627" s="33" t="inlineStr">
        <is>
          <t>High</t>
        </is>
      </c>
      <c r="H1627" s="33" t="inlineStr">
        <is>
          <t>Initial</t>
        </is>
      </c>
    </row>
    <row r="1628">
      <c r="A1628" s="33" t="inlineStr">
        <is>
          <t>2026-06-05</t>
        </is>
      </c>
      <c r="B1628" s="33" t="inlineStr">
        <is>
          <t>NXT</t>
        </is>
      </c>
      <c r="C1628" s="33" t="inlineStr">
        <is>
          <t>M2</t>
        </is>
      </c>
      <c r="D1628" s="33" t="n">
        <v>4</v>
      </c>
      <c r="E1628" s="33" t="inlineStr">
        <is>
          <t>~$150 near 52-wk highs after a strong run; provisional pending exact vs benchmark.</t>
        </is>
      </c>
      <c r="F1628" s="33" t="inlineStr">
        <is>
          <t>context-2026-06-05.md</t>
        </is>
      </c>
      <c r="G1628" s="33" t="inlineStr">
        <is>
          <t>Low-Med</t>
        </is>
      </c>
      <c r="H1628" s="33" t="inlineStr">
        <is>
          <t>Initial</t>
        </is>
      </c>
    </row>
    <row r="1629">
      <c r="A1629" s="33" t="inlineStr">
        <is>
          <t>2026-06-05</t>
        </is>
      </c>
      <c r="B1629" s="33" t="inlineStr">
        <is>
          <t>NXT</t>
        </is>
      </c>
      <c r="C1629" s="33" t="inlineStr">
        <is>
          <t>M3</t>
        </is>
      </c>
      <c r="D1629" s="33" t="n">
        <v>3</v>
      </c>
      <c r="E1629" s="33" t="inlineStr">
        <is>
          <t>Only 10b5-1 + sell-to-cover; CEO net economic holder; no discretionary buys → default.</t>
        </is>
      </c>
      <c r="F1629" s="33" t="inlineStr">
        <is>
          <t>Form 4s</t>
        </is>
      </c>
      <c r="G1629" s="33" t="inlineStr">
        <is>
          <t>High</t>
        </is>
      </c>
      <c r="H1629" s="33" t="inlineStr">
        <is>
          <t>Initial</t>
        </is>
      </c>
    </row>
    <row r="1630">
      <c r="A1630" s="33" t="inlineStr">
        <is>
          <t>2026-06-05</t>
        </is>
      </c>
      <c r="B1630" s="33" t="inlineStr">
        <is>
          <t>NXT</t>
        </is>
      </c>
      <c r="C1630" s="33" t="inlineStr">
        <is>
          <t>R1</t>
        </is>
      </c>
      <c r="D1630" s="33" t="n">
        <v>4</v>
      </c>
      <c r="E1630" s="33" t="inlineStr">
        <is>
          <t>Top customer (G) 17%, top-5 34%, largest AR &lt;10%; 15-25% band.</t>
        </is>
      </c>
      <c r="F1630" s="33" t="inlineStr">
        <is>
          <t>10-K FY26</t>
        </is>
      </c>
      <c r="G1630" s="33" t="inlineStr">
        <is>
          <t>High</t>
        </is>
      </c>
      <c r="H1630" s="33" t="inlineStr">
        <is>
          <t>Initial</t>
        </is>
      </c>
    </row>
    <row r="1631">
      <c r="A1631" s="33" t="inlineStr">
        <is>
          <t>2026-06-05</t>
        </is>
      </c>
      <c r="B1631" s="33" t="inlineStr">
        <is>
          <t>NXT</t>
        </is>
      </c>
      <c r="C1631" s="33" t="inlineStr">
        <is>
          <t>R2</t>
        </is>
      </c>
      <c r="D1631" s="33" t="n">
        <v>4</v>
      </c>
      <c r="E1631" s="33" t="inlineStr">
        <is>
          <t>77% US, no China export overhang; offset by Section 232 tariff + IRA 45X policy sensitivity.</t>
        </is>
      </c>
      <c r="F1631" s="33" t="inlineStr">
        <is>
          <t>10-K FY26</t>
        </is>
      </c>
      <c r="G1631" s="33" t="inlineStr">
        <is>
          <t>High</t>
        </is>
      </c>
      <c r="H1631" s="33" t="inlineStr">
        <is>
          <t>Initial</t>
        </is>
      </c>
    </row>
    <row r="1632">
      <c r="A1632" s="33" t="inlineStr">
        <is>
          <t>2026-06-05</t>
        </is>
      </c>
      <c r="B1632" s="33" t="inlineStr">
        <is>
          <t>NXT</t>
        </is>
      </c>
      <c r="C1632" s="33" t="inlineStr">
        <is>
          <t>R3</t>
        </is>
      </c>
      <c r="D1632" s="33" t="n">
        <v>5</v>
      </c>
      <c r="E1632" s="33" t="inlineStr">
        <is>
          <t>Net cash, undrawn revolver, ~$2B liquidity (two acquisitions consume some cash).</t>
        </is>
      </c>
      <c r="F1632" s="33" t="inlineStr">
        <is>
          <t>10-K FY26</t>
        </is>
      </c>
      <c r="G1632" s="33" t="inlineStr">
        <is>
          <t>High</t>
        </is>
      </c>
      <c r="H1632" s="33" t="inlineStr">
        <is>
          <t>Initial</t>
        </is>
      </c>
    </row>
    <row r="1633">
      <c r="A1633" s="33" t="inlineStr">
        <is>
          <t>2026-06-05</t>
        </is>
      </c>
      <c r="B1633" s="33" t="inlineStr">
        <is>
          <t>NXT</t>
        </is>
      </c>
      <c r="C1633" s="33" t="inlineStr">
        <is>
          <t>R4</t>
        </is>
      </c>
      <c r="D1633" s="33" t="n">
        <v>4</v>
      </c>
      <c r="E1633" s="33" t="inlineStr">
        <is>
          <t>No company-specific litigation; main risk is IRA 45X step-down + tariffs (policy/macro).</t>
        </is>
      </c>
      <c r="F1633" s="33" t="inlineStr">
        <is>
          <t>context-2026-06-05.md</t>
        </is>
      </c>
      <c r="G1633" s="33" t="inlineStr">
        <is>
          <t>Med</t>
        </is>
      </c>
      <c r="H1633" s="33" t="inlineStr">
        <is>
          <t>Initial</t>
        </is>
      </c>
    </row>
    <row r="1634">
      <c r="A1634" s="33" t="inlineStr">
        <is>
          <t>2026-06-05</t>
        </is>
      </c>
      <c r="B1634" s="33" t="inlineStr">
        <is>
          <t>AAON</t>
        </is>
      </c>
      <c r="C1634" s="33" t="inlineStr">
        <is>
          <t>D1</t>
        </is>
      </c>
      <c r="D1634" s="33" t="n">
        <v>4</v>
      </c>
      <c r="E1634" s="33" t="inlineStr">
        <is>
          <t>BASX ≈46% of Q1 rev, 76% of $2.13B backlog, hyperscale-AI-DC driven; trending &gt;50% fast.</t>
        </is>
      </c>
      <c r="F1634" s="33" t="inlineStr">
        <is>
          <t>Q1 2026 10-Q backlog</t>
        </is>
      </c>
      <c r="G1634" s="33" t="inlineStr">
        <is>
          <t>Med</t>
        </is>
      </c>
      <c r="H1634" s="33" t="inlineStr">
        <is>
          <t>Initial</t>
        </is>
      </c>
    </row>
    <row r="1635">
      <c r="A1635" s="33" t="inlineStr">
        <is>
          <t>2026-06-05</t>
        </is>
      </c>
      <c r="B1635" s="33" t="inlineStr">
        <is>
          <t>AAON</t>
        </is>
      </c>
      <c r="C1635" s="33" t="inlineStr">
        <is>
          <t>D2</t>
        </is>
      </c>
      <c r="D1635" s="33" t="n">
        <v>4</v>
      </c>
      <c r="E1635" s="33" t="inlineStr">
        <is>
          <t>Semi-custom engineered cooling, lead-time pricing power, 107% backlog growth; 2-4 viable competitors.</t>
        </is>
      </c>
      <c r="F1635" s="33" t="inlineStr">
        <is>
          <t>context-2026-06-05.md</t>
        </is>
      </c>
      <c r="G1635" s="33" t="inlineStr">
        <is>
          <t>Med</t>
        </is>
      </c>
      <c r="H1635" s="33" t="inlineStr">
        <is>
          <t>Initial</t>
        </is>
      </c>
    </row>
    <row r="1636">
      <c r="A1636" s="33" t="inlineStr">
        <is>
          <t>2026-06-05</t>
        </is>
      </c>
      <c r="B1636" s="33" t="inlineStr">
        <is>
          <t>AAON</t>
        </is>
      </c>
      <c r="C1636" s="33" t="inlineStr">
        <is>
          <t>D3</t>
        </is>
      </c>
      <c r="D1636" s="33" t="n">
        <v>3</v>
      </c>
      <c r="E1636" s="33" t="inlineStr">
        <is>
          <t>Engineering know-how + custom-job switching costs, but liquid cooling contested (Vertiv/Munters/Boyd) + outsources part of BASX.</t>
        </is>
      </c>
      <c r="F1636" s="33" t="inlineStr">
        <is>
          <t>context-2026-06-05.md</t>
        </is>
      </c>
      <c r="G1636" s="33" t="inlineStr">
        <is>
          <t>Med</t>
        </is>
      </c>
      <c r="H1636" s="33" t="inlineStr">
        <is>
          <t>Initial</t>
        </is>
      </c>
    </row>
    <row r="1637">
      <c r="A1637" s="33" t="inlineStr">
        <is>
          <t>2026-06-05</t>
        </is>
      </c>
      <c r="B1637" s="33" t="inlineStr">
        <is>
          <t>AAON</t>
        </is>
      </c>
      <c r="C1637" s="33" t="inlineStr">
        <is>
          <t>D4</t>
        </is>
      </c>
      <c r="D1637" s="33" t="n">
        <v>5</v>
      </c>
      <c r="E1637" s="33" t="inlineStr">
        <is>
          <t>Funded multi-yr buildout (Memphis/Longview/Tulsa), $52.9M Q1 capex, $2.1B backlog-backed.</t>
        </is>
      </c>
      <c r="F1637" s="33" t="inlineStr">
        <is>
          <t>Q1 2026 10-Q</t>
        </is>
      </c>
      <c r="G1637" s="33" t="inlineStr">
        <is>
          <t>High</t>
        </is>
      </c>
      <c r="H1637" s="33" t="inlineStr">
        <is>
          <t>Initial</t>
        </is>
      </c>
    </row>
    <row r="1638">
      <c r="A1638" s="33" t="inlineStr">
        <is>
          <t>2026-06-05</t>
        </is>
      </c>
      <c r="B1638" s="33" t="inlineStr">
        <is>
          <t>AAON</t>
        </is>
      </c>
      <c r="C1638" s="33" t="inlineStr">
        <is>
          <t>D5</t>
        </is>
      </c>
      <c r="D1638" s="33" t="n">
        <v>4</v>
      </c>
      <c r="E1638" s="33" t="inlineStr">
        <is>
          <t>Backlog overwhelmingly DC/hyperscale; concentration % undisclosed so not a confirmed 5.</t>
        </is>
      </c>
      <c r="F1638" s="33" t="inlineStr">
        <is>
          <t>Q1 2026 10-Q</t>
        </is>
      </c>
      <c r="G1638" s="33" t="inlineStr">
        <is>
          <t>Low</t>
        </is>
      </c>
      <c r="H1638" s="33" t="inlineStr">
        <is>
          <t>Initial</t>
        </is>
      </c>
    </row>
    <row r="1639">
      <c r="A1639" s="33" t="inlineStr">
        <is>
          <t>2026-06-05</t>
        </is>
      </c>
      <c r="B1639" s="33" t="inlineStr">
        <is>
          <t>AAON</t>
        </is>
      </c>
      <c r="C1639" s="33" t="inlineStr">
        <is>
          <t>M1</t>
        </is>
      </c>
      <c r="D1639" s="33" t="n">
        <v>5</v>
      </c>
      <c r="E1639" s="33" t="inlineStr">
        <is>
          <t>Beat-and-raise; 3 up/0 down 90d; FY guide raised to +40-45% rev.</t>
        </is>
      </c>
      <c r="F1639" s="33" t="inlineStr">
        <is>
          <t>context-2026-06-05.md</t>
        </is>
      </c>
      <c r="G1639" s="33" t="inlineStr">
        <is>
          <t>High</t>
        </is>
      </c>
      <c r="H1639" s="33" t="inlineStr">
        <is>
          <t>Initial</t>
        </is>
      </c>
    </row>
    <row r="1640">
      <c r="A1640" s="33" t="inlineStr">
        <is>
          <t>2026-06-05</t>
        </is>
      </c>
      <c r="B1640" s="33" t="inlineStr">
        <is>
          <t>AAON</t>
        </is>
      </c>
      <c r="C1640" s="33" t="inlineStr">
        <is>
          <t>M2</t>
        </is>
      </c>
      <c r="D1640" s="33" t="n">
        <v>5</v>
      </c>
      <c r="E1640" s="33" t="inlineStr">
        <is>
          <t>At all-time highs, large outperformance vs XLI.</t>
        </is>
      </c>
      <c r="F1640" s="33" t="inlineStr">
        <is>
          <t>context-2026-06-05.md</t>
        </is>
      </c>
      <c r="G1640" s="33" t="inlineStr">
        <is>
          <t>High</t>
        </is>
      </c>
      <c r="H1640" s="33" t="inlineStr">
        <is>
          <t>Initial</t>
        </is>
      </c>
    </row>
    <row r="1641">
      <c r="A1641" s="33" t="inlineStr">
        <is>
          <t>2026-06-05</t>
        </is>
      </c>
      <c r="B1641" s="33" t="inlineStr">
        <is>
          <t>AAON</t>
        </is>
      </c>
      <c r="C1641" s="33" t="inlineStr">
        <is>
          <t>M3</t>
        </is>
      </c>
      <c r="D1641" s="33" t="n">
        <v>3</v>
      </c>
      <c r="E1641" s="33" t="inlineStr">
        <is>
          <t>Heavy director selling (Fields) post-CEO transition but NO open-market buys → diversification default; verify 10b5-1 vs discretionary.</t>
        </is>
      </c>
      <c r="F1641" s="33" t="inlineStr">
        <is>
          <t>Form 4s</t>
        </is>
      </c>
      <c r="G1641" s="33" t="inlineStr">
        <is>
          <t>Med</t>
        </is>
      </c>
      <c r="H1641" s="33" t="inlineStr">
        <is>
          <t>Initial</t>
        </is>
      </c>
    </row>
    <row r="1642">
      <c r="A1642" s="33" t="inlineStr">
        <is>
          <t>2026-06-05</t>
        </is>
      </c>
      <c r="B1642" s="33" t="inlineStr">
        <is>
          <t>AAON</t>
        </is>
      </c>
      <c r="C1642" s="33" t="inlineStr">
        <is>
          <t>R1</t>
        </is>
      </c>
      <c r="D1642" s="33" t="n">
        <v>3</v>
      </c>
      <c r="E1642" s="33" t="inlineStr">
        <is>
          <t>Mgmt flags 'increased near-term concentration' from large DC orders; historically none &gt;10%; unquantified.</t>
        </is>
      </c>
      <c r="F1642" s="33" t="inlineStr">
        <is>
          <t>Q1 2026 10-Q MD&amp;A</t>
        </is>
      </c>
      <c r="G1642" s="33" t="inlineStr">
        <is>
          <t>Low</t>
        </is>
      </c>
      <c r="H1642" s="33" t="inlineStr">
        <is>
          <t>Initial</t>
        </is>
      </c>
    </row>
    <row r="1643">
      <c r="A1643" s="33" t="inlineStr">
        <is>
          <t>2026-06-05</t>
        </is>
      </c>
      <c r="B1643" s="33" t="inlineStr">
        <is>
          <t>AAON</t>
        </is>
      </c>
      <c r="C1643" s="33" t="inlineStr">
        <is>
          <t>R2</t>
        </is>
      </c>
      <c r="D1643" s="33" t="n">
        <v>5</v>
      </c>
      <c r="E1643" s="33" t="inlineStr">
        <is>
          <t>US-domestic manufacturer; no China revenue, no export-controlled tech.</t>
        </is>
      </c>
      <c r="F1643" s="33" t="inlineStr">
        <is>
          <t>context-2026-06-05.md</t>
        </is>
      </c>
      <c r="G1643" s="33" t="inlineStr">
        <is>
          <t>High</t>
        </is>
      </c>
      <c r="H1643" s="33" t="inlineStr">
        <is>
          <t>Initial</t>
        </is>
      </c>
    </row>
    <row r="1644">
      <c r="A1644" s="33" t="inlineStr">
        <is>
          <t>2026-06-05</t>
        </is>
      </c>
      <c r="B1644" s="33" t="inlineStr">
        <is>
          <t>AAON</t>
        </is>
      </c>
      <c r="C1644" s="33" t="inlineStr">
        <is>
          <t>R3</t>
        </is>
      </c>
      <c r="D1644" s="33" t="n">
        <v>4</v>
      </c>
      <c r="E1644" s="33" t="inlineStr">
        <is>
          <t>Flipped to ~$425M revolver drawn/~$0 cash, but ND/EBITDA &lt;2x vs ~$300M EBITDA + strong FCF.</t>
        </is>
      </c>
      <c r="F1644" s="33" t="inlineStr">
        <is>
          <t>Q1 2026 10-Q</t>
        </is>
      </c>
      <c r="G1644" s="33" t="inlineStr">
        <is>
          <t>Med</t>
        </is>
      </c>
      <c r="H1644" s="33" t="inlineStr">
        <is>
          <t>Initial</t>
        </is>
      </c>
    </row>
    <row r="1645">
      <c r="A1645" s="33" t="inlineStr">
        <is>
          <t>2026-06-05</t>
        </is>
      </c>
      <c r="B1645" s="33" t="inlineStr">
        <is>
          <t>AAON</t>
        </is>
      </c>
      <c r="C1645" s="33" t="inlineStr">
        <is>
          <t>R4</t>
        </is>
      </c>
      <c r="D1645" s="33" t="n">
        <v>5</v>
      </c>
      <c r="E1645" s="33" t="inlineStr">
        <is>
          <t>No material legal proceedings disclosed.</t>
        </is>
      </c>
      <c r="F1645" s="33" t="inlineStr">
        <is>
          <t>context-2026-06-05.md</t>
        </is>
      </c>
      <c r="G1645" s="33" t="inlineStr">
        <is>
          <t>High</t>
        </is>
      </c>
      <c r="H1645" s="33" t="inlineStr">
        <is>
          <t>Initial</t>
        </is>
      </c>
    </row>
    <row r="1646">
      <c r="A1646" s="33" t="inlineStr">
        <is>
          <t>2026-06-05</t>
        </is>
      </c>
      <c r="B1646" s="33" t="inlineStr">
        <is>
          <t>BESIY</t>
        </is>
      </c>
      <c r="C1646" s="33" t="inlineStr">
        <is>
          <t>D1</t>
        </is>
      </c>
      <c r="D1646" s="33" t="n">
        <v>4</v>
      </c>
      <c r="E1646" s="33" t="inlineStr">
        <is>
          <t>Hybrid bonding ~1/3 of rev (~€476M 2026E); 2.5D AI computing the growth driver; mobile/auto keep AI &lt;50%.</t>
        </is>
      </c>
      <c r="F1646" s="33" t="inlineStr">
        <is>
          <t>context-2026-06-05.md; Q1-26 release (GlobeNewswire 2026-04-23)</t>
        </is>
      </c>
      <c r="G1646" s="33" t="inlineStr">
        <is>
          <t>Med</t>
        </is>
      </c>
      <c r="H1646" s="33" t="inlineStr">
        <is>
          <t>Initial</t>
        </is>
      </c>
    </row>
    <row r="1647">
      <c r="A1647" s="33" t="inlineStr">
        <is>
          <t>2026-06-05</t>
        </is>
      </c>
      <c r="B1647" s="33" t="inlineStr">
        <is>
          <t>BESIY</t>
        </is>
      </c>
      <c r="C1647" s="33" t="inlineStr">
        <is>
          <t>D2</t>
        </is>
      </c>
      <c r="D1647" s="33" t="n">
        <v>4</v>
      </c>
      <c r="E1647" s="33" t="inlineStr">
        <is>
          <t>Upstream advanced-packaging bottleneck, qualified at TSMC/ASE; duopoly w/ ASMPT, not a monopoly.</t>
        </is>
      </c>
      <c r="F1647" s="33" t="inlineStr">
        <is>
          <t>context-2026-06-05.md</t>
        </is>
      </c>
      <c r="G1647" s="33" t="inlineStr">
        <is>
          <t>Med-High</t>
        </is>
      </c>
      <c r="H1647" s="33" t="inlineStr">
        <is>
          <t>Initial</t>
        </is>
      </c>
    </row>
    <row r="1648">
      <c r="A1648" s="33" t="inlineStr">
        <is>
          <t>2026-06-05</t>
        </is>
      </c>
      <c r="B1648" s="33" t="inlineStr">
        <is>
          <t>BESIY</t>
        </is>
      </c>
      <c r="C1648" s="33" t="inlineStr">
        <is>
          <t>D3</t>
        </is>
      </c>
      <c r="D1648" s="33" t="n">
        <v>4</v>
      </c>
      <c r="E1648" s="33" t="inlineStr">
        <is>
          <t>Deep hybrid-bonding process IP + customer qual + AMAT D2W partnership; one credible competitor caps below 5.</t>
        </is>
      </c>
      <c r="F1648" s="33" t="inlineStr">
        <is>
          <t>context-2026-06-05.md</t>
        </is>
      </c>
      <c r="G1648" s="33" t="inlineStr">
        <is>
          <t>Med</t>
        </is>
      </c>
      <c r="H1648" s="33" t="inlineStr">
        <is>
          <t>Initial</t>
        </is>
      </c>
    </row>
    <row r="1649">
      <c r="A1649" s="33" t="inlineStr">
        <is>
          <t>2026-06-05</t>
        </is>
      </c>
      <c r="B1649" s="33" t="inlineStr">
        <is>
          <t>BESIY</t>
        </is>
      </c>
      <c r="C1649" s="33" t="inlineStr">
        <is>
          <t>D4</t>
        </is>
      </c>
      <c r="D1649" s="33" t="n">
        <v>4</v>
      </c>
      <c r="E1649" s="33" t="inlineStr">
        <is>
          <t>Asset-light scaling into up-cycle funded by net cash; expansion, not a multi-decade capex megaproject.</t>
        </is>
      </c>
      <c r="F1649" s="33" t="inlineStr">
        <is>
          <t>context-2026-06-05.md</t>
        </is>
      </c>
      <c r="G1649" s="33" t="inlineStr">
        <is>
          <t>Med</t>
        </is>
      </c>
      <c r="H1649" s="33" t="inlineStr">
        <is>
          <t>Initial</t>
        </is>
      </c>
    </row>
    <row r="1650">
      <c r="A1650" s="33" t="inlineStr">
        <is>
          <t>2026-06-05</t>
        </is>
      </c>
      <c r="B1650" s="33" t="inlineStr">
        <is>
          <t>BESIY</t>
        </is>
      </c>
      <c r="C1650" s="33" t="inlineStr">
        <is>
          <t>D5</t>
        </is>
      </c>
      <c r="D1650" s="33" t="n">
        <v>3</v>
      </c>
      <c r="E1650" s="33" t="inlineStr">
        <is>
          <t>Indirect — sells to foundries/OSAT/memory serving hyperscalers; no direct hyperscaler revenue.</t>
        </is>
      </c>
      <c r="F1650" s="33" t="inlineStr">
        <is>
          <t>context-2026-06-05.md</t>
        </is>
      </c>
      <c r="G1650" s="33" t="inlineStr">
        <is>
          <t>Med</t>
        </is>
      </c>
      <c r="H1650" s="33" t="inlineStr">
        <is>
          <t>Initial</t>
        </is>
      </c>
    </row>
    <row r="1651">
      <c r="A1651" s="33" t="inlineStr">
        <is>
          <t>2026-06-05</t>
        </is>
      </c>
      <c r="B1651" s="33" t="inlineStr">
        <is>
          <t>BESIY</t>
        </is>
      </c>
      <c r="C1651" s="33" t="inlineStr">
        <is>
          <t>M1</t>
        </is>
      </c>
      <c r="D1651" s="33" t="n">
        <v>5</v>
      </c>
      <c r="E1651" s="33" t="inlineStr">
        <is>
          <t>Q1-26 beat-and-raise; consensus +12.9%/3mo; multiple PT hikes (JPM €266 OW).</t>
        </is>
      </c>
      <c r="F1651" s="33" t="inlineStr">
        <is>
          <t>Q1-26 release; macrotrends/gurufocus</t>
        </is>
      </c>
      <c r="G1651" s="33" t="inlineStr">
        <is>
          <t>High</t>
        </is>
      </c>
      <c r="H1651" s="33" t="inlineStr">
        <is>
          <t>Initial</t>
        </is>
      </c>
    </row>
    <row r="1652">
      <c r="A1652" s="33" t="inlineStr">
        <is>
          <t>2026-06-05</t>
        </is>
      </c>
      <c r="B1652" s="33" t="inlineStr">
        <is>
          <t>BESIY</t>
        </is>
      </c>
      <c r="C1652" s="33" t="inlineStr">
        <is>
          <t>M2</t>
        </is>
      </c>
      <c r="D1652" s="33" t="n">
        <v>5</v>
      </c>
      <c r="E1652" s="33" t="inlineStr">
        <is>
          <t>Near 52-wk high, ~2.8x 1-yr range, leading the AI-packaging theme.</t>
        </is>
      </c>
      <c r="F1652" s="33" t="inlineStr">
        <is>
          <t>context-2026-06-05.md</t>
        </is>
      </c>
      <c r="G1652" s="33" t="inlineStr">
        <is>
          <t>Med</t>
        </is>
      </c>
      <c r="H1652" s="33" t="inlineStr">
        <is>
          <t>Initial</t>
        </is>
      </c>
    </row>
    <row r="1653">
      <c r="A1653" s="33" t="inlineStr">
        <is>
          <t>2026-06-05</t>
        </is>
      </c>
      <c r="B1653" s="33" t="inlineStr">
        <is>
          <t>BESIY</t>
        </is>
      </c>
      <c r="C1653" s="33" t="inlineStr">
        <is>
          <t>M3</t>
        </is>
      </c>
      <c r="D1653" s="33" t="n">
        <v>5</v>
      </c>
      <c r="E1653" s="33" t="inlineStr">
        <is>
          <t>Chairman Blickman open-market buy ~€9.7M @€96.81; insiders net buyers 12mo (rubric: buying→5).</t>
        </is>
      </c>
      <c r="F1653" s="33" t="inlineStr">
        <is>
          <t>Yahoo Finance insider 2026</t>
        </is>
      </c>
      <c r="G1653" s="33" t="inlineStr">
        <is>
          <t>High</t>
        </is>
      </c>
      <c r="H1653" s="33" t="inlineStr">
        <is>
          <t>Initial</t>
        </is>
      </c>
    </row>
    <row r="1654">
      <c r="A1654" s="33" t="inlineStr">
        <is>
          <t>2026-06-05</t>
        </is>
      </c>
      <c r="B1654" s="33" t="inlineStr">
        <is>
          <t>BESIY</t>
        </is>
      </c>
      <c r="C1654" s="33" t="inlineStr">
        <is>
          <t>R1</t>
        </is>
      </c>
      <c r="D1654" s="33" t="n">
        <v>3</v>
      </c>
      <c r="E1654" s="33" t="inlineStr">
        <is>
          <t>Structurally concentrated (TSMC/Samsung/SK hynix/ASE) niche tool mkt; no clean &gt;10% disclosure.</t>
        </is>
      </c>
      <c r="F1654" s="33" t="inlineStr">
        <is>
          <t>context-2026-06-05.md</t>
        </is>
      </c>
      <c r="G1654" s="33" t="inlineStr">
        <is>
          <t>Low-Med</t>
        </is>
      </c>
      <c r="H1654" s="33" t="inlineStr">
        <is>
          <t>Initial</t>
        </is>
      </c>
    </row>
    <row r="1655">
      <c r="A1655" s="33" t="inlineStr">
        <is>
          <t>2026-06-05</t>
        </is>
      </c>
      <c r="B1655" s="33" t="inlineStr">
        <is>
          <t>BESIY</t>
        </is>
      </c>
      <c r="C1655" s="33" t="inlineStr">
        <is>
          <t>R2</t>
        </is>
      </c>
      <c r="D1655" s="33" t="n">
        <v>2</v>
      </c>
      <c r="E1655" s="33" t="inlineStr">
        <is>
          <t>46% China revenue, 87% Asia; advanced-packaging tools are export-control-sensitive.</t>
        </is>
      </c>
      <c r="F1655" s="33" t="inlineStr">
        <is>
          <t>Q1-26 release geo split</t>
        </is>
      </c>
      <c r="G1655" s="33" t="inlineStr">
        <is>
          <t>Med</t>
        </is>
      </c>
      <c r="H1655" s="33" t="inlineStr">
        <is>
          <t>Initial</t>
        </is>
      </c>
    </row>
    <row r="1656">
      <c r="A1656" s="33" t="inlineStr">
        <is>
          <t>2026-06-05</t>
        </is>
      </c>
      <c r="B1656" s="33" t="inlineStr">
        <is>
          <t>BESIY</t>
        </is>
      </c>
      <c r="C1656" s="33" t="inlineStr">
        <is>
          <t>R3</t>
        </is>
      </c>
      <c r="D1656" s="33" t="n">
        <v>5</v>
      </c>
      <c r="E1656" s="33" t="inlineStr">
        <is>
          <t>Net cash €103M, gross cash €611M, strong FCF, no debt.</t>
        </is>
      </c>
      <c r="F1656" s="33" t="inlineStr">
        <is>
          <t>Q1-26 release</t>
        </is>
      </c>
      <c r="G1656" s="33" t="inlineStr">
        <is>
          <t>High</t>
        </is>
      </c>
      <c r="H1656" s="33" t="inlineStr">
        <is>
          <t>Initial</t>
        </is>
      </c>
    </row>
    <row r="1657">
      <c r="A1657" s="33" t="inlineStr">
        <is>
          <t>2026-06-05</t>
        </is>
      </c>
      <c r="B1657" s="33" t="inlineStr">
        <is>
          <t>BESIY</t>
        </is>
      </c>
      <c r="C1657" s="33" t="inlineStr">
        <is>
          <t>R4</t>
        </is>
      </c>
      <c r="D1657" s="33" t="n">
        <v>4</v>
      </c>
      <c r="E1657" s="33" t="inlineStr">
        <is>
          <t>No material litigation; primary regulatory vector is export controls (captured in R2).</t>
        </is>
      </c>
      <c r="F1657" s="33" t="inlineStr">
        <is>
          <t>context-2026-06-05.md</t>
        </is>
      </c>
      <c r="G1657" s="33" t="inlineStr">
        <is>
          <t>Med</t>
        </is>
      </c>
      <c r="H1657" s="33" t="inlineStr">
        <is>
          <t>Initial</t>
        </is>
      </c>
    </row>
    <row r="1658">
      <c r="A1658" s="33" t="inlineStr">
        <is>
          <t>2026-06-05</t>
        </is>
      </c>
      <c r="B1658" s="33" t="inlineStr">
        <is>
          <t>FORM</t>
        </is>
      </c>
      <c r="C1658" s="33" t="inlineStr">
        <is>
          <t>D1</t>
        </is>
      </c>
      <c r="D1658" s="33" t="n">
        <v>4</v>
      </c>
      <c r="E1658" s="33" t="inlineStr">
        <is>
          <t>DRAM 36.7% (HBM-led) + large AI-networking/HPC slice of F&amp;L 49.2%; AI the growth engine.</t>
        </is>
      </c>
      <c r="F1658" s="33" t="inlineStr">
        <is>
          <t>Q1 FY26 10-Q segments</t>
        </is>
      </c>
      <c r="G1658" s="33" t="inlineStr">
        <is>
          <t>Med</t>
        </is>
      </c>
      <c r="H1658" s="33" t="inlineStr">
        <is>
          <t>Initial</t>
        </is>
      </c>
    </row>
    <row r="1659">
      <c r="A1659" s="33" t="inlineStr">
        <is>
          <t>2026-06-05</t>
        </is>
      </c>
      <c r="B1659" s="33" t="inlineStr">
        <is>
          <t>FORM</t>
        </is>
      </c>
      <c r="C1659" s="33" t="inlineStr">
        <is>
          <t>D2</t>
        </is>
      </c>
      <c r="D1659" s="33" t="n">
        <v>4</v>
      </c>
      <c r="E1659" s="33" t="inlineStr">
        <is>
          <t>Upstream consumable, #1 share (~28.5%) in ~60% top-3 oligopoly; not 5 — Technoprobe gaining.</t>
        </is>
      </c>
      <c r="F1659" s="33" t="inlineStr">
        <is>
          <t>context-2026-06-05.md</t>
        </is>
      </c>
      <c r="G1659" s="33" t="inlineStr">
        <is>
          <t>High</t>
        </is>
      </c>
      <c r="H1659" s="33" t="inlineStr">
        <is>
          <t>Initial</t>
        </is>
      </c>
    </row>
    <row r="1660">
      <c r="A1660" s="33" t="inlineStr">
        <is>
          <t>2026-06-05</t>
        </is>
      </c>
      <c r="B1660" s="33" t="inlineStr">
        <is>
          <t>FORM</t>
        </is>
      </c>
      <c r="C1660" s="33" t="inlineStr">
        <is>
          <t>D3</t>
        </is>
      </c>
      <c r="D1660" s="33" t="n">
        <v>4</v>
      </c>
      <c r="E1660" s="33" t="inlineStr">
        <is>
          <t>MEMS/process IP + qual entanglement + scale; tempered by Technoprobe ~30% of TSMC 2nm quals.</t>
        </is>
      </c>
      <c r="F1660" s="33" t="inlineStr">
        <is>
          <t>context-2026-06-05.md</t>
        </is>
      </c>
      <c r="G1660" s="33" t="inlineStr">
        <is>
          <t>Med</t>
        </is>
      </c>
      <c r="H1660" s="33" t="inlineStr">
        <is>
          <t>Initial</t>
        </is>
      </c>
    </row>
    <row r="1661">
      <c r="A1661" s="33" t="inlineStr">
        <is>
          <t>2026-06-05</t>
        </is>
      </c>
      <c r="B1661" s="33" t="inlineStr">
        <is>
          <t>FORM</t>
        </is>
      </c>
      <c r="C1661" s="33" t="inlineStr">
        <is>
          <t>D4</t>
        </is>
      </c>
      <c r="D1661" s="33" t="n">
        <v>4</v>
      </c>
      <c r="E1661" s="33" t="inlineStr">
        <is>
          <t>Farmers Branch $140-170M 2026 build, funded, initial capacity late-2026.</t>
        </is>
      </c>
      <c r="F1661" s="33" t="inlineStr">
        <is>
          <t>Q1 FY26 10-Q</t>
        </is>
      </c>
      <c r="G1661" s="33" t="inlineStr">
        <is>
          <t>Med</t>
        </is>
      </c>
      <c r="H1661" s="33" t="inlineStr">
        <is>
          <t>Initial</t>
        </is>
      </c>
    </row>
    <row r="1662">
      <c r="A1662" s="33" t="inlineStr">
        <is>
          <t>2026-06-05</t>
        </is>
      </c>
      <c r="B1662" s="33" t="inlineStr">
        <is>
          <t>FORM</t>
        </is>
      </c>
      <c r="C1662" s="33" t="inlineStr">
        <is>
          <t>D5</t>
        </is>
      </c>
      <c r="D1662" s="33" t="n">
        <v>3</v>
      </c>
      <c r="E1662" s="33" t="inlineStr">
        <is>
          <t>Sells to memory/foundry + NVIDIA (10.2%), not hyperscalers directly.</t>
        </is>
      </c>
      <c r="F1662" s="33" t="inlineStr">
        <is>
          <t>Q1 FY26 10-Q</t>
        </is>
      </c>
      <c r="G1662" s="33" t="inlineStr">
        <is>
          <t>Med</t>
        </is>
      </c>
      <c r="H1662" s="33" t="inlineStr">
        <is>
          <t>Initial</t>
        </is>
      </c>
    </row>
    <row r="1663">
      <c r="A1663" s="33" t="inlineStr">
        <is>
          <t>2026-06-05</t>
        </is>
      </c>
      <c r="B1663" s="33" t="inlineStr">
        <is>
          <t>FORM</t>
        </is>
      </c>
      <c r="C1663" s="33" t="inlineStr">
        <is>
          <t>M1</t>
        </is>
      </c>
      <c r="D1663" s="33" t="n">
        <v>5</v>
      </c>
      <c r="E1663" s="33" t="inlineStr">
        <is>
          <t>Beat-and-raise; Zacks Rank #1, Q2/Q3/FY26 raised.</t>
        </is>
      </c>
      <c r="F1663" s="33" t="inlineStr">
        <is>
          <t>context-2026-06-05.md</t>
        </is>
      </c>
      <c r="G1663" s="33" t="inlineStr">
        <is>
          <t>High</t>
        </is>
      </c>
      <c r="H1663" s="33" t="inlineStr">
        <is>
          <t>Initial</t>
        </is>
      </c>
    </row>
    <row r="1664">
      <c r="A1664" s="33" t="inlineStr">
        <is>
          <t>2026-06-05</t>
        </is>
      </c>
      <c r="B1664" s="33" t="inlineStr">
        <is>
          <t>FORM</t>
        </is>
      </c>
      <c r="C1664" s="33" t="inlineStr">
        <is>
          <t>M2</t>
        </is>
      </c>
      <c r="D1664" s="33" t="n">
        <v>5</v>
      </c>
      <c r="E1664" s="33" t="inlineStr">
        <is>
          <t>+371% TTM, far ahead of SOXX/SMH.</t>
        </is>
      </c>
      <c r="F1664" s="33" t="inlineStr">
        <is>
          <t>context-2026-06-05.md</t>
        </is>
      </c>
      <c r="G1664" s="33" t="inlineStr">
        <is>
          <t>High</t>
        </is>
      </c>
      <c r="H1664" s="33" t="inlineStr">
        <is>
          <t>Initial</t>
        </is>
      </c>
    </row>
    <row r="1665">
      <c r="A1665" s="33" t="inlineStr">
        <is>
          <t>2026-06-05</t>
        </is>
      </c>
      <c r="B1665" s="33" t="inlineStr">
        <is>
          <t>FORM</t>
        </is>
      </c>
      <c r="C1665" s="33" t="inlineStr">
        <is>
          <t>M3</t>
        </is>
      </c>
      <c r="D1665" s="33" t="n">
        <v>3</v>
      </c>
      <c r="E1665" s="33" t="inlineStr">
        <is>
          <t>No open-market buys; CEO 9,438 sh via 10b5-1, routine director sells → default 3.</t>
        </is>
      </c>
      <c r="F1665" s="33" t="inlineStr">
        <is>
          <t>Form 4s</t>
        </is>
      </c>
      <c r="G1665" s="33" t="inlineStr">
        <is>
          <t>High</t>
        </is>
      </c>
      <c r="H1665" s="33" t="inlineStr">
        <is>
          <t>Initial</t>
        </is>
      </c>
    </row>
    <row r="1666">
      <c r="A1666" s="33" t="inlineStr">
        <is>
          <t>2026-06-05</t>
        </is>
      </c>
      <c r="B1666" s="33" t="inlineStr">
        <is>
          <t>FORM</t>
        </is>
      </c>
      <c r="C1666" s="33" t="inlineStr">
        <is>
          <t>R1</t>
        </is>
      </c>
      <c r="D1666" s="33" t="n">
        <v>3</v>
      </c>
      <c r="E1666" s="33" t="inlineStr">
        <is>
          <t>SK hynix 29.5%, NVIDIA 10.2%; real dependence, not existential.</t>
        </is>
      </c>
      <c r="F1666" s="33" t="inlineStr">
        <is>
          <t>Q1 FY26 10-Q Note 2</t>
        </is>
      </c>
      <c r="G1666" s="33" t="inlineStr">
        <is>
          <t>High</t>
        </is>
      </c>
      <c r="H1666" s="33" t="inlineStr">
        <is>
          <t>Initial</t>
        </is>
      </c>
    </row>
    <row r="1667">
      <c r="A1667" s="33" t="inlineStr">
        <is>
          <t>2026-06-05</t>
        </is>
      </c>
      <c r="B1667" s="33" t="inlineStr">
        <is>
          <t>FORM</t>
        </is>
      </c>
      <c r="C1667" s="33" t="inlineStr">
        <is>
          <t>R2</t>
        </is>
      </c>
      <c r="D1667" s="33" t="n">
        <v>4</v>
      </c>
      <c r="E1667" s="33" t="inlineStr">
        <is>
          <t>China only 5% and declining; Korea/Taiwan heavy but no probe-card export overhang.</t>
        </is>
      </c>
      <c r="F1667" s="33" t="inlineStr">
        <is>
          <t>Q1 FY26 10-Q geo</t>
        </is>
      </c>
      <c r="G1667" s="33" t="inlineStr">
        <is>
          <t>Med</t>
        </is>
      </c>
      <c r="H1667" s="33" t="inlineStr">
        <is>
          <t>Initial</t>
        </is>
      </c>
    </row>
    <row r="1668">
      <c r="A1668" s="33" t="inlineStr">
        <is>
          <t>2026-06-05</t>
        </is>
      </c>
      <c r="B1668" s="33" t="inlineStr">
        <is>
          <t>FORM</t>
        </is>
      </c>
      <c r="C1668" s="33" t="inlineStr">
        <is>
          <t>R3</t>
        </is>
      </c>
      <c r="D1668" s="33" t="n">
        <v>5</v>
      </c>
      <c r="E1668" s="33" t="inlineStr">
        <is>
          <t>Net cash $303M, negligible debt, undrawn revolver.</t>
        </is>
      </c>
      <c r="F1668" s="33" t="inlineStr">
        <is>
          <t>Q1 FY26 10-Q</t>
        </is>
      </c>
      <c r="G1668" s="33" t="inlineStr">
        <is>
          <t>High</t>
        </is>
      </c>
      <c r="H1668" s="33" t="inlineStr">
        <is>
          <t>Initial</t>
        </is>
      </c>
    </row>
    <row r="1669">
      <c r="A1669" s="33" t="inlineStr">
        <is>
          <t>2026-06-05</t>
        </is>
      </c>
      <c r="B1669" s="33" t="inlineStr">
        <is>
          <t>FORM</t>
        </is>
      </c>
      <c r="C1669" s="33" t="inlineStr">
        <is>
          <t>R4</t>
        </is>
      </c>
      <c r="D1669" s="33" t="n">
        <v>4</v>
      </c>
      <c r="E1669" s="33" t="inlineStr">
        <is>
          <t>No material litigation/regulatory overhang; routine only.</t>
        </is>
      </c>
      <c r="F1669" s="33" t="inlineStr">
        <is>
          <t>context-2026-06-05.md</t>
        </is>
      </c>
      <c r="G1669" s="33" t="inlineStr">
        <is>
          <t>Med</t>
        </is>
      </c>
      <c r="H1669" s="33" t="inlineStr">
        <is>
          <t>Initial</t>
        </is>
      </c>
    </row>
    <row r="1670">
      <c r="A1670" s="33" t="inlineStr">
        <is>
          <t>2026-06-05</t>
        </is>
      </c>
      <c r="B1670" s="33" t="inlineStr">
        <is>
          <t>AEIS</t>
        </is>
      </c>
      <c r="C1670" s="33" t="inlineStr">
        <is>
          <t>D1</t>
        </is>
      </c>
      <c r="D1670" s="33" t="n">
        <v>4</v>
      </c>
      <c r="E1670" s="33" t="inlineStr">
        <is>
          <t>DC Computing 38% (≈all AI) + AI slice of leading-edge semi; 25-50% band, top end.</t>
        </is>
      </c>
      <c r="F1670" s="33" t="inlineStr">
        <is>
          <t>Q1 2026 10-Q segments</t>
        </is>
      </c>
      <c r="G1670" s="33" t="inlineStr">
        <is>
          <t>Med</t>
        </is>
      </c>
      <c r="H1670" s="33" t="inlineStr">
        <is>
          <t>Initial</t>
        </is>
      </c>
    </row>
    <row r="1671">
      <c r="A1671" s="33" t="inlineStr">
        <is>
          <t>2026-06-05</t>
        </is>
      </c>
      <c r="B1671" s="33" t="inlineStr">
        <is>
          <t>AEIS</t>
        </is>
      </c>
      <c r="C1671" s="33" t="inlineStr">
        <is>
          <t>D2</t>
        </is>
      </c>
      <c r="D1671" s="33" t="n">
        <v>4</v>
      </c>
      <c r="E1671" s="33" t="inlineStr">
        <is>
          <t>Plasma power for etch/dep differentiated; few alternatives (MKS rival); margins firming.</t>
        </is>
      </c>
      <c r="F1671" s="33" t="inlineStr">
        <is>
          <t>context-2026-06-05.md</t>
        </is>
      </c>
      <c r="G1671" s="33" t="inlineStr">
        <is>
          <t>Med-High</t>
        </is>
      </c>
      <c r="H1671" s="33" t="inlineStr">
        <is>
          <t>Initial</t>
        </is>
      </c>
    </row>
    <row r="1672">
      <c r="A1672" s="33" t="inlineStr">
        <is>
          <t>2026-06-05</t>
        </is>
      </c>
      <c r="B1672" s="33" t="inlineStr">
        <is>
          <t>AEIS</t>
        </is>
      </c>
      <c r="C1672" s="33" t="inlineStr">
        <is>
          <t>D3</t>
        </is>
      </c>
      <c r="D1672" s="33" t="n">
        <v>3</v>
      </c>
      <c r="E1672" s="33" t="inlineStr">
        <is>
          <t>Plasma-power IP + OEM design-in switching costs real, but DC power contested (Vicor/Delta/Flex).</t>
        </is>
      </c>
      <c r="F1672" s="33" t="inlineStr">
        <is>
          <t>context-2026-06-05.md</t>
        </is>
      </c>
      <c r="G1672" s="33" t="inlineStr">
        <is>
          <t>Med</t>
        </is>
      </c>
      <c r="H1672" s="33" t="inlineStr">
        <is>
          <t>Initial</t>
        </is>
      </c>
    </row>
    <row r="1673">
      <c r="A1673" s="33" t="inlineStr">
        <is>
          <t>2026-06-05</t>
        </is>
      </c>
      <c r="B1673" s="33" t="inlineStr">
        <is>
          <t>AEIS</t>
        </is>
      </c>
      <c r="C1673" s="33" t="inlineStr">
        <is>
          <t>D4</t>
        </is>
      </c>
      <c r="D1673" s="33" t="n">
        <v>5</v>
      </c>
      <c r="E1673" s="33" t="inlineStr">
        <is>
          <t>Funded multi-geo buildout to $3.5B capacity; capex raised to $170-180M; demand-backed.</t>
        </is>
      </c>
      <c r="F1673" s="33" t="inlineStr">
        <is>
          <t>Q1 2026 call</t>
        </is>
      </c>
      <c r="G1673" s="33" t="inlineStr">
        <is>
          <t>High</t>
        </is>
      </c>
      <c r="H1673" s="33" t="inlineStr">
        <is>
          <t>Initial</t>
        </is>
      </c>
    </row>
    <row r="1674">
      <c r="A1674" s="33" t="inlineStr">
        <is>
          <t>2026-06-05</t>
        </is>
      </c>
      <c r="B1674" s="33" t="inlineStr">
        <is>
          <t>AEIS</t>
        </is>
      </c>
      <c r="C1674" s="33" t="inlineStr">
        <is>
          <t>D5</t>
        </is>
      </c>
      <c r="D1674" s="33" t="n">
        <v>4</v>
      </c>
      <c r="E1674" s="33" t="inlineStr">
        <is>
          <t>Explicit hyperscale AI-rack demand + second-wave wins; indirect (subsystem), not disclosed &gt;30%.</t>
        </is>
      </c>
      <c r="F1674" s="33" t="inlineStr">
        <is>
          <t>context-2026-06-05.md</t>
        </is>
      </c>
      <c r="G1674" s="33" t="inlineStr">
        <is>
          <t>Med</t>
        </is>
      </c>
      <c r="H1674" s="33" t="inlineStr">
        <is>
          <t>Initial</t>
        </is>
      </c>
    </row>
    <row r="1675">
      <c r="A1675" s="33" t="inlineStr">
        <is>
          <t>2026-06-05</t>
        </is>
      </c>
      <c r="B1675" s="33" t="inlineStr">
        <is>
          <t>AEIS</t>
        </is>
      </c>
      <c r="C1675" s="33" t="inlineStr">
        <is>
          <t>M1</t>
        </is>
      </c>
      <c r="D1675" s="33" t="n">
        <v>5</v>
      </c>
      <c r="E1675" s="33" t="inlineStr">
        <is>
          <t>Beat-and-raise; Q2+FY guide above consensus; PT hikes (Citi $410).</t>
        </is>
      </c>
      <c r="F1675" s="33" t="inlineStr">
        <is>
          <t>context-2026-06-05.md</t>
        </is>
      </c>
      <c r="G1675" s="33" t="inlineStr">
        <is>
          <t>High</t>
        </is>
      </c>
      <c r="H1675" s="33" t="inlineStr">
        <is>
          <t>Initial</t>
        </is>
      </c>
    </row>
    <row r="1676">
      <c r="A1676" s="33" t="inlineStr">
        <is>
          <t>2026-06-05</t>
        </is>
      </c>
      <c r="B1676" s="33" t="inlineStr">
        <is>
          <t>AEIS</t>
        </is>
      </c>
      <c r="C1676" s="33" t="inlineStr">
        <is>
          <t>M2</t>
        </is>
      </c>
      <c r="D1676" s="33" t="n">
        <v>5</v>
      </c>
      <c r="E1676" s="33" t="inlineStr">
        <is>
          <t>Major re-rating to ~$320, outperforming SOXX &gt;20%/6mo.</t>
        </is>
      </c>
      <c r="F1676" s="33" t="inlineStr">
        <is>
          <t>context-2026-06-05.md</t>
        </is>
      </c>
      <c r="G1676" s="33" t="inlineStr">
        <is>
          <t>Med-High</t>
        </is>
      </c>
      <c r="H1676" s="33" t="inlineStr">
        <is>
          <t>Initial</t>
        </is>
      </c>
    </row>
    <row r="1677">
      <c r="A1677" s="33" t="inlineStr">
        <is>
          <t>2026-06-05</t>
        </is>
      </c>
      <c r="B1677" s="33" t="inlineStr">
        <is>
          <t>AEIS</t>
        </is>
      </c>
      <c r="C1677" s="33" t="inlineStr">
        <is>
          <t>M3</t>
        </is>
      </c>
      <c r="D1677" s="33" t="n">
        <v>3</v>
      </c>
      <c r="E1677" s="33" t="inlineStr">
        <is>
          <t>Form 4 not pulled; default post-rally baseline.</t>
        </is>
      </c>
      <c r="F1677" s="33" t="inlineStr">
        <is>
          <t>pending Form 4 review</t>
        </is>
      </c>
      <c r="G1677" s="33" t="inlineStr">
        <is>
          <t>Low</t>
        </is>
      </c>
      <c r="H1677" s="33" t="inlineStr">
        <is>
          <t>Initial</t>
        </is>
      </c>
    </row>
    <row r="1678">
      <c r="A1678" s="33" t="inlineStr">
        <is>
          <t>2026-06-05</t>
        </is>
      </c>
      <c r="B1678" s="33" t="inlineStr">
        <is>
          <t>AEIS</t>
        </is>
      </c>
      <c r="C1678" s="33" t="inlineStr">
        <is>
          <t>R1</t>
        </is>
      </c>
      <c r="D1678" s="33" t="n">
        <v>3</v>
      </c>
      <c r="E1678" s="33" t="inlineStr">
        <is>
          <t>Historic AMAT/Lam top-2 semi concentration; 10-Q discloses no &gt;10% name this qtr — conservative midpoint.</t>
        </is>
      </c>
      <c r="F1678" s="33" t="inlineStr">
        <is>
          <t>Q1 2026 10-Q</t>
        </is>
      </c>
      <c r="G1678" s="33" t="inlineStr">
        <is>
          <t>Low-Med</t>
        </is>
      </c>
      <c r="H1678" s="33" t="inlineStr">
        <is>
          <t>Initial</t>
        </is>
      </c>
    </row>
    <row r="1679">
      <c r="A1679" s="33" t="inlineStr">
        <is>
          <t>2026-06-05</t>
        </is>
      </c>
      <c r="B1679" s="33" t="inlineStr">
        <is>
          <t>AEIS</t>
        </is>
      </c>
      <c r="C1679" s="33" t="inlineStr">
        <is>
          <t>R2</t>
        </is>
      </c>
      <c r="D1679" s="33" t="n">
        <v>3</v>
      </c>
      <c r="E1679" s="33" t="inlineStr">
        <is>
          <t>China within 'All others' 46%; Mexico 26% adds tariff (not export) exposure.</t>
        </is>
      </c>
      <c r="F1679" s="33" t="inlineStr">
        <is>
          <t>Q1 2026 10-Q geo</t>
        </is>
      </c>
      <c r="G1679" s="33" t="inlineStr">
        <is>
          <t>Med</t>
        </is>
      </c>
      <c r="H1679" s="33" t="inlineStr">
        <is>
          <t>Initial</t>
        </is>
      </c>
    </row>
    <row r="1680">
      <c r="A1680" s="33" t="inlineStr">
        <is>
          <t>2026-06-05</t>
        </is>
      </c>
      <c r="B1680" s="33" t="inlineStr">
        <is>
          <t>AEIS</t>
        </is>
      </c>
      <c r="C1680" s="33" t="inlineStr">
        <is>
          <t>R3</t>
        </is>
      </c>
      <c r="D1680" s="33" t="n">
        <v>5</v>
      </c>
      <c r="E1680" s="33" t="inlineStr">
        <is>
          <t>Net cash ~$700M, convert due 2028, strong FCF.</t>
        </is>
      </c>
      <c r="F1680" s="33" t="inlineStr">
        <is>
          <t>Q1 2026 10-Q</t>
        </is>
      </c>
      <c r="G1680" s="33" t="inlineStr">
        <is>
          <t>High</t>
        </is>
      </c>
      <c r="H1680" s="33" t="inlineStr">
        <is>
          <t>Initial</t>
        </is>
      </c>
    </row>
    <row r="1681">
      <c r="A1681" s="33" t="inlineStr">
        <is>
          <t>2026-06-05</t>
        </is>
      </c>
      <c r="B1681" s="33" t="inlineStr">
        <is>
          <t>AEIS</t>
        </is>
      </c>
      <c r="C1681" s="33" t="inlineStr">
        <is>
          <t>R4</t>
        </is>
      </c>
      <c r="D1681" s="33" t="n">
        <v>4</v>
      </c>
      <c r="E1681" s="33" t="inlineStr">
        <is>
          <t>Routine only; tariffs are a margin not legal risk.</t>
        </is>
      </c>
      <c r="F1681" s="33" t="inlineStr">
        <is>
          <t>context-2026-06-05.md</t>
        </is>
      </c>
      <c r="G1681" s="33" t="inlineStr">
        <is>
          <t>Med-High</t>
        </is>
      </c>
      <c r="H1681" s="33" t="inlineStr">
        <is>
          <t>Initial</t>
        </is>
      </c>
    </row>
    <row r="1682">
      <c r="A1682" s="33" t="inlineStr">
        <is>
          <t>2026-06-05</t>
        </is>
      </c>
      <c r="B1682" s="33" t="inlineStr">
        <is>
          <t>NVTS</t>
        </is>
      </c>
      <c r="C1682" s="33" t="inlineStr">
        <is>
          <t>D1</t>
        </is>
      </c>
      <c r="D1682" s="33" t="n">
        <v>2</v>
      </c>
      <c r="E1682" s="33" t="inlineStr">
        <is>
          <t>'High-power' is majority of a tiny base, but AI-specific revenue is small in absolute $ and forward-looking.</t>
        </is>
      </c>
      <c r="F1682" s="33" t="inlineStr">
        <is>
          <t>Q1'26 10-Q + call</t>
        </is>
      </c>
      <c r="G1682" s="33" t="inlineStr">
        <is>
          <t>Med</t>
        </is>
      </c>
      <c r="H1682" s="33" t="inlineStr">
        <is>
          <t>Initial</t>
        </is>
      </c>
    </row>
    <row r="1683">
      <c r="A1683" s="33" t="inlineStr">
        <is>
          <t>2026-06-05</t>
        </is>
      </c>
      <c r="B1683" s="33" t="inlineStr">
        <is>
          <t>NVTS</t>
        </is>
      </c>
      <c r="C1683" s="33" t="inlineStr">
        <is>
          <t>D2</t>
        </is>
      </c>
      <c r="D1683" s="33" t="n">
        <v>2</v>
      </c>
      <c r="E1683" s="33" t="inlineStr">
        <is>
          <t>Mid-chain GaN/SiC w/ many competitors; NVIDIA multi-sourced the 800V design — no demonstrated pricing power.</t>
        </is>
      </c>
      <c r="F1683" s="33" t="inlineStr">
        <is>
          <t>context-2026-06-05.md</t>
        </is>
      </c>
      <c r="G1683" s="33" t="inlineStr">
        <is>
          <t>Med</t>
        </is>
      </c>
      <c r="H1683" s="33" t="inlineStr">
        <is>
          <t>Initial</t>
        </is>
      </c>
    </row>
    <row r="1684">
      <c r="A1684" s="33" t="inlineStr">
        <is>
          <t>2026-06-05</t>
        </is>
      </c>
      <c r="B1684" s="33" t="inlineStr">
        <is>
          <t>NVTS</t>
        </is>
      </c>
      <c r="C1684" s="33" t="inlineStr">
        <is>
          <t>D3</t>
        </is>
      </c>
      <c r="D1684" s="33" t="n">
        <v>2</v>
      </c>
      <c r="E1684" s="33" t="inlineStr">
        <is>
          <t>GaN/SiC IP real but not unique; TI/Infineon/Renesas/PI/EPC compete; customers can swap.</t>
        </is>
      </c>
      <c r="F1684" s="33" t="inlineStr">
        <is>
          <t>context-2026-06-05.md</t>
        </is>
      </c>
      <c r="G1684" s="33" t="inlineStr">
        <is>
          <t>Med</t>
        </is>
      </c>
      <c r="H1684" s="33" t="inlineStr">
        <is>
          <t>Initial</t>
        </is>
      </c>
    </row>
    <row r="1685">
      <c r="A1685" s="33" t="inlineStr">
        <is>
          <t>2026-06-05</t>
        </is>
      </c>
      <c r="B1685" s="33" t="inlineStr">
        <is>
          <t>NVTS</t>
        </is>
      </c>
      <c r="C1685" s="33" t="inlineStr">
        <is>
          <t>D4</t>
        </is>
      </c>
      <c r="D1685" s="33" t="n">
        <v>3</v>
      </c>
      <c r="E1685" s="33" t="inlineStr">
        <is>
          <t>Fabless/asset-light (TSMC GaN); not a capex story — neutral steady-state.</t>
        </is>
      </c>
      <c r="F1685" s="33" t="inlineStr">
        <is>
          <t>context-2026-06-05.md</t>
        </is>
      </c>
      <c r="G1685" s="33" t="inlineStr">
        <is>
          <t>Med</t>
        </is>
      </c>
      <c r="H1685" s="33" t="inlineStr">
        <is>
          <t>Initial</t>
        </is>
      </c>
    </row>
    <row r="1686">
      <c r="A1686" s="33" t="inlineStr">
        <is>
          <t>2026-06-05</t>
        </is>
      </c>
      <c r="B1686" s="33" t="inlineStr">
        <is>
          <t>NVTS</t>
        </is>
      </c>
      <c r="C1686" s="33" t="inlineStr">
        <is>
          <t>D5</t>
        </is>
      </c>
      <c r="D1686" s="33" t="n">
        <v>2</v>
      </c>
      <c r="E1686" s="33" t="inlineStr">
        <is>
          <t>Indirect — sells into NVIDIA reference design, not hyperscalers, and not yet at revenue.</t>
        </is>
      </c>
      <c r="F1686" s="33" t="inlineStr">
        <is>
          <t>context-2026-06-05.md</t>
        </is>
      </c>
      <c r="G1686" s="33" t="inlineStr">
        <is>
          <t>Med</t>
        </is>
      </c>
      <c r="H1686" s="33" t="inlineStr">
        <is>
          <t>Initial</t>
        </is>
      </c>
    </row>
    <row r="1687">
      <c r="A1687" s="33" t="inlineStr">
        <is>
          <t>2026-06-05</t>
        </is>
      </c>
      <c r="B1687" s="33" t="inlineStr">
        <is>
          <t>NVTS</t>
        </is>
      </c>
      <c r="C1687" s="33" t="inlineStr">
        <is>
          <t>M1</t>
        </is>
      </c>
      <c r="D1687" s="33" t="n">
        <v>4</v>
      </c>
      <c r="E1687" s="33" t="inlineStr">
        <is>
          <t>Consensus revenue revised up on the NVIDIA narrative; still loss-making so not a clean 5.</t>
        </is>
      </c>
      <c r="F1687" s="33" t="inlineStr">
        <is>
          <t>context-2026-06-05.md</t>
        </is>
      </c>
      <c r="G1687" s="33" t="inlineStr">
        <is>
          <t>Med</t>
        </is>
      </c>
      <c r="H1687" s="33" t="inlineStr">
        <is>
          <t>Initial</t>
        </is>
      </c>
    </row>
    <row r="1688">
      <c r="A1688" s="33" t="inlineStr">
        <is>
          <t>2026-06-05</t>
        </is>
      </c>
      <c r="B1688" s="33" t="inlineStr">
        <is>
          <t>NVTS</t>
        </is>
      </c>
      <c r="C1688" s="33" t="inlineStr">
        <is>
          <t>M2</t>
        </is>
      </c>
      <c r="D1688" s="33" t="n">
        <v>5</v>
      </c>
      <c r="E1688" s="33" t="inlineStr">
        <is>
          <t>+262% YTD vs SOXX — extreme outperformance.</t>
        </is>
      </c>
      <c r="F1688" s="33" t="inlineStr">
        <is>
          <t>context-2026-06-05.md</t>
        </is>
      </c>
      <c r="G1688" s="33" t="inlineStr">
        <is>
          <t>High</t>
        </is>
      </c>
      <c r="H1688" s="33" t="inlineStr">
        <is>
          <t>Initial</t>
        </is>
      </c>
    </row>
    <row r="1689">
      <c r="A1689" s="33" t="inlineStr">
        <is>
          <t>2026-06-05</t>
        </is>
      </c>
      <c r="B1689" s="33" t="inlineStr">
        <is>
          <t>NVTS</t>
        </is>
      </c>
      <c r="C1689" s="33" t="inlineStr">
        <is>
          <t>M3</t>
        </is>
      </c>
      <c r="D1689" s="33" t="n">
        <v>3</v>
      </c>
      <c r="E1689" s="33" t="inlineStr">
        <is>
          <t>Only sells (CEO 13.3k @$31.81) + a gift; no open-market buys → baseline 3.</t>
        </is>
      </c>
      <c r="F1689" s="33" t="inlineStr">
        <is>
          <t>Form 4s</t>
        </is>
      </c>
      <c r="G1689" s="33" t="inlineStr">
        <is>
          <t>High</t>
        </is>
      </c>
      <c r="H1689" s="33" t="inlineStr">
        <is>
          <t>Initial</t>
        </is>
      </c>
    </row>
    <row r="1690">
      <c r="A1690" s="33" t="inlineStr">
        <is>
          <t>2026-06-05</t>
        </is>
      </c>
      <c r="B1690" s="33" t="inlineStr">
        <is>
          <t>NVTS</t>
        </is>
      </c>
      <c r="C1690" s="33" t="inlineStr">
        <is>
          <t>R1</t>
        </is>
      </c>
      <c r="D1690" s="33" t="n">
        <v>3</v>
      </c>
      <c r="E1690" s="33" t="inlineStr">
        <is>
          <t>Legacy diffuse, but future AI revenue concentrates on the NVIDIA ecosystem (disclosed risk).</t>
        </is>
      </c>
      <c r="F1690" s="33" t="inlineStr">
        <is>
          <t>context-2026-06-05.md</t>
        </is>
      </c>
      <c r="G1690" s="33" t="inlineStr">
        <is>
          <t>Low</t>
        </is>
      </c>
      <c r="H1690" s="33" t="inlineStr">
        <is>
          <t>Initial</t>
        </is>
      </c>
    </row>
    <row r="1691">
      <c r="A1691" s="33" t="inlineStr">
        <is>
          <t>2026-06-05</t>
        </is>
      </c>
      <c r="B1691" s="33" t="inlineStr">
        <is>
          <t>NVTS</t>
        </is>
      </c>
      <c r="C1691" s="33" t="inlineStr">
        <is>
          <t>R2</t>
        </is>
      </c>
      <c r="D1691" s="33" t="n">
        <v>3</v>
      </c>
      <c r="E1691" s="33" t="inlineStr">
        <is>
          <t>Meaningful Asia/China consumer revenue (declining); fabless via TSMC; no direct export hit.</t>
        </is>
      </c>
      <c r="F1691" s="33" t="inlineStr">
        <is>
          <t>context-2026-06-05.md</t>
        </is>
      </c>
      <c r="G1691" s="33" t="inlineStr">
        <is>
          <t>Med</t>
        </is>
      </c>
      <c r="H1691" s="33" t="inlineStr">
        <is>
          <t>Initial</t>
        </is>
      </c>
    </row>
    <row r="1692">
      <c r="A1692" s="33" t="inlineStr">
        <is>
          <t>2026-06-05</t>
        </is>
      </c>
      <c r="B1692" s="33" t="inlineStr">
        <is>
          <t>NVTS</t>
        </is>
      </c>
      <c r="C1692" s="33" t="inlineStr">
        <is>
          <t>R3</t>
        </is>
      </c>
      <c r="D1692" s="33" t="n">
        <v>3</v>
      </c>
      <c r="E1692" s="33" t="inlineStr">
        <is>
          <t>Net cash ~$221M, no major debt, BUT ~$16M/qtr burn funded by serial dilution pulls it to 3.</t>
        </is>
      </c>
      <c r="F1692" s="33" t="inlineStr">
        <is>
          <t>Q1'26 10-Q cash flow</t>
        </is>
      </c>
      <c r="G1692" s="33" t="inlineStr">
        <is>
          <t>Med</t>
        </is>
      </c>
      <c r="H1692" s="33" t="inlineStr">
        <is>
          <t>Initial</t>
        </is>
      </c>
    </row>
    <row r="1693">
      <c r="A1693" s="33" t="inlineStr">
        <is>
          <t>2026-06-05</t>
        </is>
      </c>
      <c r="B1693" s="33" t="inlineStr">
        <is>
          <t>NVTS</t>
        </is>
      </c>
      <c r="C1693" s="33" t="inlineStr">
        <is>
          <t>R4</t>
        </is>
      </c>
      <c r="D1693" s="33" t="n">
        <v>4</v>
      </c>
      <c r="E1693" s="33" t="inlineStr">
        <is>
          <t>Live Oak/SPAC settlement + earn-out shares are housekeeping, not existential.</t>
        </is>
      </c>
      <c r="F1693" s="33" t="inlineStr">
        <is>
          <t>context-2026-06-05.md</t>
        </is>
      </c>
      <c r="G1693" s="33" t="inlineStr">
        <is>
          <t>Med</t>
        </is>
      </c>
      <c r="H1693" s="33" t="inlineStr">
        <is>
          <t>Initial</t>
        </is>
      </c>
    </row>
    <row r="1694">
      <c r="A1694" s="33" t="inlineStr">
        <is>
          <t>2026-06-05</t>
        </is>
      </c>
      <c r="B1694" s="33" t="inlineStr">
        <is>
          <t>LSCC</t>
        </is>
      </c>
      <c r="C1694" s="33" t="inlineStr">
        <is>
          <t>D1</t>
        </is>
      </c>
      <c r="D1694" s="33" t="n">
        <v>4</v>
      </c>
      <c r="E1694" s="33" t="inlineStr">
        <is>
          <t>Company-stated AI = 25% of 2026 rev (band 25-50%); trajectory mid-teens→high-teens→25%.</t>
        </is>
      </c>
      <c r="F1694" s="33" t="inlineStr">
        <is>
          <t>Q1 2026 call</t>
        </is>
      </c>
      <c r="G1694" s="33" t="inlineStr">
        <is>
          <t>High</t>
        </is>
      </c>
      <c r="H1694" s="33" t="inlineStr">
        <is>
          <t>Initial</t>
        </is>
      </c>
    </row>
    <row r="1695">
      <c r="A1695" s="33" t="inlineStr">
        <is>
          <t>2026-06-05</t>
        </is>
      </c>
      <c r="B1695" s="33" t="inlineStr">
        <is>
          <t>LSCC</t>
        </is>
      </c>
      <c r="C1695" s="33" t="inlineStr">
        <is>
          <t>D2</t>
        </is>
      </c>
      <c r="D1695" s="33" t="n">
        <v>4</v>
      </c>
      <c r="E1695" s="33" t="inlineStr">
        <is>
          <t>Low-power FPGA leadership, few substitutes (Altera/Microchip); 68-70% GM = pricing power.</t>
        </is>
      </c>
      <c r="F1695" s="33" t="inlineStr">
        <is>
          <t>context-2026-06-05.md</t>
        </is>
      </c>
      <c r="G1695" s="33" t="inlineStr">
        <is>
          <t>Med</t>
        </is>
      </c>
      <c r="H1695" s="33" t="inlineStr">
        <is>
          <t>Initial</t>
        </is>
      </c>
    </row>
    <row r="1696">
      <c r="A1696" s="33" t="inlineStr">
        <is>
          <t>2026-06-05</t>
        </is>
      </c>
      <c r="B1696" s="33" t="inlineStr">
        <is>
          <t>LSCC</t>
        </is>
      </c>
      <c r="C1696" s="33" t="inlineStr">
        <is>
          <t>D3</t>
        </is>
      </c>
      <c r="D1696" s="33" t="n">
        <v>4</v>
      </c>
      <c r="E1696" s="33" t="inlineStr">
        <is>
          <t>IP + design-in switching costs; AMI adds firmware/manageability stickiness; held below 5 (small-die).</t>
        </is>
      </c>
      <c r="F1696" s="33" t="inlineStr">
        <is>
          <t>context-2026-06-05.md</t>
        </is>
      </c>
      <c r="G1696" s="33" t="inlineStr">
        <is>
          <t>Med</t>
        </is>
      </c>
      <c r="H1696" s="33" t="inlineStr">
        <is>
          <t>Initial</t>
        </is>
      </c>
    </row>
    <row r="1697">
      <c r="A1697" s="33" t="inlineStr">
        <is>
          <t>2026-06-05</t>
        </is>
      </c>
      <c r="B1697" s="33" t="inlineStr">
        <is>
          <t>LSCC</t>
        </is>
      </c>
      <c r="C1697" s="33" t="inlineStr">
        <is>
          <t>D4</t>
        </is>
      </c>
      <c r="D1697" s="33" t="n">
        <v>3</v>
      </c>
      <c r="E1697" s="33" t="inlineStr">
        <is>
          <t>Fabless, no fab capex; 'expansion' is roadmap + AMI M&amp;A, not a funded buildout.</t>
        </is>
      </c>
      <c r="F1697" s="33" t="inlineStr">
        <is>
          <t>context-2026-06-05.md</t>
        </is>
      </c>
      <c r="G1697" s="33" t="inlineStr">
        <is>
          <t>Med</t>
        </is>
      </c>
      <c r="H1697" s="33" t="inlineStr">
        <is>
          <t>Initial</t>
        </is>
      </c>
    </row>
    <row r="1698">
      <c r="A1698" s="33" t="inlineStr">
        <is>
          <t>2026-06-05</t>
        </is>
      </c>
      <c r="B1698" s="33" t="inlineStr">
        <is>
          <t>LSCC</t>
        </is>
      </c>
      <c r="C1698" s="33" t="inlineStr">
        <is>
          <t>D5</t>
        </is>
      </c>
      <c r="D1698" s="33" t="n">
        <v>4</v>
      </c>
      <c r="E1698" s="33" t="inlineStr">
        <is>
          <t>Asia +71% 'due to hyperscaler demand', design wins at top cloud providers, servers 38%; indirect via distributors.</t>
        </is>
      </c>
      <c r="F1698" s="33" t="inlineStr">
        <is>
          <t>Q1 2026 10-Q</t>
        </is>
      </c>
      <c r="G1698" s="33" t="inlineStr">
        <is>
          <t>Med</t>
        </is>
      </c>
      <c r="H1698" s="33" t="inlineStr">
        <is>
          <t>Initial</t>
        </is>
      </c>
    </row>
    <row r="1699">
      <c r="A1699" s="33" t="inlineStr">
        <is>
          <t>2026-06-05</t>
        </is>
      </c>
      <c r="B1699" s="33" t="inlineStr">
        <is>
          <t>LSCC</t>
        </is>
      </c>
      <c r="C1699" s="33" t="inlineStr">
        <is>
          <t>M1</t>
        </is>
      </c>
      <c r="D1699" s="33" t="n">
        <v>5</v>
      </c>
      <c r="E1699" s="33" t="inlineStr">
        <is>
          <t>Beat-and-raise; mean PT $91→$145, multiple upward revisions post-Q1.</t>
        </is>
      </c>
      <c r="F1699" s="33" t="inlineStr">
        <is>
          <t>context-2026-06-05.md</t>
        </is>
      </c>
      <c r="G1699" s="33" t="inlineStr">
        <is>
          <t>High</t>
        </is>
      </c>
      <c r="H1699" s="33" t="inlineStr">
        <is>
          <t>Initial</t>
        </is>
      </c>
    </row>
    <row r="1700">
      <c r="A1700" s="33" t="inlineStr">
        <is>
          <t>2026-06-05</t>
        </is>
      </c>
      <c r="B1700" s="33" t="inlineStr">
        <is>
          <t>LSCC</t>
        </is>
      </c>
      <c r="C1700" s="33" t="inlineStr">
        <is>
          <t>M2</t>
        </is>
      </c>
      <c r="D1700" s="33" t="n">
        <v>5</v>
      </c>
      <c r="E1700" s="33" t="inlineStr">
        <is>
          <t>~+50% YTD, outperforming SOXX &gt;20%/6mo.</t>
        </is>
      </c>
      <c r="F1700" s="33" t="inlineStr">
        <is>
          <t>context-2026-06-05.md</t>
        </is>
      </c>
      <c r="G1700" s="33" t="inlineStr">
        <is>
          <t>Med</t>
        </is>
      </c>
      <c r="H1700" s="33" t="inlineStr">
        <is>
          <t>Initial</t>
        </is>
      </c>
    </row>
    <row r="1701">
      <c r="A1701" s="33" t="inlineStr">
        <is>
          <t>2026-06-05</t>
        </is>
      </c>
      <c r="B1701" s="33" t="inlineStr">
        <is>
          <t>LSCC</t>
        </is>
      </c>
      <c r="C1701" s="33" t="inlineStr">
        <is>
          <t>M3</t>
        </is>
      </c>
      <c r="D1701" s="33" t="n">
        <v>4</v>
      </c>
      <c r="E1701" s="33" t="inlineStr">
        <is>
          <t>CEO Tamer open-market buy $1.89M/30k sh Nov 2025 (&gt;$1M single buyer → 4).</t>
        </is>
      </c>
      <c r="F1701" s="33" t="inlineStr">
        <is>
          <t>Form 4 Nov 2025</t>
        </is>
      </c>
      <c r="G1701" s="33" t="inlineStr">
        <is>
          <t>Med</t>
        </is>
      </c>
      <c r="H1701" s="33" t="inlineStr">
        <is>
          <t>Initial</t>
        </is>
      </c>
    </row>
    <row r="1702">
      <c r="A1702" s="33" t="inlineStr">
        <is>
          <t>2026-06-05</t>
        </is>
      </c>
      <c r="B1702" s="33" t="inlineStr">
        <is>
          <t>LSCC</t>
        </is>
      </c>
      <c r="C1702" s="33" t="inlineStr">
        <is>
          <t>R1</t>
        </is>
      </c>
      <c r="D1702" s="33" t="n">
        <v>4</v>
      </c>
      <c r="E1702" s="33" t="inlineStr">
        <is>
          <t>No &gt;10% end-customer in 10-Q; 94% distributor sell-through diffuses direct dependence.</t>
        </is>
      </c>
      <c r="F1702" s="33" t="inlineStr">
        <is>
          <t>Q1 2026 10-Q</t>
        </is>
      </c>
      <c r="G1702" s="33" t="inlineStr">
        <is>
          <t>Low</t>
        </is>
      </c>
      <c r="H1702" s="33" t="inlineStr">
        <is>
          <t>Initial</t>
        </is>
      </c>
    </row>
    <row r="1703">
      <c r="A1703" s="33" t="inlineStr">
        <is>
          <t>2026-06-05</t>
        </is>
      </c>
      <c r="B1703" s="33" t="inlineStr">
        <is>
          <t>LSCC</t>
        </is>
      </c>
      <c r="C1703" s="33" t="inlineStr">
        <is>
          <t>R2</t>
        </is>
      </c>
      <c r="D1703" s="33" t="n">
        <v>3</v>
      </c>
      <c r="E1703" s="33" t="inlineStr">
        <is>
          <t>77.6% ships to Asia (hyperscaler-routed); FPGAs not export-controlled but heavy China-region routing.</t>
        </is>
      </c>
      <c r="F1703" s="33" t="inlineStr">
        <is>
          <t>Q1 2026 10-Q geo</t>
        </is>
      </c>
      <c r="G1703" s="33" t="inlineStr">
        <is>
          <t>Med</t>
        </is>
      </c>
      <c r="H1703" s="33" t="inlineStr">
        <is>
          <t>Initial</t>
        </is>
      </c>
    </row>
    <row r="1704">
      <c r="A1704" s="33" t="inlineStr">
        <is>
          <t>2026-06-05</t>
        </is>
      </c>
      <c r="B1704" s="33" t="inlineStr">
        <is>
          <t>LSCC</t>
        </is>
      </c>
      <c r="C1704" s="33" t="inlineStr">
        <is>
          <t>R3</t>
        </is>
      </c>
      <c r="D1704" s="33" t="n">
        <v>3</v>
      </c>
      <c r="E1704" s="33" t="inlineStr">
        <is>
          <t>Pre-deal net cash, BUT post-AMI ~$950M term loan + $200M revolver, pro forma ND/EBITDA ~2-3x.</t>
        </is>
      </c>
      <c r="F1704" s="33" t="inlineStr">
        <is>
          <t>AMI deal 2026-05-04</t>
        </is>
      </c>
      <c r="G1704" s="33" t="inlineStr">
        <is>
          <t>Med</t>
        </is>
      </c>
      <c r="H1704" s="33" t="inlineStr">
        <is>
          <t>Initial</t>
        </is>
      </c>
    </row>
    <row r="1705">
      <c r="A1705" s="33" t="inlineStr">
        <is>
          <t>2026-06-05</t>
        </is>
      </c>
      <c r="B1705" s="33" t="inlineStr">
        <is>
          <t>LSCC</t>
        </is>
      </c>
      <c r="C1705" s="33" t="inlineStr">
        <is>
          <t>R4</t>
        </is>
      </c>
      <c r="D1705" s="33" t="n">
        <v>4</v>
      </c>
      <c r="E1705" s="33" t="inlineStr">
        <is>
          <t>Clean docket; only overhang is routine HSR review of the AMI deal.</t>
        </is>
      </c>
      <c r="F1705" s="33" t="inlineStr">
        <is>
          <t>context-2026-06-05.md</t>
        </is>
      </c>
      <c r="G1705" s="33" t="inlineStr">
        <is>
          <t>High</t>
        </is>
      </c>
      <c r="H1705" s="33" t="inlineStr">
        <is>
          <t>Initial</t>
        </is>
      </c>
    </row>
    <row r="1706">
      <c r="A1706" s="33" t="inlineStr">
        <is>
          <t>2026-06-05</t>
        </is>
      </c>
      <c r="B1706" s="33" t="inlineStr">
        <is>
          <t>RMBS</t>
        </is>
      </c>
      <c r="C1706" s="33" t="inlineStr">
        <is>
          <t>D1</t>
        </is>
      </c>
      <c r="D1706" s="33" t="n">
        <v>3</v>
      </c>
      <c r="E1706" s="33" t="inlineStr">
        <is>
          <t>Product (RCD/companion) server-DRAM-tied (AI+general), royalties broad DRAM; meaningful but not cleanly &gt;50% AI.</t>
        </is>
      </c>
      <c r="F1706" s="33" t="inlineStr">
        <is>
          <t>context-2026-06-05.md; Q1 FY26 10-Q</t>
        </is>
      </c>
      <c r="G1706" s="33" t="inlineStr">
        <is>
          <t>Med</t>
        </is>
      </c>
      <c r="H1706" s="33" t="inlineStr">
        <is>
          <t>Initial</t>
        </is>
      </c>
    </row>
    <row r="1707">
      <c r="A1707" s="33" t="inlineStr">
        <is>
          <t>2026-06-05</t>
        </is>
      </c>
      <c r="B1707" s="33" t="inlineStr">
        <is>
          <t>RMBS</t>
        </is>
      </c>
      <c r="C1707" s="33" t="inlineStr">
        <is>
          <t>D2</t>
        </is>
      </c>
      <c r="D1707" s="33" t="n">
        <v>4</v>
      </c>
      <c r="E1707" s="33" t="inlineStr">
        <is>
          <t>Mid-40% DDR5 RCD share in a 3-supplier oligopoly; high qual/switching cost; not sole-source.</t>
        </is>
      </c>
      <c r="F1707" s="33" t="inlineStr">
        <is>
          <t>Q1 FY26 call</t>
        </is>
      </c>
      <c r="G1707" s="33" t="inlineStr">
        <is>
          <t>High</t>
        </is>
      </c>
      <c r="H1707" s="33" t="inlineStr">
        <is>
          <t>Initial</t>
        </is>
      </c>
    </row>
    <row r="1708">
      <c r="A1708" s="33" t="inlineStr">
        <is>
          <t>2026-06-05</t>
        </is>
      </c>
      <c r="B1708" s="33" t="inlineStr">
        <is>
          <t>RMBS</t>
        </is>
      </c>
      <c r="C1708" s="33" t="inlineStr">
        <is>
          <t>D3</t>
        </is>
      </c>
      <c r="D1708" s="33" t="n">
        <v>4</v>
      </c>
      <c r="E1708" s="33" t="inlineStr">
        <is>
          <t>Deep memory-interface IP + DDR5 chipset lock-in + HBM4E controller IP leadership.</t>
        </is>
      </c>
      <c r="F1708" s="33" t="inlineStr">
        <is>
          <t>context-2026-06-05.md</t>
        </is>
      </c>
      <c r="G1708" s="33" t="inlineStr">
        <is>
          <t>Med-High</t>
        </is>
      </c>
      <c r="H1708" s="33" t="inlineStr">
        <is>
          <t>Initial</t>
        </is>
      </c>
    </row>
    <row r="1709">
      <c r="A1709" s="33" t="inlineStr">
        <is>
          <t>2026-06-05</t>
        </is>
      </c>
      <c r="B1709" s="33" t="inlineStr">
        <is>
          <t>RMBS</t>
        </is>
      </c>
      <c r="C1709" s="33" t="inlineStr">
        <is>
          <t>D4</t>
        </is>
      </c>
      <c r="D1709" s="33" t="n">
        <v>3</v>
      </c>
      <c r="E1709" s="33" t="inlineStr">
        <is>
          <t>Fabless; capacity = back-end supply allocation (tight), no multi-yr capex program.</t>
        </is>
      </c>
      <c r="F1709" s="33" t="inlineStr">
        <is>
          <t>context-2026-06-05.md</t>
        </is>
      </c>
      <c r="G1709" s="33" t="inlineStr">
        <is>
          <t>Med</t>
        </is>
      </c>
      <c r="H1709" s="33" t="inlineStr">
        <is>
          <t>Initial</t>
        </is>
      </c>
    </row>
    <row r="1710">
      <c r="A1710" s="33" t="inlineStr">
        <is>
          <t>2026-06-05</t>
        </is>
      </c>
      <c r="B1710" s="33" t="inlineStr">
        <is>
          <t>RMBS</t>
        </is>
      </c>
      <c r="C1710" s="33" t="inlineStr">
        <is>
          <t>D5</t>
        </is>
      </c>
      <c r="D1710" s="33" t="n">
        <v>3</v>
      </c>
      <c r="E1710" s="33" t="inlineStr">
        <is>
          <t>Indirect via memory makers/module OEMs; some Tier-1 custom-silicon IP wins, not concentrated direct.</t>
        </is>
      </c>
      <c r="F1710" s="33" t="inlineStr">
        <is>
          <t>context-2026-06-05.md</t>
        </is>
      </c>
      <c r="G1710" s="33" t="inlineStr">
        <is>
          <t>Med</t>
        </is>
      </c>
      <c r="H1710" s="33" t="inlineStr">
        <is>
          <t>Initial</t>
        </is>
      </c>
    </row>
    <row r="1711">
      <c r="A1711" s="33" t="inlineStr">
        <is>
          <t>2026-06-05</t>
        </is>
      </c>
      <c r="B1711" s="33" t="inlineStr">
        <is>
          <t>RMBS</t>
        </is>
      </c>
      <c r="C1711" s="33" t="inlineStr">
        <is>
          <t>M1</t>
        </is>
      </c>
      <c r="D1711" s="33" t="n">
        <v>4</v>
      </c>
      <c r="E1711" s="33" t="inlineStr">
        <is>
          <t>Q1 product beat-and-raise; PT hikes (Evercore $172, Rosenblatt $150).</t>
        </is>
      </c>
      <c r="F1711" s="33" t="inlineStr">
        <is>
          <t>context-2026-06-05.md</t>
        </is>
      </c>
      <c r="G1711" s="33" t="inlineStr">
        <is>
          <t>Med</t>
        </is>
      </c>
      <c r="H1711" s="33" t="inlineStr">
        <is>
          <t>Initial</t>
        </is>
      </c>
    </row>
    <row r="1712">
      <c r="A1712" s="33" t="inlineStr">
        <is>
          <t>2026-06-05</t>
        </is>
      </c>
      <c r="B1712" s="33" t="inlineStr">
        <is>
          <t>RMBS</t>
        </is>
      </c>
      <c r="C1712" s="33" t="inlineStr">
        <is>
          <t>M2</t>
        </is>
      </c>
      <c r="D1712" s="33" t="n">
        <v>4</v>
      </c>
      <c r="E1712" s="33" t="inlineStr">
        <is>
          <t>+~20% YTD, outperforming SOXX.</t>
        </is>
      </c>
      <c r="F1712" s="33" t="inlineStr">
        <is>
          <t>context-2026-06-05.md</t>
        </is>
      </c>
      <c r="G1712" s="33" t="inlineStr">
        <is>
          <t>Med</t>
        </is>
      </c>
      <c r="H1712" s="33" t="inlineStr">
        <is>
          <t>Initial</t>
        </is>
      </c>
    </row>
    <row r="1713">
      <c r="A1713" s="33" t="inlineStr">
        <is>
          <t>2026-06-05</t>
        </is>
      </c>
      <c r="B1713" s="33" t="inlineStr">
        <is>
          <t>RMBS</t>
        </is>
      </c>
      <c r="C1713" s="33" t="inlineStr">
        <is>
          <t>M3</t>
        </is>
      </c>
      <c r="D1713" s="33" t="n">
        <v>3</v>
      </c>
      <c r="E1713" s="33" t="inlineStr">
        <is>
          <t>Form 4s not pulled; no open-market buys/heavy selling surfaced — default baseline.</t>
        </is>
      </c>
      <c r="F1713" s="33" t="inlineStr">
        <is>
          <t>pending Form 4 review</t>
        </is>
      </c>
      <c r="G1713" s="33" t="inlineStr">
        <is>
          <t>Low</t>
        </is>
      </c>
      <c r="H1713" s="33" t="inlineStr">
        <is>
          <t>Initial</t>
        </is>
      </c>
    </row>
    <row r="1714">
      <c r="A1714" s="33" t="inlineStr">
        <is>
          <t>2026-06-05</t>
        </is>
      </c>
      <c r="B1714" s="33" t="inlineStr">
        <is>
          <t>RMBS</t>
        </is>
      </c>
      <c r="C1714" s="33" t="inlineStr">
        <is>
          <t>R1</t>
        </is>
      </c>
      <c r="D1714" s="33" t="n">
        <v>4</v>
      </c>
      <c r="E1714" s="33" t="inlineStr">
        <is>
          <t>Top customer 15% (down from 20% YoY), none &gt;15%; distributor reliance the nuance.</t>
        </is>
      </c>
      <c r="F1714" s="33" t="inlineStr">
        <is>
          <t>Q1 FY26 10-Q Note 2</t>
        </is>
      </c>
      <c r="G1714" s="33" t="inlineStr">
        <is>
          <t>High</t>
        </is>
      </c>
      <c r="H1714" s="33" t="inlineStr">
        <is>
          <t>Initial</t>
        </is>
      </c>
    </row>
    <row r="1715">
      <c r="A1715" s="33" t="inlineStr">
        <is>
          <t>2026-06-05</t>
        </is>
      </c>
      <c r="B1715" s="33" t="inlineStr">
        <is>
          <t>RMBS</t>
        </is>
      </c>
      <c r="C1715" s="33" t="inlineStr">
        <is>
          <t>R2</t>
        </is>
      </c>
      <c r="D1715" s="33" t="n">
        <v>4</v>
      </c>
      <c r="E1715" s="33" t="inlineStr">
        <is>
          <t>Korea/Singapore heavy (memory makers); China only a risk factor, no export overhang.</t>
        </is>
      </c>
      <c r="F1715" s="33" t="inlineStr">
        <is>
          <t>Q1 FY26 10-Q geo</t>
        </is>
      </c>
      <c r="G1715" s="33" t="inlineStr">
        <is>
          <t>Med-High</t>
        </is>
      </c>
      <c r="H1715" s="33" t="inlineStr">
        <is>
          <t>Initial</t>
        </is>
      </c>
    </row>
    <row r="1716">
      <c r="A1716" s="33" t="inlineStr">
        <is>
          <t>2026-06-05</t>
        </is>
      </c>
      <c r="B1716" s="33" t="inlineStr">
        <is>
          <t>RMBS</t>
        </is>
      </c>
      <c r="C1716" s="33" t="inlineStr">
        <is>
          <t>R3</t>
        </is>
      </c>
      <c r="D1716" s="33" t="n">
        <v>5</v>
      </c>
      <c r="E1716" s="33" t="inlineStr">
        <is>
          <t>~$786M cash+securities, net cash, no debt, strong FCF.</t>
        </is>
      </c>
      <c r="F1716" s="33" t="inlineStr">
        <is>
          <t>Q1 FY26 10-Q</t>
        </is>
      </c>
      <c r="G1716" s="33" t="inlineStr">
        <is>
          <t>High</t>
        </is>
      </c>
      <c r="H1716" s="33" t="inlineStr">
        <is>
          <t>Initial</t>
        </is>
      </c>
    </row>
    <row r="1717">
      <c r="A1717" s="33" t="inlineStr">
        <is>
          <t>2026-06-05</t>
        </is>
      </c>
      <c r="B1717" s="33" t="inlineStr">
        <is>
          <t>RMBS</t>
        </is>
      </c>
      <c r="C1717" s="33" t="inlineStr">
        <is>
          <t>R4</t>
        </is>
      </c>
      <c r="D1717" s="33" t="n">
        <v>4</v>
      </c>
      <c r="E1717" s="33" t="inlineStr">
        <is>
          <t>No material disclosed overhang; historical patent-litigation profile keeps off a clean 5.</t>
        </is>
      </c>
      <c r="F1717" s="33" t="inlineStr">
        <is>
          <t>context-2026-06-05.md</t>
        </is>
      </c>
      <c r="G1717" s="33" t="inlineStr">
        <is>
          <t>Med</t>
        </is>
      </c>
      <c r="H1717" s="33" t="inlineStr">
        <is>
          <t>Initial</t>
        </is>
      </c>
    </row>
    <row r="1718">
      <c r="A1718" s="33" t="inlineStr">
        <is>
          <t>2026-06-05</t>
        </is>
      </c>
      <c r="B1718" s="33" t="inlineStr">
        <is>
          <t>STX</t>
        </is>
      </c>
      <c r="C1718" s="33" t="inlineStr">
        <is>
          <t>D1</t>
        </is>
      </c>
      <c r="D1718" s="33" t="n">
        <v>4</v>
      </c>
      <c r="E1718" s="33" t="inlineStr">
        <is>
          <t>Nearline almost entirely cloud/AI exabyte demand; legacy edge/consumer keeps just under all-AI.</t>
        </is>
      </c>
      <c r="F1718" s="33" t="inlineStr">
        <is>
          <t>context-2026-06-05.md</t>
        </is>
      </c>
      <c r="G1718" s="33" t="inlineStr">
        <is>
          <t>Med</t>
        </is>
      </c>
      <c r="H1718" s="33" t="inlineStr">
        <is>
          <t>Initial</t>
        </is>
      </c>
    </row>
    <row r="1719">
      <c r="A1719" s="33" t="inlineStr">
        <is>
          <t>2026-06-05</t>
        </is>
      </c>
      <c r="B1719" s="33" t="inlineStr">
        <is>
          <t>STX</t>
        </is>
      </c>
      <c r="C1719" s="33" t="inlineStr">
        <is>
          <t>D2</t>
        </is>
      </c>
      <c r="D1719" s="33" t="n">
        <v>5</v>
      </c>
      <c r="E1719" s="33" t="inlineStr">
        <is>
          <t>HDD duopoly (STX/WDC); HAMR leadership; sold out through late-2027 = structural pricing power.</t>
        </is>
      </c>
      <c r="F1719" s="33" t="inlineStr">
        <is>
          <t>Q3 FY26 transcript</t>
        </is>
      </c>
      <c r="G1719" s="33" t="inlineStr">
        <is>
          <t>High</t>
        </is>
      </c>
      <c r="H1719" s="33" t="inlineStr">
        <is>
          <t>Initial</t>
        </is>
      </c>
    </row>
    <row r="1720">
      <c r="A1720" s="33" t="inlineStr">
        <is>
          <t>2026-06-05</t>
        </is>
      </c>
      <c r="B1720" s="33" t="inlineStr">
        <is>
          <t>STX</t>
        </is>
      </c>
      <c r="C1720" s="33" t="inlineStr">
        <is>
          <t>D3</t>
        </is>
      </c>
      <c r="D1720" s="33" t="n">
        <v>4</v>
      </c>
      <c r="E1720" s="33" t="inlineStr">
        <is>
          <t>HAMR process lead + duopoly scale + multi-yr prepaid contracts; areal-density race caps at 4.</t>
        </is>
      </c>
      <c r="F1720" s="33" t="inlineStr">
        <is>
          <t>context-2026-06-05.md</t>
        </is>
      </c>
      <c r="G1720" s="33" t="inlineStr">
        <is>
          <t>Med</t>
        </is>
      </c>
      <c r="H1720" s="33" t="inlineStr">
        <is>
          <t>Initial</t>
        </is>
      </c>
    </row>
    <row r="1721">
      <c r="A1721" s="33" t="inlineStr">
        <is>
          <t>2026-06-05</t>
        </is>
      </c>
      <c r="B1721" s="33" t="inlineStr">
        <is>
          <t>STX</t>
        </is>
      </c>
      <c r="C1721" s="33" t="inlineStr">
        <is>
          <t>D4</t>
        </is>
      </c>
      <c r="D1721" s="33" t="n">
        <v>4</v>
      </c>
      <c r="E1721" s="33" t="inlineStr">
        <is>
          <t>HAMR Mozaic 4 ramp + capacity sold out; disciplined, not a greenfield megabuild.</t>
        </is>
      </c>
      <c r="F1721" s="33" t="inlineStr">
        <is>
          <t>Q3 FY26 transcript</t>
        </is>
      </c>
      <c r="G1721" s="33" t="inlineStr">
        <is>
          <t>Med</t>
        </is>
      </c>
      <c r="H1721" s="33" t="inlineStr">
        <is>
          <t>Initial</t>
        </is>
      </c>
    </row>
    <row r="1722">
      <c r="A1722" s="33" t="inlineStr">
        <is>
          <t>2026-06-05</t>
        </is>
      </c>
      <c r="B1722" s="33" t="inlineStr">
        <is>
          <t>STX</t>
        </is>
      </c>
      <c r="C1722" s="33" t="inlineStr">
        <is>
          <t>D5</t>
        </is>
      </c>
      <c r="D1722" s="33" t="n">
        <v>5</v>
      </c>
      <c r="E1722" s="33" t="inlineStr">
        <is>
          <t>Revenue overwhelmingly hyperscaler cloud nearline under multi-yr build-to-order contracts.</t>
        </is>
      </c>
      <c r="F1722" s="33" t="inlineStr">
        <is>
          <t>context-2026-06-05.md</t>
        </is>
      </c>
      <c r="G1722" s="33" t="inlineStr">
        <is>
          <t>Med-High</t>
        </is>
      </c>
      <c r="H1722" s="33" t="inlineStr">
        <is>
          <t>Initial</t>
        </is>
      </c>
    </row>
    <row r="1723">
      <c r="A1723" s="33" t="inlineStr">
        <is>
          <t>2026-06-05</t>
        </is>
      </c>
      <c r="B1723" s="33" t="inlineStr">
        <is>
          <t>STX</t>
        </is>
      </c>
      <c r="C1723" s="33" t="inlineStr">
        <is>
          <t>M1</t>
        </is>
      </c>
      <c r="D1723" s="33" t="n">
        <v>5</v>
      </c>
      <c r="E1723" s="33" t="inlineStr">
        <is>
          <t>Beat-and-raise ($3.45B/$5.00); LT growth target raised to ≥20%/yr.</t>
        </is>
      </c>
      <c r="F1723" s="33" t="inlineStr">
        <is>
          <t>Q3 FY26 8-K</t>
        </is>
      </c>
      <c r="G1723" s="33" t="inlineStr">
        <is>
          <t>High</t>
        </is>
      </c>
      <c r="H1723" s="33" t="inlineStr">
        <is>
          <t>Initial</t>
        </is>
      </c>
    </row>
    <row r="1724">
      <c r="A1724" s="33" t="inlineStr">
        <is>
          <t>2026-06-05</t>
        </is>
      </c>
      <c r="B1724" s="33" t="inlineStr">
        <is>
          <t>STX</t>
        </is>
      </c>
      <c r="C1724" s="33" t="inlineStr">
        <is>
          <t>M2</t>
        </is>
      </c>
      <c r="D1724" s="33" t="n">
        <v>5</v>
      </c>
      <c r="E1724" s="33" t="inlineStr">
        <is>
          <t>~10x off end-2024; leading the AI-storage theme.</t>
        </is>
      </c>
      <c r="F1724" s="33" t="inlineStr">
        <is>
          <t>context-2026-06-05.md</t>
        </is>
      </c>
      <c r="G1724" s="33" t="inlineStr">
        <is>
          <t>High</t>
        </is>
      </c>
      <c r="H1724" s="33" t="inlineStr">
        <is>
          <t>Initial</t>
        </is>
      </c>
    </row>
    <row r="1725">
      <c r="A1725" s="33" t="inlineStr">
        <is>
          <t>2026-06-05</t>
        </is>
      </c>
      <c r="B1725" s="33" t="inlineStr">
        <is>
          <t>STX</t>
        </is>
      </c>
      <c r="C1725" s="33" t="inlineStr">
        <is>
          <t>M3</t>
        </is>
      </c>
      <c r="D1725" s="33" t="n">
        <v>3</v>
      </c>
      <c r="E1725" s="33" t="inlineStr">
        <is>
          <t>Form 4s not pulled — default baseline pending verification.</t>
        </is>
      </c>
      <c r="F1725" s="33" t="inlineStr">
        <is>
          <t>pending Form 4 review</t>
        </is>
      </c>
      <c r="G1725" s="33" t="inlineStr">
        <is>
          <t>Low</t>
        </is>
      </c>
      <c r="H1725" s="33" t="inlineStr">
        <is>
          <t>Initial</t>
        </is>
      </c>
    </row>
    <row r="1726">
      <c r="A1726" s="33" t="inlineStr">
        <is>
          <t>2026-06-05</t>
        </is>
      </c>
      <c r="B1726" s="33" t="inlineStr">
        <is>
          <t>STX</t>
        </is>
      </c>
      <c r="C1726" s="33" t="inlineStr">
        <is>
          <t>R1</t>
        </is>
      </c>
      <c r="D1726" s="33" t="n">
        <v>2</v>
      </c>
      <c r="E1726" s="33" t="inlineStr">
        <is>
          <t>Handful of hyperscalers under multi-yr prepaid contracts = high concentration.</t>
        </is>
      </c>
      <c r="F1726" s="33" t="inlineStr">
        <is>
          <t>context-2026-06-05.md</t>
        </is>
      </c>
      <c r="G1726" s="33" t="inlineStr">
        <is>
          <t>Med</t>
        </is>
      </c>
      <c r="H1726" s="33" t="inlineStr">
        <is>
          <t>Initial</t>
        </is>
      </c>
    </row>
    <row r="1727">
      <c r="A1727" s="33" t="inlineStr">
        <is>
          <t>2026-06-05</t>
        </is>
      </c>
      <c r="B1727" s="33" t="inlineStr">
        <is>
          <t>STX</t>
        </is>
      </c>
      <c r="C1727" s="33" t="inlineStr">
        <is>
          <t>R2</t>
        </is>
      </c>
      <c r="D1727" s="33" t="n">
        <v>4</v>
      </c>
      <c r="E1727" s="33" t="inlineStr">
        <is>
          <t>Global ops; HDD not export-controlled; some China demand exposure.</t>
        </is>
      </c>
      <c r="F1727" s="33" t="inlineStr">
        <is>
          <t>context-2026-06-05.md</t>
        </is>
      </c>
      <c r="G1727" s="33" t="inlineStr">
        <is>
          <t>Med</t>
        </is>
      </c>
      <c r="H1727" s="33" t="inlineStr">
        <is>
          <t>Initial</t>
        </is>
      </c>
    </row>
    <row r="1728">
      <c r="A1728" s="33" t="inlineStr">
        <is>
          <t>2026-06-05</t>
        </is>
      </c>
      <c r="B1728" s="33" t="inlineStr">
        <is>
          <t>STX</t>
        </is>
      </c>
      <c r="C1728" s="33" t="inlineStr">
        <is>
          <t>R3</t>
        </is>
      </c>
      <c r="D1728" s="33" t="n">
        <v>4</v>
      </c>
      <c r="E1728" s="33" t="inlineStr">
        <is>
          <t>ND/EBITDA falling (~0.9x), strong FCF $953M/qtr; leverage modest and declining.</t>
        </is>
      </c>
      <c r="F1728" s="33" t="inlineStr">
        <is>
          <t>Q3 FY26 8-K</t>
        </is>
      </c>
      <c r="G1728" s="33" t="inlineStr">
        <is>
          <t>Med</t>
        </is>
      </c>
      <c r="H1728" s="33" t="inlineStr">
        <is>
          <t>Initial</t>
        </is>
      </c>
    </row>
    <row r="1729">
      <c r="A1729" s="33" t="inlineStr">
        <is>
          <t>2026-06-05</t>
        </is>
      </c>
      <c r="B1729" s="33" t="inlineStr">
        <is>
          <t>STX</t>
        </is>
      </c>
      <c r="C1729" s="33" t="inlineStr">
        <is>
          <t>R4</t>
        </is>
      </c>
      <c r="D1729" s="33" t="n">
        <v>4</v>
      </c>
      <c r="E1729" s="33" t="inlineStr">
        <is>
          <t>No material litigation; routine.</t>
        </is>
      </c>
      <c r="F1729" s="33" t="inlineStr">
        <is>
          <t>context-2026-06-05.md</t>
        </is>
      </c>
      <c r="G1729" s="33" t="inlineStr">
        <is>
          <t>Med</t>
        </is>
      </c>
      <c r="H1729" s="33" t="inlineStr">
        <is>
          <t>Initial</t>
        </is>
      </c>
    </row>
    <row r="1730">
      <c r="A1730" s="33" t="inlineStr">
        <is>
          <t>2026-06-05</t>
        </is>
      </c>
      <c r="B1730" s="33" t="inlineStr">
        <is>
          <t>TEM</t>
        </is>
      </c>
      <c r="C1730" s="33" t="inlineStr">
        <is>
          <t>D1</t>
        </is>
      </c>
      <c r="D1730" s="33" t="n">
        <v>5</v>
      </c>
      <c r="E1730" s="33" t="inlineStr">
        <is>
          <t>AI-native precision medicine; Data &amp; Applications (~25%) is explicit AI/foundation-model revenue, Diagnostics algorithm-augmented.</t>
        </is>
      </c>
      <c r="F1730" s="33" t="inlineStr">
        <is>
          <t>Q1 2026 10-Q</t>
        </is>
      </c>
      <c r="G1730" s="33" t="inlineStr">
        <is>
          <t>High</t>
        </is>
      </c>
      <c r="H1730" s="33" t="inlineStr">
        <is>
          <t>Initial</t>
        </is>
      </c>
    </row>
    <row r="1731">
      <c r="A1731" s="33" t="inlineStr">
        <is>
          <t>2026-06-05</t>
        </is>
      </c>
      <c r="B1731" s="33" t="inlineStr">
        <is>
          <t>TEM</t>
        </is>
      </c>
      <c r="C1731" s="33" t="inlineStr">
        <is>
          <t>D2</t>
        </is>
      </c>
      <c r="D1731" s="33" t="n">
        <v>3</v>
      </c>
      <c r="E1731" s="33" t="inlineStr">
        <is>
          <t>Proprietary 500PB linked dataset gives leverage, but diagnostics is mid-chain competitive (Guardant/Roche/Natera).</t>
        </is>
      </c>
      <c r="F1731" s="33" t="inlineStr">
        <is>
          <t>context-2026-06-05.md</t>
        </is>
      </c>
      <c r="G1731" s="33" t="inlineStr">
        <is>
          <t>Med</t>
        </is>
      </c>
      <c r="H1731" s="33" t="inlineStr">
        <is>
          <t>Initial</t>
        </is>
      </c>
    </row>
    <row r="1732">
      <c r="A1732" s="33" t="inlineStr">
        <is>
          <t>2026-06-05</t>
        </is>
      </c>
      <c r="B1732" s="33" t="inlineStr">
        <is>
          <t>TEM</t>
        </is>
      </c>
      <c r="C1732" s="33" t="inlineStr">
        <is>
          <t>D3</t>
        </is>
      </c>
      <c r="D1732" s="33" t="n">
        <v>3</v>
      </c>
      <c r="E1732" s="33" t="inlineStr">
        <is>
          <t>Data-scale + FDA-cleared assays + pharma switching costs real, but durability disputed; diagnostics commoditizing.</t>
        </is>
      </c>
      <c r="F1732" s="33" t="inlineStr">
        <is>
          <t>context-2026-06-05.md</t>
        </is>
      </c>
      <c r="G1732" s="33" t="inlineStr">
        <is>
          <t>Med</t>
        </is>
      </c>
      <c r="H1732" s="33" t="inlineStr">
        <is>
          <t>Initial</t>
        </is>
      </c>
    </row>
    <row r="1733">
      <c r="A1733" s="33" t="inlineStr">
        <is>
          <t>2026-06-05</t>
        </is>
      </c>
      <c r="B1733" s="33" t="inlineStr">
        <is>
          <t>TEM</t>
        </is>
      </c>
      <c r="C1733" s="33" t="inlineStr">
        <is>
          <t>D4</t>
        </is>
      </c>
      <c r="D1733" s="33" t="n">
        <v>4</v>
      </c>
      <c r="E1733" s="33" t="inlineStr">
        <is>
          <t>Active expansion (Alzheimer's, MRD +500%, FDA approvals, Ambry/Deep6 integration); capex-light so not 5.</t>
        </is>
      </c>
      <c r="F1733" s="33" t="inlineStr">
        <is>
          <t>context-2026-06-05.md</t>
        </is>
      </c>
      <c r="G1733" s="33" t="inlineStr">
        <is>
          <t>Med</t>
        </is>
      </c>
      <c r="H1733" s="33" t="inlineStr">
        <is>
          <t>Initial</t>
        </is>
      </c>
    </row>
    <row r="1734">
      <c r="A1734" s="33" t="inlineStr">
        <is>
          <t>2026-06-05</t>
        </is>
      </c>
      <c r="B1734" s="33" t="inlineStr">
        <is>
          <t>TEM</t>
        </is>
      </c>
      <c r="C1734" s="33" t="inlineStr">
        <is>
          <t>D5</t>
        </is>
      </c>
      <c r="D1734" s="33" t="n">
        <v>1</v>
      </c>
      <c r="E1734" s="33" t="inlineStr">
        <is>
          <t>Customers are pharma/biotech/payors, not hyperscalers; no meaningful hyperscaler revenue.</t>
        </is>
      </c>
      <c r="F1734" s="33" t="inlineStr">
        <is>
          <t>context-2026-06-05.md</t>
        </is>
      </c>
      <c r="G1734" s="33" t="inlineStr">
        <is>
          <t>High</t>
        </is>
      </c>
      <c r="H1734" s="33" t="inlineStr">
        <is>
          <t>Initial</t>
        </is>
      </c>
    </row>
    <row r="1735">
      <c r="A1735" s="33" t="inlineStr">
        <is>
          <t>2026-06-05</t>
        </is>
      </c>
      <c r="B1735" s="33" t="inlineStr">
        <is>
          <t>TEM</t>
        </is>
      </c>
      <c r="C1735" s="33" t="inlineStr">
        <is>
          <t>M1</t>
        </is>
      </c>
      <c r="D1735" s="33" t="n">
        <v>3</v>
      </c>
      <c r="E1735" s="33" t="inlineStr">
        <is>
          <t>Revenue guide raised but GAAP EPS missed sharply (mark-to-market/SBC); net mixed; pending Zacks.</t>
        </is>
      </c>
      <c r="F1735" s="33" t="inlineStr">
        <is>
          <t>context-2026-06-05.md</t>
        </is>
      </c>
      <c r="G1735" s="33" t="inlineStr">
        <is>
          <t>Low</t>
        </is>
      </c>
      <c r="H1735" s="33" t="inlineStr">
        <is>
          <t>Initial</t>
        </is>
      </c>
    </row>
    <row r="1736">
      <c r="A1736" s="33" t="inlineStr">
        <is>
          <t>2026-06-05</t>
        </is>
      </c>
      <c r="B1736" s="33" t="inlineStr">
        <is>
          <t>TEM</t>
        </is>
      </c>
      <c r="C1736" s="33" t="inlineStr">
        <is>
          <t>M2</t>
        </is>
      </c>
      <c r="D1736" s="33" t="n">
        <v>3</v>
      </c>
      <c r="E1736" s="33" t="inlineStr">
        <is>
          <t>Recovered to ~$53 post-FDA from mid-$40s; pending exact 3-6mo vs IGV/XBI.</t>
        </is>
      </c>
      <c r="F1736" s="33" t="inlineStr">
        <is>
          <t>context-2026-06-05.md</t>
        </is>
      </c>
      <c r="G1736" s="33" t="inlineStr">
        <is>
          <t>Low</t>
        </is>
      </c>
      <c r="H1736" s="33" t="inlineStr">
        <is>
          <t>Initial</t>
        </is>
      </c>
    </row>
    <row r="1737">
      <c r="A1737" s="33" t="inlineStr">
        <is>
          <t>2026-06-05</t>
        </is>
      </c>
      <c r="B1737" s="33" t="inlineStr">
        <is>
          <t>TEM</t>
        </is>
      </c>
      <c r="C1737" s="33" t="inlineStr">
        <is>
          <t>M3</t>
        </is>
      </c>
      <c r="D1737" s="33" t="n">
        <v>3</v>
      </c>
      <c r="E1737" s="33" t="inlineStr">
        <is>
          <t>Continuous Lefkofsky selling but all 10b5-1; no open-market buying → routine default.</t>
        </is>
      </c>
      <c r="F1737" s="33" t="inlineStr">
        <is>
          <t>Form 4s</t>
        </is>
      </c>
      <c r="G1737" s="33" t="inlineStr">
        <is>
          <t>Med</t>
        </is>
      </c>
      <c r="H1737" s="33" t="inlineStr">
        <is>
          <t>Initial</t>
        </is>
      </c>
    </row>
    <row r="1738">
      <c r="A1738" s="33" t="inlineStr">
        <is>
          <t>2026-06-05</t>
        </is>
      </c>
      <c r="B1738" s="33" t="inlineStr">
        <is>
          <t>TEM</t>
        </is>
      </c>
      <c r="C1738" s="33" t="inlineStr">
        <is>
          <t>R1</t>
        </is>
      </c>
      <c r="D1738" s="33" t="n">
        <v>3</v>
      </c>
      <c r="E1738" s="33" t="inlineStr">
        <is>
          <t>Data segment lumpy (~6 pharma at $100M+ TCV) but diagnostics broadly diversified.</t>
        </is>
      </c>
      <c r="F1738" s="33" t="inlineStr">
        <is>
          <t>Q1 2026 call</t>
        </is>
      </c>
      <c r="G1738" s="33" t="inlineStr">
        <is>
          <t>Med</t>
        </is>
      </c>
      <c r="H1738" s="33" t="inlineStr">
        <is>
          <t>Initial</t>
        </is>
      </c>
    </row>
    <row r="1739">
      <c r="A1739" s="33" t="inlineStr">
        <is>
          <t>2026-06-05</t>
        </is>
      </c>
      <c r="B1739" s="33" t="inlineStr">
        <is>
          <t>TEM</t>
        </is>
      </c>
      <c r="C1739" s="33" t="inlineStr">
        <is>
          <t>R2</t>
        </is>
      </c>
      <c r="D1739" s="33" t="n">
        <v>5</v>
      </c>
      <c r="E1739" s="33" t="inlineStr">
        <is>
          <t>US-centric; no China revenue, no export-controlled tech.</t>
        </is>
      </c>
      <c r="F1739" s="33" t="inlineStr">
        <is>
          <t>context-2026-06-05.md</t>
        </is>
      </c>
      <c r="G1739" s="33" t="inlineStr">
        <is>
          <t>High</t>
        </is>
      </c>
      <c r="H1739" s="33" t="inlineStr">
        <is>
          <t>Initial</t>
        </is>
      </c>
    </row>
    <row r="1740">
      <c r="A1740" s="33" t="inlineStr">
        <is>
          <t>2026-06-05</t>
        </is>
      </c>
      <c r="B1740" s="33" t="inlineStr">
        <is>
          <t>TEM</t>
        </is>
      </c>
      <c r="C1740" s="33" t="inlineStr">
        <is>
          <t>R3</t>
        </is>
      </c>
      <c r="D1740" s="33" t="n">
        <v>3</v>
      </c>
      <c r="E1740" s="33" t="inlineStr">
        <is>
          <t>~$640M cash, no acute leverage, but FCF-negative (~-$83M/qtr) + covenants.</t>
        </is>
      </c>
      <c r="F1740" s="33" t="inlineStr">
        <is>
          <t>Q1 2026 10-Q</t>
        </is>
      </c>
      <c r="G1740" s="33" t="inlineStr">
        <is>
          <t>Med</t>
        </is>
      </c>
      <c r="H1740" s="33" t="inlineStr">
        <is>
          <t>Initial</t>
        </is>
      </c>
    </row>
    <row r="1741">
      <c r="A1741" s="33" t="inlineStr">
        <is>
          <t>2026-06-05</t>
        </is>
      </c>
      <c r="B1741" s="33" t="inlineStr">
        <is>
          <t>TEM</t>
        </is>
      </c>
      <c r="C1741" s="33" t="inlineStr">
        <is>
          <t>R4</t>
        </is>
      </c>
      <c r="D1741" s="33" t="n">
        <v>2</v>
      </c>
      <c r="E1741" s="33" t="inlineStr">
        <is>
          <t>Spruce Point short report (accounting allegations) + dual-class governance + Lefkofsky promoter history + health-data privacy = material overhang.</t>
        </is>
      </c>
      <c r="F1741" s="33" t="inlineStr">
        <is>
          <t>Spruce Point May 2025; context briefing</t>
        </is>
      </c>
      <c r="G1741" s="33" t="inlineStr">
        <is>
          <t>Med</t>
        </is>
      </c>
      <c r="H1741" s="33" t="inlineStr">
        <is>
          <t>Initial</t>
        </is>
      </c>
    </row>
    <row r="1742">
      <c r="A1742" s="33" t="inlineStr">
        <is>
          <t>2026-06-09</t>
        </is>
      </c>
      <c r="B1742" s="33" t="inlineStr">
        <is>
          <t>ALL</t>
        </is>
      </c>
      <c r="C1742" s="33" t="inlineStr">
        <is>
          <t>Methodology</t>
        </is>
      </c>
      <c r="D1742" s="33" t="inlineStr">
        <is>
          <t>—</t>
        </is>
      </c>
      <c r="E1742" s="33" t="inlineStr">
        <is>
          <t>Added 4th Momentum metric: % of last 120 trading days with close &gt; 50-day SMA (objective, from yfinance price history). Bands: ≥85→100, ≥70→90, ≥55→75, ≥40→60, ≥25→40, &lt;25→20. Momentum Score now averages the 3 subjective ratings (×20) with the banded 50DMA score. Rationale: objectifies trend consistency; separates durable uptrends from one-gap bounces. Origin: external feedback reviewed 2026-06-09; 5 sibling suggestions declined (P/B, op margin, volume, inst. ownership, analyst PTs) — see session notes. Approved by Dom.</t>
        </is>
      </c>
      <c r="F1742" s="33" t="inlineStr">
        <is>
          <t>scripts/momentum_50dma.py; Methodology tab row 36</t>
        </is>
      </c>
      <c r="G1742" s="33" t="inlineStr">
        <is>
          <t>High</t>
        </is>
      </c>
      <c r="H1742" s="33" t="inlineStr">
        <is>
          <t>Methodology change</t>
        </is>
      </c>
    </row>
    <row r="1743">
      <c r="A1743" s="33" t="inlineStr">
        <is>
          <t>2026-06-10</t>
        </is>
      </c>
      <c r="B1743" s="33" t="inlineStr">
        <is>
          <t>EQT</t>
        </is>
      </c>
      <c r="C1743" s="33" t="inlineStr">
        <is>
          <t>D1</t>
        </is>
      </c>
      <c r="D1743" s="33" t="n">
        <v>1</v>
      </c>
      <c r="E1743" s="33" t="inlineStr">
        <is>
          <t>(was 5) Q1 2026 revenue 100% commodity (no 'data center' in 10-Q); two datacenter-linked supply deals are index-plus priced to power developers and don't flow until Shippingport fall-2026/Homer City 2028. ~0% current AI revenue.</t>
        </is>
      </c>
      <c r="F1743" s="33" t="inlineStr">
        <is>
          <t>EQT 10-Q Q1 2026 (2026-04-22); S&amp;P Global 2025-07-21</t>
        </is>
      </c>
      <c r="G1743" s="33" t="inlineStr">
        <is>
          <t>High</t>
        </is>
      </c>
      <c r="H1743" s="33" t="inlineStr">
        <is>
          <t>Update</t>
        </is>
      </c>
    </row>
    <row r="1744">
      <c r="A1744" s="33" t="inlineStr">
        <is>
          <t>2026-06-10</t>
        </is>
      </c>
      <c r="B1744" s="33" t="inlineStr">
        <is>
          <t>EQT</t>
        </is>
      </c>
      <c r="C1744" s="33" t="inlineStr">
        <is>
          <t>D2</t>
        </is>
      </c>
      <c r="D1744" s="33" t="n">
        <v>2</v>
      </c>
      <c r="E1744" s="33" t="inlineStr">
        <is>
          <t>(was 5) Price-taker: index-plus/TETCO M-2 pricing, Q2 2026 strategic curtailments into weak prices; AI mechanism is in-basin basis (2nd-derivative). Scale+midstream are cost advantages, not pricing power.</t>
        </is>
      </c>
      <c r="F1744" s="33" t="inlineStr">
        <is>
          <t>EQT 10-Q Q1 2026; S&amp;P Global 2025-07-21</t>
        </is>
      </c>
      <c r="G1744" s="33" t="inlineStr">
        <is>
          <t>High</t>
        </is>
      </c>
      <c r="H1744" s="33" t="inlineStr">
        <is>
          <t>Update</t>
        </is>
      </c>
    </row>
    <row r="1745">
      <c r="A1745" s="33" t="inlineStr">
        <is>
          <t>2026-06-10</t>
        </is>
      </c>
      <c r="B1745" s="33" t="inlineStr">
        <is>
          <t>EQT</t>
        </is>
      </c>
      <c r="C1745" s="33" t="inlineStr">
        <is>
          <t>D5</t>
        </is>
      </c>
      <c r="D1745" s="33" t="n">
        <v>2</v>
      </c>
      <c r="E1745" s="33" t="inlineStr">
        <is>
          <t>(was 5) No hyperscaler counterparty; deals are with power developers (Homer City Redevelopment, Frontier Group). Chain hyperscaler-&gt;unnamed tenant-&gt;developer-&gt;EQT gas = indirect.</t>
        </is>
      </c>
      <c r="F1745" s="33" t="inlineStr">
        <is>
          <t>Businesswire 2025-07-15; NGI</t>
        </is>
      </c>
      <c r="G1745" s="33" t="inlineStr">
        <is>
          <t>High</t>
        </is>
      </c>
      <c r="H1745" s="33" t="inlineStr">
        <is>
          <t>Update</t>
        </is>
      </c>
    </row>
    <row r="1746">
      <c r="A1746" s="33" t="inlineStr">
        <is>
          <t>2026-06-10</t>
        </is>
      </c>
      <c r="B1746" s="33" t="inlineStr">
        <is>
          <t>RRC</t>
        </is>
      </c>
      <c r="C1746" s="33" t="inlineStr">
        <is>
          <t>D1</t>
        </is>
      </c>
      <c r="D1746" s="33" t="n">
        <v>1</v>
      </c>
      <c r="E1746" s="33" t="inlineStr">
        <is>
          <t>(was 4) ~0% current AI revenue; only signed power-linked deal is 75 MMcf/d to an unnamed Midwest power plant starting late 2027 (~5% of volumes when live), datacenter linkage unconfirmed. Q1 release: zero 'data center' mentions.</t>
        </is>
      </c>
      <c r="F1746" s="33" t="inlineStr">
        <is>
          <t>RRC 8-K 2026-04-21 &amp; 2026-02-24</t>
        </is>
      </c>
      <c r="G1746" s="33" t="inlineStr">
        <is>
          <t>High</t>
        </is>
      </c>
      <c r="H1746" s="33" t="inlineStr">
        <is>
          <t>Update</t>
        </is>
      </c>
    </row>
    <row r="1747">
      <c r="A1747" s="33" t="inlineStr">
        <is>
          <t>2026-06-10</t>
        </is>
      </c>
      <c r="B1747" s="33" t="inlineStr">
        <is>
          <t>RRC</t>
        </is>
      </c>
      <c r="C1747" s="33" t="inlineStr">
        <is>
          <t>D2</t>
        </is>
      </c>
      <c r="D1747" s="33" t="n">
        <v>2</v>
      </c>
      <c r="E1747" s="33" t="inlineStr">
        <is>
          <t>(was 4) Structural price-taker, sells below Henry Hub (FY26 guide NYMEX -$0.35/-0.45); Q1 +$0.18 premium was seasonal. One unstarted premium contract on ~5% of volumes.</t>
        </is>
      </c>
      <c r="F1747" s="33" t="inlineStr">
        <is>
          <t>RRC 8-K 2026-04-21</t>
        </is>
      </c>
      <c r="G1747" s="33" t="inlineStr">
        <is>
          <t>High</t>
        </is>
      </c>
      <c r="H1747" s="33" t="inlineStr">
        <is>
          <t>Update</t>
        </is>
      </c>
    </row>
    <row r="1748">
      <c r="A1748" s="33" t="inlineStr">
        <is>
          <t>2026-06-10</t>
        </is>
      </c>
      <c r="B1748" s="33" t="inlineStr">
        <is>
          <t>RRC</t>
        </is>
      </c>
      <c r="C1748" s="33" t="inlineStr">
        <is>
          <t>D5</t>
        </is>
      </c>
      <c r="D1748" s="33" t="n">
        <v>1</v>
      </c>
      <c r="E1748" s="33" t="inlineStr">
        <is>
          <t>(was 4) Zero signed hyperscaler/developer deals; Fort Cherry alliance partners are frac-services + real-estate (no tenant named); NextEra South Mon 'potential participation' only.</t>
        </is>
      </c>
      <c r="F1748" s="33" t="inlineStr">
        <is>
          <t>Liberty Energy Apr 2025; RRC Q1 2026 call</t>
        </is>
      </c>
      <c r="G1748" s="33" t="inlineStr">
        <is>
          <t>High</t>
        </is>
      </c>
      <c r="H1748" s="33" t="inlineStr">
        <is>
          <t>Update</t>
        </is>
      </c>
    </row>
    <row r="1749">
      <c r="A1749" s="33" t="inlineStr">
        <is>
          <t>2026-06-10</t>
        </is>
      </c>
      <c r="B1749" s="33" t="inlineStr">
        <is>
          <t>AR</t>
        </is>
      </c>
      <c r="C1749" s="33" t="inlineStr">
        <is>
          <t>D1</t>
        </is>
      </c>
      <c r="D1749" s="33" t="n">
        <v>1</v>
      </c>
      <c r="E1749" s="33" t="inlineStr">
        <is>
          <t>(was 4) ~0% current AI; Q1 2026 revenue 67% gas (LNG-corridor)/26% NGL (export)/2% oil, no datacenter mention in 10-Q. Only AI engagement is &gt;5 Bcf/d of RFP participation, no wins.</t>
        </is>
      </c>
      <c r="F1749" s="33" t="inlineStr">
        <is>
          <t>AR 10-Q Q1 2026 (2026-04-29); Q1 call</t>
        </is>
      </c>
      <c r="G1749" s="33" t="inlineStr">
        <is>
          <t>High</t>
        </is>
      </c>
      <c r="H1749" s="33" t="inlineStr">
        <is>
          <t>Update</t>
        </is>
      </c>
    </row>
    <row r="1750">
      <c r="A1750" s="33" t="inlineStr">
        <is>
          <t>2026-06-10</t>
        </is>
      </c>
      <c r="B1750" s="33" t="inlineStr">
        <is>
          <t>AR</t>
        </is>
      </c>
      <c r="C1750" s="33" t="inlineStr">
        <is>
          <t>D2</t>
        </is>
      </c>
      <c r="D1750" s="33" t="n">
        <v>2</v>
      </c>
      <c r="E1750" s="33" t="inlineStr">
        <is>
          <t>(was 4) Price-taker with superior logistics; premiums (90% Tier-1 points) derive from firm-transport + LNG/LPG export benchmarks, not negotiated with AI buyers.</t>
        </is>
      </c>
      <c r="F1750" s="33" t="inlineStr">
        <is>
          <t>AR 10-Q Q1 2026; investor materials</t>
        </is>
      </c>
      <c r="G1750" s="33" t="inlineStr">
        <is>
          <t>High</t>
        </is>
      </c>
      <c r="H1750" s="33" t="inlineStr">
        <is>
          <t>Update</t>
        </is>
      </c>
    </row>
    <row r="1751">
      <c r="A1751" s="33" t="inlineStr">
        <is>
          <t>2026-06-10</t>
        </is>
      </c>
      <c r="B1751" s="33" t="inlineStr">
        <is>
          <t>AR</t>
        </is>
      </c>
      <c r="C1751" s="33" t="inlineStr">
        <is>
          <t>D5</t>
        </is>
      </c>
      <c r="D1751" s="33" t="n">
        <v>1</v>
      </c>
      <c r="E1751" s="33" t="inlineStr">
        <is>
          <t>(was 4) Zero signed hyperscaler/developer deals; closest is unnamed-counterparty RFPs + HG dry-gas 'optionality' + geographic-proximity narrative.</t>
        </is>
      </c>
      <c r="F1751" s="33" t="inlineStr">
        <is>
          <t>AR Q1 2026 call; 10-Q</t>
        </is>
      </c>
      <c r="G1751" s="33" t="inlineStr">
        <is>
          <t>High</t>
        </is>
      </c>
      <c r="H1751" s="33" t="inlineStr">
        <is>
          <t>Update</t>
        </is>
      </c>
    </row>
    <row r="1752">
      <c r="A1752" s="33" t="inlineStr">
        <is>
          <t>2026-06-10</t>
        </is>
      </c>
      <c r="B1752" s="33" t="inlineStr">
        <is>
          <t>EXE</t>
        </is>
      </c>
      <c r="C1752" s="33" t="inlineStr">
        <is>
          <t>D1</t>
        </is>
      </c>
      <c r="D1752" s="33" t="n">
        <v>1</v>
      </c>
      <c r="E1752" s="33" t="inlineStr">
        <is>
          <t>(was 4) 0% direct AI; generous indirect ~1-3% via gas-demand share runs through Henry Hub (excluded by directness lens). 10-Q mentions 'data center' once, as a price driver not a customer.</t>
        </is>
      </c>
      <c r="F1752" s="33" t="inlineStr">
        <is>
          <t>EXE 10-Q Q1 2026 (2026-04-28)</t>
        </is>
      </c>
      <c r="G1752" s="33" t="inlineStr">
        <is>
          <t>High</t>
        </is>
      </c>
      <c r="H1752" s="33" t="inlineStr">
        <is>
          <t>Update</t>
        </is>
      </c>
    </row>
    <row r="1753">
      <c r="A1753" s="33" t="inlineStr">
        <is>
          <t>2026-06-10</t>
        </is>
      </c>
      <c r="B1753" s="33" t="inlineStr">
        <is>
          <t>EXE</t>
        </is>
      </c>
      <c r="C1753" s="33" t="inlineStr">
        <is>
          <t>D2</t>
        </is>
      </c>
      <c r="D1753" s="33" t="n">
        <v>2</v>
      </c>
      <c r="E1753" s="33" t="inlineStr">
        <is>
          <t>(was 4) Price-taker, demonstrated: Q1 avg sales $4.92/Mcf vs NYMEX $5.04 (discount), hedges &gt;65% of volumes, Delfin LNG SPA priced at Henry Hub. Scale = cost advantage not pricing power.</t>
        </is>
      </c>
      <c r="F1753" s="33" t="inlineStr">
        <is>
          <t>EXE 10-Q Q1 2026</t>
        </is>
      </c>
      <c r="G1753" s="33" t="inlineStr">
        <is>
          <t>High</t>
        </is>
      </c>
      <c r="H1753" s="33" t="inlineStr">
        <is>
          <t>Update</t>
        </is>
      </c>
    </row>
    <row r="1754">
      <c r="A1754" s="33" t="inlineStr">
        <is>
          <t>2026-06-10</t>
        </is>
      </c>
      <c r="B1754" s="33" t="inlineStr">
        <is>
          <t>EXE</t>
        </is>
      </c>
      <c r="C1754" s="33" t="inlineStr">
        <is>
          <t>D5</t>
        </is>
      </c>
      <c r="D1754" s="33" t="n">
        <v>1</v>
      </c>
      <c r="E1754" s="33" t="inlineStr">
        <is>
          <t>(was 4) Narrative-stage; no signed deal with a named hyperscaler/developer; negotiating with PJM power-provider intermediaries, unsigned. Peers (DTE, Energy Transfer) have signed deals EXE lacks.</t>
        </is>
      </c>
      <c r="F1754" s="33" t="inlineStr">
        <is>
          <t>EXE Q1 2026 call (2026-04-29)</t>
        </is>
      </c>
      <c r="G1754" s="33" t="inlineStr">
        <is>
          <t>High</t>
        </is>
      </c>
      <c r="H1754" s="33" t="inlineStr">
        <is>
          <t>Update</t>
        </is>
      </c>
    </row>
    <row r="1755">
      <c r="A1755" s="33" t="inlineStr">
        <is>
          <t>2026-06-10</t>
        </is>
      </c>
      <c r="B1755" s="33" t="inlineStr">
        <is>
          <t>CEG</t>
        </is>
      </c>
      <c r="C1755" s="33" t="inlineStr">
        <is>
          <t>D5</t>
        </is>
      </c>
      <c r="D1755" s="33" t="n">
        <v>5</v>
      </c>
      <c r="E1755" s="33" t="inlineStr">
        <is>
          <t>(was 4) Best-in-layer: two named hyperscalers signed 20-yr -- MSFT 835 MW + Meta 1,121 MW (~2 GW) + CyrusOne &gt;1,100 MW (deliveries from Q4 2026). Multiple anchor hyperscalers.</t>
        </is>
      </c>
      <c r="F1755" s="33" t="inlineStr">
        <is>
          <t>CEG 10-Q 2026-05-11; company PR 2025-06-03</t>
        </is>
      </c>
      <c r="G1755" s="33" t="inlineStr">
        <is>
          <t>High</t>
        </is>
      </c>
      <c r="H1755" s="33" t="inlineStr">
        <is>
          <t>Update</t>
        </is>
      </c>
    </row>
    <row r="1756">
      <c r="A1756" s="33" t="inlineStr">
        <is>
          <t>2026-06-10</t>
        </is>
      </c>
      <c r="B1756" s="33" t="inlineStr">
        <is>
          <t>VST</t>
        </is>
      </c>
      <c r="C1756" s="33" t="inlineStr">
        <is>
          <t>D1</t>
        </is>
      </c>
      <c r="D1756" s="33" t="n">
        <v>2</v>
      </c>
      <c r="E1756" s="33" t="inlineStr">
        <is>
          <t>(was 5) Signed hyperscaler PPAs pre-revenue (Meta 2,609 MW starts late 2026; AWS 1,200 MW Q4 2027); current AI-tied revenue ~= PJM capacity ~$1.24B (~6% of rev) driven by datacenter demand. Was 5 (&gt;50%) -- corrected to current reality.</t>
        </is>
      </c>
      <c r="F1756" s="33" t="inlineStr">
        <is>
          <t>Vistra IR 2026-01-09; Q1 2026 call</t>
        </is>
      </c>
      <c r="G1756" s="33" t="inlineStr">
        <is>
          <t>High</t>
        </is>
      </c>
      <c r="H1756" s="33" t="inlineStr">
        <is>
          <t>Update</t>
        </is>
      </c>
    </row>
    <row r="1757">
      <c r="A1757" s="33" t="inlineStr">
        <is>
          <t>2026-06-10</t>
        </is>
      </c>
      <c r="B1757" s="33" t="inlineStr">
        <is>
          <t>TLN</t>
        </is>
      </c>
      <c r="C1757" s="33" t="inlineStr">
        <is>
          <t>D1</t>
        </is>
      </c>
      <c r="D1757" s="33" t="n">
        <v>2</v>
      </c>
      <c r="E1757" s="33" t="inlineStr">
        <is>
          <t>(was 5) ~5% of current revenue is AWS-contracted (front-of-meter transition completed Apr 2026, ~300 MW flowing); scales to 20-30% at full ramp. Band 2 reflects revenue actually flowing now.</t>
        </is>
      </c>
      <c r="F1757" s="33" t="inlineStr">
        <is>
          <t>TLN 10-Q Q1 2026 (2026-05-05); PR 2025-06-11</t>
        </is>
      </c>
      <c r="G1757" s="33" t="inlineStr">
        <is>
          <t>High</t>
        </is>
      </c>
      <c r="H1757" s="33" t="inlineStr">
        <is>
          <t>Update</t>
        </is>
      </c>
    </row>
    <row r="1758">
      <c r="A1758" s="33" t="inlineStr">
        <is>
          <t>2026-06-10</t>
        </is>
      </c>
      <c r="B1758" s="33" t="inlineStr">
        <is>
          <t>TLN</t>
        </is>
      </c>
      <c r="C1758" s="33" t="inlineStr">
        <is>
          <t>D5</t>
        </is>
      </c>
      <c r="D1758" s="33" t="n">
        <v>4</v>
      </c>
      <c r="E1758" s="33" t="inlineStr">
        <is>
          <t>(was 5) Single named hyperscaler anchor (AWS 1,920 MW/17yr/$18B, ~77% of Susquehanna at ramp). Rubric band 5 requires MULTIPLE hyperscalers; TLN has one (large) -&gt; band 4. Single-customer concentration also sits in R1. FLAG: magnitude argues for 5.</t>
        </is>
      </c>
      <c r="F1758" s="33" t="inlineStr">
        <is>
          <t>TLN PR 2025-06-11; Power Magazine 2025-06</t>
        </is>
      </c>
      <c r="G1758" s="33" t="inlineStr">
        <is>
          <t>Medium</t>
        </is>
      </c>
      <c r="H1758" s="33" t="inlineStr">
        <is>
          <t>Update</t>
        </is>
      </c>
    </row>
    <row r="1759">
      <c r="A1759" s="33" t="inlineStr">
        <is>
          <t>2026-06-10</t>
        </is>
      </c>
      <c r="B1759" s="33" t="inlineStr">
        <is>
          <t>NRG</t>
        </is>
      </c>
      <c r="C1759" s="33" t="inlineStr">
        <is>
          <t>D1</t>
        </is>
      </c>
      <c r="D1759" s="33" t="n">
        <v>1</v>
      </c>
      <c r="E1759" s="33" t="inlineStr">
        <is>
          <t>(was 3) Current datacenter revenue ~=0.01% (5 MW contracted 2026); even full 445 MW (2032) &lt;1% of &gt;$30B revenue. 10-Q: zero 'hyperscaler' mentions.</t>
        </is>
      </c>
      <c r="F1759" s="33" t="inlineStr">
        <is>
          <t>NRG 10-Q Q1 2026 (2026-05-06); Q1 slides</t>
        </is>
      </c>
      <c r="G1759" s="33" t="inlineStr">
        <is>
          <t>High</t>
        </is>
      </c>
      <c r="H1759" s="33" t="inlineStr">
        <is>
          <t>Update</t>
        </is>
      </c>
    </row>
    <row r="1760">
      <c r="A1760" s="33" t="inlineStr">
        <is>
          <t>2026-06-10</t>
        </is>
      </c>
      <c r="B1760" s="33" t="inlineStr">
        <is>
          <t>NRG</t>
        </is>
      </c>
      <c r="C1760" s="33" t="inlineStr">
        <is>
          <t>D2</t>
        </is>
      </c>
      <c r="D1760" s="33" t="n">
        <v>3</v>
      </c>
      <c r="E1760" s="33" t="inlineStr">
        <is>
          <t>(was 4) Small premium-priced datacenter slice (445 MW &gt;$80/MWh) + real 5.4 GW GE Vernova turbine-slot lockup (monetizes 2029+), but bulk is ~25 GW merchant fleet price-taking (Q1 -46% EPS miss on mild weather alone).</t>
        </is>
      </c>
      <c r="F1760" s="33" t="inlineStr">
        <is>
          <t>NRG 10-Q Q1 2026; Utility Dive</t>
        </is>
      </c>
      <c r="G1760" s="33" t="inlineStr">
        <is>
          <t>Medium</t>
        </is>
      </c>
      <c r="H1760" s="33" t="inlineStr">
        <is>
          <t>Update</t>
        </is>
      </c>
    </row>
    <row r="1761">
      <c r="A1761" s="33" t="inlineStr">
        <is>
          <t>2026-06-10</t>
        </is>
      </c>
      <c r="B1761" s="33" t="inlineStr">
        <is>
          <t>NRG</t>
        </is>
      </c>
      <c r="C1761" s="33" t="inlineStr">
        <is>
          <t>D5</t>
        </is>
      </c>
      <c r="D1761" s="33" t="n">
        <v>2</v>
      </c>
      <c r="E1761" s="33" t="inlineStr">
        <is>
          <t>(was 3) No signed deal with a named hyperscaler; 445 MW counterparties undisclosed, 6.5 GW Menlo/PowLan still LOIs, GE Vernova JV anchor unsigned. Below TLN/CEG.</t>
        </is>
      </c>
      <c r="F1761" s="33" t="inlineStr">
        <is>
          <t>NRG Q1 2026 slides; Utility Dive</t>
        </is>
      </c>
      <c r="G1761" s="33" t="inlineStr">
        <is>
          <t>High</t>
        </is>
      </c>
      <c r="H1761" s="33" t="inlineStr">
        <is>
          <t>Update</t>
        </is>
      </c>
    </row>
    <row r="1762">
      <c r="A1762" s="33" t="inlineStr">
        <is>
          <t>2026-06-10</t>
        </is>
      </c>
      <c r="B1762" s="33" t="inlineStr">
        <is>
          <t>DUK</t>
        </is>
      </c>
      <c r="C1762" s="33" t="inlineStr">
        <is>
          <t>D1</t>
        </is>
      </c>
      <c r="D1762" s="33" t="n">
        <v>1</v>
      </c>
      <c r="E1762" s="33" t="inlineStr">
        <is>
          <t>(was 4) Regulated utility; 7.6 GW of signed datacenter ESAs begin delivering H2 2027 -- contracted AI revenue today ~=0%, legacy datacenter load not broken out.</t>
        </is>
      </c>
      <c r="F1762" s="33" t="inlineStr">
        <is>
          <t>DUK Q1 2026 call (2026-05-05); Utility Dive</t>
        </is>
      </c>
      <c r="G1762" s="33" t="inlineStr">
        <is>
          <t>High</t>
        </is>
      </c>
      <c r="H1762" s="33" t="inlineStr">
        <is>
          <t>Update</t>
        </is>
      </c>
    </row>
    <row r="1763">
      <c r="A1763" s="33" t="inlineStr">
        <is>
          <t>2026-06-10</t>
        </is>
      </c>
      <c r="B1763" s="33" t="inlineStr">
        <is>
          <t>DUK</t>
        </is>
      </c>
      <c r="C1763" s="33" t="inlineStr">
        <is>
          <t>D2</t>
        </is>
      </c>
      <c r="D1763" s="33" t="n">
        <v>3</v>
      </c>
      <c r="E1763" s="33" t="inlineStr">
        <is>
          <t>(was 4) Fully regulated capture: $103B capex -&gt; ~9.6% rate-base growth -&gt; 5-7% EPS CAGR at allowed ROE (~10%). ESA safeguards de-risk capex but don't capture scarcity upside; no pricing power.</t>
        </is>
      </c>
      <c r="F1763" s="33" t="inlineStr">
        <is>
          <t>DUK Q1 2026 call; Fortune 2026-04-25</t>
        </is>
      </c>
      <c r="G1763" s="33" t="inlineStr">
        <is>
          <t>High</t>
        </is>
      </c>
      <c r="H1763" s="33" t="inlineStr">
        <is>
          <t>Update</t>
        </is>
      </c>
    </row>
    <row r="1764">
      <c r="A1764" s="33" t="inlineStr">
        <is>
          <t>2026-06-10</t>
        </is>
      </c>
      <c r="B1764" s="33" t="inlineStr">
        <is>
          <t>DUK</t>
        </is>
      </c>
      <c r="C1764" s="33" t="inlineStr">
        <is>
          <t>D5</t>
        </is>
      </c>
      <c r="D1764" s="33" t="n">
        <v>3</v>
      </c>
      <c r="E1764" s="33" t="inlineStr">
        <is>
          <t>(was 4) Large datacenter exposure (7.6 GW signed ESAs, 15.4 GW pipeline) but zero hyperscalers named by the issuer, regulated economics, no per-customer terms disclosed.</t>
        </is>
      </c>
      <c r="F1764" s="33" t="inlineStr">
        <is>
          <t>DUK Q1 2026 call; Business North Carolina</t>
        </is>
      </c>
      <c r="G1764" s="33" t="inlineStr">
        <is>
          <t>Medium</t>
        </is>
      </c>
      <c r="H1764" s="33" t="inlineStr">
        <is>
          <t>Update</t>
        </is>
      </c>
    </row>
    <row r="1765">
      <c r="A1765" s="33" t="inlineStr">
        <is>
          <t>2026-06-10</t>
        </is>
      </c>
      <c r="B1765" s="33" t="inlineStr">
        <is>
          <t>EQT</t>
        </is>
      </c>
      <c r="C1765" s="33" t="inlineStr">
        <is>
          <t>D3</t>
        </is>
      </c>
      <c r="D1765" s="33" t="n">
        <v>3</v>
      </c>
      <c r="E1765" s="33" t="inlineStr">
        <is>
          <t>(was 4) Commodity gas producer has no durable moat; D2=2 (commoditized) is incompatible with D3=4. Keeps a notch above peers for integrated midstream (Equitrans+Olympus) + largest in-basin scale = modest cost advantage, not a barrier.</t>
        </is>
      </c>
      <c r="F1765" s="33" t="inlineStr">
        <is>
          <t>EQT 10-Q Q1 2026; directness re-rate 2026-06-10</t>
        </is>
      </c>
      <c r="G1765" s="33" t="inlineStr">
        <is>
          <t>High</t>
        </is>
      </c>
      <c r="H1765" s="33" t="inlineStr">
        <is>
          <t>Update</t>
        </is>
      </c>
    </row>
    <row r="1766">
      <c r="A1766" s="33" t="inlineStr">
        <is>
          <t>2026-06-10</t>
        </is>
      </c>
      <c r="B1766" s="33" t="inlineStr">
        <is>
          <t>RRC</t>
        </is>
      </c>
      <c r="C1766" s="33" t="inlineStr">
        <is>
          <t>D3</t>
        </is>
      </c>
      <c r="D1766" s="33" t="n">
        <v>2</v>
      </c>
      <c r="E1766" s="33" t="inlineStr">
        <is>
          <t>(was 4) Commodity gas producer, weak moat; low-cost Appalachian acreage is a modest cost advantage, not durable defensibility. Aligns D3 with D2=2 (price-taker, sells below Henry Hub).</t>
        </is>
      </c>
      <c r="F1766" s="33" t="inlineStr">
        <is>
          <t>RRC 8-K 2026-04-21; directness re-rate 2026-06-10</t>
        </is>
      </c>
      <c r="G1766" s="33" t="inlineStr">
        <is>
          <t>High</t>
        </is>
      </c>
      <c r="H1766" s="33" t="inlineStr">
        <is>
          <t>Update</t>
        </is>
      </c>
    </row>
    <row r="1767">
      <c r="A1767" s="33" t="inlineStr">
        <is>
          <t>2026-06-10</t>
        </is>
      </c>
      <c r="B1767" s="33" t="inlineStr">
        <is>
          <t>AR</t>
        </is>
      </c>
      <c r="C1767" s="33" t="inlineStr">
        <is>
          <t>D3</t>
        </is>
      </c>
      <c r="D1767" s="33" t="n">
        <v>2</v>
      </c>
      <c r="E1767" s="33" t="inlineStr">
        <is>
          <t>(was 4) Commodity gas producer, weak moat; superior firm-transport/LNG logistics is market access, not a defensible barrier. Aligns D3 with D2=2.</t>
        </is>
      </c>
      <c r="F1767" s="33" t="inlineStr">
        <is>
          <t>AR 10-Q Q1 2026; directness re-rate 2026-06-10</t>
        </is>
      </c>
      <c r="G1767" s="33" t="inlineStr">
        <is>
          <t>High</t>
        </is>
      </c>
      <c r="H1767" s="33" t="inlineStr">
        <is>
          <t>Update</t>
        </is>
      </c>
    </row>
    <row r="1768">
      <c r="A1768" s="33" t="inlineStr">
        <is>
          <t>2026-06-10</t>
        </is>
      </c>
      <c r="B1768" s="33" t="inlineStr">
        <is>
          <t>EXE</t>
        </is>
      </c>
      <c r="C1768" s="33" t="inlineStr">
        <is>
          <t>D3</t>
        </is>
      </c>
      <c r="D1768" s="33" t="n">
        <v>2</v>
      </c>
      <c r="E1768" s="33" t="inlineStr">
        <is>
          <t>(was 4) Commodity gas producer, weak moat; #1-scale is a cost advantage within a commodity game, not pricing-power defensibility. Aligns D3 with D2=2 (sells below NYMEX).</t>
        </is>
      </c>
      <c r="F1768" s="33" t="inlineStr">
        <is>
          <t>EXE 10-Q Q1 2026; directness re-rate 2026-06-10</t>
        </is>
      </c>
      <c r="G1768" s="33" t="inlineStr">
        <is>
          <t>High</t>
        </is>
      </c>
      <c r="H1768" s="33" t="inlineStr">
        <is>
          <t>Update</t>
        </is>
      </c>
    </row>
    <row r="1769">
      <c r="A1769" s="33" t="inlineStr">
        <is>
          <t>2026-06-10</t>
        </is>
      </c>
      <c r="B1769" s="33" t="inlineStr">
        <is>
          <t>D</t>
        </is>
      </c>
      <c r="C1769" s="33" t="inlineStr">
        <is>
          <t>D1</t>
        </is>
      </c>
      <c r="D1769" s="33" t="n">
        <v>2</v>
      </c>
      <c r="E1769" s="33" t="inlineStr">
        <is>
          <t>(was 4) DC = 28% of DEV electricity SALES VOLUME FY2025 (not revenue, mostly NoVA cloud/enterprise); AI-specific share of consolidated D ~5-10%. Highest current-DC of the regulated cohort.</t>
        </is>
      </c>
      <c r="F1769" s="33" t="inlineStr">
        <is>
          <t>D 10-K FY2025 2026-02-23</t>
        </is>
      </c>
      <c r="G1769" s="33" t="inlineStr">
        <is>
          <t>Med</t>
        </is>
      </c>
      <c r="H1769" s="33" t="inlineStr">
        <is>
          <t>Update</t>
        </is>
      </c>
    </row>
    <row r="1770">
      <c r="A1770" s="33" t="inlineStr">
        <is>
          <t>2026-06-10</t>
        </is>
      </c>
      <c r="B1770" s="33" t="inlineStr">
        <is>
          <t>D</t>
        </is>
      </c>
      <c r="C1770" s="33" t="inlineStr">
        <is>
          <t>D2</t>
        </is>
      </c>
      <c r="D1770" s="33" t="n">
        <v>3</v>
      </c>
      <c r="E1770" s="33" t="inlineStr">
        <is>
          <t>(was 4) Regulated, allowed ROE 9.8%; GS-5 minimum-demand terms capture volume/rate-base, not scarcity pricing.</t>
        </is>
      </c>
      <c r="F1770" s="33" t="inlineStr">
        <is>
          <t>Virginia SCC order 2025-11-25</t>
        </is>
      </c>
      <c r="G1770" s="33" t="inlineStr">
        <is>
          <t>High</t>
        </is>
      </c>
      <c r="H1770" s="33" t="inlineStr">
        <is>
          <t>Update</t>
        </is>
      </c>
    </row>
    <row r="1771">
      <c r="A1771" s="33" t="inlineStr">
        <is>
          <t>2026-06-10</t>
        </is>
      </c>
      <c r="B1771" s="33" t="inlineStr">
        <is>
          <t>D</t>
        </is>
      </c>
      <c r="C1771" s="33" t="inlineStr">
        <is>
          <t>D5</t>
        </is>
      </c>
      <c r="D1771" s="33" t="n">
        <v>3</v>
      </c>
      <c r="E1771" s="33" t="inlineStr">
        <is>
          <t>(was 5) 51 GW pipeline (10.4 GW ESA-stage) but ZERO named hyperscaler counterparties, tariff-priced; only an exploratory Amazon SMR MOU. Large but not concentrated/premium.</t>
        </is>
      </c>
      <c r="F1771" s="33" t="inlineStr">
        <is>
          <t>D Q1 2026 slides 2026-05-01</t>
        </is>
      </c>
      <c r="G1771" s="33" t="inlineStr">
        <is>
          <t>High</t>
        </is>
      </c>
      <c r="H1771" s="33" t="inlineStr">
        <is>
          <t>Update</t>
        </is>
      </c>
    </row>
    <row r="1772">
      <c r="A1772" s="33" t="inlineStr">
        <is>
          <t>2026-06-10</t>
        </is>
      </c>
      <c r="B1772" s="33" t="inlineStr">
        <is>
          <t>AEP</t>
        </is>
      </c>
      <c r="C1772" s="33" t="inlineStr">
        <is>
          <t>D1</t>
        </is>
      </c>
      <c r="D1772" s="33" t="n">
        <v>1</v>
      </c>
      <c r="E1772" s="33" t="inlineStr">
        <is>
          <t>(was 4) No disclosed current DC revenue/%; the 63 GW is FUTURE load by 2030. Current AI revenue unclear/&lt;5%.</t>
        </is>
      </c>
      <c r="F1772" s="33" t="inlineStr">
        <is>
          <t>AEP Q1 2026 8-K 2026-05-05</t>
        </is>
      </c>
      <c r="G1772" s="33" t="inlineStr">
        <is>
          <t>High</t>
        </is>
      </c>
      <c r="H1772" s="33" t="inlineStr">
        <is>
          <t>Update</t>
        </is>
      </c>
    </row>
    <row r="1773">
      <c r="A1773" s="33" t="inlineStr">
        <is>
          <t>2026-06-10</t>
        </is>
      </c>
      <c r="B1773" s="33" t="inlineStr">
        <is>
          <t>AEP</t>
        </is>
      </c>
      <c r="C1773" s="33" t="inlineStr">
        <is>
          <t>D2</t>
        </is>
      </c>
      <c r="D1773" s="33" t="n">
        <v>3</v>
      </c>
      <c r="E1773" s="33" t="inlineStr">
        <is>
          <t>(was 5) Earned ROE 9.1% 2025 (below allowed); Ohio take-or-pay de-risks recovery but $16B earmarked as cost offsets for existing customers. Volume x capped ROE.</t>
        </is>
      </c>
      <c r="F1773" s="33" t="inlineStr">
        <is>
          <t>AEP Q1 2026 call 2026-05-05</t>
        </is>
      </c>
      <c r="G1773" s="33" t="inlineStr">
        <is>
          <t>High</t>
        </is>
      </c>
      <c r="H1773" s="33" t="inlineStr">
        <is>
          <t>Update</t>
        </is>
      </c>
    </row>
    <row r="1774">
      <c r="A1774" s="33" t="inlineStr">
        <is>
          <t>2026-06-10</t>
        </is>
      </c>
      <c r="B1774" s="33" t="inlineStr">
        <is>
          <t>AEP</t>
        </is>
      </c>
      <c r="C1774" s="33" t="inlineStr">
        <is>
          <t>D5</t>
        </is>
      </c>
      <c r="D1774" s="33" t="n">
        <v>3</v>
      </c>
      <c r="E1774" s="33" t="inlineStr">
        <is>
          <t>(was 5) 63 GW contracted incremental (~90% DC) is the largest pipeline and names some campuses (SB Energy/Google/Amazon), but no signed hyperscaler ESAs with disclosed terms; 41 GW are softer TX letters of agreement. FLAG: most debatable, 4 defensible on named counterparties.</t>
        </is>
      </c>
      <c r="F1774" s="33" t="inlineStr">
        <is>
          <t>AEP 8-K+call 2026-05-05</t>
        </is>
      </c>
      <c r="G1774" s="33" t="inlineStr">
        <is>
          <t>Med</t>
        </is>
      </c>
      <c r="H1774" s="33" t="inlineStr">
        <is>
          <t>Update</t>
        </is>
      </c>
    </row>
    <row r="1775">
      <c r="A1775" s="33" t="inlineStr">
        <is>
          <t>2026-06-10</t>
        </is>
      </c>
      <c r="B1775" s="33" t="inlineStr">
        <is>
          <t>SO</t>
        </is>
      </c>
      <c r="C1775" s="33" t="inlineStr">
        <is>
          <t>D1</t>
        </is>
      </c>
      <c r="D1775" s="33" t="n">
        <v>1</v>
      </c>
      <c r="E1775" s="33" t="inlineStr">
        <is>
          <t>(was 4) No hard DC %; est ~3-5% of retail kWh / low-single-digit % revenue today; $556M guaranteed large-load rev at 2028 ~= 1.9% of FY25. Unclear/&lt;5%.</t>
        </is>
      </c>
      <c r="F1775" s="33" t="inlineStr">
        <is>
          <t>SO 10-K FY2025; Q1 call 2026-04-30</t>
        </is>
      </c>
      <c r="G1775" s="33" t="inlineStr">
        <is>
          <t>High</t>
        </is>
      </c>
      <c r="H1775" s="33" t="inlineStr">
        <is>
          <t>Update</t>
        </is>
      </c>
    </row>
    <row r="1776">
      <c r="A1776" s="33" t="inlineStr">
        <is>
          <t>2026-06-10</t>
        </is>
      </c>
      <c r="B1776" s="33" t="inlineStr">
        <is>
          <t>SO</t>
        </is>
      </c>
      <c r="C1776" s="33" t="inlineStr">
        <is>
          <t>D2</t>
        </is>
      </c>
      <c r="D1776" s="33" t="n">
        <v>3</v>
      </c>
      <c r="E1776" s="33" t="inlineStr">
        <is>
          <t>(was 5) GA Power ROE set 10.5%, base rates frozen through 2028; Dec 2025 stipulation routes large-load revenue to CUT residential bills -- DC economics shared with ratepayers by design.</t>
        </is>
      </c>
      <c r="F1776" s="33" t="inlineStr">
        <is>
          <t>SO 10-K FY2025; GA PSC 2026-03</t>
        </is>
      </c>
      <c r="G1776" s="33" t="inlineStr">
        <is>
          <t>High</t>
        </is>
      </c>
      <c r="H1776" s="33" t="inlineStr">
        <is>
          <t>Update</t>
        </is>
      </c>
    </row>
    <row r="1777">
      <c r="A1777" s="33" t="inlineStr">
        <is>
          <t>2026-06-10</t>
        </is>
      </c>
      <c r="B1777" s="33" t="inlineStr">
        <is>
          <t>SO</t>
        </is>
      </c>
      <c r="C1777" s="33" t="inlineStr">
        <is>
          <t>D5</t>
        </is>
      </c>
      <c r="D1777" s="33" t="n">
        <v>3</v>
      </c>
      <c r="E1777" s="33" t="inlineStr">
        <is>
          <t>(was 5) 11+ GW contracted across 28 projects but ZERO named hyperscaler counterparties (confidential GA PSC filings), tariff-priced; only ~1.9 GW executed; pipeline shrank 6 GW Q2-&gt;Q3 2025.</t>
        </is>
      </c>
      <c r="F1777" s="33" t="inlineStr">
        <is>
          <t>SO Q1 2026 slides 2026-04-30</t>
        </is>
      </c>
      <c r="G1777" s="33" t="inlineStr">
        <is>
          <t>High</t>
        </is>
      </c>
      <c r="H1777" s="33" t="inlineStr">
        <is>
          <t>Update</t>
        </is>
      </c>
    </row>
    <row r="1778">
      <c r="A1778" s="33" t="inlineStr">
        <is>
          <t>2026-06-10</t>
        </is>
      </c>
      <c r="B1778" s="33" t="inlineStr">
        <is>
          <t>NEE</t>
        </is>
      </c>
      <c r="C1778" s="33" t="inlineStr">
        <is>
          <t>D1</t>
        </is>
      </c>
      <c r="D1778" s="33" t="n">
        <v>2</v>
      </c>
      <c r="E1778" s="33" t="inlineStr">
        <is>
          <t>(was 4) Hybrid; Energy Resources holds signed hyperscaler PPAs (Google ~3.5 GW, Meta ~2.5 GW) but &lt;2 GW DELIVERING today = low-single-digit % of consolidated revenue. Highest of regulated cohort but current share is minority. [Override: agent proposed 3; set 2 for consistency with VST/TLN at similar current %.]</t>
        </is>
      </c>
      <c r="F1778" s="33" t="inlineStr">
        <is>
          <t>8-K Ex99 2026-04-23; Latitude Media 2025-12-08</t>
        </is>
      </c>
      <c r="G1778" s="33" t="inlineStr">
        <is>
          <t>Med</t>
        </is>
      </c>
      <c r="H1778" s="33" t="inlineStr">
        <is>
          <t>Update</t>
        </is>
      </c>
    </row>
    <row r="1779">
      <c r="A1779" s="33" t="inlineStr">
        <is>
          <t>2026-06-10</t>
        </is>
      </c>
      <c r="B1779" s="33" t="inlineStr">
        <is>
          <t>NEE</t>
        </is>
      </c>
      <c r="C1779" s="33" t="inlineStr">
        <is>
          <t>D2</t>
        </is>
      </c>
      <c r="D1779" s="33" t="n">
        <v>4</v>
      </c>
      <c r="E1779" s="33" t="inlineStr">
        <is>
          <t>(was 5) Competitive renewables with firming pricing (+$20/MWh recontracting, bilateral hubs, 4 GW turbine slots) -- strong but not a dispatchable-scarcity bottleneck like the nuclear IPPs (D2=5). [Override: agent held 5; set 4 to rank below VST/TLN/CEG.]</t>
        </is>
      </c>
      <c r="F1779" s="33" t="inlineStr">
        <is>
          <t>NEE Q1 2026 call 2026-04-23</t>
        </is>
      </c>
      <c r="G1779" s="33" t="inlineStr">
        <is>
          <t>Med</t>
        </is>
      </c>
      <c r="H1779" s="33" t="inlineStr">
        <is>
          <t>Update</t>
        </is>
      </c>
    </row>
    <row r="1780">
      <c r="A1780" s="33" t="inlineStr">
        <is>
          <t>2026-06-10</t>
        </is>
      </c>
      <c r="B1780" s="33" t="inlineStr">
        <is>
          <t>ETR</t>
        </is>
      </c>
      <c r="C1780" s="33" t="inlineStr">
        <is>
          <t>D1</t>
        </is>
      </c>
      <c r="D1780" s="33" t="n">
        <v>1</v>
      </c>
      <c r="E1780" s="33" t="inlineStr">
        <is>
          <t>(was 5) The flagged mis-rating. Fully regulated; DC load grows rate base at allowed ROE, not revenue share; upper-bound ~3-4% of Q1 rev. Was 5 (&gt;50%) -- unsupportable.</t>
        </is>
      </c>
      <c r="F1780" s="33" t="inlineStr">
        <is>
          <t>ETR 8-K Ex99.1 2026-04-29</t>
        </is>
      </c>
      <c r="G1780" s="33" t="inlineStr">
        <is>
          <t>High</t>
        </is>
      </c>
      <c r="H1780" s="33" t="inlineStr">
        <is>
          <t>Update</t>
        </is>
      </c>
    </row>
    <row r="1781">
      <c r="A1781" s="33" t="inlineStr">
        <is>
          <t>2026-06-10</t>
        </is>
      </c>
      <c r="B1781" s="33" t="inlineStr">
        <is>
          <t>ETR</t>
        </is>
      </c>
      <c r="C1781" s="33" t="inlineStr">
        <is>
          <t>D2</t>
        </is>
      </c>
      <c r="D1781" s="33" t="n">
        <v>3</v>
      </c>
      <c r="E1781" s="33" t="inlineStr">
        <is>
          <t>(was 4) 'Fair Share Plus' pledges surplus to EXISTING customers ($2.65B Meta LA, &gt;$2B AWS MS); ELL earned ROE in authorized range; zero per-MWh upside.</t>
        </is>
      </c>
      <c r="F1781" s="33" t="inlineStr">
        <is>
          <t>ETR 8-K 2026-04-29; The Lens 2026-04-14</t>
        </is>
      </c>
      <c r="G1781" s="33" t="inlineStr">
        <is>
          <t>Med</t>
        </is>
      </c>
      <c r="H1781" s="33" t="inlineStr">
        <is>
          <t>Update</t>
        </is>
      </c>
    </row>
    <row r="1782">
      <c r="A1782" s="33" t="inlineStr">
        <is>
          <t>2026-06-10</t>
        </is>
      </c>
      <c r="B1782" s="33" t="inlineStr">
        <is>
          <t>ETR</t>
        </is>
      </c>
      <c r="C1782" s="33" t="inlineStr">
        <is>
          <t>D5</t>
        </is>
      </c>
      <c r="D1782" s="33" t="n">
        <v>3</v>
      </c>
      <c r="E1782" s="33" t="inlineStr">
        <is>
          <t>(was 5) Meta Hyperion IS signed/named (15-yr ESA, LPSC-approved Aug 2025, ~2.3 GW) + Google/AWS named -- but terms confidential and ETR keeps only REGULATED return, no scarcity upside. Named deal != shareholder captures it.</t>
        </is>
      </c>
      <c r="F1782" s="33" t="inlineStr">
        <is>
          <t>ETR 8-K 2026-04-29</t>
        </is>
      </c>
      <c r="G1782" s="33" t="inlineStr">
        <is>
          <t>Med</t>
        </is>
      </c>
      <c r="H1782" s="33" t="inlineStr">
        <is>
          <t>Update</t>
        </is>
      </c>
    </row>
    <row r="1783">
      <c r="A1783" s="33" t="inlineStr">
        <is>
          <t>2026-06-10</t>
        </is>
      </c>
      <c r="B1783" s="33" t="inlineStr">
        <is>
          <t>PPL</t>
        </is>
      </c>
      <c r="C1783" s="33" t="inlineStr">
        <is>
          <t>D1</t>
        </is>
      </c>
      <c r="D1783" s="33" t="n">
        <v>1</v>
      </c>
      <c r="E1783" s="33" t="inlineStr">
        <is>
          <t>(was 4) Regulated holdco; only ~0.6 GW DC online in PA 2026, large-load tariff effective 2026-07-01; the 28.3 GW PA pipeline is forward. DC-tied rev low-single-digit.</t>
        </is>
      </c>
      <c r="F1783" s="33" t="inlineStr">
        <is>
          <t>PPL Q1 8-K 2026-05-08</t>
        </is>
      </c>
      <c r="G1783" s="33" t="inlineStr">
        <is>
          <t>Med</t>
        </is>
      </c>
      <c r="H1783" s="33" t="inlineStr">
        <is>
          <t>Update</t>
        </is>
      </c>
    </row>
    <row r="1784">
      <c r="A1784" s="33" t="inlineStr">
        <is>
          <t>2026-06-10</t>
        </is>
      </c>
      <c r="B1784" s="33" t="inlineStr">
        <is>
          <t>PPL</t>
        </is>
      </c>
      <c r="C1784" s="33" t="inlineStr">
        <is>
          <t>D2</t>
        </is>
      </c>
      <c r="D1784" s="33" t="n">
        <v>3</v>
      </c>
      <c r="E1784" s="33" t="inlineStr">
        <is>
          <t>(was 4) Regulated capped ROE both legs (KY 9.775%); PA T&amp;D earns wires return only -- PA energy/capacity scarcity upside accrues to merchant gens (TLN/VST/CEG), not PPL.</t>
        </is>
      </c>
      <c r="F1784" s="33" t="inlineStr">
        <is>
          <t>KPSC Feb 2026; FERC Op.594 2026-03-19</t>
        </is>
      </c>
      <c r="G1784" s="33" t="inlineStr">
        <is>
          <t>Med</t>
        </is>
      </c>
      <c r="H1784" s="33" t="inlineStr">
        <is>
          <t>Update</t>
        </is>
      </c>
    </row>
    <row r="1785">
      <c r="A1785" s="33" t="inlineStr">
        <is>
          <t>2026-06-10</t>
        </is>
      </c>
      <c r="B1785" s="33" t="inlineStr">
        <is>
          <t>PPL</t>
        </is>
      </c>
      <c r="C1785" s="33" t="inlineStr">
        <is>
          <t>D5</t>
        </is>
      </c>
      <c r="D1785" s="33" t="n">
        <v>3</v>
      </c>
      <c r="E1785" s="33" t="inlineStr">
        <is>
          <t>(was 4) The 28.3 GW 'signed' are INTERCONNECTION/wires developer agreements, not power-supply contracts; AWS is one named hyperscaler; the Blackstone JV (only merchant leg) has ZERO signed ESAs 10 months on.</t>
        </is>
      </c>
      <c r="F1785" s="33" t="inlineStr">
        <is>
          <t>PPL Q1 8-K 2026-05-08; Utility Dive 2026-05-11</t>
        </is>
      </c>
      <c r="G1785" s="33" t="inlineStr">
        <is>
          <t>Med</t>
        </is>
      </c>
      <c r="H1785" s="33" t="inlineStr">
        <is>
          <t>Update</t>
        </is>
      </c>
    </row>
    <row r="1786">
      <c r="A1786" s="33" t="inlineStr">
        <is>
          <t>2026-06-10</t>
        </is>
      </c>
      <c r="B1786" s="33" t="inlineStr">
        <is>
          <t>XEL</t>
        </is>
      </c>
      <c r="C1786" s="33" t="inlineStr">
        <is>
          <t>D1</t>
        </is>
      </c>
      <c r="D1786" s="33" t="n">
        <v>1</v>
      </c>
      <c r="E1786" s="33" t="inlineStr">
        <is>
          <t>(was 3) Fully regulated; only ONE DC operating in territory; Q1 C&amp;I growth driven by Permian oil&amp;gas electrification, not DC; Google Pine Island pre-approval; sales ramp 2029-30+. [Override: agent held 3; set 1 for cohort consistency.]</t>
        </is>
      </c>
      <c r="F1786" s="33" t="inlineStr">
        <is>
          <t>XEL Q1 2026 8-K; POWER 2026-02</t>
        </is>
      </c>
      <c r="G1786" s="33" t="inlineStr">
        <is>
          <t>Med</t>
        </is>
      </c>
      <c r="H1786" s="33" t="inlineStr">
        <is>
          <t>Update</t>
        </is>
      </c>
    </row>
    <row r="1787">
      <c r="A1787" s="33" t="inlineStr">
        <is>
          <t>2026-06-10</t>
        </is>
      </c>
      <c r="B1787" s="33" t="inlineStr">
        <is>
          <t>XEL</t>
        </is>
      </c>
      <c r="C1787" s="33" t="inlineStr">
        <is>
          <t>D5</t>
        </is>
      </c>
      <c r="D1787" s="33" t="n">
        <v>3</v>
      </c>
      <c r="E1787" s="33" t="inlineStr">
        <is>
          <t>(was 4) Google ESA named+signed (NSP-MN, 15-yr) but regulated economics (Google funds all costs, benefits flow to other ratepayers). [Override: agent held 4; set 3 to match ETR's identical signed-named-but-regulated profile.]</t>
        </is>
      </c>
      <c r="F1787" s="33" t="inlineStr">
        <is>
          <t>XEL Q1 2026 8-K; newsroom 2026-02-24</t>
        </is>
      </c>
      <c r="G1787" s="33" t="inlineStr">
        <is>
          <t>Med</t>
        </is>
      </c>
      <c r="H1787" s="33" t="inlineStr">
        <is>
          <t>Update</t>
        </is>
      </c>
    </row>
    <row r="1788">
      <c r="A1788" s="33" t="inlineStr">
        <is>
          <t>2026-06-10</t>
        </is>
      </c>
      <c r="B1788" s="33" t="inlineStr">
        <is>
          <t>BE</t>
        </is>
      </c>
      <c r="C1788" s="33" t="inlineStr">
        <is>
          <t>D1</t>
        </is>
      </c>
      <c r="D1788" s="33" t="n">
        <v>5</v>
      </c>
      <c r="E1788" s="33" t="inlineStr">
        <is>
          <t>(was 4) Related-party (Brookfield JV incl. major hyperscaler project) = $373.3M of $751.1M Q1 2026 rev = 49.7% floor; US mix 56%-&gt;91% YoY, product rev +208% 'driven by the AI data center industry.' DC is the MAJORITY of the business. FLAG: inference (no disclosed DC line); 4 if strict.</t>
        </is>
      </c>
      <c r="F1788" s="33" t="inlineStr">
        <is>
          <t>BE 10-Q Q1 2026; Q4 PR 2026-02-05</t>
        </is>
      </c>
      <c r="G1788" s="33" t="inlineStr">
        <is>
          <t>Med</t>
        </is>
      </c>
      <c r="H1788" s="33" t="inlineStr">
        <is>
          <t>Update</t>
        </is>
      </c>
    </row>
    <row r="1789">
      <c r="A1789" s="33" t="inlineStr">
        <is>
          <t>2026-06-10</t>
        </is>
      </c>
      <c r="B1789" s="33" t="inlineStr">
        <is>
          <t>CMI</t>
        </is>
      </c>
      <c r="C1789" s="33" t="inlineStr">
        <is>
          <t>D1</t>
        </is>
      </c>
      <c r="D1789" s="33" t="n">
        <v>2</v>
      </c>
      <c r="E1789" s="33" t="inlineStr">
        <is>
          <t>(was 4) Datacenter ~$5B 2026E / ~$36.9B FY26E ~= 13-14% IF the Analyst-Day figure (2nd-hand) is accepted; 2 on verified disclosure. ~86% non-DC truck/components co; old D1=4 too high. FLAG: verify $5B vs primary IR deck (2 vs 3).</t>
        </is>
      </c>
      <c r="F1789" s="33" t="inlineStr">
        <is>
          <t>Cummins Analyst Day 2026-05-21; Q1 8-K 2026-05-05</t>
        </is>
      </c>
      <c r="G1789" s="33" t="inlineStr">
        <is>
          <t>Med</t>
        </is>
      </c>
      <c r="H1789" s="33" t="inlineStr">
        <is>
          <t>Update</t>
        </is>
      </c>
    </row>
    <row r="1790">
      <c r="A1790" s="33" t="inlineStr">
        <is>
          <t>2026-06-10</t>
        </is>
      </c>
      <c r="B1790" s="33" t="inlineStr">
        <is>
          <t>CMI</t>
        </is>
      </c>
      <c r="C1790" s="33" t="inlineStr">
        <is>
          <t>D5</t>
        </is>
      </c>
      <c r="D1790" s="33" t="n">
        <v>2</v>
      </c>
      <c r="E1790" s="33" t="inlineStr">
        <is>
          <t>(was 4) No named hyperscaler customers and no disclosed $ backlog in 8-K/call/Analyst Day; materiality disclosed, identity/backlog not.</t>
        </is>
      </c>
      <c r="F1790" s="33" t="inlineStr">
        <is>
          <t>CMI Q1 8-K; Analyst Day 2026-05-21</t>
        </is>
      </c>
      <c r="G1790" s="33" t="inlineStr">
        <is>
          <t>High</t>
        </is>
      </c>
      <c r="H1790" s="33" t="inlineStr">
        <is>
          <t>Update</t>
        </is>
      </c>
    </row>
    <row r="1791">
      <c r="A1791" s="33" t="inlineStr">
        <is>
          <t>2026-06-10</t>
        </is>
      </c>
      <c r="B1791" s="33" t="inlineStr">
        <is>
          <t>GNRC</t>
        </is>
      </c>
      <c r="C1791" s="33" t="inlineStr">
        <is>
          <t>D1</t>
        </is>
      </c>
      <c r="D1791" s="33" t="n">
        <v>2</v>
      </c>
      <c r="E1791" s="33" t="inlineStr">
        <is>
          <t>(was 4) Datacenter ~$75-150M of $1.06B Q1 ~= 7-14%; FY26 ~8-12%; still 52% residential. Old D1=4 (25-50%) too high.</t>
        </is>
      </c>
      <c r="F1791" s="33" t="inlineStr">
        <is>
          <t>GNRC Q1 8-K Ex99.1 2026-04-29</t>
        </is>
      </c>
      <c r="G1791" s="33" t="inlineStr">
        <is>
          <t>Med</t>
        </is>
      </c>
      <c r="H1791" s="33" t="inlineStr">
        <is>
          <t>Update</t>
        </is>
      </c>
    </row>
    <row r="1792">
      <c r="A1792" s="33" t="inlineStr">
        <is>
          <t>2026-06-10</t>
        </is>
      </c>
      <c r="B1792" s="33" t="inlineStr">
        <is>
          <t>GNRC</t>
        </is>
      </c>
      <c r="C1792" s="33" t="inlineStr">
        <is>
          <t>D2</t>
        </is>
      </c>
      <c r="D1792" s="33" t="n">
        <v>3</v>
      </c>
      <c r="E1792" s="33" t="inlineStr">
        <is>
          <t>(was 4) Wins on AVAILABILITY not price (~30-wk lead times vs CAT/CMI 100+ wks); ASP in-line, no premium; new entrant vs CAT/CMI; China-owned engine = tariff risk peers lack.</t>
        </is>
      </c>
      <c r="F1792" s="33" t="inlineStr">
        <is>
          <t>Hunterbrook 2026-02-23</t>
        </is>
      </c>
      <c r="G1792" s="33" t="inlineStr">
        <is>
          <t>Med</t>
        </is>
      </c>
      <c r="H1792" s="33" t="inlineStr">
        <is>
          <t>Update</t>
        </is>
      </c>
    </row>
    <row r="1793">
      <c r="A1793" s="33" t="inlineStr">
        <is>
          <t>2026-06-10</t>
        </is>
      </c>
      <c r="B1793" s="33" t="inlineStr">
        <is>
          <t>GNRC</t>
        </is>
      </c>
      <c r="C1793" s="33" t="inlineStr">
        <is>
          <t>D5</t>
        </is>
      </c>
      <c r="D1793" s="33" t="n">
        <v>3</v>
      </c>
      <c r="E1793" s="33" t="inlineStr">
        <is>
          <t>(was 4) &gt;$700M disclosed DC backlog + a signed global hyperscale supply agreement (2026-06-02) but customer UNNAMED, no $/volume; best quantified backlog short of named customers.</t>
        </is>
      </c>
      <c r="F1793" s="33" t="inlineStr">
        <is>
          <t>GNRC Q1 call 2026-04-29; PR 2026-06-02</t>
        </is>
      </c>
      <c r="G1793" s="33" t="inlineStr">
        <is>
          <t>Med</t>
        </is>
      </c>
      <c r="H1793" s="33" t="inlineStr">
        <is>
          <t>Update</t>
        </is>
      </c>
    </row>
    <row r="1794">
      <c r="A1794" s="33" t="inlineStr">
        <is>
          <t>2026-06-10</t>
        </is>
      </c>
      <c r="B1794" s="33" t="inlineStr">
        <is>
          <t>PLUG</t>
        </is>
      </c>
      <c r="C1794" s="33" t="inlineStr">
        <is>
          <t>D1</t>
        </is>
      </c>
      <c r="D1794" s="33" t="n">
        <v>1</v>
      </c>
      <c r="E1794" s="33" t="inlineStr">
        <is>
          <t>(was 2) Q1 2026 10-Q revenue disaggregation has NO datacenter category; DC-attributable rev ~0%. The 'DC deal' (Stream) is a one-time land/substation ASSET sale, not power solutions -- the relationship is inverted.</t>
        </is>
      </c>
      <c r="F1794" s="33" t="inlineStr">
        <is>
          <t>PLUG 10-Q Q1 2026; 8-K 2026-02-26</t>
        </is>
      </c>
      <c r="G1794" s="33" t="inlineStr">
        <is>
          <t>High</t>
        </is>
      </c>
      <c r="H1794" s="33" t="inlineStr">
        <is>
          <t>Update</t>
        </is>
      </c>
    </row>
    <row r="1795">
      <c r="A1795" s="33" t="inlineStr">
        <is>
          <t>2026-06-10</t>
        </is>
      </c>
      <c r="B1795" s="33" t="inlineStr">
        <is>
          <t>CCJ</t>
        </is>
      </c>
      <c r="C1795" s="33" t="inlineStr">
        <is>
          <t>D1</t>
        </is>
      </c>
      <c r="D1795" s="33" t="n">
        <v>1</v>
      </c>
      <c r="E1795" s="33" t="inlineStr">
        <is>
          <t>(was 4) FY2025 rev 82.5% uranium + 16% fuel services to nuclear utilities; ZERO 'AI/data center/hyperscaler' in filings; AI link is 3rd-order commodity. Westinghouse $80B is equity-accounted, government counterparty, $0 current rev.</t>
        </is>
      </c>
      <c r="F1795" s="33" t="inlineStr">
        <is>
          <t>CCJ FY2025 6-K 2026-02-13; Q1 6-K 2026-05-05</t>
        </is>
      </c>
      <c r="G1795" s="33" t="inlineStr">
        <is>
          <t>High</t>
        </is>
      </c>
      <c r="H1795" s="33" t="inlineStr">
        <is>
          <t>Update</t>
        </is>
      </c>
    </row>
    <row r="1796">
      <c r="A1796" s="33" t="inlineStr">
        <is>
          <t>2026-06-10</t>
        </is>
      </c>
      <c r="B1796" s="33" t="inlineStr">
        <is>
          <t>CCJ</t>
        </is>
      </c>
      <c r="C1796" s="33" t="inlineStr">
        <is>
          <t>D2</t>
        </is>
      </c>
      <c r="D1796" s="33" t="n">
        <v>4</v>
      </c>
      <c r="E1796" s="33" t="inlineStr">
        <is>
          <t>(was 5) Tier-1 term-book uranium oligopolist with supply discipline (~230M lb committed) = real firming pricing; but realized $66/lb lags term $94 by ~30%, and it is not an enrichment-style monopoly.</t>
        </is>
      </c>
      <c r="F1796" s="33" t="inlineStr">
        <is>
          <t>CCJ FY2025 6-K; UxC 2026-05-31</t>
        </is>
      </c>
      <c r="G1796" s="33" t="inlineStr">
        <is>
          <t>Med</t>
        </is>
      </c>
      <c r="H1796" s="33" t="inlineStr">
        <is>
          <t>Update</t>
        </is>
      </c>
    </row>
    <row r="1797">
      <c r="A1797" s="33" t="inlineStr">
        <is>
          <t>2026-06-10</t>
        </is>
      </c>
      <c r="B1797" s="33" t="inlineStr">
        <is>
          <t>CCJ</t>
        </is>
      </c>
      <c r="C1797" s="33" t="inlineStr">
        <is>
          <t>D5</t>
        </is>
      </c>
      <c r="D1797" s="33" t="n">
        <v>2</v>
      </c>
      <c r="E1797" s="33" t="inlineStr">
        <is>
          <t>(was 3) No hyperscaler buys uranium/reactors under any disclosed deal; the Google-Westinghouse partnership is REVERSED (Westinghouse is Google Cloud's AI customer). Above a pure miner only via Westinghouse reactor proximity.</t>
        </is>
      </c>
      <c r="F1797" s="33" t="inlineStr">
        <is>
          <t>Data Center Knowledge 2025-11-20</t>
        </is>
      </c>
      <c r="G1797" s="33" t="inlineStr">
        <is>
          <t>High</t>
        </is>
      </c>
      <c r="H1797" s="33" t="inlineStr">
        <is>
          <t>Update</t>
        </is>
      </c>
    </row>
    <row r="1798">
      <c r="A1798" s="33" t="inlineStr">
        <is>
          <t>2026-06-10</t>
        </is>
      </c>
      <c r="B1798" s="33" t="inlineStr">
        <is>
          <t>UEC</t>
        </is>
      </c>
      <c r="C1798" s="33" t="inlineStr">
        <is>
          <t>D1</t>
        </is>
      </c>
      <c r="D1798" s="33" t="n">
        <v>1</v>
      </c>
      <c r="E1798" s="33" t="inlineStr">
        <is>
          <t>(was 3) 9M FY26 rev $20.2M from ONE spot inventory sale; Q3 FY26 rev $0. Zero AI/DC contract; AI appears only as macro-tailwind framing. Most indirect of the nuclear-fuel names.</t>
        </is>
      </c>
      <c r="F1798" s="33" t="inlineStr">
        <is>
          <t>UEC 10-Q 2026-04-30; Q3 PR 2026-06-09</t>
        </is>
      </c>
      <c r="G1798" s="33" t="inlineStr">
        <is>
          <t>High</t>
        </is>
      </c>
      <c r="H1798" s="33" t="inlineStr">
        <is>
          <t>Update</t>
        </is>
      </c>
    </row>
    <row r="1799">
      <c r="A1799" s="33" t="inlineStr">
        <is>
          <t>2026-06-10</t>
        </is>
      </c>
      <c r="B1799" s="33" t="inlineStr">
        <is>
          <t>UEC</t>
        </is>
      </c>
      <c r="C1799" s="33" t="inlineStr">
        <is>
          <t>D2</t>
        </is>
      </c>
      <c r="D1799" s="33" t="n">
        <v>2</v>
      </c>
      <c r="E1799" s="33" t="inlineStr">
        <is>
          <t>(was 4) 100% unhedged, no term contracts/floors/escalators -- maximum commodity beta by design; opportunistic timing != pricing power. Weakest pricing profile of the three.</t>
        </is>
      </c>
      <c r="F1799" s="33" t="inlineStr">
        <is>
          <t>UEC Q3 PR 2026-06-09</t>
        </is>
      </c>
      <c r="G1799" s="33" t="inlineStr">
        <is>
          <t>High</t>
        </is>
      </c>
      <c r="H1799" s="33" t="inlineStr">
        <is>
          <t>Update</t>
        </is>
      </c>
    </row>
    <row r="1800">
      <c r="A1800" s="33" t="inlineStr">
        <is>
          <t>2026-06-10</t>
        </is>
      </c>
      <c r="B1800" s="33" t="inlineStr">
        <is>
          <t>UEC</t>
        </is>
      </c>
      <c r="C1800" s="33" t="inlineStr">
        <is>
          <t>D5</t>
        </is>
      </c>
      <c r="D1800" s="33" t="n">
        <v>1</v>
      </c>
      <c r="E1800" s="33" t="inlineStr">
        <is>
          <t>(was 3) Zero 'hyperscale' in 10-Q; no supply agreements/MOUs/partnerships with any hyperscaler/DC operator; conversion facility pre-license-application.</t>
        </is>
      </c>
      <c r="F1800" s="33" t="inlineStr">
        <is>
          <t>UEC 10-Q 2026-04-30</t>
        </is>
      </c>
      <c r="G1800" s="33" t="inlineStr">
        <is>
          <t>High</t>
        </is>
      </c>
      <c r="H1800" s="33" t="inlineStr">
        <is>
          <t>Update</t>
        </is>
      </c>
    </row>
    <row r="1801">
      <c r="A1801" s="33" t="inlineStr">
        <is>
          <t>2026-06-10</t>
        </is>
      </c>
      <c r="B1801" s="33" t="inlineStr">
        <is>
          <t>LEU</t>
        </is>
      </c>
      <c r="C1801" s="33" t="inlineStr">
        <is>
          <t>D1</t>
        </is>
      </c>
      <c r="D1801" s="33" t="n">
        <v>1</v>
      </c>
      <c r="E1801" s="33" t="inlineStr">
        <is>
          <t>(was 4) Q1 2026 rev $76.7M = LEU segment (commodity SWU to existing fleet) + Technical Solutions (overwhelmingly the DOE HALEU contract). Government != AI; commercial HALEU is post-2029 and intermediated by SMR developers.</t>
        </is>
      </c>
      <c r="F1801" s="33" t="inlineStr">
        <is>
          <t>LEU Q1 2026 release 2026-05-05</t>
        </is>
      </c>
      <c r="G1801" s="33" t="inlineStr">
        <is>
          <t>High</t>
        </is>
      </c>
      <c r="H1801" s="33" t="inlineStr">
        <is>
          <t>Update</t>
        </is>
      </c>
    </row>
    <row r="1802">
      <c r="A1802" s="33" t="inlineStr">
        <is>
          <t>2026-06-10</t>
        </is>
      </c>
      <c r="B1802" s="33" t="inlineStr">
        <is>
          <t>LEU</t>
        </is>
      </c>
      <c r="C1802" s="33" t="inlineStr">
        <is>
          <t>D2</t>
        </is>
      </c>
      <c r="D1802" s="33" t="n">
        <v>4</v>
      </c>
      <c r="E1802" s="33" t="inlineStr">
        <is>
          <t>(was 5) HALEU bottleneck is real (only NRC-licensed/operating US producer) but pricing NOT yet monetized at market (DOE fixed-price task orders), and DOE funded a 2nd enricher (General Matter). Bottleneck without demonstrated pricing power = 4.</t>
        </is>
      </c>
      <c r="F1802" s="33" t="inlineStr">
        <is>
          <t>ANS 2026-01; Q1 call 2026-05-07</t>
        </is>
      </c>
      <c r="G1802" s="33" t="inlineStr">
        <is>
          <t>Med</t>
        </is>
      </c>
      <c r="H1802" s="33" t="inlineStr">
        <is>
          <t>Update</t>
        </is>
      </c>
    </row>
    <row r="1803">
      <c r="A1803" s="33" t="inlineStr">
        <is>
          <t>2026-06-10</t>
        </is>
      </c>
      <c r="B1803" s="33" t="inlineStr">
        <is>
          <t>LEU</t>
        </is>
      </c>
      <c r="C1803" s="33" t="inlineStr">
        <is>
          <t>D5</t>
        </is>
      </c>
      <c r="D1803" s="33" t="n">
        <v>3</v>
      </c>
      <c r="E1803" s="33" t="inlineStr">
        <is>
          <t>(was 4) Oklo JV deconversion discussions (pre-definitive) at Piketon adjacent to Oklo's DC-oriented campus = most concrete AI vector of the three; X-energy/TerraPower prospective, nothing contracted.</t>
        </is>
      </c>
      <c r="F1803" s="33" t="inlineStr">
        <is>
          <t>Oklo/Centrus PR 2026-03-09</t>
        </is>
      </c>
      <c r="G1803" s="33" t="inlineStr">
        <is>
          <t>High</t>
        </is>
      </c>
      <c r="H1803" s="33" t="inlineStr">
        <is>
          <t>Update</t>
        </is>
      </c>
    </row>
    <row r="1804">
      <c r="A1804" s="33" t="inlineStr">
        <is>
          <t>2026-06-10</t>
        </is>
      </c>
      <c r="B1804" s="33" t="inlineStr">
        <is>
          <t>BWXT</t>
        </is>
      </c>
      <c r="C1804" s="33" t="inlineStr">
        <is>
          <t>D1</t>
        </is>
      </c>
      <c r="D1804" s="33" t="n">
        <v>2</v>
      </c>
      <c r="E1804" s="33" t="inlineStr">
        <is>
          <t>(was 3) Naval/DOE/special-materials = 67% of Q1 rev (zero AI); the 33% commercial segment is mostly Kinectrics/medical/CANDU; only the BWRX-300 SMR-component slice is indirectly AI-adjacent, single-digit % and undisclosed.</t>
        </is>
      </c>
      <c r="F1804" s="33" t="inlineStr">
        <is>
          <t>BWXT Q1 8-K 2026-05-04</t>
        </is>
      </c>
      <c r="G1804" s="33" t="inlineStr">
        <is>
          <t>High</t>
        </is>
      </c>
      <c r="H1804" s="33" t="inlineStr">
        <is>
          <t>Update</t>
        </is>
      </c>
    </row>
    <row r="1805">
      <c r="A1805" s="33" t="inlineStr">
        <is>
          <t>2026-06-10</t>
        </is>
      </c>
      <c r="B1805" s="33" t="inlineStr">
        <is>
          <t>BWXT</t>
        </is>
      </c>
      <c r="C1805" s="33" t="inlineStr">
        <is>
          <t>D2</t>
        </is>
      </c>
      <c r="D1805" s="33" t="n">
        <v>3</v>
      </c>
      <c r="E1805" s="33" t="inlineStr">
        <is>
          <t>(was 5) Naval sole-source is genuine but OFF-THESIS; the AI-relevant position is narrower -- sole RPV supplier for the first BWRX-300, but the SMRs hyperscalers actually picked (Oklo/Kairos/X-energy) don't anchor on BWXT. Lens reframe, not a fundamentals call.</t>
        </is>
      </c>
      <c r="F1805" s="33" t="inlineStr">
        <is>
          <t>BWXT GE Vernova supplier group; Darlington RPV</t>
        </is>
      </c>
      <c r="G1805" s="33" t="inlineStr">
        <is>
          <t>Med</t>
        </is>
      </c>
      <c r="H1805" s="33" t="inlineStr">
        <is>
          <t>Update</t>
        </is>
      </c>
    </row>
    <row r="1806">
      <c r="A1806" s="33" t="inlineStr">
        <is>
          <t>2026-06-10</t>
        </is>
      </c>
      <c r="B1806" s="33" t="inlineStr">
        <is>
          <t>BWXT</t>
        </is>
      </c>
      <c r="C1806" s="33" t="inlineStr">
        <is>
          <t>D5</t>
        </is>
      </c>
      <c r="D1806" s="33" t="n">
        <v>2</v>
      </c>
      <c r="E1806" s="33" t="inlineStr">
        <is>
          <t>(was 4) BWXT appears in NONE of the ~13 announced hyperscaler nuclear deals; CEO on Q1 call: 'I don't know... I suspect that we do.' No named/signed/disclosed-term hyperscaler deal.</t>
        </is>
      </c>
      <c r="F1806" s="33" t="inlineStr">
        <is>
          <t>Benzinga Q1 call 2026-05-04</t>
        </is>
      </c>
      <c r="G1806" s="33" t="inlineStr">
        <is>
          <t>High</t>
        </is>
      </c>
      <c r="H1806" s="33" t="inlineStr">
        <is>
          <t>Update</t>
        </is>
      </c>
    </row>
    <row r="1807">
      <c r="A1807" s="33" t="inlineStr">
        <is>
          <t>2026-06-10</t>
        </is>
      </c>
      <c r="B1807" s="33" t="inlineStr">
        <is>
          <t>SMR</t>
        </is>
      </c>
      <c r="C1807" s="33" t="inlineStr">
        <is>
          <t>D1</t>
        </is>
      </c>
      <c r="D1807" s="33" t="n">
        <v>1</v>
      </c>
      <c r="E1807" s="33" t="inlineStr">
        <is>
          <t>(was 3) Q1 2026 revenue $565K total (effectively pre-revenue, down from $13.4M as RoPower FEED rolled off); all historical revenue was the RoPower Romania government project, zero DC/AI.</t>
        </is>
      </c>
      <c r="F1807" s="33" t="inlineStr">
        <is>
          <t>NuScale 10-Q Q1 2026 2026-05-07</t>
        </is>
      </c>
      <c r="G1807" s="33" t="inlineStr">
        <is>
          <t>High</t>
        </is>
      </c>
      <c r="H1807" s="33" t="inlineStr">
        <is>
          <t>Update</t>
        </is>
      </c>
    </row>
    <row r="1808">
      <c r="A1808" s="33" t="inlineStr">
        <is>
          <t>2026-06-10</t>
        </is>
      </c>
      <c r="B1808" s="33" t="inlineStr">
        <is>
          <t>OKLO</t>
        </is>
      </c>
      <c r="C1808" s="33" t="inlineStr">
        <is>
          <t>D1</t>
        </is>
      </c>
      <c r="D1808" s="33" t="n">
        <v>1</v>
      </c>
      <c r="E1808" s="33" t="inlineStr">
        <is>
          <t>(was 5) ZERO revenue (Q1 2026 10-Q has no revenue line; net loss $33.1M). Cannot have AI revenue % of ~zero. Old D1=5 credited pipeline as revenue -- the clearest single error in the layer. First power-sale target 2028+.</t>
        </is>
      </c>
      <c r="F1808" s="33" t="inlineStr">
        <is>
          <t>OKLO 10-Q Q1 2026 2026-05-12</t>
        </is>
      </c>
      <c r="G1808" s="33" t="inlineStr">
        <is>
          <t>High</t>
        </is>
      </c>
      <c r="H1808" s="33" t="inlineStr">
        <is>
          <t>Update</t>
        </is>
      </c>
    </row>
    <row r="1809">
      <c r="A1809" s="33" t="inlineStr">
        <is>
          <t>2026-06-10</t>
        </is>
      </c>
      <c r="B1809" s="33" t="inlineStr">
        <is>
          <t>OKLO</t>
        </is>
      </c>
      <c r="C1809" s="33" t="inlineStr">
        <is>
          <t>D5</t>
        </is>
      </c>
      <c r="D1809" s="33" t="n">
        <v>3</v>
      </c>
      <c r="E1809" s="33" t="inlineStr">
        <is>
          <t>(was 5) Switch '12 GW' and Equinix 500 MW are NON-BINDING LOIs; Meta 1.2 GW is a signed/funded Prepayment Agreement with a specific site (keeps D5 above the pure-LOI floor) but NOT a disclosed-term PPA, timeline 2030-34. Was 5 (rated pipeline as signed). FLAG: 2 if bar is a binding PPA.</t>
        </is>
      </c>
      <c r="F1809" s="33" t="inlineStr">
        <is>
          <t>OKLO 10-Q 2026-05-12; Meta PR 2026-01-09</t>
        </is>
      </c>
      <c r="G1809" s="33" t="inlineStr">
        <is>
          <t>Med</t>
        </is>
      </c>
      <c r="H1809" s="33" t="inlineStr">
        <is>
          <t>Update</t>
        </is>
      </c>
    </row>
    <row r="1810">
      <c r="A1810" s="33" t="inlineStr">
        <is>
          <t>2026-06-10</t>
        </is>
      </c>
      <c r="B1810" s="33" t="inlineStr">
        <is>
          <t>NNE</t>
        </is>
      </c>
      <c r="C1810" s="33" t="inlineStr">
        <is>
          <t>D1</t>
        </is>
      </c>
      <c r="D1810" s="33" t="n">
        <v>1</v>
      </c>
      <c r="E1810" s="33" t="inlineStr">
        <is>
          <t>(was 4) 10-Q: 'have not generated any material revenue... through March 31, 2026.' STS acquisition adds logistics revenue (not AI). Old D1=4 unsupportable for a zero-revenue company.</t>
        </is>
      </c>
      <c r="F1810" s="33" t="inlineStr">
        <is>
          <t>NNE 10-Q Q2 FY26 2026-05-14</t>
        </is>
      </c>
      <c r="G1810" s="33" t="inlineStr">
        <is>
          <t>High</t>
        </is>
      </c>
      <c r="H1810" s="33" t="inlineStr">
        <is>
          <t>Update</t>
        </is>
      </c>
    </row>
    <row r="1811">
      <c r="A1811" s="33" t="inlineStr">
        <is>
          <t>2026-06-10</t>
        </is>
      </c>
      <c r="B1811" s="33" t="inlineStr">
        <is>
          <t>NNE</t>
        </is>
      </c>
      <c r="C1811" s="33" t="inlineStr">
        <is>
          <t>D5</t>
        </is>
      </c>
      <c r="D1811" s="33" t="n">
        <v>2</v>
      </c>
      <c r="E1811" s="33" t="inlineStr">
        <is>
          <t>(was 4) AI-datacenter exposure is 100% narrative/MOU (Supermicro/EHC/DS Dansuk, all non-binding); a binding deal would file 8-K Item 1.01 -- none has. Named MOUs keep it above pure vapor.</t>
        </is>
      </c>
      <c r="F1811" s="33" t="inlineStr">
        <is>
          <t>NNE Q2 PR 2026-05-14; Supermicro MOU 2026-05-06</t>
        </is>
      </c>
      <c r="G1811" s="33" t="inlineStr">
        <is>
          <t>High</t>
        </is>
      </c>
      <c r="H1811" s="33" t="inlineStr">
        <is>
          <t>Update</t>
        </is>
      </c>
    </row>
    <row r="1812">
      <c r="A1812" s="33" t="inlineStr">
        <is>
          <t>2026-06-10</t>
        </is>
      </c>
      <c r="B1812" s="33" t="inlineStr">
        <is>
          <t>CTRA</t>
        </is>
      </c>
      <c r="C1812" s="33" t="inlineStr">
        <is>
          <t>—</t>
        </is>
      </c>
      <c r="D1812" s="33" t="inlineStr">
        <is>
          <t>—</t>
        </is>
      </c>
      <c r="E1812" s="33" t="inlineStr">
        <is>
          <t>Removed from Watchlist: Coterra merged into Devon Energy (DVN) at 0.70 DVN/sh, consummated 2026-05-07, delisted NYSE same day. Pre-merger ratings retired (not re-scored — entity gone). Successor DVN is a separate new-name decision.</t>
        </is>
      </c>
      <c r="F1812" s="33" t="inlineStr">
        <is>
          <t>Globe and Mail / StockTitan 8-K 2026-05-07</t>
        </is>
      </c>
      <c r="G1812" s="33" t="inlineStr">
        <is>
          <t>High</t>
        </is>
      </c>
      <c r="H1812" s="33" t="inlineStr">
        <is>
          <t>Removed</t>
        </is>
      </c>
    </row>
    <row r="1813">
      <c r="A1813" s="33" t="inlineStr">
        <is>
          <t>2026-06-10</t>
        </is>
      </c>
      <c r="B1813" s="33" t="inlineStr">
        <is>
          <t>GEV</t>
        </is>
      </c>
      <c r="C1813" s="33" t="inlineStr">
        <is>
          <t>D1</t>
        </is>
      </c>
      <c r="D1813" s="33" t="n">
        <v>2</v>
      </c>
      <c r="E1813" s="33" t="inlineStr">
        <is>
          <t>(was 3) AI exposure is ORDERS/backlog not current revenue: $2.4B DC equipment orders ~=13% of Q1 orders, but disclosed current DC revenue is &lt;10% of a broad grid+gas+wind co. Distinguish backlog from revenue.</t>
        </is>
      </c>
      <c r="F1813" s="33" t="inlineStr">
        <is>
          <t>GEV Q1 2026 8-K 2026-04-22</t>
        </is>
      </c>
      <c r="G1813" s="33" t="inlineStr">
        <is>
          <t>Med</t>
        </is>
      </c>
      <c r="H1813" s="33" t="inlineStr">
        <is>
          <t>Update</t>
        </is>
      </c>
    </row>
    <row r="1814">
      <c r="A1814" s="33" t="inlineStr">
        <is>
          <t>2026-06-10</t>
        </is>
      </c>
      <c r="B1814" s="33" t="inlineStr">
        <is>
          <t>TER</t>
        </is>
      </c>
      <c r="C1814" s="33" t="inlineStr">
        <is>
          <t>D1</t>
        </is>
      </c>
      <c r="D1814" s="33" t="n">
        <v>4</v>
      </c>
      <c r="E1814" s="33" t="inlineStr">
        <is>
          <t>(was 5) Genuine AI majority but trimmed for precision: ~70% of rev AI-related, SemiTest 87%, compute ~75% of SoC test -- but 'AI-related' is mgmt framing incl. non-AI HPC, and Robotics is non-AI. 25-50% band.</t>
        </is>
      </c>
      <c r="F1814" s="33" t="inlineStr">
        <is>
          <t>TER Q1 2026 8-K/call 2026-04-29</t>
        </is>
      </c>
      <c r="G1814" s="33" t="inlineStr">
        <is>
          <t>High</t>
        </is>
      </c>
      <c r="H1814" s="33" t="inlineStr">
        <is>
          <t>Update</t>
        </is>
      </c>
    </row>
    <row r="1815">
      <c r="A1815" s="33" t="inlineStr">
        <is>
          <t>2026-06-10</t>
        </is>
      </c>
      <c r="B1815" s="33" t="inlineStr">
        <is>
          <t>TER</t>
        </is>
      </c>
      <c r="C1815" s="33" t="inlineStr">
        <is>
          <t>D5</t>
        </is>
      </c>
      <c r="D1815" s="33" t="n">
        <v>3</v>
      </c>
      <c r="E1815" s="33" t="inlineStr">
        <is>
          <t>(was 4) Sells test to OSATs/IDMs/fabless, NOT hyperscalers; indirect pull from hyperscaler custom-silicon ASICs being tested keeps it at 3 (was 4, overstated a direct relationship).</t>
        </is>
      </c>
      <c r="F1815" s="33" t="inlineStr">
        <is>
          <t>TER Q1 2026 call</t>
        </is>
      </c>
      <c r="G1815" s="33" t="inlineStr">
        <is>
          <t>High</t>
        </is>
      </c>
      <c r="H1815" s="33" t="inlineStr">
        <is>
          <t>Update</t>
        </is>
      </c>
    </row>
    <row r="1816">
      <c r="A1816" s="33" t="inlineStr">
        <is>
          <t>2026-06-10</t>
        </is>
      </c>
      <c r="B1816" s="33" t="inlineStr">
        <is>
          <t>LRCX</t>
        </is>
      </c>
      <c r="C1816" s="33" t="inlineStr">
        <is>
          <t>D1</t>
        </is>
      </c>
      <c r="D1816" s="33" t="n">
        <v>3</v>
      </c>
      <c r="E1816" s="33" t="inlineStr">
        <is>
          <t>(was 4) AI is a demand tailwind, not a disclosed revenue majority -- sells etch/dep into all WFE; AI-specific (adv packaging/HBM) is a modest slice of a broad cyclical base incl. NAND recovery.</t>
        </is>
      </c>
      <c r="F1816" s="33" t="inlineStr">
        <is>
          <t>LRCX Q3 FY2026 2026-04-22</t>
        </is>
      </c>
      <c r="G1816" s="33" t="inlineStr">
        <is>
          <t>High</t>
        </is>
      </c>
      <c r="H1816" s="33" t="inlineStr">
        <is>
          <t>Update</t>
        </is>
      </c>
    </row>
    <row r="1817">
      <c r="A1817" s="33" t="inlineStr">
        <is>
          <t>2026-06-10</t>
        </is>
      </c>
      <c r="B1817" s="33" t="inlineStr">
        <is>
          <t>LRCX</t>
        </is>
      </c>
      <c r="C1817" s="33" t="inlineStr">
        <is>
          <t>D5</t>
        </is>
      </c>
      <c r="D1817" s="33" t="n">
        <v>2</v>
      </c>
      <c r="E1817" s="33" t="inlineStr">
        <is>
          <t>(was 4) Sells to FABS (TSMC/Samsung/SK Hynix/Micron/Intel), zero direct hyperscaler relationship; 4 was narrative inflation.</t>
        </is>
      </c>
      <c r="F1817" s="33" t="inlineStr">
        <is>
          <t>LRCX Q3 FY2026</t>
        </is>
      </c>
      <c r="G1817" s="33" t="inlineStr">
        <is>
          <t>High</t>
        </is>
      </c>
      <c r="H1817" s="33" t="inlineStr">
        <is>
          <t>Update</t>
        </is>
      </c>
    </row>
    <row r="1818">
      <c r="A1818" s="33" t="inlineStr">
        <is>
          <t>2026-06-10</t>
        </is>
      </c>
      <c r="B1818" s="33" t="inlineStr">
        <is>
          <t>ARM</t>
        </is>
      </c>
      <c r="C1818" s="33" t="inlineStr">
        <is>
          <t>D1</t>
        </is>
      </c>
      <c r="D1818" s="33" t="n">
        <v>4</v>
      </c>
      <c r="E1818" s="33" t="inlineStr">
        <is>
          <t>(was 5) IP not equipment, but AI-infrastructure is still a minority: data-center royalty doubled YoY yet smartphone/IoT/auto remain the largest base; CSS to ~50% of royalties is FUTURE.</t>
        </is>
      </c>
      <c r="F1818" s="33" t="inlineStr">
        <is>
          <t>ARM FY2026 6-K 2026-05</t>
        </is>
      </c>
      <c r="G1818" s="33" t="inlineStr">
        <is>
          <t>Med</t>
        </is>
      </c>
      <c r="H1818" s="33" t="inlineStr">
        <is>
          <t>Update</t>
        </is>
      </c>
    </row>
    <row r="1819">
      <c r="A1819" s="33" t="inlineStr">
        <is>
          <t>2026-06-10</t>
        </is>
      </c>
      <c r="B1819" s="33" t="inlineStr">
        <is>
          <t>ARM</t>
        </is>
      </c>
      <c r="C1819" s="33" t="inlineStr">
        <is>
          <t>D5</t>
        </is>
      </c>
      <c r="D1819" s="33" t="n">
        <v>4</v>
      </c>
      <c r="E1819" s="33" t="inlineStr">
        <is>
          <t>(was 5) Most direct hyperscaler link in semicap (AWS Graviton/Google Axion/MSFT Cobalt pay per-chip royalties) but it's licensing not co-design, and hyperscalers are part of a minority data-center segment; 4 not 5.</t>
        </is>
      </c>
      <c r="F1819" s="33" t="inlineStr">
        <is>
          <t>ARM FY2026 6-K</t>
        </is>
      </c>
      <c r="G1819" s="33" t="inlineStr">
        <is>
          <t>High</t>
        </is>
      </c>
      <c r="H1819" s="33" t="inlineStr">
        <is>
          <t>Update</t>
        </is>
      </c>
    </row>
    <row r="1820">
      <c r="A1820" s="33" t="inlineStr">
        <is>
          <t>2026-06-10</t>
        </is>
      </c>
      <c r="B1820" s="33" t="inlineStr">
        <is>
          <t>ASML</t>
        </is>
      </c>
      <c r="C1820" s="33" t="inlineStr">
        <is>
          <t>D1</t>
        </is>
      </c>
      <c r="D1820" s="33" t="n">
        <v>3</v>
      </c>
      <c r="E1820" s="33" t="inlineStr">
        <is>
          <t>(was 4) AI drives the demand/guidance but ASML sells litho into all advanced logic+DRAM; no disclosed AI line; EUV ~65% of sales is leading-edge broadly, only partly AI-specific.</t>
        </is>
      </c>
      <c r="F1820" s="33" t="inlineStr">
        <is>
          <t>ASML Q1 2026 2026-04-15</t>
        </is>
      </c>
      <c r="G1820" s="33" t="inlineStr">
        <is>
          <t>High</t>
        </is>
      </c>
      <c r="H1820" s="33" t="inlineStr">
        <is>
          <t>Update</t>
        </is>
      </c>
    </row>
    <row r="1821">
      <c r="A1821" s="33" t="inlineStr">
        <is>
          <t>2026-06-10</t>
        </is>
      </c>
      <c r="B1821" s="33" t="inlineStr">
        <is>
          <t>ASML</t>
        </is>
      </c>
      <c r="C1821" s="33" t="inlineStr">
        <is>
          <t>D5</t>
        </is>
      </c>
      <c r="D1821" s="33" t="n">
        <v>2</v>
      </c>
      <c r="E1821" s="33" t="inlineStr">
        <is>
          <t>(was 4) Sells exclusively to FABS (TSMC/Samsung/Intel/SK Hynix); no hyperscaler relationship; 4 was pure narrative inflation. D2=5 EUV monopoly intact.</t>
        </is>
      </c>
      <c r="F1821" s="33" t="inlineStr">
        <is>
          <t>ASML Q1 2026</t>
        </is>
      </c>
      <c r="G1821" s="33" t="inlineStr">
        <is>
          <t>High</t>
        </is>
      </c>
      <c r="H1821" s="33" t="inlineStr">
        <is>
          <t>Update</t>
        </is>
      </c>
    </row>
    <row r="1822">
      <c r="A1822" s="33" t="inlineStr">
        <is>
          <t>2026-06-10</t>
        </is>
      </c>
      <c r="B1822" s="33" t="inlineStr">
        <is>
          <t>AMAT</t>
        </is>
      </c>
      <c r="C1822" s="33" t="inlineStr">
        <is>
          <t>D1</t>
        </is>
      </c>
      <c r="D1822" s="33" t="n">
        <v>3</v>
      </c>
      <c r="E1822" s="33" t="inlineStr">
        <is>
          <t>(was 4) Same as LRCX: leading-edge/HBM/adv-packaging are the fastest-growing WFE but not a disclosed majority of a base that still includes large ICAPS/trailing-edge + China (non-AI).</t>
        </is>
      </c>
      <c r="F1822" s="33" t="inlineStr">
        <is>
          <t>AMAT Q2 FY2026 8-K 2026-05-14</t>
        </is>
      </c>
      <c r="G1822" s="33" t="inlineStr">
        <is>
          <t>High</t>
        </is>
      </c>
      <c r="H1822" s="33" t="inlineStr">
        <is>
          <t>Update</t>
        </is>
      </c>
    </row>
    <row r="1823">
      <c r="A1823" s="33" t="inlineStr">
        <is>
          <t>2026-06-10</t>
        </is>
      </c>
      <c r="B1823" s="33" t="inlineStr">
        <is>
          <t>AMAT</t>
        </is>
      </c>
      <c r="C1823" s="33" t="inlineStr">
        <is>
          <t>D5</t>
        </is>
      </c>
      <c r="D1823" s="33" t="n">
        <v>2</v>
      </c>
      <c r="E1823" s="33" t="inlineStr">
        <is>
          <t>(was 4) Sells to FABS not hyperscalers; no direct hyperscaler relationship; 4 inflated.</t>
        </is>
      </c>
      <c r="F1823" s="33" t="inlineStr">
        <is>
          <t>AMAT Q2 FY2026 8-K</t>
        </is>
      </c>
      <c r="G1823" s="33" t="inlineStr">
        <is>
          <t>High</t>
        </is>
      </c>
      <c r="H1823" s="33" t="inlineStr">
        <is>
          <t>Update</t>
        </is>
      </c>
    </row>
    <row r="1824">
      <c r="A1824" s="33" t="inlineStr">
        <is>
          <t>2026-06-10</t>
        </is>
      </c>
      <c r="B1824" s="33" t="inlineStr">
        <is>
          <t>TSM</t>
        </is>
      </c>
      <c r="C1824" s="33" t="inlineStr">
        <is>
          <t>D1</t>
        </is>
      </c>
      <c r="D1824" s="33" t="n">
        <v>5</v>
      </c>
      <c r="E1824" s="33" t="inlineStr">
        <is>
          <t>(was 4) UPGRADE. HPC platform = 61% of Q1 2026 revenue (up from 55% prior qtr), overwhelmingly AI accelerator/datacenter wafers (NVDA/AMD/AVGO/custom-ASIC). Cleared &gt;50%; old 4 was a stale sub-majority model.</t>
        </is>
      </c>
      <c r="F1824" s="33" t="inlineStr">
        <is>
          <t>TSMC Q1 2026 slides 2026-04-16</t>
        </is>
      </c>
      <c r="G1824" s="33" t="inlineStr">
        <is>
          <t>High</t>
        </is>
      </c>
      <c r="H1824" s="33" t="inlineStr">
        <is>
          <t>Update</t>
        </is>
      </c>
    </row>
    <row r="1825">
      <c r="A1825" s="33" t="inlineStr">
        <is>
          <t>2026-06-10</t>
        </is>
      </c>
      <c r="B1825" s="33" t="inlineStr">
        <is>
          <t>AMD</t>
        </is>
      </c>
      <c r="C1825" s="33" t="inlineStr">
        <is>
          <t>D1</t>
        </is>
      </c>
      <c r="D1825" s="33" t="n">
        <v>4</v>
      </c>
      <c r="E1825" s="33" t="inlineStr">
        <is>
          <t>(was 5) CUT: Data Center is 56% of rev but blends EPYC server CPUs w/ Instinct GPUs; Instinct alone ~17-19% of total. 43% of co (Client/Gaming/Embedded) is non-AI. AI-infra is 25-50% band, not a majority. (May re-cross to 5 in 2-3 qtrs.)</t>
        </is>
      </c>
      <c r="F1825" s="33" t="inlineStr">
        <is>
          <t>AMD Q1 2026 8-K</t>
        </is>
      </c>
      <c r="G1825" s="33" t="inlineStr">
        <is>
          <t>Med</t>
        </is>
      </c>
      <c r="H1825" s="33" t="inlineStr">
        <is>
          <t>Update</t>
        </is>
      </c>
    </row>
    <row r="1826">
      <c r="A1826" s="33" t="inlineStr">
        <is>
          <t>2026-06-10</t>
        </is>
      </c>
      <c r="B1826" s="33" t="inlineStr">
        <is>
          <t>MRVL</t>
        </is>
      </c>
      <c r="C1826" s="33" t="inlineStr">
        <is>
          <t>D1</t>
        </is>
      </c>
      <c r="D1826" s="33" t="n">
        <v>4</v>
      </c>
      <c r="E1826" s="33" t="inlineStr">
        <is>
          <t>(was 5) Data center 76% of rev but AI-specific run-rate ~47% of total -- below the &gt;50% majority bar applied to AMD/AVGO. [Override: agent held 5 on 76% DC mix; cut to 4 for consistency.] Borderline; could be 5 if all AI-cluster DC silicon counts.</t>
        </is>
      </c>
      <c r="F1826" s="33" t="inlineStr">
        <is>
          <t>MRVL Q1 FY26</t>
        </is>
      </c>
      <c r="G1826" s="33" t="inlineStr">
        <is>
          <t>Med</t>
        </is>
      </c>
      <c r="H1826" s="33" t="inlineStr">
        <is>
          <t>Update</t>
        </is>
      </c>
    </row>
    <row r="1827">
      <c r="A1827" s="33" t="inlineStr">
        <is>
          <t>2026-06-10</t>
        </is>
      </c>
      <c r="B1827" s="33" t="inlineStr">
        <is>
          <t>ALAB</t>
        </is>
      </c>
      <c r="C1827" s="33" t="inlineStr">
        <is>
          <t>D2</t>
        </is>
      </c>
      <c r="D1827" s="33" t="n">
        <v>4</v>
      </c>
      <c r="E1827" s="33" t="inlineStr">
        <is>
          <t>(was 5) Best product today (Scorpio/PCIe Gen6 leadership) but smallest/newest in a contestable connectivity tier (AVGO/MRVL/NVLink can encroach) -- 'early leader, competition coming' = 4 not 5. D1=5 pure-play holds.</t>
        </is>
      </c>
      <c r="F1827" s="33" t="inlineStr">
        <is>
          <t>Astera Q1 FY26 2026-05-05</t>
        </is>
      </c>
      <c r="G1827" s="33" t="inlineStr">
        <is>
          <t>Med</t>
        </is>
      </c>
      <c r="H1827" s="33" t="inlineStr">
        <is>
          <t>Update</t>
        </is>
      </c>
    </row>
    <row r="1828">
      <c r="A1828" s="33" t="inlineStr">
        <is>
          <t>2026-06-10</t>
        </is>
      </c>
      <c r="B1828" s="33" t="inlineStr">
        <is>
          <t>MU</t>
        </is>
      </c>
      <c r="C1828" s="33" t="inlineStr">
        <is>
          <t>D2</t>
        </is>
      </c>
      <c r="D1828" s="33" t="n">
        <v>4</v>
      </c>
      <c r="E1828" s="33" t="inlineStr">
        <is>
          <t>(was 5) CUT: memory is a cyclical commodity, MU a 3-player price-taker on the broad DRAM/NAND cycle (~44% of rev is commodity Mobile/Client/Auto). HBM4 sold-out fixed-price LTAs are real but ring-fenced pricing power, not a whole-business bottleneck. D1=5 (DC 56%) holds.</t>
        </is>
      </c>
      <c r="F1828" s="33" t="inlineStr">
        <is>
          <t>MU Q2 FY26 8-K</t>
        </is>
      </c>
      <c r="G1828" s="33" t="inlineStr">
        <is>
          <t>Med</t>
        </is>
      </c>
      <c r="H1828" s="33" t="inlineStr">
        <is>
          <t>Update</t>
        </is>
      </c>
    </row>
    <row r="1829">
      <c r="A1829" s="33" t="inlineStr">
        <is>
          <t>2026-06-10</t>
        </is>
      </c>
      <c r="B1829" s="33" t="inlineStr">
        <is>
          <t>SNDK</t>
        </is>
      </c>
      <c r="C1829" s="33" t="inlineStr">
        <is>
          <t>D1</t>
        </is>
      </c>
      <c r="D1829" s="33" t="n">
        <v>3</v>
      </c>
      <c r="E1829" s="33" t="inlineStr">
        <is>
          <t>(was 4) CUT: disclosed datacenter ~14.5% of total revenue (10-25% band); ~85% is still commodity/consumer NAND; HBF in qualification = zero revenue. Prior 4 over-credited 'majority of GROWTH' as majority of revenue.</t>
        </is>
      </c>
      <c r="F1829" s="33" t="inlineStr">
        <is>
          <t>Sandisk Q1 FY26 / Q3 FY26 10-Q</t>
        </is>
      </c>
      <c r="G1829" s="33" t="inlineStr">
        <is>
          <t>Med</t>
        </is>
      </c>
      <c r="H1829" s="33" t="inlineStr">
        <is>
          <t>Update</t>
        </is>
      </c>
    </row>
    <row r="1830">
      <c r="A1830" s="33" t="inlineStr">
        <is>
          <t>2026-06-10</t>
        </is>
      </c>
      <c r="B1830" s="33" t="inlineStr">
        <is>
          <t>SNDK</t>
        </is>
      </c>
      <c r="C1830" s="33" t="inlineStr">
        <is>
          <t>D2</t>
        </is>
      </c>
      <c r="D1830" s="33" t="n">
        <v>3</v>
      </c>
      <c r="E1830" s="33" t="inlineStr">
        <is>
          <t>(was 4) CUT: pure NAND is the most commoditized memory (5-6 suppliers, price-taker on the cycle); the +33-38% QoQ ESSD pricing is cycle-upswing, not structural power.</t>
        </is>
      </c>
      <c r="F1830" s="33" t="inlineStr">
        <is>
          <t>Sandisk Q3 FY26</t>
        </is>
      </c>
      <c r="G1830" s="33" t="inlineStr">
        <is>
          <t>Med</t>
        </is>
      </c>
      <c r="H1830" s="33" t="inlineStr">
        <is>
          <t>Update</t>
        </is>
      </c>
    </row>
    <row r="1831">
      <c r="A1831" s="33" t="inlineStr">
        <is>
          <t>2026-06-10</t>
        </is>
      </c>
      <c r="B1831" s="33" t="inlineStr">
        <is>
          <t>SNDK</t>
        </is>
      </c>
      <c r="C1831" s="33" t="inlineStr">
        <is>
          <t>D5</t>
        </is>
      </c>
      <c r="D1831" s="33" t="n">
        <v>3</v>
      </c>
      <c r="E1831" s="33" t="inlineStr">
        <is>
          <t>(was 4) CUT: HBF qualification = pipeline not revenue; datacenter ~14.5% routed via OEMs/channel, no disclosed hyperscaler &gt;10% concentration.</t>
        </is>
      </c>
      <c r="F1831" s="33" t="inlineStr">
        <is>
          <t>Sandisk Q1 FY26</t>
        </is>
      </c>
      <c r="G1831" s="33" t="inlineStr">
        <is>
          <t>Med</t>
        </is>
      </c>
      <c r="H1831" s="33" t="inlineStr">
        <is>
          <t>Update</t>
        </is>
      </c>
    </row>
    <row r="1832">
      <c r="A1832" s="33" t="inlineStr">
        <is>
          <t>2026-06-10</t>
        </is>
      </c>
      <c r="B1832" s="33" t="inlineStr">
        <is>
          <t>FN</t>
        </is>
      </c>
      <c r="C1832" s="33" t="inlineStr">
        <is>
          <t>D1</t>
        </is>
      </c>
      <c r="D1832" s="33" t="n">
        <v>4</v>
      </c>
      <c r="E1832" s="33" t="inlineStr">
        <is>
          <t>(was 5) CUT: contract optical mfr where AI is a large slice not ~100%: datacom transceivers ~$260M (21%, down 6% QoQ) + AI-driven DCI ~$197M ~= $457M ~38% of rev; rest is non-AI telecom/industrial/auto. NVIDIA &gt;30% is the AI lever (and risk).</t>
        </is>
      </c>
      <c r="F1832" s="33" t="inlineStr">
        <is>
          <t>FN Q3 FY26</t>
        </is>
      </c>
      <c r="G1832" s="33" t="inlineStr">
        <is>
          <t>Med</t>
        </is>
      </c>
      <c r="H1832" s="33" t="inlineStr">
        <is>
          <t>Update</t>
        </is>
      </c>
    </row>
    <row r="1833">
      <c r="A1833" s="33" t="inlineStr">
        <is>
          <t>2026-06-10</t>
        </is>
      </c>
      <c r="B1833" s="33" t="inlineStr">
        <is>
          <t>DELL</t>
        </is>
      </c>
      <c r="C1833" s="33" t="inlineStr">
        <is>
          <t>D1</t>
        </is>
      </c>
      <c r="D1833" s="33" t="n">
        <v>3</v>
      </c>
      <c r="E1833" s="33" t="inlineStr">
        <is>
          <t>(was 4) CUT: AI-optimized servers ~$16.1B of $43.8B Q1 FY27 ~= 37% (FY27 outlook ~36%); fast-growing but a MINORITY of total, rest is commodity CSG/PCs + traditional storage, and at LOW margin.</t>
        </is>
      </c>
      <c r="F1833" s="33" t="inlineStr">
        <is>
          <t>Dell Q1 FY27 8-K 2026-05-28</t>
        </is>
      </c>
      <c r="G1833" s="33" t="inlineStr">
        <is>
          <t>High</t>
        </is>
      </c>
      <c r="H1833" s="33" t="inlineStr">
        <is>
          <t>Update</t>
        </is>
      </c>
    </row>
    <row r="1834">
      <c r="A1834" s="33" t="inlineStr">
        <is>
          <t>2026-06-10</t>
        </is>
      </c>
      <c r="B1834" s="33" t="inlineStr">
        <is>
          <t>STX</t>
        </is>
      </c>
      <c r="C1834" s="33" t="inlineStr">
        <is>
          <t>D2</t>
        </is>
      </c>
      <c r="D1834" s="33" t="n">
        <v>4</v>
      </c>
      <c r="E1834" s="33" t="inlineStr">
        <is>
          <t>(was 5) CUT: STX/WDC duopoly has real current pricing power ($/TB rising, sold out to late-2027) but HDD is a CYCLICAL near-commodity, not a structural non-cyclical chokepoint (reserve 5 for EUV/leading-edge). Pricing mean-reverts. D1=4/D5=5 hold.</t>
        </is>
      </c>
      <c r="F1834" s="33" t="inlineStr">
        <is>
          <t>STX context 2026-06-05; Q3 FY26 8-K</t>
        </is>
      </c>
      <c r="G1834" s="33" t="inlineStr">
        <is>
          <t>Med</t>
        </is>
      </c>
      <c r="H1834" s="33" t="inlineStr">
        <is>
          <t>Update</t>
        </is>
      </c>
    </row>
    <row r="1835">
      <c r="A1835" s="33" t="inlineStr">
        <is>
          <t>2026-06-12</t>
        </is>
      </c>
      <c r="B1835" s="33" t="inlineStr">
        <is>
          <t>AVGO</t>
        </is>
      </c>
      <c r="C1835" s="33" t="inlineStr">
        <is>
          <t>D2</t>
        </is>
      </c>
      <c r="D1835" s="33" t="n">
        <v>5</v>
      </c>
      <c r="E1835" s="33" t="inlineStr">
        <is>
          <t>(was 4) RAISE: genuine upstream bottleneck now — Q2 AI bookings &gt;$30B vs $10.8B shipped, customers ordering 2 yrs out, supply secured thru 2027, six customers locked in GW-denominated multi-yr contracts; pricing power via content/GW rising gen-over-gen.</t>
        </is>
      </c>
      <c r="F1835" s="33" t="inlineStr">
        <is>
          <t>AVGO Q2 FY26 call 2026-06-03; context-2026-06-12</t>
        </is>
      </c>
      <c r="G1835" s="33" t="inlineStr">
        <is>
          <t>High</t>
        </is>
      </c>
      <c r="H1835" s="33" t="inlineStr">
        <is>
          <t>Update</t>
        </is>
      </c>
    </row>
    <row r="1836">
      <c r="A1836" s="33" t="inlineStr">
        <is>
          <t>2026-06-12</t>
        </is>
      </c>
      <c r="B1836" s="33" t="inlineStr">
        <is>
          <t>AVGO</t>
        </is>
      </c>
      <c r="C1836" s="33" t="inlineStr">
        <is>
          <t>M2</t>
        </is>
      </c>
      <c r="D1836" s="33" t="n">
        <v>1</v>
      </c>
      <c r="E1836" s="33" t="inlineStr">
        <is>
          <t>(was 2) CUT: 6-mo relative to SMH -73.8pts (AVGO -6.1% vs SMH +67.6%); 3-mo rel -40.2. Lagging sector &gt;20% = band 1. Price action, not quality — fundamentals diverging from tape.</t>
        </is>
      </c>
      <c r="F1836" s="33" t="inlineStr">
        <is>
          <t>yfinance 6-mo perf 2026-06-12</t>
        </is>
      </c>
      <c r="G1836" s="33" t="inlineStr">
        <is>
          <t>High</t>
        </is>
      </c>
      <c r="H1836" s="33" t="inlineStr">
        <is>
          <t>Update</t>
        </is>
      </c>
    </row>
    <row r="1837">
      <c r="A1837" s="33" t="inlineStr">
        <is>
          <t>2026-06-12</t>
        </is>
      </c>
      <c r="B1837" s="33" t="inlineStr">
        <is>
          <t>TSM</t>
        </is>
      </c>
      <c r="C1837" s="33" t="inlineStr">
        <is>
          <t>M1</t>
        </is>
      </c>
      <c r="D1837" s="33" t="n">
        <v>5</v>
      </c>
      <c r="E1837" s="33" t="inlineStr">
        <is>
          <t>(was 4) RAISE: beat-and-raise pattern — Q1 beat, FY26 guide raised to &gt;30% USD growth, FY EPS consensus +9.7% over 90d, zero down revisions.</t>
        </is>
      </c>
      <c r="F1837" s="33" t="inlineStr">
        <is>
          <t>yfinance eps_trend 2026-06-12; Q1 call 2026-04-16</t>
        </is>
      </c>
      <c r="G1837" s="33" t="inlineStr">
        <is>
          <t>High</t>
        </is>
      </c>
      <c r="H1837" s="33" t="inlineStr">
        <is>
          <t>Update</t>
        </is>
      </c>
    </row>
    <row r="1838">
      <c r="A1838" s="33" t="inlineStr">
        <is>
          <t>2026-06-12</t>
        </is>
      </c>
      <c r="B1838" s="33" t="inlineStr">
        <is>
          <t>TSM</t>
        </is>
      </c>
      <c r="C1838" s="33" t="inlineStr">
        <is>
          <t>M3</t>
        </is>
      </c>
      <c r="D1838" s="33" t="n">
        <v>5</v>
      </c>
      <c r="E1838" s="33" t="inlineStr">
        <is>
          <t>(was 3) RAISE: two insiders open-market buying — Tien Bor-Zen ×2 (Apr 28 @ $386-390, May 20 @ $392-400), Ursula Burns (Mar 31 @ $322). Procedure step 1: &gt;=2 insiders buying = 5 regardless of size. CAVEAT: yfinance-sourced (FPI, no Form 4s) — verify against TWSE filings.</t>
        </is>
      </c>
      <c r="F1838" s="33" t="inlineStr">
        <is>
          <t>yfinance insider_transactions 2026-06-12</t>
        </is>
      </c>
      <c r="G1838" s="33" t="inlineStr">
        <is>
          <t>Medium</t>
        </is>
      </c>
      <c r="H1838" s="33" t="inlineStr">
        <is>
          <t>Update</t>
        </is>
      </c>
    </row>
    <row r="1839">
      <c r="A1839" s="33" t="inlineStr">
        <is>
          <t>2026-06-12</t>
        </is>
      </c>
      <c r="B1839" s="33" t="inlineStr">
        <is>
          <t>META</t>
        </is>
      </c>
      <c r="C1839" s="33" t="inlineStr">
        <is>
          <t>D1</t>
        </is>
      </c>
      <c r="D1839" s="33" t="n">
        <v>3</v>
      </c>
      <c r="E1839" s="33" t="inlineStr">
        <is>
          <t>(was 2) RAISE: AI-attributable revenue now quantified — +6% LPV / +1.6% off-site conversion lifts on AI ranking, Meta AI sessions +double-digit, business AIs 1M-&gt;10M weekly convos; &gt;10% of revenue economics now AI-driven.</t>
        </is>
      </c>
      <c r="F1839" s="33" t="inlineStr">
        <is>
          <t>META Q1 2026 call + context-2026-06-12</t>
        </is>
      </c>
      <c r="G1839" s="33" t="inlineStr">
        <is>
          <t>Medium</t>
        </is>
      </c>
      <c r="H1839" s="33" t="inlineStr">
        <is>
          <t>Update</t>
        </is>
      </c>
    </row>
    <row r="1840">
      <c r="A1840" s="33" t="inlineStr">
        <is>
          <t>2026-06-12</t>
        </is>
      </c>
      <c r="B1840" s="33" t="inlineStr">
        <is>
          <t>META</t>
        </is>
      </c>
      <c r="C1840" s="33" t="inlineStr">
        <is>
          <t>M1</t>
        </is>
      </c>
      <c r="D1840" s="33" t="n">
        <v>5</v>
      </c>
      <c r="E1840" s="33" t="inlineStr">
        <is>
          <t>(was 4) RAISE: 9 up / 0 down revisions 30d, FY EPS consensus +11.2% over 90d. Caveat: partly inflated by Q1 one-time $8.03B CAMT benefit flowing into FY estimates.</t>
        </is>
      </c>
      <c r="F1840" s="33" t="inlineStr">
        <is>
          <t>yfinance eps_revisions/eps_trend 2026-06-12</t>
        </is>
      </c>
      <c r="G1840" s="33" t="inlineStr">
        <is>
          <t>Medium</t>
        </is>
      </c>
      <c r="H1840" s="33" t="inlineStr">
        <is>
          <t>Update</t>
        </is>
      </c>
    </row>
    <row r="1841">
      <c r="A1841" s="33" t="inlineStr">
        <is>
          <t>2026-06-12</t>
        </is>
      </c>
      <c r="B1841" s="33" t="inlineStr">
        <is>
          <t>META</t>
        </is>
      </c>
      <c r="C1841" s="33" t="inlineStr">
        <is>
          <t>M2</t>
        </is>
      </c>
      <c r="D1841" s="33" t="n">
        <v>1</v>
      </c>
      <c r="E1841" s="33" t="inlineStr">
        <is>
          <t>(was 3) CUT: 6-mo relative to QQQ -27.8pts (META -12.4% vs QQQ +15.4%) — sell-on-capex regime. Lagging &gt;20% = band 1.</t>
        </is>
      </c>
      <c r="F1841" s="33" t="inlineStr">
        <is>
          <t>yfinance 6-mo perf 2026-06-12</t>
        </is>
      </c>
      <c r="G1841" s="33" t="inlineStr">
        <is>
          <t>High</t>
        </is>
      </c>
      <c r="H1841" s="33" t="inlineStr">
        <is>
          <t>Update</t>
        </is>
      </c>
    </row>
    <row r="1842">
      <c r="A1842" s="33" t="inlineStr">
        <is>
          <t>2026-06-12</t>
        </is>
      </c>
      <c r="B1842" s="33" t="inlineStr">
        <is>
          <t>META</t>
        </is>
      </c>
      <c r="C1842" s="33" t="inlineStr">
        <is>
          <t>R3</t>
        </is>
      </c>
      <c r="D1842" s="33" t="n">
        <v>4</v>
      </c>
      <c r="E1842" s="33" t="inlineStr">
        <is>
          <t>(was 5) CUT: no longer net cash — ~$84B notes ($59B + $25B May raise to 2066 maturities at up to 6.45%), $5B newly restricted cash, TTM FCF conversion 36% and falling on $125-145B capex guide. Still sub-0.5x ND/EBITDA = band 4 not lower.</t>
        </is>
      </c>
      <c r="F1842" s="33" t="inlineStr">
        <is>
          <t>META 10-Q Q1 2026 + 8-K 2026-05-04; context-2026-06-12</t>
        </is>
      </c>
      <c r="G1842" s="33" t="inlineStr">
        <is>
          <t>High</t>
        </is>
      </c>
      <c r="H1842" s="33" t="inlineStr">
        <is>
          <t>Update</t>
        </is>
      </c>
    </row>
    <row r="1843">
      <c r="A1843" s="33" t="inlineStr">
        <is>
          <t>2026-06-12</t>
        </is>
      </c>
      <c r="B1843" s="33" t="inlineStr">
        <is>
          <t>MSFT</t>
        </is>
      </c>
      <c r="C1843" s="33" t="inlineStr">
        <is>
          <t>M3</t>
        </is>
      </c>
      <c r="D1843" s="33" t="n">
        <v>4</v>
      </c>
      <c r="E1843" s="33" t="inlineStr">
        <is>
          <t>(was 3) RAISE: one insider open-market buy — director John Stanton @ $397.35 (2026-02-18). Procedure: exactly 1 insider buying = 4. Verify Form 4 dollar size; &gt;$1M single buy would not change band (single-buyer path to 5 requires it, not met unless verified).</t>
        </is>
      </c>
      <c r="F1843" s="33" t="inlineStr">
        <is>
          <t>yfinance insider_transactions 2026-06-12</t>
        </is>
      </c>
      <c r="G1843" s="33" t="inlineStr">
        <is>
          <t>Medium</t>
        </is>
      </c>
      <c r="H1843" s="33" t="inlineStr">
        <is>
          <t>Update</t>
        </is>
      </c>
    </row>
    <row r="1844">
      <c r="A1844" s="33" t="inlineStr">
        <is>
          <t>2026-06-12</t>
        </is>
      </c>
      <c r="B1844" s="33" t="inlineStr">
        <is>
          <t>GOOGL</t>
        </is>
      </c>
      <c r="C1844" s="33" t="inlineStr">
        <is>
          <t>M1</t>
        </is>
      </c>
      <c r="D1844" s="33" t="n">
        <v>4</v>
      </c>
      <c r="E1844" s="33" t="inlineStr">
        <is>
          <t>(was 5) CUT: revisions now mixed — 5 up / 4 down last 30d, FY EPS flat last 30d after +24.1%/90d surge (surge partly one-time unrealized equity gains in Q1 print). Net positive = 4, not 5.</t>
        </is>
      </c>
      <c r="F1844" s="33" t="inlineStr">
        <is>
          <t>yfinance eps_revisions/eps_trend 2026-06-12</t>
        </is>
      </c>
      <c r="G1844" s="33" t="inlineStr">
        <is>
          <t>Medium</t>
        </is>
      </c>
      <c r="H1844" s="33" t="inlineStr">
        <is>
          <t>Update</t>
        </is>
      </c>
    </row>
    <row r="1845">
      <c r="A1845" s="33" t="inlineStr">
        <is>
          <t>2026-06-12</t>
        </is>
      </c>
      <c r="B1845" s="33" t="inlineStr">
        <is>
          <t>GOOGL</t>
        </is>
      </c>
      <c r="C1845" s="33" t="inlineStr">
        <is>
          <t>M2</t>
        </is>
      </c>
      <c r="D1845" s="33" t="n">
        <v>3</v>
      </c>
      <c r="E1845" s="33" t="inlineStr">
        <is>
          <t>(was 5) CUT: 6-mo relative to QQQ +0.4pts = in line with sector (band 3). Prior 5 reflected pre-April leadership that has mean-reverted.</t>
        </is>
      </c>
      <c r="F1845" s="33" t="inlineStr">
        <is>
          <t>yfinance 6-mo perf 2026-06-12</t>
        </is>
      </c>
      <c r="G1845" s="33" t="inlineStr">
        <is>
          <t>High</t>
        </is>
      </c>
      <c r="H1845" s="33" t="inlineStr">
        <is>
          <t>Update</t>
        </is>
      </c>
    </row>
    <row r="1846">
      <c r="A1846" s="33" t="inlineStr">
        <is>
          <t>2026-06-12</t>
        </is>
      </c>
      <c r="B1846" s="33" t="inlineStr">
        <is>
          <t>GOOGL</t>
        </is>
      </c>
      <c r="C1846" s="33" t="inlineStr">
        <is>
          <t>R3</t>
        </is>
      </c>
      <c r="D1846" s="33" t="n">
        <v>4</v>
      </c>
      <c r="E1846" s="33" t="inlineStr">
        <is>
          <t>(was 5) CUT on the R3 dilution-risk clause: still net cash with $64B TTM FCF, but capital regime flipped — $84.75B June equity package ($19.25B 6.25% preferred = ~$1.2B/yr obligation, $40B ATM, $18B common), buybacks halted (zero Q1 vs $15.1B yr-ago), $31.4B Q1 debt + yen notes. Dilution risk is explicitly in R3 holistic definition.</t>
        </is>
      </c>
      <c r="F1846" s="33" t="inlineStr">
        <is>
          <t>GOOGL 8-Ks 2026-06-04/05, 10-Q Q1 2026; context-2026-06-12</t>
        </is>
      </c>
      <c r="G1846" s="33" t="inlineStr">
        <is>
          <t>Medium</t>
        </is>
      </c>
      <c r="H1846" s="33" t="inlineStr">
        <is>
          <t>Update</t>
        </is>
      </c>
    </row>
    <row r="1847">
      <c r="A1847" s="33" t="inlineStr">
        <is>
          <t>2026-06-12</t>
        </is>
      </c>
      <c r="B1847" s="33" t="inlineStr">
        <is>
          <t>EME</t>
        </is>
      </c>
      <c r="C1847" s="33" t="inlineStr">
        <is>
          <t>D3</t>
        </is>
      </c>
      <c r="D1847" s="33" t="n">
        <v>3</v>
      </c>
      <c r="E1847" s="33" t="inlineStr">
        <is>
          <t>(was 4) CUT (halo check): modest moat — 78% of RPO converts &lt;12mo so work is re-bid continuously; Mechanical margin -100bps on CM/GMP mix in new geographies = price-taker behavior at the margin; scale+reputation real but switching costs low.</t>
        </is>
      </c>
      <c r="F1847" s="33" t="inlineStr">
        <is>
          <t>EME 10-Q 2026-04-29 Note 3/MD&amp;A; context-2026-06-12</t>
        </is>
      </c>
      <c r="G1847" s="33" t="inlineStr">
        <is>
          <t>Medium</t>
        </is>
      </c>
      <c r="H1847" s="33" t="inlineStr">
        <is>
          <t>Update</t>
        </is>
      </c>
    </row>
    <row r="1848">
      <c r="A1848" s="33" t="inlineStr">
        <is>
          <t>2026-06-12</t>
        </is>
      </c>
      <c r="B1848" s="33" t="inlineStr">
        <is>
          <t>EME</t>
        </is>
      </c>
      <c r="C1848" s="33" t="inlineStr">
        <is>
          <t>D4</t>
        </is>
      </c>
      <c r="D1848" s="33" t="n">
        <v>4</v>
      </c>
      <c r="E1848" s="33" t="inlineStr">
        <is>
          <t>(was 5) CUT: expansion is hiring-led, not a funded capex buildout — capex ~1% of revenue, no disclosed multi-year capacity program; band 5 reserved for committed capital programs w/ customer backing (cf. FIX modular). Record RPO is demand, not capacity.</t>
        </is>
      </c>
      <c r="F1848" s="33" t="inlineStr">
        <is>
          <t>EME 10-Q 2026-04-29; rubric anchor check</t>
        </is>
      </c>
      <c r="G1848" s="33" t="inlineStr">
        <is>
          <t>Medium</t>
        </is>
      </c>
      <c r="H1848" s="33" t="inlineStr">
        <is>
          <t>Update</t>
        </is>
      </c>
    </row>
    <row r="1849">
      <c r="A1849" s="33" t="inlineStr">
        <is>
          <t>2026-06-12</t>
        </is>
      </c>
      <c r="B1849" s="33" t="inlineStr">
        <is>
          <t>EME</t>
        </is>
      </c>
      <c r="C1849" s="33" t="inlineStr">
        <is>
          <t>M2</t>
        </is>
      </c>
      <c r="D1849" s="33" t="n">
        <v>4</v>
      </c>
      <c r="E1849" s="33" t="inlineStr">
        <is>
          <t>(was 5) CUT: 6-mo relative to XLI +16.7pts = band 4 (5-20% outperformance), not band 5 (&gt;20%). Mechanical.</t>
        </is>
      </c>
      <c r="F1849" s="33" t="inlineStr">
        <is>
          <t>yfinance 6-mo perf 2026-06-12</t>
        </is>
      </c>
      <c r="G1849" s="33" t="inlineStr">
        <is>
          <t>High</t>
        </is>
      </c>
      <c r="H1849" s="33" t="inlineStr">
        <is>
          <t>Update</t>
        </is>
      </c>
    </row>
    <row r="1850">
      <c r="A1850" s="33" t="inlineStr">
        <is>
          <t>2026-06-12</t>
        </is>
      </c>
      <c r="B1850" s="33" t="inlineStr">
        <is>
          <t>FIX</t>
        </is>
      </c>
      <c r="C1850" s="33" t="inlineStr">
        <is>
          <t>R1</t>
        </is>
      </c>
      <c r="D1850" s="33" t="n">
        <v>4</v>
      </c>
      <c r="E1850" s="33" t="inlineStr">
        <is>
          <t>(was 5) CUT: concentration rising — tech customers 37%-&gt;56.4% of revenue in 4 qtrs, Texas modular +$1.5B same-store bookings implies a small number of mega-programs, backlog-by-customer NOT disclosed, 74.5% new-construction mix. No &gt;10% customer disclosed (caps the cut at 4), but absence of disclosure is not absence of concentration.</t>
        </is>
      </c>
      <c r="F1850" s="33" t="inlineStr">
        <is>
          <t>FIX 10-Q 2026-04-23 rev-by-customer-type; context-2026-06-12</t>
        </is>
      </c>
      <c r="G1850" s="33" t="inlineStr">
        <is>
          <t>Medium</t>
        </is>
      </c>
      <c r="H1850" s="33" t="inlineStr">
        <is>
          <t>Update</t>
        </is>
      </c>
    </row>
    <row r="1851">
      <c r="A1851" s="33" t="inlineStr">
        <is>
          <t>2026-06-12</t>
        </is>
      </c>
      <c r="B1851" s="33" t="inlineStr">
        <is>
          <t>FIX</t>
        </is>
      </c>
      <c r="C1851" s="33" t="inlineStr">
        <is>
          <t>R3</t>
        </is>
      </c>
      <c r="D1851" s="33" t="n">
        <v>5</v>
      </c>
      <c r="E1851" s="33" t="inlineStr">
        <is>
          <t>(was 4) RAISE: net cash position, TTM FCF conversion 113% (FY25 101%, FY24 141%), contract liabilities $2.345B = customers funding working capital. Band 5 criteria met.</t>
        </is>
      </c>
      <c r="F1851" s="33" t="inlineStr">
        <is>
          <t>FIX 10-Q 2026-04-23; yfinance 2026-06-12</t>
        </is>
      </c>
      <c r="G1851" s="33" t="inlineStr">
        <is>
          <t>High</t>
        </is>
      </c>
      <c r="H1851" s="33" t="inlineStr">
        <is>
          <t>Update</t>
        </is>
      </c>
    </row>
    <row r="1852">
      <c r="A1852" s="33" t="inlineStr">
        <is>
          <t>2026-06-12</t>
        </is>
      </c>
      <c r="B1852" s="33" t="inlineStr">
        <is>
          <t>TER</t>
        </is>
      </c>
      <c r="C1852" s="33" t="inlineStr">
        <is>
          <t>D1</t>
        </is>
      </c>
      <c r="D1852" s="33" t="n">
        <v>5</v>
      </c>
      <c r="E1852" s="33" t="inlineStr">
        <is>
          <t>(was 4) RAISE: AI now ~70% of revenue (CEO, Q1 2026 call), compute ~75% of SoC test, Semi Test $1.11B of $1.28B total; loss of AI demand would be existential. Band 5 criteria met.</t>
        </is>
      </c>
      <c r="F1852" s="33" t="inlineStr">
        <is>
          <t>TER Q1 2026 call (fool.com 2026-04-29); 10-Q Note T</t>
        </is>
      </c>
      <c r="G1852" s="33" t="inlineStr">
        <is>
          <t>High</t>
        </is>
      </c>
      <c r="H1852" s="33" t="inlineStr">
        <is>
          <t>Update</t>
        </is>
      </c>
    </row>
    <row r="1853">
      <c r="A1853" s="33" t="inlineStr">
        <is>
          <t>2026-06-12</t>
        </is>
      </c>
      <c r="B1853" s="33" t="inlineStr">
        <is>
          <t>TER</t>
        </is>
      </c>
      <c r="C1853" s="33" t="inlineStr">
        <is>
          <t>D4</t>
        </is>
      </c>
      <c r="D1853" s="33" t="n">
        <v>4</v>
      </c>
      <c r="E1853" s="33" t="inlineStr">
        <is>
          <t>(was 5) CUT: no funded multi-year capex buildout disclosed — shipment capacity scaling through suppliers; band 5 requires committed capital program with customer commitments. Active expansion = 4.</t>
        </is>
      </c>
      <c r="F1853" s="33" t="inlineStr">
        <is>
          <t>TER 10-Q 2026-05-01; rubric anchor check</t>
        </is>
      </c>
      <c r="G1853" s="33" t="inlineStr">
        <is>
          <t>Medium</t>
        </is>
      </c>
      <c r="H1853" s="33" t="inlineStr">
        <is>
          <t>Update</t>
        </is>
      </c>
    </row>
    <row r="1854">
      <c r="A1854" s="33" t="inlineStr">
        <is>
          <t>2026-06-12</t>
        </is>
      </c>
      <c r="B1854" s="33" t="inlineStr">
        <is>
          <t>TER</t>
        </is>
      </c>
      <c r="C1854" s="33" t="inlineStr">
        <is>
          <t>R2</t>
        </is>
      </c>
      <c r="D1854" s="33" t="n">
        <v>3</v>
      </c>
      <c r="E1854" s="33" t="inlineStr">
        <is>
          <t>(was 4) CUT: geographic revenue concentration up — Taiwan 41% + Korea 19% of revenue (10-Q); a strait disruption impairs ~half of revenue. Not China-export exposure per band text, but "diversified / no problematic exposure" (band 4) is no longer accurate. FLAG: tips TER below exit threshold — discuss.</t>
        </is>
      </c>
      <c r="F1854" s="33" t="inlineStr">
        <is>
          <t>TER 10-Q 2026-05-01 geographic disclosure; context-2026-06-12</t>
        </is>
      </c>
      <c r="G1854" s="33" t="inlineStr">
        <is>
          <t>Medium</t>
        </is>
      </c>
      <c r="H1854" s="33" t="inlineStr">
        <is>
          <t>Update</t>
        </is>
      </c>
    </row>
    <row r="1855">
      <c r="A1855" s="33" t="inlineStr">
        <is>
          <t>2026-06-12</t>
        </is>
      </c>
      <c r="B1855" s="33" t="inlineStr">
        <is>
          <t>GOOGL</t>
        </is>
      </c>
      <c r="C1855" s="33" t="inlineStr">
        <is>
          <t>R3</t>
        </is>
      </c>
      <c r="D1855" s="33" t="n">
        <v>5</v>
      </c>
      <c r="E1855" s="33" t="inlineStr">
        <is>
          <t>(was 4, reverted same-day) OVERRIDE per Dom — rubric-strict: band 5 text is "net cash, strong FCF, no debt concerns" and GOOGL meets all three (net cash ~$35B+, $64B TTM FCF). Dilution-clause concern (preferred + ATM + halted buybacks) noted but band letter governs; revisit if net cash flips.</t>
        </is>
      </c>
      <c r="F1855" s="33" t="inlineStr">
        <is>
          <t>Rating session 2026-06-12 discussion</t>
        </is>
      </c>
      <c r="G1855" s="33" t="inlineStr">
        <is>
          <t>High</t>
        </is>
      </c>
      <c r="H1855" s="33" t="inlineStr">
        <is>
          <t>Override</t>
        </is>
      </c>
    </row>
    <row r="1856">
      <c r="A1856" s="33" t="inlineStr">
        <is>
          <t>2026-06-12</t>
        </is>
      </c>
      <c r="B1856" s="33" t="inlineStr">
        <is>
          <t>EME</t>
        </is>
      </c>
      <c r="C1856" s="33" t="inlineStr">
        <is>
          <t>D3</t>
        </is>
      </c>
      <c r="D1856" s="33" t="n">
        <v>4</v>
      </c>
      <c r="E1856" s="33" t="inlineStr">
        <is>
          <t>(was 3, reverted same-day) OVERRIDE per Dom — rubric-strict: band 4 text "strong in one or two dimensions, share held" fits — scale advantage (largest US specialty contractor) is one genuinely strong dimension, share held (RPO +33%, 1.5x book-to-bill). Mechanical margin mix noted as watch.</t>
        </is>
      </c>
      <c r="F1856" s="33" t="inlineStr">
        <is>
          <t>Rating session 2026-06-12 discussion; EME 10-Q 2026-04-29</t>
        </is>
      </c>
      <c r="G1856" s="33" t="inlineStr">
        <is>
          <t>Medium</t>
        </is>
      </c>
      <c r="H1856" s="33" t="inlineStr">
        <is>
          <t>Override</t>
        </is>
      </c>
    </row>
    <row r="1857">
      <c r="A1857" s="33" t="inlineStr">
        <is>
          <t>2026-06-12</t>
        </is>
      </c>
      <c r="B1857" s="33" t="inlineStr">
        <is>
          <t>TSM</t>
        </is>
      </c>
      <c r="C1857" s="33" t="inlineStr">
        <is>
          <t>M3</t>
        </is>
      </c>
      <c r="D1857" s="33" t="n">
        <v>5</v>
      </c>
      <c r="E1857" s="33" t="inlineStr">
        <is>
          <t>(5 confirmed, confidence upgraded Med-&gt;High) VERIFIED via SEC Form 4s (TSM files Section 16 voluntarily): Burns 1,000 ADS @ $322.05 2026-03-31 (~$322K); VP Tien Bor-Zen ~10 open-mkt buys ~$214K cumulative Apr-May 2026. Two insiders buying = 5 per procedure step 1; small ticket size does NOT discount (CEVA precedent 2026-05-28).</t>
        </is>
      </c>
      <c r="F1857" s="33" t="inlineStr">
        <is>
          <t>SEC Form 4 via stocktitan.net 2026-06-12</t>
        </is>
      </c>
      <c r="G1857" s="33" t="inlineStr">
        <is>
          <t>High</t>
        </is>
      </c>
      <c r="H1857" s="33" t="inlineStr">
        <is>
          <t>Update</t>
        </is>
      </c>
    </row>
    <row r="1858">
      <c r="A1858" s="33" t="inlineStr">
        <is>
          <t>2026-06-12</t>
        </is>
      </c>
      <c r="B1858" s="33" t="inlineStr">
        <is>
          <t>TER</t>
        </is>
      </c>
      <c r="C1858" s="33" t="inlineStr">
        <is>
          <t>R2</t>
        </is>
      </c>
      <c r="D1858" s="33" t="n">
        <v>4</v>
      </c>
      <c r="E1858" s="33" t="inlineStr">
        <is>
          <t>(was 3, reverted same-day) OVERRIDE per Dom — peer-calibration: sheet treats Asia-SHIPMENT concentration as 4 (ONTO/CAMT/KLIC/FORM/ENTG/MKSI/UCTT all 4) and reserves 3 for shipment + China/export overhang (AMAT/LRCX/KLAC/ASML); TER has one leg, not both. "For now" — R2 category rubric re-evaluation queued; Taiwan 41%+Korea 19% concentration remains a real risk the current band text does not address.</t>
        </is>
      </c>
      <c r="F1858" s="33" t="inlineStr">
        <is>
          <t>Rating session 2026-06-12 discussion; TER 10-Q 2026-05-01</t>
        </is>
      </c>
      <c r="G1858" s="33" t="inlineStr">
        <is>
          <t>Medium</t>
        </is>
      </c>
      <c r="H1858" s="33" t="inlineStr">
        <is>
          <t>Override</t>
        </is>
      </c>
    </row>
    <row r="1859">
      <c r="A1859" s="33" t="inlineStr">
        <is>
          <t>2026-06-12</t>
        </is>
      </c>
      <c r="B1859" s="33" t="inlineStr">
        <is>
          <t>SEI</t>
        </is>
      </c>
      <c r="C1859" s="33" t="inlineStr">
        <is>
          <t>D1</t>
        </is>
      </c>
      <c r="D1859" s="33" t="n">
        <v>3</v>
      </c>
      <c r="E1859" s="33" t="inlineStr">
        <is>
          <t>(SALP-13F batch add, Opus subagent research + orchestrator review) Power Solutions 65% of Q1-26 rev, marginal MW AI/DC-contracted; ~46% still legacy oilfield. DEBATABLE vs 4.</t>
        </is>
      </c>
      <c r="F1859" s="33" t="inlineStr">
        <is>
          <t>10-Q Q1 2026 MD&amp;A</t>
        </is>
      </c>
      <c r="G1859" s="33" t="inlineStr">
        <is>
          <t>Med</t>
        </is>
      </c>
      <c r="H1859" s="33" t="inlineStr">
        <is>
          <t>Proposal</t>
        </is>
      </c>
    </row>
    <row r="1860">
      <c r="A1860" s="33" t="inlineStr">
        <is>
          <t>2026-06-12</t>
        </is>
      </c>
      <c r="B1860" s="33" t="inlineStr">
        <is>
          <t>SEI</t>
        </is>
      </c>
      <c r="C1860" s="33" t="inlineStr">
        <is>
          <t>D2</t>
        </is>
      </c>
      <c r="D1860" s="33" t="n">
        <v>3</v>
      </c>
      <c r="E1860" s="33" t="inlineStr">
        <is>
          <t>(SALP-13F batch add, Opus subagent research + orchestrator review) Mobile gas turbines vs real competitors (GEV/CAT/ProEnergy/VoltaGrid); edge is turbine access + lead times, not structural bottleneck.</t>
        </is>
      </c>
      <c r="F1860" s="33" t="inlineStr">
        <is>
          <t>10-K (MER supplier relationship)</t>
        </is>
      </c>
      <c r="G1860" s="33" t="inlineStr">
        <is>
          <t>Med</t>
        </is>
      </c>
      <c r="H1860" s="33" t="inlineStr">
        <is>
          <t>Proposal</t>
        </is>
      </c>
    </row>
    <row r="1861">
      <c r="A1861" s="33" t="inlineStr">
        <is>
          <t>2026-06-12</t>
        </is>
      </c>
      <c r="B1861" s="33" t="inlineStr">
        <is>
          <t>SEI</t>
        </is>
      </c>
      <c r="C1861" s="33" t="inlineStr">
        <is>
          <t>D3</t>
        </is>
      </c>
      <c r="D1861" s="33" t="n">
        <v>3</v>
      </c>
      <c r="E1861" s="33" t="inlineStr">
        <is>
          <t>(SALP-13F batch add, Opus subagent research + orchestrator review) Take-or-pay contracts (cancel = 50% remaining rev) + scarce turbine access — contractual/temporal, not proprietary.</t>
        </is>
      </c>
      <c r="F1861" s="33" t="inlineStr">
        <is>
          <t>10-K; Q1 2026 call</t>
        </is>
      </c>
      <c r="G1861" s="33" t="inlineStr">
        <is>
          <t>Med</t>
        </is>
      </c>
      <c r="H1861" s="33" t="inlineStr">
        <is>
          <t>Proposal</t>
        </is>
      </c>
    </row>
    <row r="1862">
      <c r="A1862" s="33" t="inlineStr">
        <is>
          <t>2026-06-12</t>
        </is>
      </c>
      <c r="B1862" s="33" t="inlineStr">
        <is>
          <t>SEI</t>
        </is>
      </c>
      <c r="C1862" s="33" t="inlineStr">
        <is>
          <t>D4</t>
        </is>
      </c>
      <c r="D1862" s="33" t="n">
        <v>5</v>
      </c>
      <c r="E1862" s="33" t="inlineStr">
        <is>
          <t>(SALP-13F batch add, Opus subagent research + orchestrator review) ~630 MW YE25 -&gt; &gt;900 MW Q1-26 -&gt; ~2,200 MW by early 2028, majority contracted; ~1.7 GW on order, funded.</t>
        </is>
      </c>
      <c r="F1862" s="33" t="inlineStr">
        <is>
          <t>10-K MD&amp;A; 8-K 2026-04-27</t>
        </is>
      </c>
      <c r="G1862" s="33" t="inlineStr">
        <is>
          <t>High</t>
        </is>
      </c>
      <c r="H1862" s="33" t="inlineStr">
        <is>
          <t>Proposal</t>
        </is>
      </c>
    </row>
    <row r="1863">
      <c r="A1863" s="33" t="inlineStr">
        <is>
          <t>2026-06-12</t>
        </is>
      </c>
      <c r="B1863" s="33" t="inlineStr">
        <is>
          <t>SEI</t>
        </is>
      </c>
      <c r="C1863" s="33" t="inlineStr">
        <is>
          <t>D5</t>
        </is>
      </c>
      <c r="D1863" s="33" t="n">
        <v>4</v>
      </c>
      <c r="E1863" s="33" t="inlineStr">
        <is>
          <t>(SALP-13F batch add, Opus subagent research + orchestrator review) &gt;2 GW contracts w/ 3 "leading technology company" counterparties, &gt;30% rev DC-tied; un-named, cannot confirm hyperscaler anchors. DEBATABLE vs 5.</t>
        </is>
      </c>
      <c r="F1863" s="33" t="inlineStr">
        <is>
          <t>Q1 2026 8-K</t>
        </is>
      </c>
      <c r="G1863" s="33" t="inlineStr">
        <is>
          <t>Med</t>
        </is>
      </c>
      <c r="H1863" s="33" t="inlineStr">
        <is>
          <t>Proposal</t>
        </is>
      </c>
    </row>
    <row r="1864">
      <c r="A1864" s="33" t="inlineStr">
        <is>
          <t>2026-06-12</t>
        </is>
      </c>
      <c r="B1864" s="33" t="inlineStr">
        <is>
          <t>SEI</t>
        </is>
      </c>
      <c r="C1864" s="33" t="inlineStr">
        <is>
          <t>M1</t>
        </is>
      </c>
      <c r="D1864" s="33" t="n">
        <v>5</v>
      </c>
      <c r="E1864" s="33" t="inlineStr">
        <is>
          <t>(SALP-13F batch add, Opus subagent research + orchestrator review) Beat-and-raise: Q1 EPS ~68% above consensus; Q2/Q3 EBITDA guides raised.</t>
        </is>
      </c>
      <c r="F1864" s="33" t="inlineStr">
        <is>
          <t>Businesswire 2026-04-27</t>
        </is>
      </c>
      <c r="G1864" s="33" t="inlineStr">
        <is>
          <t>High</t>
        </is>
      </c>
      <c r="H1864" s="33" t="inlineStr">
        <is>
          <t>Proposal</t>
        </is>
      </c>
    </row>
    <row r="1865">
      <c r="A1865" s="33" t="inlineStr">
        <is>
          <t>2026-06-12</t>
        </is>
      </c>
      <c r="B1865" s="33" t="inlineStr">
        <is>
          <t>SEI</t>
        </is>
      </c>
      <c r="C1865" s="33" t="inlineStr">
        <is>
          <t>M2</t>
        </is>
      </c>
      <c r="D1865" s="33" t="n">
        <v>4</v>
      </c>
      <c r="E1865" s="33" t="inlineStr">
        <is>
          <t>(SALP-13F batch add, Opus subagent research + orchestrator review) Near ATH, strong outperformance; held below 5 on 98th-pctile valuation (expectations flag fired).</t>
        </is>
      </c>
      <c r="F1865" s="33" t="inlineStr">
        <is>
          <t>expectations_flag 2026-06-12</t>
        </is>
      </c>
      <c r="G1865" s="33" t="inlineStr">
        <is>
          <t>Med</t>
        </is>
      </c>
      <c r="H1865" s="33" t="inlineStr">
        <is>
          <t>Proposal</t>
        </is>
      </c>
    </row>
    <row r="1866">
      <c r="A1866" s="33" t="inlineStr">
        <is>
          <t>2026-06-12</t>
        </is>
      </c>
      <c r="B1866" s="33" t="inlineStr">
        <is>
          <t>SEI</t>
        </is>
      </c>
      <c r="C1866" s="33" t="inlineStr">
        <is>
          <t>M3</t>
        </is>
      </c>
      <c r="D1866" s="33" t="n">
        <v>4</v>
      </c>
      <c r="E1866" s="33" t="inlineStr">
        <is>
          <t>(SALP-13F batch add, Opus subagent research + orchestrator review) CEO and CFO open-market buys 2025 (&gt;=2 buyers -&gt; 5 per rubric); held 4 pending Form-4 verification. DEBATABLE vs 5 — VERIFY FORM 4s.</t>
        </is>
      </c>
      <c r="F1866" s="33" t="inlineStr">
        <is>
          <t>Yahoo Form-4 coverage</t>
        </is>
      </c>
      <c r="G1866" s="33" t="inlineStr">
        <is>
          <t>Low</t>
        </is>
      </c>
      <c r="H1866" s="33" t="inlineStr">
        <is>
          <t>Proposal</t>
        </is>
      </c>
    </row>
    <row r="1867">
      <c r="A1867" s="33" t="inlineStr">
        <is>
          <t>2026-06-12</t>
        </is>
      </c>
      <c r="B1867" s="33" t="inlineStr">
        <is>
          <t>SEI</t>
        </is>
      </c>
      <c r="C1867" s="33" t="inlineStr">
        <is>
          <t>R1</t>
        </is>
      </c>
      <c r="D1867" s="33" t="n">
        <v>1</v>
      </c>
      <c r="E1867" s="33" t="inlineStr">
        <is>
          <t>(SALP-13F batch add, Opus subagent research + orchestrator review) One customer 52% of Q1-26 rev (top-2 63%), rising; Stateline ~900 MW single-customer.</t>
        </is>
      </c>
      <c r="F1867" s="33" t="inlineStr">
        <is>
          <t>10-Q Note 16</t>
        </is>
      </c>
      <c r="G1867" s="33" t="inlineStr">
        <is>
          <t>High</t>
        </is>
      </c>
      <c r="H1867" s="33" t="inlineStr">
        <is>
          <t>Proposal</t>
        </is>
      </c>
    </row>
    <row r="1868">
      <c r="A1868" s="33" t="inlineStr">
        <is>
          <t>2026-06-12</t>
        </is>
      </c>
      <c r="B1868" s="33" t="inlineStr">
        <is>
          <t>SEI</t>
        </is>
      </c>
      <c r="C1868" s="33" t="inlineStr">
        <is>
          <t>R2</t>
        </is>
      </c>
      <c r="D1868" s="33" t="n">
        <v>5</v>
      </c>
      <c r="E1868" s="33" t="inlineStr">
        <is>
          <t>(SALP-13F batch add, Opus subagent research + orchestrator review) US-domestic revenue+assets; no demand/policy/asset legs.</t>
        </is>
      </c>
      <c r="F1868" s="33" t="inlineStr">
        <is>
          <t>10-K</t>
        </is>
      </c>
      <c r="G1868" s="33" t="inlineStr">
        <is>
          <t>High</t>
        </is>
      </c>
      <c r="H1868" s="33" t="inlineStr">
        <is>
          <t>Proposal</t>
        </is>
      </c>
    </row>
    <row r="1869">
      <c r="A1869" s="33" t="inlineStr">
        <is>
          <t>2026-06-12</t>
        </is>
      </c>
      <c r="B1869" s="33" t="inlineStr">
        <is>
          <t>SEI</t>
        </is>
      </c>
      <c r="C1869" s="33" t="inlineStr">
        <is>
          <t>R3</t>
        </is>
      </c>
      <c r="D1869" s="33" t="n">
        <v>2</v>
      </c>
      <c r="E1869" s="33" t="inlineStr">
        <is>
          <t>(SALP-13F batch add, Opus subagent research + orchestrator review) ND/EBITDA ~5x rising post $1.95B May-26 issuance; FCF -$583M; funding-dependent buildout. Contracted cash flows; no going-concern.</t>
        </is>
      </c>
      <c r="F1869" s="33" t="inlineStr">
        <is>
          <t>10-Q; May 2026 8-Ks</t>
        </is>
      </c>
      <c r="G1869" s="33" t="inlineStr">
        <is>
          <t>High</t>
        </is>
      </c>
      <c r="H1869" s="33" t="inlineStr">
        <is>
          <t>Proposal</t>
        </is>
      </c>
    </row>
    <row r="1870">
      <c r="A1870" s="33" t="inlineStr">
        <is>
          <t>2026-06-12</t>
        </is>
      </c>
      <c r="B1870" s="33" t="inlineStr">
        <is>
          <t>SEI</t>
        </is>
      </c>
      <c r="C1870" s="33" t="inlineStr">
        <is>
          <t>R4</t>
        </is>
      </c>
      <c r="D1870" s="33" t="n">
        <v>2</v>
      </c>
      <c r="E1870" s="33" t="inlineStr">
        <is>
          <t>(SALP-13F batch add, Opus subagent research + orchestrator review) Securities class action over MER disclosures + Morpheus short report, in 10-K risk factors.</t>
        </is>
      </c>
      <c r="F1870" s="33" t="inlineStr">
        <is>
          <t>10-K risk factors</t>
        </is>
      </c>
      <c r="G1870" s="33" t="inlineStr">
        <is>
          <t>Med</t>
        </is>
      </c>
      <c r="H1870" s="33" t="inlineStr">
        <is>
          <t>Proposal</t>
        </is>
      </c>
    </row>
    <row r="1871">
      <c r="A1871" s="33" t="inlineStr">
        <is>
          <t>2026-06-12</t>
        </is>
      </c>
      <c r="B1871" s="33" t="inlineStr">
        <is>
          <t>TE</t>
        </is>
      </c>
      <c r="C1871" s="33" t="inlineStr">
        <is>
          <t>D1</t>
        </is>
      </c>
      <c r="D1871" s="33" t="n">
        <v>1</v>
      </c>
      <c r="E1871" s="33" t="inlineStr">
        <is>
          <t>(SALP-13F batch add, Opus subagent research + orchestrator review) ~0% AI-tied revenue; 100% solar modules to related-party Trina. KORE BESS/DC entry unclosed ($32M). Thesis-adjacent.</t>
        </is>
      </c>
      <c r="F1871" s="33" t="inlineStr">
        <is>
          <t>10-Q Note 6; KORE PR 2026-06-03</t>
        </is>
      </c>
      <c r="G1871" s="33" t="inlineStr">
        <is>
          <t>High</t>
        </is>
      </c>
      <c r="H1871" s="33" t="inlineStr">
        <is>
          <t>Proposal</t>
        </is>
      </c>
    </row>
    <row r="1872">
      <c r="A1872" s="33" t="inlineStr">
        <is>
          <t>2026-06-12</t>
        </is>
      </c>
      <c r="B1872" s="33" t="inlineStr">
        <is>
          <t>TE</t>
        </is>
      </c>
      <c r="C1872" s="33" t="inlineStr">
        <is>
          <t>D2</t>
        </is>
      </c>
      <c r="D1872" s="33" t="n">
        <v>2</v>
      </c>
      <c r="E1872" s="33" t="inlineStr">
        <is>
          <t>(SALP-13F batch add, Opus subagent research + orchestrator review) Module assembly commoditized/downstream; 45X/domestic-content is the differentiator, not scarcity. DEBATABLE vs 3.</t>
        </is>
      </c>
      <c r="F1872" s="33" t="inlineStr">
        <is>
          <t>10-Q; pv-tech</t>
        </is>
      </c>
      <c r="G1872" s="33" t="inlineStr">
        <is>
          <t>Med</t>
        </is>
      </c>
      <c r="H1872" s="33" t="inlineStr">
        <is>
          <t>Proposal</t>
        </is>
      </c>
    </row>
    <row r="1873">
      <c r="A1873" s="33" t="inlineStr">
        <is>
          <t>2026-06-12</t>
        </is>
      </c>
      <c r="B1873" s="33" t="inlineStr">
        <is>
          <t>TE</t>
        </is>
      </c>
      <c r="C1873" s="33" t="inlineStr">
        <is>
          <t>D3</t>
        </is>
      </c>
      <c r="D1873" s="33" t="n">
        <v>2</v>
      </c>
      <c r="E1873" s="33" t="inlineStr">
        <is>
          <t>(SALP-13F batch add, Opus subagent research + orchestrator review) Moat is policy-derived (45X/FEOC/domestic content), not durable IP. DEBATABLE.</t>
        </is>
      </c>
      <c r="F1873" s="33" t="inlineStr">
        <is>
          <t>OBBBA/45X coverage</t>
        </is>
      </c>
      <c r="G1873" s="33" t="inlineStr">
        <is>
          <t>Med</t>
        </is>
      </c>
      <c r="H1873" s="33" t="inlineStr">
        <is>
          <t>Proposal</t>
        </is>
      </c>
    </row>
    <row r="1874">
      <c r="A1874" s="33" t="inlineStr">
        <is>
          <t>2026-06-12</t>
        </is>
      </c>
      <c r="B1874" s="33" t="inlineStr">
        <is>
          <t>TE</t>
        </is>
      </c>
      <c r="C1874" s="33" t="inlineStr">
        <is>
          <t>D4</t>
        </is>
      </c>
      <c r="D1874" s="33" t="n">
        <v>5</v>
      </c>
      <c r="E1874" s="33" t="inlineStr">
        <is>
          <t>(SALP-13F batch add, Opus subagent research + orchestrator review) G1 5 GW running + G2 Austin 2.1 GW cell fab ($425M, first cell Q4-26); funded multi-year buildout.</t>
        </is>
      </c>
      <c r="F1874" s="33" t="inlineStr">
        <is>
          <t>10-Q capex; transcript</t>
        </is>
      </c>
      <c r="G1874" s="33" t="inlineStr">
        <is>
          <t>High</t>
        </is>
      </c>
      <c r="H1874" s="33" t="inlineStr">
        <is>
          <t>Proposal</t>
        </is>
      </c>
    </row>
    <row r="1875">
      <c r="A1875" s="33" t="inlineStr">
        <is>
          <t>2026-06-12</t>
        </is>
      </c>
      <c r="B1875" s="33" t="inlineStr">
        <is>
          <t>TE</t>
        </is>
      </c>
      <c r="C1875" s="33" t="inlineStr">
        <is>
          <t>D5</t>
        </is>
      </c>
      <c r="D1875" s="33" t="n">
        <v>1</v>
      </c>
      <c r="E1875" s="33" t="inlineStr">
        <is>
          <t>(SALP-13F batch add, Opus subagent research + orchestrator review) No hyperscaler revenue (100% Trina); KORE is unclosed option, "indicative" 2027-28 interest. DEBATABLE vs 2.</t>
        </is>
      </c>
      <c r="F1875" s="33" t="inlineStr">
        <is>
          <t>10-Q Note 6</t>
        </is>
      </c>
      <c r="G1875" s="33" t="inlineStr">
        <is>
          <t>High</t>
        </is>
      </c>
      <c r="H1875" s="33" t="inlineStr">
        <is>
          <t>Proposal</t>
        </is>
      </c>
    </row>
    <row r="1876">
      <c r="A1876" s="33" t="inlineStr">
        <is>
          <t>2026-06-12</t>
        </is>
      </c>
      <c r="B1876" s="33" t="inlineStr">
        <is>
          <t>TE</t>
        </is>
      </c>
      <c r="C1876" s="33" t="inlineStr">
        <is>
          <t>M1</t>
        </is>
      </c>
      <c r="D1876" s="33" t="n">
        <v>3</v>
      </c>
      <c r="E1876" s="33" t="inlineStr">
        <is>
          <t>(SALP-13F batch add, Opus subagent research + orchestrator review) Mixed: Q1 rev beat +61% but FY26 consensus EPS cut deeper (-0.19 -&gt; -0.30); 2026 rev est trimmed.</t>
        </is>
      </c>
      <c r="F1876" s="33" t="inlineStr">
        <is>
          <t>Simply Wall St; stockanalysis</t>
        </is>
      </c>
      <c r="G1876" s="33" t="inlineStr">
        <is>
          <t>Med</t>
        </is>
      </c>
      <c r="H1876" s="33" t="inlineStr">
        <is>
          <t>Proposal</t>
        </is>
      </c>
    </row>
    <row r="1877">
      <c r="A1877" s="33" t="inlineStr">
        <is>
          <t>2026-06-12</t>
        </is>
      </c>
      <c r="B1877" s="33" t="inlineStr">
        <is>
          <t>TE</t>
        </is>
      </c>
      <c r="C1877" s="33" t="inlineStr">
        <is>
          <t>M2</t>
        </is>
      </c>
      <c r="D1877" s="33" t="n">
        <v>3</v>
      </c>
      <c r="E1877" s="33" t="inlineStr">
        <is>
          <t>(SALP-13F batch add, Opus subagent research + orchestrator review) ~Flat vs PTs; high vol (+23%/-19% swings); no sustained sector outperformance.</t>
        </is>
      </c>
      <c r="F1877" s="33" t="inlineStr">
        <is>
          <t>Yahoo; stockanalysis</t>
        </is>
      </c>
      <c r="G1877" s="33" t="inlineStr">
        <is>
          <t>Low</t>
        </is>
      </c>
      <c r="H1877" s="33" t="inlineStr">
        <is>
          <t>Proposal</t>
        </is>
      </c>
    </row>
    <row r="1878">
      <c r="A1878" s="33" t="inlineStr">
        <is>
          <t>2026-06-12</t>
        </is>
      </c>
      <c r="B1878" s="33" t="inlineStr">
        <is>
          <t>TE</t>
        </is>
      </c>
      <c r="C1878" s="33" t="inlineStr">
        <is>
          <t>M3</t>
        </is>
      </c>
      <c r="D1878" s="33" t="n">
        <v>3</v>
      </c>
      <c r="E1878" s="33" t="inlineStr">
        <is>
          <t>(SALP-13F batch add, Opus subagent research + orchestrator review) No officer open-market buys; grants only; Trina (10% related-party) large net seller (22.5M sh May-26) = stake unwind, not officer signal.</t>
        </is>
      </c>
      <c r="F1878" s="33" t="inlineStr">
        <is>
          <t>EDGAR Form 4</t>
        </is>
      </c>
      <c r="G1878" s="33" t="inlineStr">
        <is>
          <t>High</t>
        </is>
      </c>
      <c r="H1878" s="33" t="inlineStr">
        <is>
          <t>Proposal</t>
        </is>
      </c>
    </row>
    <row r="1879">
      <c r="A1879" s="33" t="inlineStr">
        <is>
          <t>2026-06-12</t>
        </is>
      </c>
      <c r="B1879" s="33" t="inlineStr">
        <is>
          <t>TE</t>
        </is>
      </c>
      <c r="C1879" s="33" t="inlineStr">
        <is>
          <t>R1</t>
        </is>
      </c>
      <c r="D1879" s="33" t="n">
        <v>1</v>
      </c>
      <c r="E1879" s="33" t="inlineStr">
        <is>
          <t>(SALP-13F batch add, Opus subagent research + orchestrator review) ~100% of sales AND AR from single related-party (Trina); explicit dependence disclosure.</t>
        </is>
      </c>
      <c r="F1879" s="33" t="inlineStr">
        <is>
          <t>10-Q Notes 6/13</t>
        </is>
      </c>
      <c r="G1879" s="33" t="inlineStr">
        <is>
          <t>High</t>
        </is>
      </c>
      <c r="H1879" s="33" t="inlineStr">
        <is>
          <t>Proposal</t>
        </is>
      </c>
    </row>
    <row r="1880">
      <c r="A1880" s="33" t="inlineStr">
        <is>
          <t>2026-06-12</t>
        </is>
      </c>
      <c r="B1880" s="33" t="inlineStr">
        <is>
          <t>TE</t>
        </is>
      </c>
      <c r="C1880" s="33" t="inlineStr">
        <is>
          <t>R2</t>
        </is>
      </c>
      <c r="D1880" s="33" t="n">
        <v>3</v>
      </c>
      <c r="E1880" s="33" t="inlineStr">
        <is>
          <t>(SALP-13F batch add, Opus subagent research + orchestrator review) Policy leg: 45X/FEOC eligibility + pending Sec-232 polysilicon ruling exposes ~100% of margin model; demand/asset legs low (US). DEBATABLE vs 2.</t>
        </is>
      </c>
      <c r="F1880" s="33" t="inlineStr">
        <is>
          <t>10-Q risk factors; transcript</t>
        </is>
      </c>
      <c r="G1880" s="33" t="inlineStr">
        <is>
          <t>Med</t>
        </is>
      </c>
      <c r="H1880" s="33" t="inlineStr">
        <is>
          <t>Proposal</t>
        </is>
      </c>
    </row>
    <row r="1881">
      <c r="A1881" s="33" t="inlineStr">
        <is>
          <t>2026-06-12</t>
        </is>
      </c>
      <c r="B1881" s="33" t="inlineStr">
        <is>
          <t>TE</t>
        </is>
      </c>
      <c r="C1881" s="33" t="inlineStr">
        <is>
          <t>R3</t>
        </is>
      </c>
      <c r="D1881" s="33" t="n">
        <v>2</v>
      </c>
      <c r="E1881" s="33" t="inlineStr">
        <is>
          <t>(SALP-13F batch add, Opus subagent research + orchestrator review) Negative TTM EBITDA; net debt ~$503M; cash $182M-&gt;$46M in one quarter; convert + serial raises.</t>
        </is>
      </c>
      <c r="F1881" s="33" t="inlineStr">
        <is>
          <t>10-Q balance sheet</t>
        </is>
      </c>
      <c r="G1881" s="33" t="inlineStr">
        <is>
          <t>High</t>
        </is>
      </c>
      <c r="H1881" s="33" t="inlineStr">
        <is>
          <t>Proposal</t>
        </is>
      </c>
    </row>
    <row r="1882">
      <c r="A1882" s="33" t="inlineStr">
        <is>
          <t>2026-06-12</t>
        </is>
      </c>
      <c r="B1882" s="33" t="inlineStr">
        <is>
          <t>TE</t>
        </is>
      </c>
      <c r="C1882" s="33" t="inlineStr">
        <is>
          <t>R4</t>
        </is>
      </c>
      <c r="D1882" s="33" t="n">
        <v>2</v>
      </c>
      <c r="E1882" s="33" t="inlineStr">
        <is>
          <t>(SALP-13F batch add, Opus subagent research + orchestrator review) Entire economics hinge on IRA/OBBBA/45X/FEOC stability + Sec-232 ruling; no major litigation. DEBATABLE vs 3 (policy scoping).</t>
        </is>
      </c>
      <c r="F1882" s="33" t="inlineStr">
        <is>
          <t>10-K/10-Q 45X disclosures</t>
        </is>
      </c>
      <c r="G1882" s="33" t="inlineStr">
        <is>
          <t>Med</t>
        </is>
      </c>
      <c r="H1882" s="33" t="inlineStr">
        <is>
          <t>Proposal</t>
        </is>
      </c>
    </row>
    <row r="1883">
      <c r="A1883" s="33" t="inlineStr">
        <is>
          <t>2026-06-12</t>
        </is>
      </c>
      <c r="B1883" s="33" t="inlineStr">
        <is>
          <t>PSIX</t>
        </is>
      </c>
      <c r="C1883" s="33" t="inlineStr">
        <is>
          <t>D1</t>
        </is>
      </c>
      <c r="D1883" s="33" t="n">
        <v>2</v>
      </c>
      <c r="E1883" s="33" t="inlineStr">
        <is>
          <t>(SALP-13F batch add, Opus subagent research + orchestrator review) DC is growth driver but bundled in Power Systems (81% of rev, incl oil&amp;gas); company will not quantify DC revenue. DEBATABLE vs 3.</t>
        </is>
      </c>
      <c r="F1883" s="33" t="inlineStr">
        <is>
          <t>10-K end-market table</t>
        </is>
      </c>
      <c r="G1883" s="33" t="inlineStr">
        <is>
          <t>Med</t>
        </is>
      </c>
      <c r="H1883" s="33" t="inlineStr">
        <is>
          <t>Proposal</t>
        </is>
      </c>
    </row>
    <row r="1884">
      <c r="A1884" s="33" t="inlineStr">
        <is>
          <t>2026-06-12</t>
        </is>
      </c>
      <c r="B1884" s="33" t="inlineStr">
        <is>
          <t>PSIX</t>
        </is>
      </c>
      <c r="C1884" s="33" t="inlineStr">
        <is>
          <t>D2</t>
        </is>
      </c>
      <c r="D1884" s="33" t="n">
        <v>2</v>
      </c>
      <c r="E1884" s="33" t="inlineStr">
        <is>
          <t>(SALP-13F batch add, Opus subagent research + orchestrator review) Price-competitive genset integrator; CAT ~18%/Cummins ~16% lead; absent from vendor leader lists.</t>
        </is>
      </c>
      <c r="F1884" s="33" t="inlineStr">
        <is>
          <t>MarketsandMarkets/Mordor; 10-K</t>
        </is>
      </c>
      <c r="G1884" s="33" t="inlineStr">
        <is>
          <t>High</t>
        </is>
      </c>
      <c r="H1884" s="33" t="inlineStr">
        <is>
          <t>Proposal</t>
        </is>
      </c>
    </row>
    <row r="1885">
      <c r="A1885" s="33" t="inlineStr">
        <is>
          <t>2026-06-12</t>
        </is>
      </c>
      <c r="B1885" s="33" t="inlineStr">
        <is>
          <t>PSIX</t>
        </is>
      </c>
      <c r="C1885" s="33" t="inlineStr">
        <is>
          <t>D3</t>
        </is>
      </c>
      <c r="D1885" s="33" t="n">
        <v>2</v>
      </c>
      <c r="E1885" s="33" t="inlineStr">
        <is>
          <t>(SALP-13F batch add, Opus subagent research + orchestrator review) No pricing power (GM -390bps FY25, -680bps Q1-26); "largest customer changes from time to time".</t>
        </is>
      </c>
      <c r="F1885" s="33" t="inlineStr">
        <is>
          <t>10-K customer note</t>
        </is>
      </c>
      <c r="G1885" s="33" t="inlineStr">
        <is>
          <t>High</t>
        </is>
      </c>
      <c r="H1885" s="33" t="inlineStr">
        <is>
          <t>Proposal</t>
        </is>
      </c>
    </row>
    <row r="1886">
      <c r="A1886" s="33" t="inlineStr">
        <is>
          <t>2026-06-12</t>
        </is>
      </c>
      <c r="B1886" s="33" t="inlineStr">
        <is>
          <t>PSIX</t>
        </is>
      </c>
      <c r="C1886" s="33" t="inlineStr">
        <is>
          <t>D4</t>
        </is>
      </c>
      <c r="D1886" s="33" t="n">
        <v>4</v>
      </c>
      <c r="E1886" s="33" t="inlineStr">
        <is>
          <t>(SALP-13F batch add, Opus subagent research + orchestrator review) Wisconsin ramp explicitly for DC + MTL acquisition (UL certs, vertical integration); funded.</t>
        </is>
      </c>
      <c r="F1886" s="33" t="inlineStr">
        <is>
          <t>10-K; 8-K 2026-03-02</t>
        </is>
      </c>
      <c r="G1886" s="33" t="inlineStr">
        <is>
          <t>High</t>
        </is>
      </c>
      <c r="H1886" s="33" t="inlineStr">
        <is>
          <t>Proposal</t>
        </is>
      </c>
    </row>
    <row r="1887">
      <c r="A1887" s="33" t="inlineStr">
        <is>
          <t>2026-06-12</t>
        </is>
      </c>
      <c r="B1887" s="33" t="inlineStr">
        <is>
          <t>PSIX</t>
        </is>
      </c>
      <c r="C1887" s="33" t="inlineStr">
        <is>
          <t>D5</t>
        </is>
      </c>
      <c r="D1887" s="33" t="n">
        <v>2</v>
      </c>
      <c r="E1887" s="33" t="inlineStr">
        <is>
          <t>(SALP-13F batch add, Opus subagent research + orchestrator review) Sells into DC channel; no disclosed hyperscaler anchor. DEBATABLE vs 3 (unnamed &gt;10% customer could be one).</t>
        </is>
      </c>
      <c r="F1887" s="33" t="inlineStr">
        <is>
          <t>10-Q</t>
        </is>
      </c>
      <c r="G1887" s="33" t="inlineStr">
        <is>
          <t>Med</t>
        </is>
      </c>
      <c r="H1887" s="33" t="inlineStr">
        <is>
          <t>Proposal</t>
        </is>
      </c>
    </row>
    <row r="1888">
      <c r="A1888" s="33" t="inlineStr">
        <is>
          <t>2026-06-12</t>
        </is>
      </c>
      <c r="B1888" s="33" t="inlineStr">
        <is>
          <t>PSIX</t>
        </is>
      </c>
      <c r="C1888" s="33" t="inlineStr">
        <is>
          <t>M1</t>
        </is>
      </c>
      <c r="D1888" s="33" t="n">
        <v>2</v>
      </c>
      <c r="E1888" s="33" t="inlineStr">
        <is>
          <t>(SALP-13F batch add, Opus subagent research + orchestrator review) Q1 miss, no FY guidance, PTs cut -6.5%/3mo.</t>
        </is>
      </c>
      <c r="F1888" s="33" t="inlineStr">
        <is>
          <t>marketbeat; 10-Q</t>
        </is>
      </c>
      <c r="G1888" s="33" t="inlineStr">
        <is>
          <t>Med</t>
        </is>
      </c>
      <c r="H1888" s="33" t="inlineStr">
        <is>
          <t>Proposal</t>
        </is>
      </c>
    </row>
    <row r="1889">
      <c r="A1889" s="33" t="inlineStr">
        <is>
          <t>2026-06-12</t>
        </is>
      </c>
      <c r="B1889" s="33" t="inlineStr">
        <is>
          <t>PSIX</t>
        </is>
      </c>
      <c r="C1889" s="33" t="inlineStr">
        <is>
          <t>M2</t>
        </is>
      </c>
      <c r="D1889" s="33" t="n">
        <v>1</v>
      </c>
      <c r="E1889" s="33" t="inlineStr">
        <is>
          <t>(SALP-13F batch add, Opus subagent research + orchestrator review) -38%/6mo, two &gt;25% earnings-day crashes; lagging XLI by &gt;20%.</t>
        </is>
      </c>
      <c r="F1889" s="33" t="inlineStr">
        <is>
          <t>price history</t>
        </is>
      </c>
      <c r="G1889" s="33" t="inlineStr">
        <is>
          <t>High</t>
        </is>
      </c>
      <c r="H1889" s="33" t="inlineStr">
        <is>
          <t>Proposal</t>
        </is>
      </c>
    </row>
    <row r="1890">
      <c r="A1890" s="33" t="inlineStr">
        <is>
          <t>2026-06-12</t>
        </is>
      </c>
      <c r="B1890" s="33" t="inlineStr">
        <is>
          <t>PSIX</t>
        </is>
      </c>
      <c r="C1890" s="33" t="inlineStr">
        <is>
          <t>M3</t>
        </is>
      </c>
      <c r="D1890" s="33" t="n">
        <v>3</v>
      </c>
      <c r="E1890" s="33" t="inlineStr">
        <is>
          <t>(SALP-13F batch add, Opus subagent research + orchestrator review) Form 4s grants/withholding only; Weichai trimmed 232,683 sh (13D/A) — institutional, not officer.</t>
        </is>
      </c>
      <c r="F1890" s="33" t="inlineStr">
        <is>
          <t>EDGAR Form 4; 13D/A</t>
        </is>
      </c>
      <c r="G1890" s="33" t="inlineStr">
        <is>
          <t>High</t>
        </is>
      </c>
      <c r="H1890" s="33" t="inlineStr">
        <is>
          <t>Proposal</t>
        </is>
      </c>
    </row>
    <row r="1891">
      <c r="A1891" s="33" t="inlineStr">
        <is>
          <t>2026-06-12</t>
        </is>
      </c>
      <c r="B1891" s="33" t="inlineStr">
        <is>
          <t>PSIX</t>
        </is>
      </c>
      <c r="C1891" s="33" t="inlineStr">
        <is>
          <t>R1</t>
        </is>
      </c>
      <c r="D1891" s="33" t="n">
        <v>4</v>
      </c>
      <c r="E1891" s="33" t="inlineStr">
        <is>
          <t>(SALP-13F batch add, Opus subagent research + orchestrator review) Top customer 20% (15-25% band); cluster of &gt;10% names (20/13/10/10). DEBATABLE vs 3 on cluster.</t>
        </is>
      </c>
      <c r="F1891" s="33" t="inlineStr">
        <is>
          <t>10-K concentration note</t>
        </is>
      </c>
      <c r="G1891" s="33" t="inlineStr">
        <is>
          <t>High</t>
        </is>
      </c>
      <c r="H1891" s="33" t="inlineStr">
        <is>
          <t>Proposal</t>
        </is>
      </c>
    </row>
    <row r="1892">
      <c r="A1892" s="33" t="inlineStr">
        <is>
          <t>2026-06-12</t>
        </is>
      </c>
      <c r="B1892" s="33" t="inlineStr">
        <is>
          <t>PSIX</t>
        </is>
      </c>
      <c r="C1892" s="33" t="inlineStr">
        <is>
          <t>R2</t>
        </is>
      </c>
      <c r="D1892" s="33" t="n">
        <v>5</v>
      </c>
      <c r="E1892" s="33" t="inlineStr">
        <is>
          <t>(SALP-13F batch add, Opus subagent research + orchestrator review) 91% US revenue, US assets, no China revenue; Chinese PARENT is governance -&gt; R4 not R2.</t>
        </is>
      </c>
      <c r="F1892" s="33" t="inlineStr">
        <is>
          <t>10-Q geography table</t>
        </is>
      </c>
      <c r="G1892" s="33" t="inlineStr">
        <is>
          <t>High</t>
        </is>
      </c>
      <c r="H1892" s="33" t="inlineStr">
        <is>
          <t>Proposal</t>
        </is>
      </c>
    </row>
    <row r="1893">
      <c r="A1893" s="33" t="inlineStr">
        <is>
          <t>2026-06-12</t>
        </is>
      </c>
      <c r="B1893" s="33" t="inlineStr">
        <is>
          <t>PSIX</t>
        </is>
      </c>
      <c r="C1893" s="33" t="inlineStr">
        <is>
          <t>R3</t>
        </is>
      </c>
      <c r="D1893" s="33" t="n">
        <v>4</v>
      </c>
      <c r="E1893" s="33" t="inlineStr">
        <is>
          <t>(SALP-13F batch add, Opus subagent research + orchestrator review) ND/EBITDA 1.21x; OCF -61% YoY (WC build) caps below 5.</t>
        </is>
      </c>
      <c r="F1893" s="33" t="inlineStr">
        <is>
          <t>10-K cash flow</t>
        </is>
      </c>
      <c r="G1893" s="33" t="inlineStr">
        <is>
          <t>High</t>
        </is>
      </c>
      <c r="H1893" s="33" t="inlineStr">
        <is>
          <t>Proposal</t>
        </is>
      </c>
    </row>
    <row r="1894">
      <c r="A1894" s="33" t="inlineStr">
        <is>
          <t>2026-06-12</t>
        </is>
      </c>
      <c r="B1894" s="33" t="inlineStr">
        <is>
          <t>PSIX</t>
        </is>
      </c>
      <c r="C1894" s="33" t="inlineStr">
        <is>
          <t>R4</t>
        </is>
      </c>
      <c r="D1894" s="33" t="n">
        <v>2</v>
      </c>
      <c r="E1894" s="33" t="inlineStr">
        <is>
          <t>(SALP-13F batch add, Opus subagent research + orchestrator review) Active securities class action (5/25-3/26 class period, DC demand statements) + controlled-company governance + Weichai related-party agreements.</t>
        </is>
      </c>
      <c r="F1894" s="33" t="inlineStr">
        <is>
          <t>10-Q contingencies</t>
        </is>
      </c>
      <c r="G1894" s="33" t="inlineStr">
        <is>
          <t>High</t>
        </is>
      </c>
      <c r="H1894" s="33" t="inlineStr">
        <is>
          <t>Proposal</t>
        </is>
      </c>
    </row>
    <row r="1895">
      <c r="A1895" s="33" t="inlineStr">
        <is>
          <t>2026-06-12</t>
        </is>
      </c>
      <c r="B1895" s="33" t="inlineStr">
        <is>
          <t>PUMP</t>
        </is>
      </c>
      <c r="C1895" s="33" t="inlineStr">
        <is>
          <t>D1</t>
        </is>
      </c>
      <c r="D1895" s="33" t="n">
        <v>1</v>
      </c>
      <c r="E1895" s="33" t="inlineStr">
        <is>
          <t>(SALP-13F batch add, Opus subagent research + orchestrator review) PROPWR &lt;1% of revenue ($2.2M/$270.7M Q1); 240 MW contracted is future, not booked.</t>
        </is>
      </c>
      <c r="F1895" s="33" t="inlineStr">
        <is>
          <t>Q1 2026 10-Q/8-K</t>
        </is>
      </c>
      <c r="G1895" s="33" t="inlineStr">
        <is>
          <t>High</t>
        </is>
      </c>
      <c r="H1895" s="33" t="inlineStr">
        <is>
          <t>Proposal</t>
        </is>
      </c>
    </row>
    <row r="1896">
      <c r="A1896" s="33" t="inlineStr">
        <is>
          <t>2026-06-12</t>
        </is>
      </c>
      <c r="B1896" s="33" t="inlineStr">
        <is>
          <t>PUMP</t>
        </is>
      </c>
      <c r="C1896" s="33" t="inlineStr">
        <is>
          <t>D2</t>
        </is>
      </c>
      <c r="D1896" s="33" t="n">
        <v>2</v>
      </c>
      <c r="E1896" s="33" t="inlineStr">
        <is>
          <t>(SALP-13F batch add, Opus subagent research + orchestrator review) Frac commoditized price-taker; PROPWR gensets not a bottleneck (CAT supplies broadly).</t>
        </is>
      </c>
      <c r="F1896" s="33" t="inlineStr">
        <is>
          <t>10-K; transcript</t>
        </is>
      </c>
      <c r="G1896" s="33" t="inlineStr">
        <is>
          <t>Med</t>
        </is>
      </c>
      <c r="H1896" s="33" t="inlineStr">
        <is>
          <t>Proposal</t>
        </is>
      </c>
    </row>
    <row r="1897">
      <c r="A1897" s="33" t="inlineStr">
        <is>
          <t>2026-06-12</t>
        </is>
      </c>
      <c r="B1897" s="33" t="inlineStr">
        <is>
          <t>PUMP</t>
        </is>
      </c>
      <c r="C1897" s="33" t="inlineStr">
        <is>
          <t>D3</t>
        </is>
      </c>
      <c r="D1897" s="33" t="n">
        <v>2</v>
      </c>
      <c r="E1897" s="33" t="inlineStr">
        <is>
          <t>(SALP-13F batch add, Opus subagent research + orchestrator review) Frac no moat; PROPWR unproven (first contract installing); CAT-dependent supply.</t>
        </is>
      </c>
      <c r="F1897" s="33" t="inlineStr">
        <is>
          <t>Q1 2026 transcript</t>
        </is>
      </c>
      <c r="G1897" s="33" t="inlineStr">
        <is>
          <t>High</t>
        </is>
      </c>
      <c r="H1897" s="33" t="inlineStr">
        <is>
          <t>Proposal</t>
        </is>
      </c>
    </row>
    <row r="1898">
      <c r="A1898" s="33" t="inlineStr">
        <is>
          <t>2026-06-12</t>
        </is>
      </c>
      <c r="B1898" s="33" t="inlineStr">
        <is>
          <t>PUMP</t>
        </is>
      </c>
      <c r="C1898" s="33" t="inlineStr">
        <is>
          <t>D4</t>
        </is>
      </c>
      <c r="D1898" s="33" t="n">
        <v>4</v>
      </c>
      <c r="E1898" s="33" t="inlineStr">
        <is>
          <t>(SALP-13F batch add, Opus subagent research + orchestrator review) FY26 PROPWR capex $400-450M; CAT ~2.1 GW framework + 550 MW ordered (~2.6 GW by YE31). Held at 4: one 60 MW customer deal — announced != committed. DEBATABLE vs 5.</t>
        </is>
      </c>
      <c r="F1898" s="33" t="inlineStr">
        <is>
          <t>Q1 2026 8-K</t>
        </is>
      </c>
      <c r="G1898" s="33" t="inlineStr">
        <is>
          <t>Med</t>
        </is>
      </c>
      <c r="H1898" s="33" t="inlineStr">
        <is>
          <t>Proposal</t>
        </is>
      </c>
    </row>
    <row r="1899">
      <c r="A1899" s="33" t="inlineStr">
        <is>
          <t>2026-06-12</t>
        </is>
      </c>
      <c r="B1899" s="33" t="inlineStr">
        <is>
          <t>PUMP</t>
        </is>
      </c>
      <c r="C1899" s="33" t="inlineStr">
        <is>
          <t>D5</t>
        </is>
      </c>
      <c r="D1899" s="33" t="n">
        <v>3</v>
      </c>
      <c r="E1899" s="33" t="inlineStr">
        <is>
          <t>(SALP-13F batch add, Opus subagent research + orchestrator review) One signed 60 MW hyperscaler DC contract installing (ops Q2-26); real but ~$0 booked, single customer. DEBATABLE vs 2.</t>
        </is>
      </c>
      <c r="F1899" s="33" t="inlineStr">
        <is>
          <t>DataCenterDynamics; IR PR 136</t>
        </is>
      </c>
      <c r="G1899" s="33" t="inlineStr">
        <is>
          <t>Med</t>
        </is>
      </c>
      <c r="H1899" s="33" t="inlineStr">
        <is>
          <t>Proposal</t>
        </is>
      </c>
    </row>
    <row r="1900">
      <c r="A1900" s="33" t="inlineStr">
        <is>
          <t>2026-06-12</t>
        </is>
      </c>
      <c r="B1900" s="33" t="inlineStr">
        <is>
          <t>PUMP</t>
        </is>
      </c>
      <c r="C1900" s="33" t="inlineStr">
        <is>
          <t>M1</t>
        </is>
      </c>
      <c r="D1900" s="33" t="n">
        <v>4</v>
      </c>
      <c r="E1900" s="33" t="inlineStr">
        <is>
          <t>(SALP-13F batch add, Opus subagent research + orchestrator review) Citi upgrade Buy PT 12-&gt;16, Barclays 12-&gt;14, avg PT +17.9%/3mo; Q1 was a miss so not 5.</t>
        </is>
      </c>
      <c r="F1900" s="33" t="inlineStr">
        <is>
          <t>TipRanks Apr-26</t>
        </is>
      </c>
      <c r="G1900" s="33" t="inlineStr">
        <is>
          <t>High</t>
        </is>
      </c>
      <c r="H1900" s="33" t="inlineStr">
        <is>
          <t>Proposal</t>
        </is>
      </c>
    </row>
    <row r="1901">
      <c r="A1901" s="33" t="inlineStr">
        <is>
          <t>2026-06-12</t>
        </is>
      </c>
      <c r="B1901" s="33" t="inlineStr">
        <is>
          <t>PUMP</t>
        </is>
      </c>
      <c r="C1901" s="33" t="inlineStr">
        <is>
          <t>M2</t>
        </is>
      </c>
      <c r="D1901" s="33" t="n">
        <v>4</v>
      </c>
      <c r="E1901" s="33" t="inlineStr">
        <is>
          <t>(SALP-13F batch add, Opus subagent research + orchestrator review) 6mo +52.2% vs OIH +46.8%, vs XLE +29.3%; 3mo fade vs OIH (-7.3pp) caps below 5.</t>
        </is>
      </c>
      <c r="F1901" s="33" t="inlineStr">
        <is>
          <t>yfinance 6mo/3mo</t>
        </is>
      </c>
      <c r="G1901" s="33" t="inlineStr">
        <is>
          <t>High</t>
        </is>
      </c>
      <c r="H1901" s="33" t="inlineStr">
        <is>
          <t>Proposal</t>
        </is>
      </c>
    </row>
    <row r="1902">
      <c r="A1902" s="33" t="inlineStr">
        <is>
          <t>2026-06-12</t>
        </is>
      </c>
      <c r="B1902" s="33" t="inlineStr">
        <is>
          <t>PUMP</t>
        </is>
      </c>
      <c r="C1902" s="33" t="inlineStr">
        <is>
          <t>M3</t>
        </is>
      </c>
      <c r="D1902" s="33" t="n">
        <v>3</v>
      </c>
      <c r="E1902" s="33" t="inlineStr">
        <is>
          <t>(SALP-13F batch add, Opus subagent research + orchestrator review) No open-market buys; Exxon 16.6M-sh exit @ 16.66 is 10%-holder block, not officer Form 4.</t>
        </is>
      </c>
      <c r="F1902" s="33" t="inlineStr">
        <is>
          <t>13D/A; Form 4s</t>
        </is>
      </c>
      <c r="G1902" s="33" t="inlineStr">
        <is>
          <t>Med</t>
        </is>
      </c>
      <c r="H1902" s="33" t="inlineStr">
        <is>
          <t>Proposal</t>
        </is>
      </c>
    </row>
    <row r="1903">
      <c r="A1903" s="33" t="inlineStr">
        <is>
          <t>2026-06-12</t>
        </is>
      </c>
      <c r="B1903" s="33" t="inlineStr">
        <is>
          <t>PUMP</t>
        </is>
      </c>
      <c r="C1903" s="33" t="inlineStr">
        <is>
          <t>R1</t>
        </is>
      </c>
      <c r="D1903" s="33" t="n">
        <v>3</v>
      </c>
      <c r="E1903" s="33" t="inlineStr">
        <is>
          <t>(SALP-13F batch add, Opus subagent research + orchestrator review) Exxon 24.9% FY25 (top-5 68.2%) straddles 4/3; rated 3 because Exxon equity exit raises continuity risk. DEBATABLE vs 4.</t>
        </is>
      </c>
      <c r="F1903" s="33" t="inlineStr">
        <is>
          <t>FY25 10-K; 13D/A</t>
        </is>
      </c>
      <c r="G1903" s="33" t="inlineStr">
        <is>
          <t>Med</t>
        </is>
      </c>
      <c r="H1903" s="33" t="inlineStr">
        <is>
          <t>Proposal</t>
        </is>
      </c>
    </row>
    <row r="1904">
      <c r="A1904" s="33" t="inlineStr">
        <is>
          <t>2026-06-12</t>
        </is>
      </c>
      <c r="B1904" s="33" t="inlineStr">
        <is>
          <t>PUMP</t>
        </is>
      </c>
      <c r="C1904" s="33" t="inlineStr">
        <is>
          <t>R2</t>
        </is>
      </c>
      <c r="D1904" s="33" t="n">
        <v>5</v>
      </c>
      <c r="E1904" s="33" t="inlineStr">
        <is>
          <t>(SALP-13F batch add, Opus subagent research + orchestrator review) 100% domestic US; oil-price collapse is commodity-cycle, not an R2 leg.</t>
        </is>
      </c>
      <c r="F1904" s="33" t="inlineStr">
        <is>
          <t>FY25 10-K</t>
        </is>
      </c>
      <c r="G1904" s="33" t="inlineStr">
        <is>
          <t>High</t>
        </is>
      </c>
      <c r="H1904" s="33" t="inlineStr">
        <is>
          <t>Proposal</t>
        </is>
      </c>
    </row>
    <row r="1905">
      <c r="A1905" s="33" t="inlineStr">
        <is>
          <t>2026-06-12</t>
        </is>
      </c>
      <c r="B1905" s="33" t="inlineStr">
        <is>
          <t>PUMP</t>
        </is>
      </c>
      <c r="C1905" s="33" t="inlineStr">
        <is>
          <t>R3</t>
        </is>
      </c>
      <c r="D1905" s="33" t="n">
        <v>4</v>
      </c>
      <c r="E1905" s="33" t="inlineStr">
        <is>
          <t>(SALP-13F batch add, Opus subagent research + orchestrator review) ND/EBITDA 0.19x, $289M liquidity, ABL undrawn; negative TTM FCF + $540-610M capex year caps below 5.</t>
        </is>
      </c>
      <c r="F1905" s="33" t="inlineStr">
        <is>
          <t>Q1 2026 10-Q/8-K</t>
        </is>
      </c>
      <c r="G1905" s="33" t="inlineStr">
        <is>
          <t>High</t>
        </is>
      </c>
      <c r="H1905" s="33" t="inlineStr">
        <is>
          <t>Proposal</t>
        </is>
      </c>
    </row>
    <row r="1906">
      <c r="A1906" s="33" t="inlineStr">
        <is>
          <t>2026-06-12</t>
        </is>
      </c>
      <c r="B1906" s="33" t="inlineStr">
        <is>
          <t>PUMP</t>
        </is>
      </c>
      <c r="C1906" s="33" t="inlineStr">
        <is>
          <t>R4</t>
        </is>
      </c>
      <c r="D1906" s="33" t="n">
        <v>4</v>
      </c>
      <c r="E1906" s="33" t="inlineStr">
        <is>
          <t>(SALP-13F batch add, Opus subagent research + orchestrator review) Routine oilfield matters only.</t>
        </is>
      </c>
      <c r="F1906" s="33" t="inlineStr">
        <is>
          <t>FY25 10-K Legal Proceedings</t>
        </is>
      </c>
      <c r="G1906" s="33" t="inlineStr">
        <is>
          <t>Med</t>
        </is>
      </c>
      <c r="H1906" s="33" t="inlineStr">
        <is>
          <t>Proposal</t>
        </is>
      </c>
    </row>
    <row r="1907">
      <c r="A1907" s="33" t="inlineStr">
        <is>
          <t>2026-06-12</t>
        </is>
      </c>
      <c r="B1907" s="33" t="inlineStr">
        <is>
          <t>BW</t>
        </is>
      </c>
      <c r="C1907" s="33" t="inlineStr">
        <is>
          <t>D1</t>
        </is>
      </c>
      <c r="D1907" s="33" t="n">
        <v>3</v>
      </c>
      <c r="E1907" s="33" t="inlineStr">
        <is>
          <t>(SALP-13F batch add, Opus subagent research + orchestrator review) Trailing AI-DC rev ~14% ($31M Base Electron of $214.4M Q1); backlog ~89% AI-DC ($2.7B). DEBATABLE: trailing 3 vs forward 5.</t>
        </is>
      </c>
      <c r="F1907" s="33" t="inlineStr">
        <is>
          <t>Q1 FY26 release; transcript</t>
        </is>
      </c>
      <c r="G1907" s="33" t="inlineStr">
        <is>
          <t>Med</t>
        </is>
      </c>
      <c r="H1907" s="33" t="inlineStr">
        <is>
          <t>Proposal</t>
        </is>
      </c>
    </row>
    <row r="1908">
      <c r="A1908" s="33" t="inlineStr">
        <is>
          <t>2026-06-12</t>
        </is>
      </c>
      <c r="B1908" s="33" t="inlineStr">
        <is>
          <t>BW</t>
        </is>
      </c>
      <c r="C1908" s="33" t="inlineStr">
        <is>
          <t>D2</t>
        </is>
      </c>
      <c r="D1908" s="33" t="n">
        <v>3</v>
      </c>
      <c r="E1908" s="33" t="inlineStr">
        <is>
          <t>(SALP-13F batch add, Opus subagent research + orchestrator review) GW-scale boiler/steam-turbine islands have few US suppliers, but EPC-style project work, not upstream bottleneck.</t>
        </is>
      </c>
      <c r="F1908" s="33" t="inlineStr">
        <is>
          <t>transcript</t>
        </is>
      </c>
      <c r="G1908" s="33" t="inlineStr">
        <is>
          <t>Med</t>
        </is>
      </c>
      <c r="H1908" s="33" t="inlineStr">
        <is>
          <t>Proposal</t>
        </is>
      </c>
    </row>
    <row r="1909">
      <c r="A1909" s="33" t="inlineStr">
        <is>
          <t>2026-06-12</t>
        </is>
      </c>
      <c r="B1909" s="33" t="inlineStr">
        <is>
          <t>BW</t>
        </is>
      </c>
      <c r="C1909" s="33" t="inlineStr">
        <is>
          <t>D3</t>
        </is>
      </c>
      <c r="D1909" s="33" t="n">
        <v>2</v>
      </c>
      <c r="E1909" s="33" t="inlineStr">
        <is>
          <t>(SALP-13F batch add, Opus subagent research + orchestrator review) EPC execution capability, low recurring switching cost; customer-warrant ties anchor via equity not product lock-in. DEBATABLE vs 3.</t>
        </is>
      </c>
      <c r="F1909" s="33" t="inlineStr">
        <is>
          <t>briefing bias-check</t>
        </is>
      </c>
      <c r="G1909" s="33" t="inlineStr">
        <is>
          <t>Med</t>
        </is>
      </c>
      <c r="H1909" s="33" t="inlineStr">
        <is>
          <t>Proposal</t>
        </is>
      </c>
    </row>
    <row r="1910">
      <c r="A1910" s="33" t="inlineStr">
        <is>
          <t>2026-06-12</t>
        </is>
      </c>
      <c r="B1910" s="33" t="inlineStr">
        <is>
          <t>BW</t>
        </is>
      </c>
      <c r="C1910" s="33" t="inlineStr">
        <is>
          <t>D4</t>
        </is>
      </c>
      <c r="D1910" s="33" t="n">
        <v>5</v>
      </c>
      <c r="E1910" s="33" t="inlineStr">
        <is>
          <t>(SALP-13F batch add, Opus subagent research + orchestrator review) $2.4B/1.2 GW Base Electron full NTP + ~$1.5B/1 GW LNTP; backlog +483% to $2.7B; bookings +1,971%.</t>
        </is>
      </c>
      <c r="F1910" s="33" t="inlineStr">
        <is>
          <t>babcock.com; Q1 release</t>
        </is>
      </c>
      <c r="G1910" s="33" t="inlineStr">
        <is>
          <t>High</t>
        </is>
      </c>
      <c r="H1910" s="33" t="inlineStr">
        <is>
          <t>Proposal</t>
        </is>
      </c>
    </row>
    <row r="1911">
      <c r="A1911" s="33" t="inlineStr">
        <is>
          <t>2026-06-12</t>
        </is>
      </c>
      <c r="B1911" s="33" t="inlineStr">
        <is>
          <t>BW</t>
        </is>
      </c>
      <c r="C1911" s="33" t="inlineStr">
        <is>
          <t>D5</t>
        </is>
      </c>
      <c r="D1911" s="33" t="n">
        <v>3</v>
      </c>
      <c r="E1911" s="33" t="inlineStr">
        <is>
          <t>(SALP-13F batch add, Opus subagent research + orchestrator review) Demand is AI-DC power but direct customer is Applied Digital (neocloud developer), not a hyperscaler; nothing signed with hyperscalers. DEBATABLE.</t>
        </is>
      </c>
      <c r="F1911" s="33" t="inlineStr">
        <is>
          <t>transcript</t>
        </is>
      </c>
      <c r="G1911" s="33" t="inlineStr">
        <is>
          <t>Med</t>
        </is>
      </c>
      <c r="H1911" s="33" t="inlineStr">
        <is>
          <t>Proposal</t>
        </is>
      </c>
    </row>
    <row r="1912">
      <c r="A1912" s="33" t="inlineStr">
        <is>
          <t>2026-06-12</t>
        </is>
      </c>
      <c r="B1912" s="33" t="inlineStr">
        <is>
          <t>BW</t>
        </is>
      </c>
      <c r="C1912" s="33" t="inlineStr">
        <is>
          <t>M1</t>
        </is>
      </c>
      <c r="D1912" s="33" t="n">
        <v>3</v>
      </c>
      <c r="E1912" s="33" t="inlineStr">
        <is>
          <t>(SALP-13F batch add, Opus subagent research + orchestrator review) Mixed: current-yr EPS est up vs 90d (0.113-&gt;0.150) but cut from 30d (0.19-&gt;0.15); +1y cut sharply (0.70-&gt;0.475). DEBATABLE.</t>
        </is>
      </c>
      <c r="F1912" s="33" t="inlineStr">
        <is>
          <t>yfinance eps_trend</t>
        </is>
      </c>
      <c r="G1912" s="33" t="inlineStr">
        <is>
          <t>Low</t>
        </is>
      </c>
      <c r="H1912" s="33" t="inlineStr">
        <is>
          <t>Proposal</t>
        </is>
      </c>
    </row>
    <row r="1913">
      <c r="A1913" s="33" t="inlineStr">
        <is>
          <t>2026-06-12</t>
        </is>
      </c>
      <c r="B1913" s="33" t="inlineStr">
        <is>
          <t>BW</t>
        </is>
      </c>
      <c r="C1913" s="33" t="inlineStr">
        <is>
          <t>M2</t>
        </is>
      </c>
      <c r="D1913" s="33" t="n">
        <v>5</v>
      </c>
      <c r="E1913" s="33" t="inlineStr">
        <is>
          <t>(SALP-13F batch add, Opus subagent research + orchestrator review) +190.8% vs XLI +12.9% over 6mo.</t>
        </is>
      </c>
      <c r="F1913" s="33" t="inlineStr">
        <is>
          <t>yfinance price history</t>
        </is>
      </c>
      <c r="G1913" s="33" t="inlineStr">
        <is>
          <t>High</t>
        </is>
      </c>
      <c r="H1913" s="33" t="inlineStr">
        <is>
          <t>Proposal</t>
        </is>
      </c>
    </row>
    <row r="1914">
      <c r="A1914" s="33" t="inlineStr">
        <is>
          <t>2026-06-12</t>
        </is>
      </c>
      <c r="B1914" s="33" t="inlineStr">
        <is>
          <t>BW</t>
        </is>
      </c>
      <c r="C1914" s="33" t="inlineStr">
        <is>
          <t>M3</t>
        </is>
      </c>
      <c r="D1914" s="33" t="n">
        <v>3</v>
      </c>
      <c r="E1914" s="33" t="inlineStr">
        <is>
          <t>(SALP-13F batch add, Opus subagent research + orchestrator review) Two token open-market buys (&lt;$20K each), one large 1.16M-sh sale @ $9.00 pre-run; no substantive buys. VERIFY FORM 4s. DEBATABLE.</t>
        </is>
      </c>
      <c r="F1914" s="33" t="inlineStr">
        <is>
          <t>SEC Form 4 via yfinance</t>
        </is>
      </c>
      <c r="G1914" s="33" t="inlineStr">
        <is>
          <t>Low</t>
        </is>
      </c>
      <c r="H1914" s="33" t="inlineStr">
        <is>
          <t>Proposal</t>
        </is>
      </c>
    </row>
    <row r="1915">
      <c r="A1915" s="33" t="inlineStr">
        <is>
          <t>2026-06-12</t>
        </is>
      </c>
      <c r="B1915" s="33" t="inlineStr">
        <is>
          <t>BW</t>
        </is>
      </c>
      <c r="C1915" s="33" t="inlineStr">
        <is>
          <t>R1</t>
        </is>
      </c>
      <c r="D1915" s="33" t="n">
        <v>1</v>
      </c>
      <c r="E1915" s="33" t="inlineStr">
        <is>
          <t>(SALP-13F batch add, Opus subagent research + orchestrator review) Base Electron / Applied Digital ~89% of $2.7B backlog; single-counterparty.</t>
        </is>
      </c>
      <c r="F1915" s="33" t="inlineStr">
        <is>
          <t>Q1 release</t>
        </is>
      </c>
      <c r="G1915" s="33" t="inlineStr">
        <is>
          <t>High</t>
        </is>
      </c>
      <c r="H1915" s="33" t="inlineStr">
        <is>
          <t>Proposal</t>
        </is>
      </c>
    </row>
    <row r="1916">
      <c r="A1916" s="33" t="inlineStr">
        <is>
          <t>2026-06-12</t>
        </is>
      </c>
      <c r="B1916" s="33" t="inlineStr">
        <is>
          <t>BW</t>
        </is>
      </c>
      <c r="C1916" s="33" t="inlineStr">
        <is>
          <t>R2</t>
        </is>
      </c>
      <c r="D1916" s="33" t="n">
        <v>5</v>
      </c>
      <c r="E1916" s="33" t="inlineStr">
        <is>
          <t>(SALP-13F batch add, Opus subagent research + orchestrator review) US-centric (ND, OH); no demand/policy/asset legs.</t>
        </is>
      </c>
      <c r="F1916" s="33" t="inlineStr">
        <is>
          <t>10-K; transcript</t>
        </is>
      </c>
      <c r="G1916" s="33" t="inlineStr">
        <is>
          <t>High</t>
        </is>
      </c>
      <c r="H1916" s="33" t="inlineStr">
        <is>
          <t>Proposal</t>
        </is>
      </c>
    </row>
    <row r="1917">
      <c r="A1917" s="33" t="inlineStr">
        <is>
          <t>2026-06-12</t>
        </is>
      </c>
      <c r="B1917" s="33" t="inlineStr">
        <is>
          <t>BW</t>
        </is>
      </c>
      <c r="C1917" s="33" t="inlineStr">
        <is>
          <t>R3</t>
        </is>
      </c>
      <c r="D1917" s="33" t="n">
        <v>2</v>
      </c>
      <c r="E1917" s="33" t="inlineStr">
        <is>
          <t>(SALP-13F batch add, Opus subagent research + orchestrator review) Going-concern alive 12mo ago (cured 2025); ~$69M 6.50% notes due Dec-31-2026 maturity wall; $191.7M preferred + ~7% warrant overhang; negative TTM FCF. DEBATABLE vs 1 on recency.</t>
        </is>
      </c>
      <c r="F1917" s="33" t="inlineStr">
        <is>
          <t>10-Q liquidity note</t>
        </is>
      </c>
      <c r="G1917" s="33" t="inlineStr">
        <is>
          <t>Med</t>
        </is>
      </c>
      <c r="H1917" s="33" t="inlineStr">
        <is>
          <t>Proposal</t>
        </is>
      </c>
    </row>
    <row r="1918">
      <c r="A1918" s="33" t="inlineStr">
        <is>
          <t>2026-06-12</t>
        </is>
      </c>
      <c r="B1918" s="33" t="inlineStr">
        <is>
          <t>BW</t>
        </is>
      </c>
      <c r="C1918" s="33" t="inlineStr">
        <is>
          <t>R4</t>
        </is>
      </c>
      <c r="D1918" s="33" t="n">
        <v>4</v>
      </c>
      <c r="E1918" s="33" t="inlineStr">
        <is>
          <t>(SALP-13F batch add, Opus subagent research + orchestrator review) No major regulatory threat; routine matters.</t>
        </is>
      </c>
      <c r="F1918" s="33" t="inlineStr">
        <is>
          <t>10-K legal proceedings</t>
        </is>
      </c>
      <c r="G1918" s="33" t="inlineStr">
        <is>
          <t>Med</t>
        </is>
      </c>
      <c r="H1918" s="33" t="inlineStr">
        <is>
          <t>Proposal</t>
        </is>
      </c>
    </row>
    <row r="1919">
      <c r="A1919" s="33" t="inlineStr">
        <is>
          <t>2026-06-12</t>
        </is>
      </c>
      <c r="B1919" s="33" t="inlineStr">
        <is>
          <t>WYFI</t>
        </is>
      </c>
      <c r="C1919" s="33" t="inlineStr">
        <is>
          <t>D1</t>
        </is>
      </c>
      <c r="D1919" s="33" t="n">
        <v>5</v>
      </c>
      <c r="E1919" s="33" t="inlineStr">
        <is>
          <t>(SALP-13F batch add, Opus subagent research + orchestrator review) ~100% of revenue AI/HPC GPU cloud + AI-DC colocation; no legacy business.</t>
        </is>
      </c>
      <c r="F1919" s="33" t="inlineStr">
        <is>
          <t>10-K FY25/10-Q Q1-26 segments</t>
        </is>
      </c>
      <c r="G1919" s="33" t="inlineStr">
        <is>
          <t>High</t>
        </is>
      </c>
      <c r="H1919" s="33" t="inlineStr">
        <is>
          <t>Proposal</t>
        </is>
      </c>
    </row>
    <row r="1920">
      <c r="A1920" s="33" t="inlineStr">
        <is>
          <t>2026-06-12</t>
        </is>
      </c>
      <c r="B1920" s="33" t="inlineStr">
        <is>
          <t>WYFI</t>
        </is>
      </c>
      <c r="C1920" s="33" t="inlineStr">
        <is>
          <t>D2</t>
        </is>
      </c>
      <c r="D1920" s="33" t="n">
        <v>2</v>
      </c>
      <c r="E1920" s="33" t="inlineStr">
        <is>
          <t>(SALP-13F batch add, Opus subagent research + orchestrator review) Commoditizing GPU cloud vs CRWV/NBIS/hyperscalers; powered-land lever (NC-1) nascent. DEBATABLE vs 3.</t>
        </is>
      </c>
      <c r="F1920" s="33" t="inlineStr">
        <is>
          <t>briefing</t>
        </is>
      </c>
      <c r="G1920" s="33" t="inlineStr">
        <is>
          <t>Med</t>
        </is>
      </c>
      <c r="H1920" s="33" t="inlineStr">
        <is>
          <t>Proposal</t>
        </is>
      </c>
    </row>
    <row r="1921">
      <c r="A1921" s="33" t="inlineStr">
        <is>
          <t>2026-06-12</t>
        </is>
      </c>
      <c r="B1921" s="33" t="inlineStr">
        <is>
          <t>WYFI</t>
        </is>
      </c>
      <c r="C1921" s="33" t="inlineStr">
        <is>
          <t>D3</t>
        </is>
      </c>
      <c r="D1921" s="33" t="n">
        <v>2</v>
      </c>
      <c r="E1921" s="33" t="inlineStr">
        <is>
          <t>(SALP-13F batch add, Opus subagent research + orchestrator review) Low switching costs; 70.7% anchor PAUSING demonstrates fragility.</t>
        </is>
      </c>
      <c r="F1921" s="33" t="inlineStr">
        <is>
          <t>briefing (anchor pause)</t>
        </is>
      </c>
      <c r="G1921" s="33" t="inlineStr">
        <is>
          <t>Med</t>
        </is>
      </c>
      <c r="H1921" s="33" t="inlineStr">
        <is>
          <t>Proposal</t>
        </is>
      </c>
    </row>
    <row r="1922">
      <c r="A1922" s="33" t="inlineStr">
        <is>
          <t>2026-06-12</t>
        </is>
      </c>
      <c r="B1922" s="33" t="inlineStr">
        <is>
          <t>WYFI</t>
        </is>
      </c>
      <c r="C1922" s="33" t="inlineStr">
        <is>
          <t>D4</t>
        </is>
      </c>
      <c r="D1922" s="33" t="n">
        <v>5</v>
      </c>
      <c r="E1922" s="33" t="inlineStr">
        <is>
          <t>(SALP-13F batch add, Opus subagent research + orchestrator review) NC-1 funded buildout ($865M/40 MW Nscale anchor) + $230M converts + Paris $160M + MTL-3.</t>
        </is>
      </c>
      <c r="F1922" s="33" t="inlineStr">
        <is>
          <t>briefing; 8-K</t>
        </is>
      </c>
      <c r="G1922" s="33" t="inlineStr">
        <is>
          <t>High</t>
        </is>
      </c>
      <c r="H1922" s="33" t="inlineStr">
        <is>
          <t>Proposal</t>
        </is>
      </c>
    </row>
    <row r="1923">
      <c r="A1923" s="33" t="inlineStr">
        <is>
          <t>2026-06-12</t>
        </is>
      </c>
      <c r="B1923" s="33" t="inlineStr">
        <is>
          <t>WYFI</t>
        </is>
      </c>
      <c r="C1923" s="33" t="inlineStr">
        <is>
          <t>D5</t>
        </is>
      </c>
      <c r="D1923" s="33" t="n">
        <v>2</v>
      </c>
      <c r="E1923" s="33" t="inlineStr">
        <is>
          <t>(SALP-13F batch add, Opus subagent research + orchestrator review) TTM capex ~$387M material for size but sub-scale vs L9 bands. DEBATABLE vs 1.</t>
        </is>
      </c>
      <c r="F1923" s="33" t="inlineStr">
        <is>
          <t>companyfacts capex</t>
        </is>
      </c>
      <c r="G1923" s="33" t="inlineStr">
        <is>
          <t>Med</t>
        </is>
      </c>
      <c r="H1923" s="33" t="inlineStr">
        <is>
          <t>Proposal</t>
        </is>
      </c>
    </row>
    <row r="1924">
      <c r="A1924" s="33" t="inlineStr">
        <is>
          <t>2026-06-12</t>
        </is>
      </c>
      <c r="B1924" s="33" t="inlineStr">
        <is>
          <t>WYFI</t>
        </is>
      </c>
      <c r="C1924" s="33" t="inlineStr">
        <is>
          <t>M1</t>
        </is>
      </c>
      <c r="D1924" s="33" t="n">
        <v>3</v>
      </c>
      <c r="E1924" s="33" t="inlineStr">
        <is>
          <t>(SALP-13F batch add, Opus subagent research + orchestrator review) Thin/no sell-side coverage post-IPO; neutral default.</t>
        </is>
      </c>
      <c r="F1924" s="33" t="inlineStr">
        <is>
          <t>briefing</t>
        </is>
      </c>
      <c r="G1924" s="33" t="inlineStr">
        <is>
          <t>Low</t>
        </is>
      </c>
      <c r="H1924" s="33" t="inlineStr">
        <is>
          <t>Proposal</t>
        </is>
      </c>
    </row>
    <row r="1925">
      <c r="A1925" s="33" t="inlineStr">
        <is>
          <t>2026-06-12</t>
        </is>
      </c>
      <c r="B1925" s="33" t="inlineStr">
        <is>
          <t>WYFI</t>
        </is>
      </c>
      <c r="C1925" s="33" t="inlineStr">
        <is>
          <t>M2</t>
        </is>
      </c>
      <c r="D1925" s="33" t="n">
        <v>3</v>
      </c>
      <c r="E1925" s="33" t="inlineStr">
        <is>
          <t>(SALP-13F batch add, Opus subagent research + orchestrator review) Placeholder — recent IPO, volatile; objective 50DMA% (51.7) carries the signal. VERIFY at next pass.</t>
        </is>
      </c>
      <c r="F1925" s="33" t="inlineStr">
        <is>
          <t>momentum_50dma 2026-06-12</t>
        </is>
      </c>
      <c r="G1925" s="33" t="inlineStr">
        <is>
          <t>Low</t>
        </is>
      </c>
      <c r="H1925" s="33" t="inlineStr">
        <is>
          <t>Proposal</t>
        </is>
      </c>
    </row>
    <row r="1926">
      <c r="A1926" s="33" t="inlineStr">
        <is>
          <t>2026-06-12</t>
        </is>
      </c>
      <c r="B1926" s="33" t="inlineStr">
        <is>
          <t>WYFI</t>
        </is>
      </c>
      <c r="C1926" s="33" t="inlineStr">
        <is>
          <t>M3</t>
        </is>
      </c>
      <c r="D1926" s="33" t="n">
        <v>3</v>
      </c>
      <c r="E1926" s="33" t="inlineStr">
        <is>
          <t>(SALP-13F batch add, Opus subagent research + orchestrator review) Routine RSU withholding sells only; Bit Digital retains 71.5% (control, not signal).</t>
        </is>
      </c>
      <c r="F1926" s="33" t="inlineStr">
        <is>
          <t>briefing</t>
        </is>
      </c>
      <c r="G1926" s="33" t="inlineStr">
        <is>
          <t>Med</t>
        </is>
      </c>
      <c r="H1926" s="33" t="inlineStr">
        <is>
          <t>Proposal</t>
        </is>
      </c>
    </row>
    <row r="1927">
      <c r="A1927" s="33" t="inlineStr">
        <is>
          <t>2026-06-12</t>
        </is>
      </c>
      <c r="B1927" s="33" t="inlineStr">
        <is>
          <t>WYFI</t>
        </is>
      </c>
      <c r="C1927" s="33" t="inlineStr">
        <is>
          <t>R1</t>
        </is>
      </c>
      <c r="D1927" s="33" t="n">
        <v>1</v>
      </c>
      <c r="E1927" s="33" t="inlineStr">
        <is>
          <t>(SALP-13F batch add, Opus subagent research + orchestrator review) "Initial Customer" 70.7% of FY25 revenue PAUSED Nov-2025 pending renegotiation; DNA Fund terminated w/ $7.3M AR.</t>
        </is>
      </c>
      <c r="F1927" s="33" t="inlineStr">
        <is>
          <t>10-K FY25; Q1-26 8-K</t>
        </is>
      </c>
      <c r="G1927" s="33" t="inlineStr">
        <is>
          <t>High</t>
        </is>
      </c>
      <c r="H1927" s="33" t="inlineStr">
        <is>
          <t>Proposal</t>
        </is>
      </c>
    </row>
    <row r="1928">
      <c r="A1928" s="33" t="inlineStr">
        <is>
          <t>2026-06-12</t>
        </is>
      </c>
      <c r="B1928" s="33" t="inlineStr">
        <is>
          <t>WYFI</t>
        </is>
      </c>
      <c r="C1928" s="33" t="inlineStr">
        <is>
          <t>R2</t>
        </is>
      </c>
      <c r="D1928" s="33" t="n">
        <v>5</v>
      </c>
      <c r="E1928" s="33" t="inlineStr">
        <is>
          <t>(SALP-13F batch add, Opus subagent research + orchestrator review) US (NC) + Canada + Iceland; no China/export overhang; Iceland &lt;10% of assets.</t>
        </is>
      </c>
      <c r="F1928" s="33" t="inlineStr">
        <is>
          <t>10-K Item 2</t>
        </is>
      </c>
      <c r="G1928" s="33" t="inlineStr">
        <is>
          <t>High</t>
        </is>
      </c>
      <c r="H1928" s="33" t="inlineStr">
        <is>
          <t>Proposal</t>
        </is>
      </c>
    </row>
    <row r="1929">
      <c r="A1929" s="33" t="inlineStr">
        <is>
          <t>2026-06-12</t>
        </is>
      </c>
      <c r="B1929" s="33" t="inlineStr">
        <is>
          <t>WYFI</t>
        </is>
      </c>
      <c r="C1929" s="33" t="inlineStr">
        <is>
          <t>R3</t>
        </is>
      </c>
      <c r="D1929" s="33" t="n">
        <v>2</v>
      </c>
      <c r="E1929" s="33" t="inlineStr">
        <is>
          <t>(SALP-13F batch add, Opus subagent research + orchestrator review) $230M converts + $251.6M debt on &lt;$85M revenue; EBITDA ~0/negative; FCF -$336M; cash $75.8M &lt;1yr of buildout. DEBATABLE vs 1.</t>
        </is>
      </c>
      <c r="F1929" s="33" t="inlineStr">
        <is>
          <t>10-Q Q1-26</t>
        </is>
      </c>
      <c r="G1929" s="33" t="inlineStr">
        <is>
          <t>High</t>
        </is>
      </c>
      <c r="H1929" s="33" t="inlineStr">
        <is>
          <t>Proposal</t>
        </is>
      </c>
    </row>
    <row r="1930">
      <c r="A1930" s="33" t="inlineStr">
        <is>
          <t>2026-06-12</t>
        </is>
      </c>
      <c r="B1930" s="33" t="inlineStr">
        <is>
          <t>WYFI</t>
        </is>
      </c>
      <c r="C1930" s="33" t="inlineStr">
        <is>
          <t>R4</t>
        </is>
      </c>
      <c r="D1930" s="33" t="n">
        <v>4</v>
      </c>
      <c r="E1930" s="33" t="inlineStr">
        <is>
          <t>(SALP-13F batch add, Opus subagent research + orchestrator review) No material litigation; Bit Digital 71.5% control is governance flag not litigation.</t>
        </is>
      </c>
      <c r="F1930" s="33" t="inlineStr">
        <is>
          <t>10-K legal proceedings</t>
        </is>
      </c>
      <c r="G1930" s="33" t="inlineStr">
        <is>
          <t>Med</t>
        </is>
      </c>
      <c r="H1930" s="33" t="inlineStr">
        <is>
          <t>Proposal</t>
        </is>
      </c>
    </row>
    <row r="1931">
      <c r="A1931" s="33" t="inlineStr">
        <is>
          <t>2026-06-12</t>
        </is>
      </c>
      <c r="B1931" s="33" t="inlineStr">
        <is>
          <t>SHAZ</t>
        </is>
      </c>
      <c r="C1931" s="33" t="inlineStr">
        <is>
          <t>D1</t>
        </is>
      </c>
      <c r="D1931" s="33" t="n">
        <v>5</v>
      </c>
      <c r="E1931" s="33" t="inlineStr">
        <is>
          <t>(SALP-13F batch add, Opus subagent research + orchestrator review) Pure-play AI/HPC GPU cloud — maximally direct. But ~2 MW live vs GW ambitions.</t>
        </is>
      </c>
      <c r="F1931" s="33" t="inlineStr">
        <is>
          <t>SHAZ context briefing 6</t>
        </is>
      </c>
      <c r="G1931" s="33" t="inlineStr">
        <is>
          <t>Med</t>
        </is>
      </c>
      <c r="H1931" s="33" t="inlineStr">
        <is>
          <t>Proposal</t>
        </is>
      </c>
    </row>
    <row r="1932">
      <c r="A1932" s="33" t="inlineStr">
        <is>
          <t>2026-06-12</t>
        </is>
      </c>
      <c r="B1932" s="33" t="inlineStr">
        <is>
          <t>SHAZ</t>
        </is>
      </c>
      <c r="C1932" s="33" t="inlineStr">
        <is>
          <t>D2</t>
        </is>
      </c>
      <c r="D1932" s="33" t="n">
        <v>2</v>
      </c>
      <c r="E1932" s="33" t="inlineStr">
        <is>
          <t>(SALP-13F batch add, Opus subagent research + orchestrator review) Durability deeply unproven; ~2 MW live.</t>
        </is>
      </c>
      <c r="F1932" s="33" t="inlineStr">
        <is>
          <t>SHAZ context briefing 6</t>
        </is>
      </c>
      <c r="G1932" s="33" t="inlineStr">
        <is>
          <t>Low</t>
        </is>
      </c>
      <c r="H1932" s="33" t="inlineStr">
        <is>
          <t>Proposal</t>
        </is>
      </c>
    </row>
    <row r="1933">
      <c r="A1933" s="33" t="inlineStr">
        <is>
          <t>2026-06-12</t>
        </is>
      </c>
      <c r="B1933" s="33" t="inlineStr">
        <is>
          <t>SHAZ</t>
        </is>
      </c>
      <c r="C1933" s="33" t="inlineStr">
        <is>
          <t>D3</t>
        </is>
      </c>
      <c r="D1933" s="33" t="n">
        <v>2</v>
      </c>
      <c r="E1933" s="33" t="inlineStr">
        <is>
          <t>(SALP-13F batch add, Opus subagent research + orchestrator review) Moat unproven; backlog-only story.</t>
        </is>
      </c>
      <c r="F1933" s="33" t="inlineStr">
        <is>
          <t>SHAZ context briefing 6</t>
        </is>
      </c>
      <c r="G1933" s="33" t="inlineStr">
        <is>
          <t>Low</t>
        </is>
      </c>
      <c r="H1933" s="33" t="inlineStr">
        <is>
          <t>Proposal</t>
        </is>
      </c>
    </row>
    <row r="1934">
      <c r="A1934" s="33" t="inlineStr">
        <is>
          <t>2026-06-12</t>
        </is>
      </c>
      <c r="B1934" s="33" t="inlineStr">
        <is>
          <t>SHAZ</t>
        </is>
      </c>
      <c r="C1934" s="33" t="inlineStr">
        <is>
          <t>D4</t>
        </is>
      </c>
      <c r="D1934" s="33" t="n">
        <v>2</v>
      </c>
      <c r="E1934" s="33" t="inlineStr">
        <is>
          <t>(SALP-13F batch add, Opus subagent research + orchestrator review) 132 MW secured but ~98% un-energized; funding contested (convert dilution in flight).</t>
        </is>
      </c>
      <c r="F1934" s="33" t="inlineStr">
        <is>
          <t>SHAZ context briefing</t>
        </is>
      </c>
      <c r="G1934" s="33" t="inlineStr">
        <is>
          <t>Low</t>
        </is>
      </c>
      <c r="H1934" s="33" t="inlineStr">
        <is>
          <t>Proposal</t>
        </is>
      </c>
    </row>
    <row r="1935">
      <c r="A1935" s="33" t="inlineStr">
        <is>
          <t>2026-06-12</t>
        </is>
      </c>
      <c r="B1935" s="33" t="inlineStr">
        <is>
          <t>SHAZ</t>
        </is>
      </c>
      <c r="C1935" s="33" t="inlineStr">
        <is>
          <t>D5</t>
        </is>
      </c>
      <c r="D1935" s="33" t="n">
        <v>2</v>
      </c>
      <c r="E1935" s="33" t="inlineStr">
        <is>
          <t>(SALP-13F batch add, Opus subagent research + orchestrator review) ESDS anchor is not a hyperscaler; counterparty solvency contested by short report.</t>
        </is>
      </c>
      <c r="F1935" s="33" t="inlineStr">
        <is>
          <t>SHAZ context briefing</t>
        </is>
      </c>
      <c r="G1935" s="33" t="inlineStr">
        <is>
          <t>Low</t>
        </is>
      </c>
      <c r="H1935" s="33" t="inlineStr">
        <is>
          <t>Proposal</t>
        </is>
      </c>
    </row>
    <row r="1936">
      <c r="A1936" s="33" t="inlineStr">
        <is>
          <t>2026-06-12</t>
        </is>
      </c>
      <c r="B1936" s="33" t="inlineStr">
        <is>
          <t>SHAZ</t>
        </is>
      </c>
      <c r="C1936" s="33" t="inlineStr">
        <is>
          <t>R1</t>
        </is>
      </c>
      <c r="D1936" s="33" t="n">
        <v>1</v>
      </c>
      <c r="E1936" s="33" t="inlineStr">
        <is>
          <t>(SALP-13F batch add, Opus subagent research + orchestrator review) ESDS = bulk of backlog; counterparty solvency contested (Bleecker St).</t>
        </is>
      </c>
      <c r="F1936" s="33" t="inlineStr">
        <is>
          <t>SHAZ context briefing 6</t>
        </is>
      </c>
      <c r="G1936" s="33" t="inlineStr">
        <is>
          <t>Med</t>
        </is>
      </c>
      <c r="H1936" s="33" t="inlineStr">
        <is>
          <t>Proposal</t>
        </is>
      </c>
    </row>
    <row r="1937">
      <c r="A1937" s="33" t="inlineStr">
        <is>
          <t>2026-06-12</t>
        </is>
      </c>
      <c r="B1937" s="33" t="inlineStr">
        <is>
          <t>SHAZ</t>
        </is>
      </c>
      <c r="C1937" s="33" t="inlineStr">
        <is>
          <t>R2</t>
        </is>
      </c>
      <c r="D1937" s="33" t="n">
        <v>2</v>
      </c>
      <c r="E1937" s="33" t="inlineStr">
        <is>
          <t>(SALP-13F batch add, Opus subagent research + orchestrator review) Demand leg: anchor counterparty foreign (ESDS, India) and contested. LOW CONFIDENCE — review.</t>
        </is>
      </c>
      <c r="F1937" s="33" t="inlineStr">
        <is>
          <t>SHAZ context briefing 6</t>
        </is>
      </c>
      <c r="G1937" s="33" t="inlineStr">
        <is>
          <t>Low</t>
        </is>
      </c>
      <c r="H1937" s="33" t="inlineStr">
        <is>
          <t>Proposal</t>
        </is>
      </c>
    </row>
    <row r="1938">
      <c r="A1938" s="33" t="inlineStr">
        <is>
          <t>2026-06-12</t>
        </is>
      </c>
      <c r="B1938" s="33" t="inlineStr">
        <is>
          <t>SHAZ</t>
        </is>
      </c>
      <c r="C1938" s="33" t="inlineStr">
        <is>
          <t>R3</t>
        </is>
      </c>
      <c r="D1938" s="33" t="n">
        <v>2</v>
      </c>
      <c r="E1938" s="33" t="inlineStr">
        <is>
          <t>(SALP-13F batch add, Opus subagent research + orchestrator review) D/E 230, $199M convert FV, FV-driven losses, 7.65M sh converted Apr-26, active S-1. DEBATABLE vs 1.</t>
        </is>
      </c>
      <c r="F1938" s="33" t="inlineStr">
        <is>
          <t>SHAZ context briefing</t>
        </is>
      </c>
      <c r="G1938" s="33" t="inlineStr">
        <is>
          <t>Med</t>
        </is>
      </c>
      <c r="H1938" s="33" t="inlineStr">
        <is>
          <t>Proposal</t>
        </is>
      </c>
    </row>
    <row r="1939">
      <c r="A1939" s="33" t="inlineStr">
        <is>
          <t>2026-06-12</t>
        </is>
      </c>
      <c r="B1939" s="33" t="inlineStr">
        <is>
          <t>SHAZ</t>
        </is>
      </c>
      <c r="C1939" s="33" t="inlineStr">
        <is>
          <t>R4</t>
        </is>
      </c>
      <c r="D1939" s="33" t="n">
        <v>2</v>
      </c>
      <c r="E1939" s="33" t="inlineStr">
        <is>
          <t>(SALP-13F batch add, Opus subagent research + orchestrator review) Bleecker Street short report (retracted NVIDIA-shareholder claim), CEO litigation history, de-SPAC supervoting (~65% votes/~1% economics).</t>
        </is>
      </c>
      <c r="F1939" s="33" t="inlineStr">
        <is>
          <t>SHAZ context briefing</t>
        </is>
      </c>
      <c r="G1939" s="33" t="inlineStr">
        <is>
          <t>Med</t>
        </is>
      </c>
      <c r="H1939" s="33" t="inlineStr">
        <is>
          <t>Proposal</t>
        </is>
      </c>
    </row>
    <row r="1940">
      <c r="A1940" s="33" t="inlineStr">
        <is>
          <t>2026-06-12</t>
        </is>
      </c>
      <c r="B1940" s="33" t="inlineStr">
        <is>
          <t>SHAZ</t>
        </is>
      </c>
      <c r="C1940" s="33" t="inlineStr">
        <is>
          <t>M1/M2/M3</t>
        </is>
      </c>
      <c r="E1940" s="33" t="inlineStr">
        <is>
          <t>LEFT UNRATED — no sell-side coverage, 32 days of price history, squeeze-driven +~4,000% YTD; any momentum rating would be noise. Revisit after 2 full quarters.</t>
        </is>
      </c>
      <c r="F1940" s="33" t="inlineStr">
        <is>
          <t>SHAZ context briefing</t>
        </is>
      </c>
      <c r="G1940" s="33" t="inlineStr">
        <is>
          <t>High</t>
        </is>
      </c>
      <c r="H1940" s="33" t="inlineStr">
        <is>
          <t>Proposal</t>
        </is>
      </c>
    </row>
    <row r="1941">
      <c r="A1941" s="33" t="inlineStr">
        <is>
          <t>2026-06-12</t>
        </is>
      </c>
      <c r="B1941" s="33" t="inlineStr">
        <is>
          <t>HIVE</t>
        </is>
      </c>
      <c r="C1941" s="33" t="inlineStr">
        <is>
          <t>D1</t>
        </is>
      </c>
      <c r="D1941" s="33" t="n">
        <v>2</v>
      </c>
      <c r="E1941" s="33" t="inlineStr">
        <is>
          <t>(SALP-13F batch add; subagent briefing + orchestrator completion — subagent stalled post-briefing) HPC $19.5M of $297.8M FY2026 revenue = 6.5% (5-10% band); mining ~93%.</t>
        </is>
      </c>
      <c r="F1941" s="33" t="inlineStr">
        <is>
          <t>HIVE FY2026 results PR 2026-06-02</t>
        </is>
      </c>
      <c r="G1941" s="33" t="inlineStr">
        <is>
          <t>High</t>
        </is>
      </c>
      <c r="H1941" s="33" t="inlineStr">
        <is>
          <t>Proposal</t>
        </is>
      </c>
    </row>
    <row r="1942">
      <c r="A1942" s="33" t="inlineStr">
        <is>
          <t>2026-06-12</t>
        </is>
      </c>
      <c r="B1942" s="33" t="inlineStr">
        <is>
          <t>HIVE</t>
        </is>
      </c>
      <c r="C1942" s="33" t="inlineStr">
        <is>
          <t>D2</t>
        </is>
      </c>
      <c r="D1942" s="33" t="n">
        <v>2</v>
      </c>
      <c r="E1942" s="33" t="inlineStr">
        <is>
          <t>(SALP-13F batch add; subagent briefing + orchestrator completion — subagent stalled post-briefing) BTC-mining-derived capacity is commodity; B200 GPU rental undifferentiated; edge is cheap Itaipu hydro + speed.</t>
        </is>
      </c>
      <c r="F1942" s="33" t="inlineStr">
        <is>
          <t>briefing s3/s6</t>
        </is>
      </c>
      <c r="G1942" s="33" t="inlineStr">
        <is>
          <t>Med</t>
        </is>
      </c>
      <c r="H1942" s="33" t="inlineStr">
        <is>
          <t>Proposal</t>
        </is>
      </c>
    </row>
    <row r="1943">
      <c r="A1943" s="33" t="inlineStr">
        <is>
          <t>2026-06-12</t>
        </is>
      </c>
      <c r="B1943" s="33" t="inlineStr">
        <is>
          <t>HIVE</t>
        </is>
      </c>
      <c r="C1943" s="33" t="inlineStr">
        <is>
          <t>D3</t>
        </is>
      </c>
      <c r="D1943" s="33" t="n">
        <v>2</v>
      </c>
      <c r="E1943" s="33" t="inlineStr">
        <is>
          <t>(SALP-13F batch add; subagent briefing + orchestrator completion — subagent stalled post-briefing) Moat = stranded-hydro cost position only; no defensible IP or switching costs.</t>
        </is>
      </c>
      <c r="F1943" s="33" t="inlineStr">
        <is>
          <t>briefing s6</t>
        </is>
      </c>
      <c r="G1943" s="33" t="inlineStr">
        <is>
          <t>Med</t>
        </is>
      </c>
      <c r="H1943" s="33" t="inlineStr">
        <is>
          <t>Proposal</t>
        </is>
      </c>
    </row>
    <row r="1944">
      <c r="A1944" s="33" t="inlineStr">
        <is>
          <t>2026-06-12</t>
        </is>
      </c>
      <c r="B1944" s="33" t="inlineStr">
        <is>
          <t>HIVE</t>
        </is>
      </c>
      <c r="C1944" s="33" t="inlineStr">
        <is>
          <t>D4</t>
        </is>
      </c>
      <c r="D1944" s="33" t="n">
        <v>4</v>
      </c>
      <c r="E1944" s="33" t="inlineStr">
        <is>
          <t>(SALP-13F batch add; subagent briefing + orchestrator completion — subagent stalled post-briefing) 400 MW Paraguay buildout + $115M 0% converts funded; held below 5 because the $3.5B GTA Gigafactory (the 2028 ARR bet) financing is NOT in place. DEBATABLE vs 5.</t>
        </is>
      </c>
      <c r="F1944" s="33" t="inlineStr">
        <is>
          <t>FY2026 PR; DCD Yguazu</t>
        </is>
      </c>
      <c r="G1944" s="33" t="inlineStr">
        <is>
          <t>Med</t>
        </is>
      </c>
      <c r="H1944" s="33" t="inlineStr">
        <is>
          <t>Proposal</t>
        </is>
      </c>
    </row>
    <row r="1945">
      <c r="A1945" s="33" t="inlineStr">
        <is>
          <t>2026-06-12</t>
        </is>
      </c>
      <c r="B1945" s="33" t="inlineStr">
        <is>
          <t>HIVE</t>
        </is>
      </c>
      <c r="C1945" s="33" t="inlineStr">
        <is>
          <t>D5</t>
        </is>
      </c>
      <c r="D1945" s="33" t="n">
        <v>2</v>
      </c>
      <c r="E1945" s="33" t="inlineStr">
        <is>
          <t>(SALP-13F batch add; subagent briefing + orchestrator completion — subagent stalled post-briefing) Real but sub-scale AI-infra commitment (&lt;$1B/yr capex tier); 5,500 GPUs, $35M contracted ARR.</t>
        </is>
      </c>
      <c r="F1945" s="33" t="inlineStr">
        <is>
          <t>FY2026 PR</t>
        </is>
      </c>
      <c r="G1945" s="33" t="inlineStr">
        <is>
          <t>Med</t>
        </is>
      </c>
      <c r="H1945" s="33" t="inlineStr">
        <is>
          <t>Proposal</t>
        </is>
      </c>
    </row>
    <row r="1946">
      <c r="A1946" s="33" t="inlineStr">
        <is>
          <t>2026-06-12</t>
        </is>
      </c>
      <c r="B1946" s="33" t="inlineStr">
        <is>
          <t>HIVE</t>
        </is>
      </c>
      <c r="C1946" s="33" t="inlineStr">
        <is>
          <t>M1</t>
        </is>
      </c>
      <c r="D1946" s="33" t="n">
        <v>3</v>
      </c>
      <c r="E1946" s="33" t="inlineStr">
        <is>
          <t>(SALP-13F batch add; subagent briefing + orchestrator completion — subagent stalled post-briefing) PT raises post-print (B.Riley $8, Cantor $7 2x, KBW $5, Rosenblatt $5.50) but Q4 adj-EBITDA MISS (-$9.0M) and EPS deep loss; revisions are ARR-narrative, not EPS. DEBATABLE vs 4.</t>
        </is>
      </c>
      <c r="F1946" s="33" t="inlineStr">
        <is>
          <t>investing.com 2026-06</t>
        </is>
      </c>
      <c r="G1946" s="33" t="inlineStr">
        <is>
          <t>Med</t>
        </is>
      </c>
      <c r="H1946" s="33" t="inlineStr">
        <is>
          <t>Proposal</t>
        </is>
      </c>
    </row>
    <row r="1947">
      <c r="A1947" s="33" t="inlineStr">
        <is>
          <t>2026-06-12</t>
        </is>
      </c>
      <c r="B1947" s="33" t="inlineStr">
        <is>
          <t>HIVE</t>
        </is>
      </c>
      <c r="C1947" s="33" t="inlineStr">
        <is>
          <t>M2</t>
        </is>
      </c>
      <c r="D1947" s="33" t="n">
        <v>3</v>
      </c>
      <c r="E1947" s="33" t="inlineStr">
        <is>
          <t>(SALP-13F batch add; subagent briefing + orchestrator completion — subagent stalled post-briefing) +69.5% 3mo but +14.4% 6mo; 50DMA% 41.7 objective carries trend. Timeframe-sensitive. DEBATABLE vs 4.</t>
        </is>
      </c>
      <c r="F1947" s="33" t="inlineStr">
        <is>
          <t>yfinance; momentum_50dma</t>
        </is>
      </c>
      <c r="G1947" s="33" t="inlineStr">
        <is>
          <t>Med</t>
        </is>
      </c>
      <c r="H1947" s="33" t="inlineStr">
        <is>
          <t>Proposal</t>
        </is>
      </c>
    </row>
    <row r="1948">
      <c r="A1948" s="33" t="inlineStr">
        <is>
          <t>2026-06-12</t>
        </is>
      </c>
      <c r="B1948" s="33" t="inlineStr">
        <is>
          <t>HIVE</t>
        </is>
      </c>
      <c r="C1948" s="33" t="inlineStr">
        <is>
          <t>M3</t>
        </is>
      </c>
      <c r="D1948" s="33" t="n">
        <v>2</v>
      </c>
      <c r="E1948" s="33" t="inlineStr">
        <is>
          <t>(SALP-13F batch add; subagent briefing + orchestrator completion — subagent stalled post-briefing) Pure selling, zero buys: Exec Chair Holmes sold 575K sh to ZERO (Mar-30), COO Rossy 215K to ZERO (Jun-8), Dir McGee 16.7K (Jun-3). Chairman+COO-to-zero exceeds routine diversification even under asymmetric weighting (BE 2026-05-17 principle).</t>
        </is>
      </c>
      <c r="F1948" s="33" t="inlineStr">
        <is>
          <t>gurufocus Form-4 coverage</t>
        </is>
      </c>
      <c r="G1948" s="33" t="inlineStr">
        <is>
          <t>High</t>
        </is>
      </c>
      <c r="H1948" s="33" t="inlineStr">
        <is>
          <t>Proposal</t>
        </is>
      </c>
    </row>
    <row r="1949">
      <c r="A1949" s="33" t="inlineStr">
        <is>
          <t>2026-06-12</t>
        </is>
      </c>
      <c r="B1949" s="33" t="inlineStr">
        <is>
          <t>HIVE</t>
        </is>
      </c>
      <c r="C1949" s="33" t="inlineStr">
        <is>
          <t>R1</t>
        </is>
      </c>
      <c r="D1949" s="33" t="n">
        <v>3</v>
      </c>
      <c r="E1949" s="33" t="inlineStr">
        <is>
          <t>(SALP-13F batch add; subagent briefing + orchestrator completion — subagent stalled post-briefing) HPC ARR concentrated in few contracts (Bell Canada marquee); mining customer = BTC network (diffuse). Mixed.</t>
        </is>
      </c>
      <c r="F1949" s="33" t="inlineStr">
        <is>
          <t>briefing s6</t>
        </is>
      </c>
      <c r="G1949" s="33" t="inlineStr">
        <is>
          <t>Med</t>
        </is>
      </c>
      <c r="H1949" s="33" t="inlineStr">
        <is>
          <t>Proposal</t>
        </is>
      </c>
    </row>
    <row r="1950">
      <c r="A1950" s="33" t="inlineStr">
        <is>
          <t>2026-06-12</t>
        </is>
      </c>
      <c r="B1950" s="33" t="inlineStr">
        <is>
          <t>HIVE</t>
        </is>
      </c>
      <c r="C1950" s="33" t="inlineStr">
        <is>
          <t>R2</t>
        </is>
      </c>
      <c r="D1950" s="33" t="n">
        <v>3</v>
      </c>
      <c r="E1950" s="33" t="inlineStr">
        <is>
          <t>(SALP-13F batch add; subagent briefing + orchestrator completion — subagent stalled post-briefing) Asset leg: Paraguay = material EM sovereign/grid/currency exposure (300-400 MW campus); demand/policy legs clean. One-leg = 3 per R2 risk-leg tiering.</t>
        </is>
      </c>
      <c r="F1950" s="33" t="inlineStr">
        <is>
          <t>briefing s6; R2 rubric 2026-06-12</t>
        </is>
      </c>
      <c r="G1950" s="33" t="inlineStr">
        <is>
          <t>Med</t>
        </is>
      </c>
      <c r="H1950" s="33" t="inlineStr">
        <is>
          <t>Proposal</t>
        </is>
      </c>
    </row>
    <row r="1951">
      <c r="A1951" s="33" t="inlineStr">
        <is>
          <t>2026-06-12</t>
        </is>
      </c>
      <c r="B1951" s="33" t="inlineStr">
        <is>
          <t>HIVE</t>
        </is>
      </c>
      <c r="C1951" s="33" t="inlineStr">
        <is>
          <t>R3</t>
        </is>
      </c>
      <c r="D1951" s="33" t="n">
        <v>2</v>
      </c>
      <c r="E1951" s="33" t="inlineStr">
        <is>
          <t>(SALP-13F batch add; subagent briefing + orchestrator completion — subagent stalled post-briefing) GAAP net loss -$148M FY26, statement FCF -$116M, BTC-price-dependent cash engine (Q4 adj-EBITDA negative at $76K BTC); funds via dilution + 0% converts (Apr-26 $115M, exchange $2.57). ND/EBITDA -0.21 at FYE is PRE-notes — pro-forma debt ~$130-185M.</t>
        </is>
      </c>
      <c r="F1951" s="33" t="inlineStr">
        <is>
          <t>FY2026 PR balance sheet + notes</t>
        </is>
      </c>
      <c r="G1951" s="33" t="inlineStr">
        <is>
          <t>High</t>
        </is>
      </c>
      <c r="H1951" s="33" t="inlineStr">
        <is>
          <t>Proposal</t>
        </is>
      </c>
    </row>
    <row r="1952">
      <c r="A1952" s="33" t="inlineStr">
        <is>
          <t>2026-06-12</t>
        </is>
      </c>
      <c r="B1952" s="33" t="inlineStr">
        <is>
          <t>HIVE</t>
        </is>
      </c>
      <c r="C1952" s="33" t="inlineStr">
        <is>
          <t>R4</t>
        </is>
      </c>
      <c r="D1952" s="33" t="n">
        <v>4</v>
      </c>
      <c r="E1952" s="33" t="inlineStr">
        <is>
          <t>(SALP-13F batch add; subagent briefing + orchestrator completion — subagent stalled post-briefing) No major disclosed overhang; crypto-regulatory backdrop sector-systemic.</t>
        </is>
      </c>
      <c r="F1952" s="33" t="inlineStr">
        <is>
          <t>briefing s6</t>
        </is>
      </c>
      <c r="G1952" s="33" t="inlineStr">
        <is>
          <t>Med</t>
        </is>
      </c>
      <c r="H1952" s="33" t="inlineStr">
        <is>
          <t>Proposal</t>
        </is>
      </c>
    </row>
    <row r="1953">
      <c r="A1953" s="33" t="inlineStr">
        <is>
          <t>2026-06-12</t>
        </is>
      </c>
      <c r="B1953" s="33" t="inlineStr">
        <is>
          <t>SEI/TE/PSIX/PUMP/BW/WYFI/SHAZ/HIVE</t>
        </is>
      </c>
      <c r="C1953" s="33" t="inlineStr">
        <is>
          <t>ALL</t>
        </is>
      </c>
      <c r="E1953" s="33" t="inlineStr">
        <is>
          <t>Dom ACCEPTED all 94 batch proposals as rated, including flagged debatable calls (SEI D1/D5/M3, BW D1/R3, PUMP D4/D5/R1, PSIX D1/D5/R1, HIVE D4/M1/M2, WYFI EV/MW 70-MW basis, SHAZ all + momentum-unrated). Open verification items carried forward, not blockers: SEI M3 and BW M3 Form-4 confirmations.</t>
        </is>
      </c>
      <c r="F1953" s="33" t="inlineStr">
        <is>
          <t>Session 2026-06-12</t>
        </is>
      </c>
      <c r="G1953" s="33" t="inlineStr">
        <is>
          <t>High</t>
        </is>
      </c>
      <c r="H1953" s="33" t="inlineStr">
        <is>
          <t>Accept</t>
        </is>
      </c>
    </row>
    <row r="1954">
      <c r="A1954" s="33" t="inlineStr">
        <is>
          <t>2026-06-12</t>
        </is>
      </c>
      <c r="B1954" s="33" t="inlineStr">
        <is>
          <t>GEV</t>
        </is>
      </c>
      <c r="C1954" s="33" t="inlineStr">
        <is>
          <t>D5</t>
        </is>
      </c>
      <c r="D1954" s="33" t="n">
        <v>5</v>
      </c>
      <c r="E1954" s="33" t="inlineStr">
        <is>
          <t>(was 4; Dom accepted 2026-06-12 refresh proposal) Quantified multi-hyperscaler DC demand: $2.4B Q1 DC equipment orders (&gt; all FY2025), ~20 GW of 100 GW gas backlog DC-tied, 56 GW slot reservations carrying $5.3B down payments.</t>
        </is>
      </c>
      <c r="F1954" s="33" t="inlineStr">
        <is>
          <t>per-stock/GEV/context-2026-06-12.md; 8-K 2026-05-22</t>
        </is>
      </c>
      <c r="G1954" s="33" t="inlineStr">
        <is>
          <t>High</t>
        </is>
      </c>
      <c r="H1954" s="33" t="inlineStr">
        <is>
          <t>Update</t>
        </is>
      </c>
    </row>
    <row r="1955">
      <c r="A1955" s="33" t="inlineStr">
        <is>
          <t>2026-06-12</t>
        </is>
      </c>
      <c r="B1955" s="33" t="inlineStr">
        <is>
          <t>GEV</t>
        </is>
      </c>
      <c r="C1955" s="33" t="inlineStr">
        <is>
          <t>eps_yoy</t>
        </is>
      </c>
      <c r="E1955" s="33" t="inlineStr">
        <is>
          <t>INPUT BLANKED (was +1,768%) per new one-time-item rule (rule 15): dominated by ~$4.5B non-operating Prolec divestiture gain — scoring 100 on a divestiture is a garbage input. Growth now averages rev metrics only. NOTE: drops GEV 70.3 ✓✓ -&gt; ~67.6 ✓ — data-honesty correction, not a rating change.</t>
        </is>
      </c>
      <c r="F1955" s="33" t="inlineStr">
        <is>
          <t>per-stock/GEV/context-2026-06-12.md; 10-Q</t>
        </is>
      </c>
      <c r="G1955" s="33" t="inlineStr">
        <is>
          <t>High</t>
        </is>
      </c>
      <c r="H1955" s="33" t="inlineStr">
        <is>
          <t>Update</t>
        </is>
      </c>
    </row>
    <row r="1956">
      <c r="A1956" s="33" t="inlineStr">
        <is>
          <t>2026-06-12</t>
        </is>
      </c>
      <c r="B1956" s="33" t="inlineStr">
        <is>
          <t>MPWR</t>
        </is>
      </c>
      <c r="C1956" s="33" t="inlineStr">
        <is>
          <t>D2</t>
        </is>
      </c>
      <c r="D1956" s="33" t="n">
        <v>3</v>
      </c>
      <c r="E1956" s="33" t="inlineStr">
        <is>
          <t>(was 4; Dom accepted) 800V HVDC is a ~15-vendor contested field with Infineon leading and TI shipping complete architectures with NVIDIA; MPWR lost GB200 to Infineon — position is contested, not privileged.</t>
        </is>
      </c>
      <c r="F1956" s="33" t="inlineStr">
        <is>
          <t>per-stock/MPWR/context-2026-06-12.md; CNESA; TI PR 2026-03-16</t>
        </is>
      </c>
      <c r="G1956" s="33" t="inlineStr">
        <is>
          <t>High</t>
        </is>
      </c>
      <c r="H1956" s="33" t="inlineStr">
        <is>
          <t>Update</t>
        </is>
      </c>
    </row>
    <row r="1957">
      <c r="A1957" s="33" t="inlineStr">
        <is>
          <t>2026-06-12</t>
        </is>
      </c>
      <c r="B1957" s="33" t="inlineStr">
        <is>
          <t>MPWR</t>
        </is>
      </c>
      <c r="C1957" s="33" t="inlineStr">
        <is>
          <t>M1</t>
        </is>
      </c>
      <c r="D1957" s="33" t="n">
        <v>4</v>
      </c>
      <c r="E1957" s="33" t="inlineStr">
        <is>
          <t>(was 5; Dom accepted) Rosenblatt downgrade to Neutral on valuation/product-momentum reset; sentiment split. Guide still re-accelerating, hence 4 not 3.</t>
        </is>
      </c>
      <c r="F1957" s="33" t="inlineStr">
        <is>
          <t>TipRanks; Q1 2026 transcript</t>
        </is>
      </c>
      <c r="G1957" s="33" t="inlineStr">
        <is>
          <t>Med</t>
        </is>
      </c>
      <c r="H1957" s="33" t="inlineStr">
        <is>
          <t>Update</t>
        </is>
      </c>
    </row>
    <row r="1958">
      <c r="A1958" s="33" t="inlineStr">
        <is>
          <t>2026-06-12</t>
        </is>
      </c>
      <c r="B1958" s="33" t="inlineStr">
        <is>
          <t>MPWR</t>
        </is>
      </c>
      <c r="C1958" s="33" t="inlineStr">
        <is>
          <t>M3</t>
        </is>
      </c>
      <c r="D1958" s="33" t="n">
        <v>2</v>
      </c>
      <c r="E1958" s="33" t="inlineStr">
        <is>
          <t>(was 3; Dom accepted) One-directional insider selling CONCURRENT with a restatement/material-weakness window mgmt did not address on the Q1 call — the case where selling carries signal (asymmetric-weighting principle still applied; this is not routine diversification).</t>
        </is>
      </c>
      <c r="F1958" s="33" t="inlineStr">
        <is>
          <t>per-stock/MPWR/context-2026-06-12.md; Form 4s</t>
        </is>
      </c>
      <c r="G1958" s="33" t="inlineStr">
        <is>
          <t>Med</t>
        </is>
      </c>
      <c r="H1958" s="33" t="inlineStr">
        <is>
          <t>Update</t>
        </is>
      </c>
    </row>
    <row r="1959">
      <c r="A1959" s="33" t="inlineStr">
        <is>
          <t>2026-06-12</t>
        </is>
      </c>
      <c r="B1959" s="33" t="inlineStr">
        <is>
          <t>MPWR</t>
        </is>
      </c>
      <c r="C1959" s="33" t="inlineStr">
        <is>
          <t>R4</t>
        </is>
      </c>
      <c r="D1959" s="33" t="n">
        <v>3</v>
      </c>
      <c r="E1959" s="33" t="inlineStr">
        <is>
          <t>(was 4; Dom accepted) FY2024 + 4xFY2025 restatement and OPEN material weakness in deferred-tax controls (8-K 2026-02-26). Non-cash/tax-only but unresolved — not clean.</t>
        </is>
      </c>
      <c r="F1959" s="33" t="inlineStr">
        <is>
          <t>8-K 2026-02-26; GuruFocus</t>
        </is>
      </c>
      <c r="G1959" s="33" t="inlineStr">
        <is>
          <t>High</t>
        </is>
      </c>
      <c r="H1959" s="33" t="inlineStr">
        <is>
          <t>Update</t>
        </is>
      </c>
    </row>
    <row r="1960">
      <c r="A1960" s="33" t="inlineStr">
        <is>
          <t>2026-06-15</t>
        </is>
      </c>
      <c r="B1960" s="33" t="inlineStr">
        <is>
          <t>QCOM</t>
        </is>
      </c>
      <c r="C1960" s="33" t="inlineStr">
        <is>
          <t>EPS YoY</t>
        </is>
      </c>
      <c r="D1960" s="33" t="inlineStr">
        <is>
          <t>BLANK</t>
        </is>
      </c>
      <c r="E1960" s="33" t="inlineStr">
        <is>
          <t>Rule 15: Q2 FY2026 GAAP EPS +173% dominated by ~$5.7B one-time deferred-tax valuation-allowance release (~$5.33/sh); non-GAAP EPS ~-7%. Mirror item: FY25 GAAP collapse on $7.1B allowance establishment. Non-operating-dominated → blanked; Growth averages revenue metrics.</t>
        </is>
      </c>
      <c r="F1960" s="33" t="inlineStr">
        <is>
          <t>per-stock/QCOM/context-2026-06-15.md; Q2 FY26 8-K</t>
        </is>
      </c>
      <c r="G1960" s="33" t="inlineStr">
        <is>
          <t>High</t>
        </is>
      </c>
      <c r="H1960" s="33" t="inlineStr">
        <is>
          <t>Initial</t>
        </is>
      </c>
    </row>
    <row r="1961">
      <c r="A1961" s="33" t="inlineStr">
        <is>
          <t>2026-06-15</t>
        </is>
      </c>
      <c r="B1961" s="33" t="inlineStr">
        <is>
          <t>NXPI</t>
        </is>
      </c>
      <c r="C1961" s="33" t="inlineStr">
        <is>
          <t>EPS YoY</t>
        </is>
      </c>
      <c r="D1961" s="33" t="inlineStr">
        <is>
          <t>BLANK</t>
        </is>
      </c>
      <c r="E1961" s="33" t="inlineStr">
        <is>
          <t>Rule 15: Q1 2026 GAAP EPS +130.7% dominated by $627M MEMS Sensors divestiture gain (sold for $878M cash); non-GAAP EPS +16% is operating reality. Non-operating-dominated → blanked.</t>
        </is>
      </c>
      <c r="F1961" s="33" t="inlineStr">
        <is>
          <t>per-stock/NXPI/context-2026-06-15.md; 10-Q + 8-K 2026-04-28</t>
        </is>
      </c>
      <c r="G1961" s="33" t="inlineStr">
        <is>
          <t>High</t>
        </is>
      </c>
      <c r="H1961" s="33" t="inlineStr">
        <is>
          <t>Initial</t>
        </is>
      </c>
    </row>
    <row r="1962">
      <c r="A1962" s="33" t="inlineStr">
        <is>
          <t>2026-06-15</t>
        </is>
      </c>
      <c r="B1962" s="33" t="inlineStr">
        <is>
          <t>MCHP</t>
        </is>
      </c>
      <c r="C1962" s="33" t="inlineStr">
        <is>
          <t>EPS YoY</t>
        </is>
      </c>
      <c r="D1962" s="33" t="inlineStr">
        <is>
          <t>BLANK</t>
        </is>
      </c>
      <c r="E1962" s="33" t="inlineStr">
        <is>
          <t>Rule 15: Q4 FY2026 GAAP EPS $0.21 vs $(0.29) prior — sign-flip dominated by purchase accounting, restructuring, preferred dividends. Non-operating-dominated → blanked; Growth averages revenue metrics.</t>
        </is>
      </c>
      <c r="F1962" s="33" t="inlineStr">
        <is>
          <t>per-stock/MCHP/context-2026-06-15.md; 8-K EX-99.1</t>
        </is>
      </c>
      <c r="G1962" s="33" t="inlineStr">
        <is>
          <t>High</t>
        </is>
      </c>
      <c r="H1962" s="33" t="inlineStr">
        <is>
          <t>Initial</t>
        </is>
      </c>
    </row>
    <row r="1963">
      <c r="A1963" s="33" t="inlineStr">
        <is>
          <t>2026-06-15</t>
        </is>
      </c>
      <c r="B1963" s="33" t="inlineStr">
        <is>
          <t>ON</t>
        </is>
      </c>
      <c r="C1963" s="33" t="inlineStr">
        <is>
          <t>EPS YoY</t>
        </is>
      </c>
      <c r="D1963" s="33" t="inlineStr">
        <is>
          <t>BLANK</t>
        </is>
      </c>
      <c r="E1963" s="33" t="inlineStr">
        <is>
          <t>Rule 15: Q1 2026 GAAP EPS -$0.08 vs -$1.15 — both periods GAAP losses dominated by restructuring/impairment ($539.3M opex Q1’25; $329.3M opex Q1’26). Non-GAAP +16% ($0.64 vs $0.55) is clean read. Non-operating-dominated → blanked.</t>
        </is>
      </c>
      <c r="F1963" s="33" t="inlineStr">
        <is>
          <t>per-stock/ON/context-2026-06-15.md; 10-Q ended 2026-04-03</t>
        </is>
      </c>
      <c r="G1963" s="33" t="inlineStr">
        <is>
          <t>High</t>
        </is>
      </c>
      <c r="H1963" s="33" t="inlineStr">
        <is>
          <t>Initial</t>
        </is>
      </c>
    </row>
    <row r="1964">
      <c r="A1964" s="33" t="inlineStr">
        <is>
          <t>2026-06-15</t>
        </is>
      </c>
      <c r="B1964" s="33" t="inlineStr">
        <is>
          <t>TXN</t>
        </is>
      </c>
      <c r="C1964" s="33" t="inlineStr">
        <is>
          <t>EPS YoY</t>
        </is>
      </c>
      <c r="D1964" s="33" t="inlineStr">
        <is>
          <t>KEEP 31.3%</t>
        </is>
      </c>
      <c r="E1964" s="33" t="inlineStr">
        <is>
          <t>Rule 15 check: +31.3% ($1.68 vs $1.28) is operating-driven; ~$0.05 discrete tax benefit immaterial (~3%). Populated, not blanked.</t>
        </is>
      </c>
      <c r="F1964" s="33" t="inlineStr">
        <is>
          <t>per-stock/TXN/context-2026-06-15.md; Q1’26 call 2026-04-22</t>
        </is>
      </c>
      <c r="G1964" s="33" t="inlineStr">
        <is>
          <t>High</t>
        </is>
      </c>
      <c r="H1964" s="33" t="inlineStr">
        <is>
          <t>Initial</t>
        </is>
      </c>
    </row>
    <row r="1965">
      <c r="A1965" s="33" t="inlineStr">
        <is>
          <t>2026-06-15</t>
        </is>
      </c>
      <c r="B1965" s="33" t="inlineStr">
        <is>
          <t>ADI</t>
        </is>
      </c>
      <c r="C1965" s="33" t="inlineStr">
        <is>
          <t>EPS YoY</t>
        </is>
      </c>
      <c r="D1965" s="33" t="inlineStr">
        <is>
          <t>KEEP 110.5%</t>
        </is>
      </c>
      <c r="E1965" s="33" t="inlineStr">
        <is>
          <t>Rule 15 check: +110.5% GAAP ($2.40 vs $1.14) operational; no divestiture/FV/tax one-off in last 4 qtrs (Empower is a cash use, not a gain). Populated, not blanked.</t>
        </is>
      </c>
      <c r="F1965" s="33" t="inlineStr">
        <is>
          <t>per-stock/ADI/context-2026-06-15.md; XBRL companyconcept</t>
        </is>
      </c>
      <c r="G1965" s="33" t="inlineStr">
        <is>
          <t>High</t>
        </is>
      </c>
      <c r="H1965" s="33" t="inlineStr">
        <is>
          <t>Initial</t>
        </is>
      </c>
    </row>
    <row r="1966">
      <c r="A1966" s="33" t="inlineStr">
        <is>
          <t>2026-06-15</t>
        </is>
      </c>
      <c r="B1966" s="33" t="inlineStr">
        <is>
          <t>STM</t>
        </is>
      </c>
      <c r="C1966" s="33" t="inlineStr">
        <is>
          <t>EPS YoY</t>
        </is>
      </c>
      <c r="D1966" s="33" t="inlineStr">
        <is>
          <t>KEEP -33.3%</t>
        </is>
      </c>
      <c r="E1966" s="33" t="inlineStr">
        <is>
          <t>Rule 15 check: -33.3% ($0.04 vs $0.06) operationally real (margin/restructuring/PPA) off a small base; not one-time-dominated. Populated, not blanked.</t>
        </is>
      </c>
      <c r="F1966" s="33" t="inlineStr">
        <is>
          <t>per-stock/STM/context-2026-06-15.md; ST Q1’26 6-K</t>
        </is>
      </c>
      <c r="G1966" s="33" t="inlineStr">
        <is>
          <t>Medium</t>
        </is>
      </c>
      <c r="H1966" s="33" t="inlineStr">
        <is>
          <t>Initial</t>
        </is>
      </c>
    </row>
    <row r="1967">
      <c r="A1967" s="33" t="inlineStr">
        <is>
          <t>2026-06-15</t>
        </is>
      </c>
      <c r="B1967" s="33" t="inlineStr">
        <is>
          <t>SWKS</t>
        </is>
      </c>
      <c r="C1967" s="33" t="inlineStr">
        <is>
          <t>EPS YoY</t>
        </is>
      </c>
      <c r="D1967" s="33" t="inlineStr">
        <is>
          <t>KEEP -44.2%</t>
        </is>
      </c>
      <c r="E1967" s="33" t="inlineStr">
        <is>
          <t>Rule 15 check: -44.2% GAAP ($0.24 vs $0.43) is operational (lower revenue + recurring amortization/restructuring), not one-time-dominated. Populated, not blanked.</t>
        </is>
      </c>
      <c r="F1967" s="33" t="inlineStr">
        <is>
          <t>per-stock/SWKS/context-2026-06-15.md; Q2 FY26 8-K</t>
        </is>
      </c>
      <c r="G1967" s="33" t="inlineStr">
        <is>
          <t>High</t>
        </is>
      </c>
      <c r="H1967" s="33" t="inlineStr">
        <is>
          <t>Initial</t>
        </is>
      </c>
    </row>
    <row r="1968">
      <c r="A1968" s="33" t="inlineStr">
        <is>
          <t>2026-06-15</t>
        </is>
      </c>
      <c r="B1968" s="33" t="inlineStr">
        <is>
          <t>TXN</t>
        </is>
      </c>
      <c r="C1968" s="33" t="inlineStr">
        <is>
          <t>D1</t>
        </is>
      </c>
      <c r="D1968" s="33" t="n">
        <v>2</v>
      </c>
      <c r="E1968" s="33" t="inlineStr">
        <is>
          <t>~6-7% datacenter (power/signal chain) +~90% YoY; core industrial/auto/PE</t>
        </is>
      </c>
      <c r="F1968" s="33" t="inlineStr">
        <is>
          <t>per-stock/TXN/context-2026-06-15.md</t>
        </is>
      </c>
      <c r="G1968" s="33" t="inlineStr">
        <is>
          <t>Med</t>
        </is>
      </c>
      <c r="H1968" s="33" t="inlineStr">
        <is>
          <t>Initial</t>
        </is>
      </c>
    </row>
    <row r="1969">
      <c r="A1969" s="33" t="inlineStr">
        <is>
          <t>2026-06-15</t>
        </is>
      </c>
      <c r="B1969" s="33" t="inlineStr">
        <is>
          <t>TXN</t>
        </is>
      </c>
      <c r="C1969" s="33" t="inlineStr">
        <is>
          <t>D2</t>
        </is>
      </c>
      <c r="D1969" s="33" t="n">
        <v>4</v>
      </c>
      <c r="E1969" s="33" t="inlineStr">
        <is>
          <t>Analog scale/cost leader (300mm), broad sticky catalog, pricing firming</t>
        </is>
      </c>
      <c r="F1969" s="33" t="inlineStr">
        <is>
          <t>per-stock/TXN/context-2026-06-15.md</t>
        </is>
      </c>
      <c r="G1969" s="33" t="inlineStr">
        <is>
          <t>High</t>
        </is>
      </c>
      <c r="H1969" s="33" t="inlineStr">
        <is>
          <t>Initial</t>
        </is>
      </c>
    </row>
    <row r="1970">
      <c r="A1970" s="33" t="inlineStr">
        <is>
          <t>2026-06-15</t>
        </is>
      </c>
      <c r="B1970" s="33" t="inlineStr">
        <is>
          <t>TXN</t>
        </is>
      </c>
      <c r="C1970" s="33" t="inlineStr">
        <is>
          <t>D3</t>
        </is>
      </c>
      <c r="D1970" s="33" t="n">
        <v>4</v>
      </c>
      <c r="E1970" s="33" t="inlineStr">
        <is>
          <t>Durable scale+breadth moat, design-in switching costs</t>
        </is>
      </c>
      <c r="F1970" s="33" t="inlineStr">
        <is>
          <t>per-stock/TXN/context-2026-06-15.md</t>
        </is>
      </c>
      <c r="G1970" s="33" t="inlineStr">
        <is>
          <t>High</t>
        </is>
      </c>
      <c r="H1970" s="33" t="inlineStr">
        <is>
          <t>Initial</t>
        </is>
      </c>
    </row>
    <row r="1971">
      <c r="A1971" s="33" t="inlineStr">
        <is>
          <t>2026-06-15</t>
        </is>
      </c>
      <c r="B1971" s="33" t="inlineStr">
        <is>
          <t>TXN</t>
        </is>
      </c>
      <c r="C1971" s="33" t="inlineStr">
        <is>
          <t>D4</t>
        </is>
      </c>
      <c r="D1971" s="33" t="n">
        <v>5</v>
      </c>
      <c r="E1971" s="33" t="inlineStr">
        <is>
          <t>Funded multi-year megafab buildout (~26% capex/rev), customer-backed</t>
        </is>
      </c>
      <c r="F1971" s="33" t="inlineStr">
        <is>
          <t>per-stock/TXN/context-2026-06-15.md</t>
        </is>
      </c>
      <c r="G1971" s="33" t="inlineStr">
        <is>
          <t>High</t>
        </is>
      </c>
      <c r="H1971" s="33" t="inlineStr">
        <is>
          <t>Initial</t>
        </is>
      </c>
    </row>
    <row r="1972">
      <c r="A1972" s="33" t="inlineStr">
        <is>
          <t>2026-06-15</t>
        </is>
      </c>
      <c r="B1972" s="33" t="inlineStr">
        <is>
          <t>TXN</t>
        </is>
      </c>
      <c r="C1972" s="33" t="inlineStr">
        <is>
          <t>D5</t>
        </is>
      </c>
      <c r="D1972" s="33" t="n">
        <v>2</v>
      </c>
      <c r="E1972" s="33" t="inlineStr">
        <is>
          <t>Indirect/small direct hyperscaler rev via OEM boards; DC sleeve early</t>
        </is>
      </c>
      <c r="F1972" s="33" t="inlineStr">
        <is>
          <t>per-stock/TXN/context-2026-06-15.md</t>
        </is>
      </c>
      <c r="G1972" s="33" t="inlineStr">
        <is>
          <t>Med</t>
        </is>
      </c>
      <c r="H1972" s="33" t="inlineStr">
        <is>
          <t>Initial</t>
        </is>
      </c>
    </row>
    <row r="1973">
      <c r="A1973" s="33" t="inlineStr">
        <is>
          <t>2026-06-15</t>
        </is>
      </c>
      <c r="B1973" s="33" t="inlineStr">
        <is>
          <t>TXN</t>
        </is>
      </c>
      <c r="C1973" s="33" t="inlineStr">
        <is>
          <t>M1</t>
        </is>
      </c>
      <c r="D1973" s="33" t="n">
        <v>5</v>
      </c>
      <c r="E1973" s="33" t="inlineStr">
        <is>
          <t>Beat-and-raise; Zacks +25% 30d, 0 down</t>
        </is>
      </c>
      <c r="F1973" s="33" t="inlineStr">
        <is>
          <t>Form4(EDGAR)+Yahoo/yfinance momentum pull 2026-06-15</t>
        </is>
      </c>
      <c r="G1973" s="33" t="inlineStr">
        <is>
          <t>High</t>
        </is>
      </c>
      <c r="H1973" s="33" t="inlineStr">
        <is>
          <t>Initial</t>
        </is>
      </c>
    </row>
    <row r="1974">
      <c r="A1974" s="33" t="inlineStr">
        <is>
          <t>2026-06-15</t>
        </is>
      </c>
      <c r="B1974" s="33" t="inlineStr">
        <is>
          <t>TXN</t>
        </is>
      </c>
      <c r="C1974" s="33" t="inlineStr">
        <is>
          <t>M2</t>
        </is>
      </c>
      <c r="D1974" s="33" t="n">
        <v>3</v>
      </c>
      <c r="E1974" s="33" t="inlineStr">
        <is>
          <t>+68.4% vs SMH +68.7% (-0.3pp), in line</t>
        </is>
      </c>
      <c r="F1974" s="33" t="inlineStr">
        <is>
          <t>Form4(EDGAR)+Yahoo/yfinance momentum pull 2026-06-15</t>
        </is>
      </c>
      <c r="G1974" s="33" t="inlineStr">
        <is>
          <t>High</t>
        </is>
      </c>
      <c r="H1974" s="33" t="inlineStr">
        <is>
          <t>Initial</t>
        </is>
      </c>
    </row>
    <row r="1975">
      <c r="A1975" s="33" t="inlineStr">
        <is>
          <t>2026-06-15</t>
        </is>
      </c>
      <c r="B1975" s="33" t="inlineStr">
        <is>
          <t>TXN</t>
        </is>
      </c>
      <c r="C1975" s="33" t="inlineStr">
        <is>
          <t>M3</t>
        </is>
      </c>
      <c r="D1975" s="33" t="n">
        <v>3</v>
      </c>
      <c r="E1975" s="33" t="inlineStr">
        <is>
          <t>Zero open-market buys; sells mostly exercise-and-sell + planned CFO retirement</t>
        </is>
      </c>
      <c r="F1975" s="33" t="inlineStr">
        <is>
          <t>Form4(EDGAR)+Yahoo/yfinance momentum pull 2026-06-15</t>
        </is>
      </c>
      <c r="G1975" s="33" t="inlineStr">
        <is>
          <t>Med</t>
        </is>
      </c>
      <c r="H1975" s="33" t="inlineStr">
        <is>
          <t>Initial</t>
        </is>
      </c>
    </row>
    <row r="1976">
      <c r="A1976" s="33" t="inlineStr">
        <is>
          <t>2026-06-15</t>
        </is>
      </c>
      <c r="B1976" s="33" t="inlineStr">
        <is>
          <t>TXN</t>
        </is>
      </c>
      <c r="C1976" s="33" t="inlineStr">
        <is>
          <t>R1</t>
        </is>
      </c>
      <c r="D1976" s="33" t="n">
        <v>5</v>
      </c>
      <c r="E1976" s="33" t="inlineStr">
        <is>
          <t>~100k customers, none &gt;10%</t>
        </is>
      </c>
      <c r="F1976" s="33" t="inlineStr">
        <is>
          <t>per-stock/TXN/context-2026-06-15.md</t>
        </is>
      </c>
      <c r="G1976" s="33" t="inlineStr">
        <is>
          <t>High</t>
        </is>
      </c>
      <c r="H1976" s="33" t="inlineStr">
        <is>
          <t>Initial</t>
        </is>
      </c>
    </row>
    <row r="1977">
      <c r="A1977" s="33" t="inlineStr">
        <is>
          <t>2026-06-15</t>
        </is>
      </c>
      <c r="B1977" s="33" t="inlineStr">
        <is>
          <t>TXN</t>
        </is>
      </c>
      <c r="C1977" s="33" t="inlineStr">
        <is>
          <t>R2</t>
        </is>
      </c>
      <c r="D1977" s="33" t="n">
        <v>3</v>
      </c>
      <c r="E1977" s="33" t="inlineStr">
        <is>
          <t>China ~20% policy+shipment; worst shock China trade restriction ~20% rev</t>
        </is>
      </c>
      <c r="F1977" s="33" t="inlineStr">
        <is>
          <t>per-stock/TXN/context-2026-06-15.md</t>
        </is>
      </c>
      <c r="G1977" s="33" t="inlineStr">
        <is>
          <t>Med</t>
        </is>
      </c>
      <c r="H1977" s="33" t="inlineStr">
        <is>
          <t>Initial</t>
        </is>
      </c>
    </row>
    <row r="1978">
      <c r="A1978" s="33" t="inlineStr">
        <is>
          <t>2026-06-15</t>
        </is>
      </c>
      <c r="B1978" s="33" t="inlineStr">
        <is>
          <t>TXN</t>
        </is>
      </c>
      <c r="C1978" s="33" t="inlineStr">
        <is>
          <t>R3</t>
        </is>
      </c>
      <c r="D1978" s="33" t="n">
        <v>4</v>
      </c>
      <c r="E1978" s="33" t="inlineStr">
        <is>
          <t>ND/EBITDA ~1.1x, strong FCF; ~$7.5B SiLabs debt H1 2027 ahead</t>
        </is>
      </c>
      <c r="F1978" s="33" t="inlineStr">
        <is>
          <t>per-stock/TXN/context-2026-06-15.md</t>
        </is>
      </c>
      <c r="G1978" s="33" t="inlineStr">
        <is>
          <t>Med</t>
        </is>
      </c>
      <c r="H1978" s="33" t="inlineStr">
        <is>
          <t>Initial</t>
        </is>
      </c>
    </row>
    <row r="1979">
      <c r="A1979" s="33" t="inlineStr">
        <is>
          <t>2026-06-15</t>
        </is>
      </c>
      <c r="B1979" s="33" t="inlineStr">
        <is>
          <t>TXN</t>
        </is>
      </c>
      <c r="C1979" s="33" t="inlineStr">
        <is>
          <t>R4</t>
        </is>
      </c>
      <c r="D1979" s="33" t="n">
        <v>4</v>
      </c>
      <c r="E1979" s="33" t="inlineStr">
        <is>
          <t>Routine; no material litigation</t>
        </is>
      </c>
      <c r="F1979" s="33" t="inlineStr">
        <is>
          <t>per-stock/TXN/context-2026-06-15.md</t>
        </is>
      </c>
      <c r="G1979" s="33" t="inlineStr">
        <is>
          <t>Med</t>
        </is>
      </c>
      <c r="H1979" s="33" t="inlineStr">
        <is>
          <t>Initial</t>
        </is>
      </c>
    </row>
    <row r="1980">
      <c r="A1980" s="33" t="inlineStr">
        <is>
          <t>2026-06-15</t>
        </is>
      </c>
      <c r="B1980" s="33" t="inlineStr">
        <is>
          <t>QCOM</t>
        </is>
      </c>
      <c r="C1980" s="33" t="inlineStr">
        <is>
          <t>D1</t>
        </is>
      </c>
      <c r="D1980" s="33" t="n">
        <v>1</v>
      </c>
      <c r="E1980" s="33" t="inlineStr">
        <is>
          <t>~0% datacenter AI today; edge AI embedded; AI200/AI250 unproven option</t>
        </is>
      </c>
      <c r="F1980" s="33" t="inlineStr">
        <is>
          <t>per-stock/QCOM/context-2026-06-15.md</t>
        </is>
      </c>
      <c r="G1980" s="33" t="inlineStr">
        <is>
          <t>High</t>
        </is>
      </c>
      <c r="H1980" s="33" t="inlineStr">
        <is>
          <t>Initial</t>
        </is>
      </c>
    </row>
    <row r="1981">
      <c r="A1981" s="33" t="inlineStr">
        <is>
          <t>2026-06-15</t>
        </is>
      </c>
      <c r="B1981" s="33" t="inlineStr">
        <is>
          <t>QCOM</t>
        </is>
      </c>
      <c r="C1981" s="33" t="inlineStr">
        <is>
          <t>D2</t>
        </is>
      </c>
      <c r="D1981" s="33" t="n">
        <v>3</v>
      </c>
      <c r="E1981" s="33" t="inlineStr">
        <is>
          <t>Modem/SoC IP+licensing quasi-bottleneck but Apple in-sourcing = substitutable</t>
        </is>
      </c>
      <c r="F1981" s="33" t="inlineStr">
        <is>
          <t>per-stock/QCOM/context-2026-06-15.md</t>
        </is>
      </c>
      <c r="G1981" s="33" t="inlineStr">
        <is>
          <t>Med</t>
        </is>
      </c>
      <c r="H1981" s="33" t="inlineStr">
        <is>
          <t>Initial</t>
        </is>
      </c>
    </row>
    <row r="1982">
      <c r="A1982" s="33" t="inlineStr">
        <is>
          <t>2026-06-15</t>
        </is>
      </c>
      <c r="B1982" s="33" t="inlineStr">
        <is>
          <t>QCOM</t>
        </is>
      </c>
      <c r="C1982" s="33" t="inlineStr">
        <is>
          <t>D3</t>
        </is>
      </c>
      <c r="D1982" s="33" t="n">
        <v>3</v>
      </c>
      <c r="E1982" s="33" t="inlineStr">
        <is>
          <t>5G patent-licensing moat eroding; no DC software moat</t>
        </is>
      </c>
      <c r="F1982" s="33" t="inlineStr">
        <is>
          <t>per-stock/QCOM/context-2026-06-15.md</t>
        </is>
      </c>
      <c r="G1982" s="33" t="inlineStr">
        <is>
          <t>Med</t>
        </is>
      </c>
      <c r="H1982" s="33" t="inlineStr">
        <is>
          <t>Initial</t>
        </is>
      </c>
    </row>
    <row r="1983">
      <c r="A1983" s="33" t="inlineStr">
        <is>
          <t>2026-06-15</t>
        </is>
      </c>
      <c r="B1983" s="33" t="inlineStr">
        <is>
          <t>QCOM</t>
        </is>
      </c>
      <c r="C1983" s="33" t="inlineStr">
        <is>
          <t>D4</t>
        </is>
      </c>
      <c r="D1983" s="33" t="n">
        <v>3</v>
      </c>
      <c r="E1983" s="33" t="inlineStr">
        <is>
          <t>Fabless, steady-state</t>
        </is>
      </c>
      <c r="F1983" s="33" t="inlineStr">
        <is>
          <t>per-stock/QCOM/context-2026-06-15.md</t>
        </is>
      </c>
      <c r="G1983" s="33" t="inlineStr">
        <is>
          <t>Med</t>
        </is>
      </c>
      <c r="H1983" s="33" t="inlineStr">
        <is>
          <t>Initial</t>
        </is>
      </c>
    </row>
    <row r="1984">
      <c r="A1984" s="33" t="inlineStr">
        <is>
          <t>2026-06-15</t>
        </is>
      </c>
      <c r="B1984" s="33" t="inlineStr">
        <is>
          <t>QCOM</t>
        </is>
      </c>
      <c r="C1984" s="33" t="inlineStr">
        <is>
          <t>D5</t>
        </is>
      </c>
      <c r="D1984" s="33" t="n">
        <v>1</v>
      </c>
      <c r="E1984" s="33" t="inlineStr">
        <is>
          <t>No meaningful hyperscaler revenue</t>
        </is>
      </c>
      <c r="F1984" s="33" t="inlineStr">
        <is>
          <t>per-stock/QCOM/context-2026-06-15.md</t>
        </is>
      </c>
      <c r="G1984" s="33" t="inlineStr">
        <is>
          <t>High</t>
        </is>
      </c>
      <c r="H1984" s="33" t="inlineStr">
        <is>
          <t>Initial</t>
        </is>
      </c>
    </row>
    <row r="1985">
      <c r="A1985" s="33" t="inlineStr">
        <is>
          <t>2026-06-15</t>
        </is>
      </c>
      <c r="B1985" s="33" t="inlineStr">
        <is>
          <t>QCOM</t>
        </is>
      </c>
      <c r="C1985" s="33" t="inlineStr">
        <is>
          <t>M1</t>
        </is>
      </c>
      <c r="D1985" s="33" t="n">
        <v>2</v>
      </c>
      <c r="E1985" s="33" t="inlineStr">
        <is>
          <t>Bifurcated: FY26 EPS cut ~10% on Apple cliff; beat-but-soft-guide; consensus Hold</t>
        </is>
      </c>
      <c r="F1985" s="33" t="inlineStr">
        <is>
          <t>Form4(EDGAR)+Yahoo/yfinance momentum pull 2026-06-15</t>
        </is>
      </c>
      <c r="G1985" s="33" t="inlineStr">
        <is>
          <t>Med</t>
        </is>
      </c>
      <c r="H1985" s="33" t="inlineStr">
        <is>
          <t>Initial</t>
        </is>
      </c>
    </row>
    <row r="1986">
      <c r="A1986" s="33" t="inlineStr">
        <is>
          <t>2026-06-15</t>
        </is>
      </c>
      <c r="B1986" s="33" t="inlineStr">
        <is>
          <t>QCOM</t>
        </is>
      </c>
      <c r="C1986" s="33" t="inlineStr">
        <is>
          <t>M2</t>
        </is>
      </c>
      <c r="D1986" s="33" t="n">
        <v>1</v>
      </c>
      <c r="E1986" s="33" t="inlineStr">
        <is>
          <t>+19.3% vs SMH +76.2% = -56.9pp, massive lag</t>
        </is>
      </c>
      <c r="F1986" s="33" t="inlineStr">
        <is>
          <t>Form4(EDGAR)+Yahoo/yfinance momentum pull 2026-06-15</t>
        </is>
      </c>
      <c r="G1986" s="33" t="inlineStr">
        <is>
          <t>High</t>
        </is>
      </c>
      <c r="H1986" s="33" t="inlineStr">
        <is>
          <t>Initial</t>
        </is>
      </c>
    </row>
    <row r="1987">
      <c r="A1987" s="33" t="inlineStr">
        <is>
          <t>2026-06-15</t>
        </is>
      </c>
      <c r="B1987" s="33" t="inlineStr">
        <is>
          <t>QCOM</t>
        </is>
      </c>
      <c r="C1987" s="33" t="inlineStr">
        <is>
          <t>M3</t>
        </is>
      </c>
      <c r="D1987" s="33" t="n">
        <v>3</v>
      </c>
      <c r="E1987" s="33" t="inlineStr">
        <is>
          <t>Zero buys; 100% routine 10b5-1 selling; no resignations</t>
        </is>
      </c>
      <c r="F1987" s="33" t="inlineStr">
        <is>
          <t>Form4(EDGAR)+Yahoo/yfinance momentum pull 2026-06-15</t>
        </is>
      </c>
      <c r="G1987" s="33" t="inlineStr">
        <is>
          <t>High</t>
        </is>
      </c>
      <c r="H1987" s="33" t="inlineStr">
        <is>
          <t>Initial</t>
        </is>
      </c>
    </row>
    <row r="1988">
      <c r="A1988" s="33" t="inlineStr">
        <is>
          <t>2026-06-15</t>
        </is>
      </c>
      <c r="B1988" s="33" t="inlineStr">
        <is>
          <t>QCOM</t>
        </is>
      </c>
      <c r="C1988" s="33" t="inlineStr">
        <is>
          <t>R1</t>
        </is>
      </c>
      <c r="D1988" s="33" t="n">
        <v>3</v>
      </c>
      <c r="E1988" s="33" t="inlineStr">
        <is>
          <t>Apple+Samsung concentration; Apple ~20% &amp; declining</t>
        </is>
      </c>
      <c r="F1988" s="33" t="inlineStr">
        <is>
          <t>per-stock/QCOM/context-2026-06-15.md</t>
        </is>
      </c>
      <c r="G1988" s="33" t="inlineStr">
        <is>
          <t>Med</t>
        </is>
      </c>
      <c r="H1988" s="33" t="inlineStr">
        <is>
          <t>Initial</t>
        </is>
      </c>
    </row>
    <row r="1989">
      <c r="A1989" s="33" t="inlineStr">
        <is>
          <t>2026-06-15</t>
        </is>
      </c>
      <c r="B1989" s="33" t="inlineStr">
        <is>
          <t>QCOM</t>
        </is>
      </c>
      <c r="C1989" s="33" t="inlineStr">
        <is>
          <t>R2</t>
        </is>
      </c>
      <c r="D1989" s="33" t="n">
        <v>2</v>
      </c>
      <c r="E1989" s="33" t="inlineStr">
        <is>
          <t>China ~46%+ of revenue; worst shock China handset/trade restriction</t>
        </is>
      </c>
      <c r="F1989" s="33" t="inlineStr">
        <is>
          <t>per-stock/QCOM/context-2026-06-15.md</t>
        </is>
      </c>
      <c r="G1989" s="33" t="inlineStr">
        <is>
          <t>Med</t>
        </is>
      </c>
      <c r="H1989" s="33" t="inlineStr">
        <is>
          <t>Initial</t>
        </is>
      </c>
    </row>
    <row r="1990">
      <c r="A1990" s="33" t="inlineStr">
        <is>
          <t>2026-06-15</t>
        </is>
      </c>
      <c r="B1990" s="33" t="inlineStr">
        <is>
          <t>QCOM</t>
        </is>
      </c>
      <c r="C1990" s="33" t="inlineStr">
        <is>
          <t>R3</t>
        </is>
      </c>
      <c r="D1990" s="33" t="n">
        <v>5</v>
      </c>
      <c r="E1990" s="33" t="inlineStr">
        <is>
          <t>ND/EBITDA ~0.4x near net cash; 28% FCF margin</t>
        </is>
      </c>
      <c r="F1990" s="33" t="inlineStr">
        <is>
          <t>per-stock/QCOM/context-2026-06-15.md</t>
        </is>
      </c>
      <c r="G1990" s="33" t="inlineStr">
        <is>
          <t>High</t>
        </is>
      </c>
      <c r="H1990" s="33" t="inlineStr">
        <is>
          <t>Initial</t>
        </is>
      </c>
    </row>
    <row r="1991">
      <c r="A1991" s="33" t="inlineStr">
        <is>
          <t>2026-06-15</t>
        </is>
      </c>
      <c r="B1991" s="33" t="inlineStr">
        <is>
          <t>QCOM</t>
        </is>
      </c>
      <c r="C1991" s="33" t="inlineStr">
        <is>
          <t>R4</t>
        </is>
      </c>
      <c r="D1991" s="33" t="n">
        <v>2</v>
      </c>
      <c r="E1991" s="33" t="inlineStr">
        <is>
          <t>Material litigation (Arm/Nuvia dispute, perennial licensing/antitrust)</t>
        </is>
      </c>
      <c r="F1991" s="33" t="inlineStr">
        <is>
          <t>per-stock/QCOM/context-2026-06-15.md</t>
        </is>
      </c>
      <c r="G1991" s="33" t="inlineStr">
        <is>
          <t>Med</t>
        </is>
      </c>
      <c r="H1991" s="33" t="inlineStr">
        <is>
          <t>Initial</t>
        </is>
      </c>
    </row>
    <row r="1992">
      <c r="A1992" s="33" t="inlineStr">
        <is>
          <t>2026-06-15</t>
        </is>
      </c>
      <c r="B1992" s="33" t="inlineStr">
        <is>
          <t>ADI</t>
        </is>
      </c>
      <c r="C1992" s="33" t="inlineStr">
        <is>
          <t>D1</t>
        </is>
      </c>
      <c r="D1992" s="33" t="n">
        <v>3</v>
      </c>
      <c r="E1992" s="33" t="inlineStr">
        <is>
          <t>~11-12% datacenter (Empower power + optical) +90% YoY; most AI-levered of group</t>
        </is>
      </c>
      <c r="F1992" s="33" t="inlineStr">
        <is>
          <t>per-stock/ADI/context-2026-06-15.md</t>
        </is>
      </c>
      <c r="G1992" s="33" t="inlineStr">
        <is>
          <t>Med</t>
        </is>
      </c>
      <c r="H1992" s="33" t="inlineStr">
        <is>
          <t>Initial</t>
        </is>
      </c>
    </row>
    <row r="1993">
      <c r="A1993" s="33" t="inlineStr">
        <is>
          <t>2026-06-15</t>
        </is>
      </c>
      <c r="B1993" s="33" t="inlineStr">
        <is>
          <t>ADI</t>
        </is>
      </c>
      <c r="C1993" s="33" t="inlineStr">
        <is>
          <t>D2</t>
        </is>
      </c>
      <c r="D1993" s="33" t="n">
        <v>4</v>
      </c>
      <c r="E1993" s="33" t="inlineStr">
        <is>
          <t>High-performance analog/signal-chain leader; strong pricing power</t>
        </is>
      </c>
      <c r="F1993" s="33" t="inlineStr">
        <is>
          <t>per-stock/ADI/context-2026-06-15.md</t>
        </is>
      </c>
      <c r="G1993" s="33" t="inlineStr">
        <is>
          <t>High</t>
        </is>
      </c>
      <c r="H1993" s="33" t="inlineStr">
        <is>
          <t>Initial</t>
        </is>
      </c>
    </row>
    <row r="1994">
      <c r="A1994" s="33" t="inlineStr">
        <is>
          <t>2026-06-15</t>
        </is>
      </c>
      <c r="B1994" s="33" t="inlineStr">
        <is>
          <t>ADI</t>
        </is>
      </c>
      <c r="C1994" s="33" t="inlineStr">
        <is>
          <t>D3</t>
        </is>
      </c>
      <c r="D1994" s="33" t="n">
        <v>4</v>
      </c>
      <c r="E1994" s="33" t="inlineStr">
        <is>
          <t>Durable analog IP + switching costs; demonstrated pricing power</t>
        </is>
      </c>
      <c r="F1994" s="33" t="inlineStr">
        <is>
          <t>per-stock/ADI/context-2026-06-15.md</t>
        </is>
      </c>
      <c r="G1994" s="33" t="inlineStr">
        <is>
          <t>High</t>
        </is>
      </c>
      <c r="H1994" s="33" t="inlineStr">
        <is>
          <t>Initial</t>
        </is>
      </c>
    </row>
    <row r="1995">
      <c r="A1995" s="33" t="inlineStr">
        <is>
          <t>2026-06-15</t>
        </is>
      </c>
      <c r="B1995" s="33" t="inlineStr">
        <is>
          <t>ADI</t>
        </is>
      </c>
      <c r="C1995" s="33" t="inlineStr">
        <is>
          <t>D4</t>
        </is>
      </c>
      <c r="D1995" s="33" t="n">
        <v>3</v>
      </c>
      <c r="E1995" s="33" t="inlineStr">
        <is>
          <t>Fab-lite steady capex; expanding via Empower acquisition</t>
        </is>
      </c>
      <c r="F1995" s="33" t="inlineStr">
        <is>
          <t>per-stock/ADI/context-2026-06-15.md</t>
        </is>
      </c>
      <c r="G1995" s="33" t="inlineStr">
        <is>
          <t>Med</t>
        </is>
      </c>
      <c r="H1995" s="33" t="inlineStr">
        <is>
          <t>Initial</t>
        </is>
      </c>
    </row>
    <row r="1996">
      <c r="A1996" s="33" t="inlineStr">
        <is>
          <t>2026-06-15</t>
        </is>
      </c>
      <c r="B1996" s="33" t="inlineStr">
        <is>
          <t>ADI</t>
        </is>
      </c>
      <c r="C1996" s="33" t="inlineStr">
        <is>
          <t>D5</t>
        </is>
      </c>
      <c r="D1996" s="33" t="n">
        <v>2</v>
      </c>
      <c r="E1996" s="33" t="inlineStr">
        <is>
          <t>DC content reaches hyperscaler infra mostly indirect via integrators</t>
        </is>
      </c>
      <c r="F1996" s="33" t="inlineStr">
        <is>
          <t>per-stock/ADI/context-2026-06-15.md</t>
        </is>
      </c>
      <c r="G1996" s="33" t="inlineStr">
        <is>
          <t>Med</t>
        </is>
      </c>
      <c r="H1996" s="33" t="inlineStr">
        <is>
          <t>Initial</t>
        </is>
      </c>
    </row>
    <row r="1997">
      <c r="A1997" s="33" t="inlineStr">
        <is>
          <t>2026-06-15</t>
        </is>
      </c>
      <c r="B1997" s="33" t="inlineStr">
        <is>
          <t>ADI</t>
        </is>
      </c>
      <c r="C1997" s="33" t="inlineStr">
        <is>
          <t>M1</t>
        </is>
      </c>
      <c r="D1997" s="33" t="n">
        <v>5</v>
      </c>
      <c r="E1997" s="33" t="inlineStr">
        <is>
          <t>Beat-and-raise; FY26 consensus +18.4%; multiple PT raises</t>
        </is>
      </c>
      <c r="F1997" s="33" t="inlineStr">
        <is>
          <t>Form4(EDGAR)+Yahoo/yfinance momentum pull 2026-06-15</t>
        </is>
      </c>
      <c r="G1997" s="33" t="inlineStr">
        <is>
          <t>High</t>
        </is>
      </c>
      <c r="H1997" s="33" t="inlineStr">
        <is>
          <t>Initial</t>
        </is>
      </c>
    </row>
    <row r="1998">
      <c r="A1998" s="33" t="inlineStr">
        <is>
          <t>2026-06-15</t>
        </is>
      </c>
      <c r="B1998" s="33" t="inlineStr">
        <is>
          <t>ADI</t>
        </is>
      </c>
      <c r="C1998" s="33" t="inlineStr">
        <is>
          <t>M2</t>
        </is>
      </c>
      <c r="D1998" s="33" t="n">
        <v>1</v>
      </c>
      <c r="E1998" s="33" t="inlineStr">
        <is>
          <t>+49.9% vs SMH +76.2% = -26.3pp lag</t>
        </is>
      </c>
      <c r="F1998" s="33" t="inlineStr">
        <is>
          <t>Form4(EDGAR)+Yahoo/yfinance momentum pull 2026-06-15</t>
        </is>
      </c>
      <c r="G1998" s="33" t="inlineStr">
        <is>
          <t>High</t>
        </is>
      </c>
      <c r="H1998" s="33" t="inlineStr">
        <is>
          <t>Initial</t>
        </is>
      </c>
    </row>
    <row r="1999">
      <c r="A1999" s="33" t="inlineStr">
        <is>
          <t>2026-06-15</t>
        </is>
      </c>
      <c r="B1999" s="33" t="inlineStr">
        <is>
          <t>ADI</t>
        </is>
      </c>
      <c r="C1999" s="33" t="inlineStr">
        <is>
          <t>M3</t>
        </is>
      </c>
      <c r="D1999" s="33" t="n">
        <v>3</v>
      </c>
      <c r="E1999" s="33" t="inlineStr">
        <is>
          <t>Zero buys; CEO/dir sells all 10b5-1/exercise-and-sell, replenished</t>
        </is>
      </c>
      <c r="F1999" s="33" t="inlineStr">
        <is>
          <t>Form4(EDGAR)+Yahoo/yfinance momentum pull 2026-06-15</t>
        </is>
      </c>
      <c r="G1999" s="33" t="inlineStr">
        <is>
          <t>Med</t>
        </is>
      </c>
      <c r="H1999" s="33" t="inlineStr">
        <is>
          <t>Initial</t>
        </is>
      </c>
    </row>
    <row r="2000">
      <c r="A2000" s="33" t="inlineStr">
        <is>
          <t>2026-06-15</t>
        </is>
      </c>
      <c r="B2000" s="33" t="inlineStr">
        <is>
          <t>ADI</t>
        </is>
      </c>
      <c r="C2000" s="33" t="inlineStr">
        <is>
          <t>R1</t>
        </is>
      </c>
      <c r="D2000" s="33" t="n">
        <v>5</v>
      </c>
      <c r="E2000" s="33" t="inlineStr">
        <is>
          <t>Diversified analog, no customer &gt;15%</t>
        </is>
      </c>
      <c r="F2000" s="33" t="inlineStr">
        <is>
          <t>per-stock/ADI/context-2026-06-15.md</t>
        </is>
      </c>
      <c r="G2000" s="33" t="inlineStr">
        <is>
          <t>High</t>
        </is>
      </c>
      <c r="H2000" s="33" t="inlineStr">
        <is>
          <t>Initial</t>
        </is>
      </c>
    </row>
    <row r="2001">
      <c r="A2001" s="33" t="inlineStr">
        <is>
          <t>2026-06-15</t>
        </is>
      </c>
      <c r="B2001" s="33" t="inlineStr">
        <is>
          <t>ADI</t>
        </is>
      </c>
      <c r="C2001" s="33" t="inlineStr">
        <is>
          <t>R2</t>
        </is>
      </c>
      <c r="D2001" s="33" t="n">
        <v>3</v>
      </c>
      <c r="E2001" s="33" t="inlineStr">
        <is>
          <t>China ~20% policy+shipment; worst shock China restriction ~20% rev</t>
        </is>
      </c>
      <c r="F2001" s="33" t="inlineStr">
        <is>
          <t>per-stock/ADI/context-2026-06-15.md</t>
        </is>
      </c>
      <c r="G2001" s="33" t="inlineStr">
        <is>
          <t>Med</t>
        </is>
      </c>
      <c r="H2001" s="33" t="inlineStr">
        <is>
          <t>Initial</t>
        </is>
      </c>
    </row>
    <row r="2002">
      <c r="A2002" s="33" t="inlineStr">
        <is>
          <t>2026-06-15</t>
        </is>
      </c>
      <c r="B2002" s="33" t="inlineStr">
        <is>
          <t>ADI</t>
        </is>
      </c>
      <c r="C2002" s="33" t="inlineStr">
        <is>
          <t>R3</t>
        </is>
      </c>
      <c r="D2002" s="33" t="n">
        <v>4</v>
      </c>
      <c r="E2002" s="33" t="inlineStr">
        <is>
          <t>ND/EBITDA 0.86x, strong FCF</t>
        </is>
      </c>
      <c r="F2002" s="33" t="inlineStr">
        <is>
          <t>per-stock/ADI/context-2026-06-15.md</t>
        </is>
      </c>
      <c r="G2002" s="33" t="inlineStr">
        <is>
          <t>High</t>
        </is>
      </c>
      <c r="H2002" s="33" t="inlineStr">
        <is>
          <t>Initial</t>
        </is>
      </c>
    </row>
    <row r="2003">
      <c r="A2003" s="33" t="inlineStr">
        <is>
          <t>2026-06-15</t>
        </is>
      </c>
      <c r="B2003" s="33" t="inlineStr">
        <is>
          <t>ADI</t>
        </is>
      </c>
      <c r="C2003" s="33" t="inlineStr">
        <is>
          <t>R4</t>
        </is>
      </c>
      <c r="D2003" s="33" t="n">
        <v>4</v>
      </c>
      <c r="E2003" s="33" t="inlineStr">
        <is>
          <t>Routine; no material litigation</t>
        </is>
      </c>
      <c r="F2003" s="33" t="inlineStr">
        <is>
          <t>per-stock/ADI/context-2026-06-15.md</t>
        </is>
      </c>
      <c r="G2003" s="33" t="inlineStr">
        <is>
          <t>Med</t>
        </is>
      </c>
      <c r="H2003" s="33" t="inlineStr">
        <is>
          <t>Initial</t>
        </is>
      </c>
    </row>
    <row r="2004">
      <c r="A2004" s="33" t="inlineStr">
        <is>
          <t>2026-06-15</t>
        </is>
      </c>
      <c r="B2004" s="33" t="inlineStr">
        <is>
          <t>STM</t>
        </is>
      </c>
      <c r="C2004" s="33" t="inlineStr">
        <is>
          <t>D1</t>
        </is>
      </c>
      <c r="D2004" s="33" t="n">
        <v>2</v>
      </c>
      <c r="E2004" s="33" t="inlineStr">
        <is>
          <t>Datacenter &gt;$500M 2026 (~4% rev)-&gt;$1B 2027; borderline 1/2, growing fast</t>
        </is>
      </c>
      <c r="F2004" s="33" t="inlineStr">
        <is>
          <t>per-stock/STM/context-2026-06-15.md</t>
        </is>
      </c>
      <c r="G2004" s="33" t="inlineStr">
        <is>
          <t>Med</t>
        </is>
      </c>
      <c r="H2004" s="33" t="inlineStr">
        <is>
          <t>Initial</t>
        </is>
      </c>
    </row>
    <row r="2005">
      <c r="A2005" s="33" t="inlineStr">
        <is>
          <t>2026-06-15</t>
        </is>
      </c>
      <c r="B2005" s="33" t="inlineStr">
        <is>
          <t>STM</t>
        </is>
      </c>
      <c r="C2005" s="33" t="inlineStr">
        <is>
          <t>D2</t>
        </is>
      </c>
      <c r="D2005" s="33" t="n">
        <v>3</v>
      </c>
      <c r="E2005" s="33" t="inlineStr">
        <is>
          <t>Broad analog/power mid-chain; SiC competitive; FD-SOI niche</t>
        </is>
      </c>
      <c r="F2005" s="33" t="inlineStr">
        <is>
          <t>per-stock/STM/context-2026-06-15.md</t>
        </is>
      </c>
      <c r="G2005" s="33" t="inlineStr">
        <is>
          <t>Med</t>
        </is>
      </c>
      <c r="H2005" s="33" t="inlineStr">
        <is>
          <t>Initial</t>
        </is>
      </c>
    </row>
    <row r="2006">
      <c r="A2006" s="33" t="inlineStr">
        <is>
          <t>2026-06-15</t>
        </is>
      </c>
      <c r="B2006" s="33" t="inlineStr">
        <is>
          <t>STM</t>
        </is>
      </c>
      <c r="C2006" s="33" t="inlineStr">
        <is>
          <t>D3</t>
        </is>
      </c>
      <c r="D2006" s="33" t="n">
        <v>2</v>
      </c>
      <c r="E2006" s="33" t="inlineStr">
        <is>
          <t>Broad-line cyclical; SiC oversupply/pricing pressure; weak differentiation in trough</t>
        </is>
      </c>
      <c r="F2006" s="33" t="inlineStr">
        <is>
          <t>per-stock/STM/context-2026-06-15.md</t>
        </is>
      </c>
      <c r="G2006" s="33" t="inlineStr">
        <is>
          <t>Med</t>
        </is>
      </c>
      <c r="H2006" s="33" t="inlineStr">
        <is>
          <t>Initial</t>
        </is>
      </c>
    </row>
    <row r="2007">
      <c r="A2007" s="33" t="inlineStr">
        <is>
          <t>2026-06-15</t>
        </is>
      </c>
      <c r="B2007" s="33" t="inlineStr">
        <is>
          <t>STM</t>
        </is>
      </c>
      <c r="C2007" s="33" t="inlineStr">
        <is>
          <t>D4</t>
        </is>
      </c>
      <c r="D2007" s="33" t="n">
        <v>3</v>
      </c>
      <c r="E2007" s="33" t="inlineStr">
        <is>
          <t>SiC capacity expansion moderated by trough capex restraint</t>
        </is>
      </c>
      <c r="F2007" s="33" t="inlineStr">
        <is>
          <t>per-stock/STM/context-2026-06-15.md</t>
        </is>
      </c>
      <c r="G2007" s="33" t="inlineStr">
        <is>
          <t>Med</t>
        </is>
      </c>
      <c r="H2007" s="33" t="inlineStr">
        <is>
          <t>Initial</t>
        </is>
      </c>
    </row>
    <row r="2008">
      <c r="A2008" s="33" t="inlineStr">
        <is>
          <t>2026-06-15</t>
        </is>
      </c>
      <c r="B2008" s="33" t="inlineStr">
        <is>
          <t>STM</t>
        </is>
      </c>
      <c r="C2008" s="33" t="inlineStr">
        <is>
          <t>D5</t>
        </is>
      </c>
      <c r="D2008" s="33" t="n">
        <v>2</v>
      </c>
      <c r="E2008" s="33" t="inlineStr">
        <is>
          <t>NVIDIA 800VDC collaboration (with NVDA not hyperscaler); indirect</t>
        </is>
      </c>
      <c r="F2008" s="33" t="inlineStr">
        <is>
          <t>per-stock/STM/context-2026-06-15.md</t>
        </is>
      </c>
      <c r="G2008" s="33" t="inlineStr">
        <is>
          <t>Med</t>
        </is>
      </c>
      <c r="H2008" s="33" t="inlineStr">
        <is>
          <t>Initial</t>
        </is>
      </c>
    </row>
    <row r="2009">
      <c r="A2009" s="33" t="inlineStr">
        <is>
          <t>2026-06-15</t>
        </is>
      </c>
      <c r="B2009" s="33" t="inlineStr">
        <is>
          <t>STM</t>
        </is>
      </c>
      <c r="C2009" s="33" t="inlineStr">
        <is>
          <t>M1</t>
        </is>
      </c>
      <c r="D2009" s="33" t="n">
        <v>4</v>
      </c>
      <c r="E2009" s="33" t="inlineStr">
        <is>
          <t>Upgrades + PT raises (DB EUR75); one FY26 EPS trim on margins; improving</t>
        </is>
      </c>
      <c r="F2009" s="33" t="inlineStr">
        <is>
          <t>Form4(EDGAR)+Yahoo/yfinance momentum pull 2026-06-15</t>
        </is>
      </c>
      <c r="G2009" s="33" t="inlineStr">
        <is>
          <t>Med</t>
        </is>
      </c>
      <c r="H2009" s="33" t="inlineStr">
        <is>
          <t>Initial</t>
        </is>
      </c>
    </row>
    <row r="2010">
      <c r="A2010" s="33" t="inlineStr">
        <is>
          <t>2026-06-15</t>
        </is>
      </c>
      <c r="B2010" s="33" t="inlineStr">
        <is>
          <t>STM</t>
        </is>
      </c>
      <c r="C2010" s="33" t="inlineStr">
        <is>
          <t>M2</t>
        </is>
      </c>
      <c r="D2010" s="33" t="n">
        <v>5</v>
      </c>
      <c r="E2010" s="33" t="inlineStr">
        <is>
          <t>+194% vs SMH +76% = +118pp; ~3.4x off 52wk lows (trough bounce)</t>
        </is>
      </c>
      <c r="F2010" s="33" t="inlineStr">
        <is>
          <t>Form4(EDGAR)+Yahoo/yfinance momentum pull 2026-06-15</t>
        </is>
      </c>
      <c r="G2010" s="33" t="inlineStr">
        <is>
          <t>High</t>
        </is>
      </c>
      <c r="H2010" s="33" t="inlineStr">
        <is>
          <t>Initial</t>
        </is>
      </c>
    </row>
    <row r="2011">
      <c r="A2011" s="33" t="inlineStr">
        <is>
          <t>2026-06-15</t>
        </is>
      </c>
      <c r="B2011" s="33" t="inlineStr">
        <is>
          <t>STM</t>
        </is>
      </c>
      <c r="C2011" s="33" t="inlineStr">
        <is>
          <t>M3</t>
        </is>
      </c>
      <c r="D2011" s="33" t="n">
        <v>3</v>
      </c>
      <c r="E2011" s="33" t="inlineStr">
        <is>
          <t>Foreign filer (no Form4); EU MAR net selling, post-rally diversification; no buys</t>
        </is>
      </c>
      <c r="F2011" s="33" t="inlineStr">
        <is>
          <t>Form4(EDGAR)+Yahoo/yfinance momentum pull 2026-06-15</t>
        </is>
      </c>
      <c r="G2011" s="33" t="inlineStr">
        <is>
          <t>Low</t>
        </is>
      </c>
      <c r="H2011" s="33" t="inlineStr">
        <is>
          <t>Initial</t>
        </is>
      </c>
    </row>
    <row r="2012">
      <c r="A2012" s="33" t="inlineStr">
        <is>
          <t>2026-06-15</t>
        </is>
      </c>
      <c r="B2012" s="33" t="inlineStr">
        <is>
          <t>STM</t>
        </is>
      </c>
      <c r="C2012" s="33" t="inlineStr">
        <is>
          <t>R1</t>
        </is>
      </c>
      <c r="D2012" s="33" t="n">
        <v>4</v>
      </c>
      <c r="E2012" s="33" t="inlineStr">
        <is>
          <t>Apple (personal electronics) ~15-20% top exposure; otherwise diversified</t>
        </is>
      </c>
      <c r="F2012" s="33" t="inlineStr">
        <is>
          <t>per-stock/STM/context-2026-06-15.md</t>
        </is>
      </c>
      <c r="G2012" s="33" t="inlineStr">
        <is>
          <t>Med</t>
        </is>
      </c>
      <c r="H2012" s="33" t="inlineStr">
        <is>
          <t>Initial</t>
        </is>
      </c>
    </row>
    <row r="2013">
      <c r="A2013" s="33" t="inlineStr">
        <is>
          <t>2026-06-15</t>
        </is>
      </c>
      <c r="B2013" s="33" t="inlineStr">
        <is>
          <t>STM</t>
        </is>
      </c>
      <c r="C2013" s="33" t="inlineStr">
        <is>
          <t>R2</t>
        </is>
      </c>
      <c r="D2013" s="33" t="n">
        <v>3</v>
      </c>
      <c r="E2013" s="33" t="inlineStr">
        <is>
          <t>Greater China ~30% + EU fabs (asset, non-conflict); worst shock China ~30%</t>
        </is>
      </c>
      <c r="F2013" s="33" t="inlineStr">
        <is>
          <t>per-stock/STM/context-2026-06-15.md</t>
        </is>
      </c>
      <c r="G2013" s="33" t="inlineStr">
        <is>
          <t>Med</t>
        </is>
      </c>
      <c r="H2013" s="33" t="inlineStr">
        <is>
          <t>Initial</t>
        </is>
      </c>
    </row>
    <row r="2014">
      <c r="A2014" s="33" t="inlineStr">
        <is>
          <t>2026-06-15</t>
        </is>
      </c>
      <c r="B2014" s="33" t="inlineStr">
        <is>
          <t>STM</t>
        </is>
      </c>
      <c r="C2014" s="33" t="inlineStr">
        <is>
          <t>R3</t>
        </is>
      </c>
      <c r="D2014" s="33" t="n">
        <v>4</v>
      </c>
      <c r="E2014" s="33" t="inlineStr">
        <is>
          <t>Net cash (ND/EBITDA -0.7x) but FCF ~breakeven in trough</t>
        </is>
      </c>
      <c r="F2014" s="33" t="inlineStr">
        <is>
          <t>per-stock/STM/context-2026-06-15.md</t>
        </is>
      </c>
      <c r="G2014" s="33" t="inlineStr">
        <is>
          <t>Med</t>
        </is>
      </c>
      <c r="H2014" s="33" t="inlineStr">
        <is>
          <t>Initial</t>
        </is>
      </c>
    </row>
    <row r="2015">
      <c r="A2015" s="33" t="inlineStr">
        <is>
          <t>2026-06-15</t>
        </is>
      </c>
      <c r="B2015" s="33" t="inlineStr">
        <is>
          <t>STM</t>
        </is>
      </c>
      <c r="C2015" s="33" t="inlineStr">
        <is>
          <t>R4</t>
        </is>
      </c>
      <c r="D2015" s="33" t="n">
        <v>4</v>
      </c>
      <c r="E2015" s="33" t="inlineStr">
        <is>
          <t>Routine; no material litigation</t>
        </is>
      </c>
      <c r="F2015" s="33" t="inlineStr">
        <is>
          <t>per-stock/STM/context-2026-06-15.md</t>
        </is>
      </c>
      <c r="G2015" s="33" t="inlineStr">
        <is>
          <t>Low</t>
        </is>
      </c>
      <c r="H2015" s="33" t="inlineStr">
        <is>
          <t>Initial</t>
        </is>
      </c>
    </row>
    <row r="2016">
      <c r="A2016" s="33" t="inlineStr">
        <is>
          <t>2026-06-15</t>
        </is>
      </c>
      <c r="B2016" s="33" t="inlineStr">
        <is>
          <t>NXPI</t>
        </is>
      </c>
      <c r="C2016" s="33" t="inlineStr">
        <is>
          <t>D1</t>
        </is>
      </c>
      <c r="D2016" s="33" t="n">
        <v>1</v>
      </c>
      <c r="E2016" s="33" t="inlineStr">
        <is>
          <t>Auto/industrial/IoT; edge-AI (Kinara) not hyperscale; ~0-5% genuine AI-DC</t>
        </is>
      </c>
      <c r="F2016" s="33" t="inlineStr">
        <is>
          <t>per-stock/NXPI/context-2026-06-15.md</t>
        </is>
      </c>
      <c r="G2016" s="33" t="inlineStr">
        <is>
          <t>High</t>
        </is>
      </c>
      <c r="H2016" s="33" t="inlineStr">
        <is>
          <t>Initial</t>
        </is>
      </c>
    </row>
    <row r="2017">
      <c r="A2017" s="33" t="inlineStr">
        <is>
          <t>2026-06-15</t>
        </is>
      </c>
      <c r="B2017" s="33" t="inlineStr">
        <is>
          <t>NXPI</t>
        </is>
      </c>
      <c r="C2017" s="33" t="inlineStr">
        <is>
          <t>D2</t>
        </is>
      </c>
      <c r="D2017" s="33" t="n">
        <v>3</v>
      </c>
      <c r="E2017" s="33" t="inlineStr">
        <is>
          <t>Auto/embedded sticky design-ins but competitive; no AI bottleneck</t>
        </is>
      </c>
      <c r="F2017" s="33" t="inlineStr">
        <is>
          <t>per-stock/NXPI/context-2026-06-15.md</t>
        </is>
      </c>
      <c r="G2017" s="33" t="inlineStr">
        <is>
          <t>Med</t>
        </is>
      </c>
      <c r="H2017" s="33" t="inlineStr">
        <is>
          <t>Initial</t>
        </is>
      </c>
    </row>
    <row r="2018">
      <c r="A2018" s="33" t="inlineStr">
        <is>
          <t>2026-06-15</t>
        </is>
      </c>
      <c r="B2018" s="33" t="inlineStr">
        <is>
          <t>NXPI</t>
        </is>
      </c>
      <c r="C2018" s="33" t="inlineStr">
        <is>
          <t>D3</t>
        </is>
      </c>
      <c r="D2018" s="33" t="n">
        <v>3</v>
      </c>
      <c r="E2018" s="33" t="inlineStr">
        <is>
          <t>Auto design-in switching costs; no AI moat</t>
        </is>
      </c>
      <c r="F2018" s="33" t="inlineStr">
        <is>
          <t>per-stock/NXPI/context-2026-06-15.md</t>
        </is>
      </c>
      <c r="G2018" s="33" t="inlineStr">
        <is>
          <t>Med</t>
        </is>
      </c>
      <c r="H2018" s="33" t="inlineStr">
        <is>
          <t>Initial</t>
        </is>
      </c>
    </row>
    <row r="2019">
      <c r="A2019" s="33" t="inlineStr">
        <is>
          <t>2026-06-15</t>
        </is>
      </c>
      <c r="B2019" s="33" t="inlineStr">
        <is>
          <t>NXPI</t>
        </is>
      </c>
      <c r="C2019" s="33" t="inlineStr">
        <is>
          <t>D4</t>
        </is>
      </c>
      <c r="D2019" s="33" t="n">
        <v>3</v>
      </c>
      <c r="E2019" s="33" t="inlineStr">
        <is>
          <t>Fab-lite hybrid manufacturing, steady</t>
        </is>
      </c>
      <c r="F2019" s="33" t="inlineStr">
        <is>
          <t>per-stock/NXPI/context-2026-06-15.md</t>
        </is>
      </c>
      <c r="G2019" s="33" t="inlineStr">
        <is>
          <t>Med</t>
        </is>
      </c>
      <c r="H2019" s="33" t="inlineStr">
        <is>
          <t>Initial</t>
        </is>
      </c>
    </row>
    <row r="2020">
      <c r="A2020" s="33" t="inlineStr">
        <is>
          <t>2026-06-15</t>
        </is>
      </c>
      <c r="B2020" s="33" t="inlineStr">
        <is>
          <t>NXPI</t>
        </is>
      </c>
      <c r="C2020" s="33" t="inlineStr">
        <is>
          <t>D5</t>
        </is>
      </c>
      <c r="D2020" s="33" t="n">
        <v>1</v>
      </c>
      <c r="E2020" s="33" t="inlineStr">
        <is>
          <t>No hyperscaler revenue</t>
        </is>
      </c>
      <c r="F2020" s="33" t="inlineStr">
        <is>
          <t>per-stock/NXPI/context-2026-06-15.md</t>
        </is>
      </c>
      <c r="G2020" s="33" t="inlineStr">
        <is>
          <t>High</t>
        </is>
      </c>
      <c r="H2020" s="33" t="inlineStr">
        <is>
          <t>Initial</t>
        </is>
      </c>
    </row>
    <row r="2021">
      <c r="A2021" s="33" t="inlineStr">
        <is>
          <t>2026-06-15</t>
        </is>
      </c>
      <c r="B2021" s="33" t="inlineStr">
        <is>
          <t>NXPI</t>
        </is>
      </c>
      <c r="C2021" s="33" t="inlineStr">
        <is>
          <t>M1</t>
        </is>
      </c>
      <c r="D2021" s="33" t="n">
        <v>5</v>
      </c>
      <c r="E2021" s="33" t="inlineStr">
        <is>
          <t>Beat-and-raise; 0y 26 up/0 down, consensus +10% 90d</t>
        </is>
      </c>
      <c r="F2021" s="33" t="inlineStr">
        <is>
          <t>Form4(EDGAR)+Yahoo/yfinance momentum pull 2026-06-15</t>
        </is>
      </c>
      <c r="G2021" s="33" t="inlineStr">
        <is>
          <t>High</t>
        </is>
      </c>
      <c r="H2021" s="33" t="inlineStr">
        <is>
          <t>Initial</t>
        </is>
      </c>
    </row>
    <row r="2022">
      <c r="A2022" s="33" t="inlineStr">
        <is>
          <t>2026-06-15</t>
        </is>
      </c>
      <c r="B2022" s="33" t="inlineStr">
        <is>
          <t>NXPI</t>
        </is>
      </c>
      <c r="C2022" s="33" t="inlineStr">
        <is>
          <t>M2</t>
        </is>
      </c>
      <c r="D2022" s="33" t="n">
        <v>1</v>
      </c>
      <c r="E2022" s="33" t="inlineStr">
        <is>
          <t>+37% vs SMH +84% = -47pp lag</t>
        </is>
      </c>
      <c r="F2022" s="33" t="inlineStr">
        <is>
          <t>Form4(EDGAR)+Yahoo/yfinance momentum pull 2026-06-15</t>
        </is>
      </c>
      <c r="G2022" s="33" t="inlineStr">
        <is>
          <t>High</t>
        </is>
      </c>
      <c r="H2022" s="33" t="inlineStr">
        <is>
          <t>Initial</t>
        </is>
      </c>
    </row>
    <row r="2023">
      <c r="A2023" s="33" t="inlineStr">
        <is>
          <t>2026-06-15</t>
        </is>
      </c>
      <c r="B2023" s="33" t="inlineStr">
        <is>
          <t>NXPI</t>
        </is>
      </c>
      <c r="C2023" s="33" t="inlineStr">
        <is>
          <t>M3</t>
        </is>
      </c>
      <c r="D2023" s="33" t="n">
        <v>2</v>
      </c>
      <c r="E2023" s="33" t="inlineStr">
        <is>
          <t>Zero meaningful buys; broad C-suite selling incl CFO ~83% near-liquidation, CSO ~72% discretionary</t>
        </is>
      </c>
      <c r="F2023" s="33" t="inlineStr">
        <is>
          <t>Form4(EDGAR)+Yahoo/yfinance momentum pull 2026-06-15</t>
        </is>
      </c>
      <c r="G2023" s="33" t="inlineStr">
        <is>
          <t>Med</t>
        </is>
      </c>
      <c r="H2023" s="33" t="inlineStr">
        <is>
          <t>Initial</t>
        </is>
      </c>
    </row>
    <row r="2024">
      <c r="A2024" s="33" t="inlineStr">
        <is>
          <t>2026-06-15</t>
        </is>
      </c>
      <c r="B2024" s="33" t="inlineStr">
        <is>
          <t>NXPI</t>
        </is>
      </c>
      <c r="C2024" s="33" t="inlineStr">
        <is>
          <t>R1</t>
        </is>
      </c>
      <c r="D2024" s="33" t="n">
        <v>5</v>
      </c>
      <c r="E2024" s="33" t="inlineStr">
        <is>
          <t>Auto/industrial very diversified, no customer &gt;10%</t>
        </is>
      </c>
      <c r="F2024" s="33" t="inlineStr">
        <is>
          <t>per-stock/NXPI/context-2026-06-15.md</t>
        </is>
      </c>
      <c r="G2024" s="33" t="inlineStr">
        <is>
          <t>High</t>
        </is>
      </c>
      <c r="H2024" s="33" t="inlineStr">
        <is>
          <t>Initial</t>
        </is>
      </c>
    </row>
    <row r="2025">
      <c r="A2025" s="33" t="inlineStr">
        <is>
          <t>2026-06-15</t>
        </is>
      </c>
      <c r="B2025" s="33" t="inlineStr">
        <is>
          <t>NXPI</t>
        </is>
      </c>
      <c r="C2025" s="33" t="inlineStr">
        <is>
          <t>R2</t>
        </is>
      </c>
      <c r="D2025" s="33" t="n">
        <v>3</v>
      </c>
      <c r="E2025" s="33" t="inlineStr">
        <is>
          <t>China ~30-35%; worst shock China auto/trade restriction; policy+shipment</t>
        </is>
      </c>
      <c r="F2025" s="33" t="inlineStr">
        <is>
          <t>per-stock/NXPI/context-2026-06-15.md</t>
        </is>
      </c>
      <c r="G2025" s="33" t="inlineStr">
        <is>
          <t>Med</t>
        </is>
      </c>
      <c r="H2025" s="33" t="inlineStr">
        <is>
          <t>Initial</t>
        </is>
      </c>
    </row>
    <row r="2026">
      <c r="A2026" s="33" t="inlineStr">
        <is>
          <t>2026-06-15</t>
        </is>
      </c>
      <c r="B2026" s="33" t="inlineStr">
        <is>
          <t>NXPI</t>
        </is>
      </c>
      <c r="C2026" s="33" t="inlineStr">
        <is>
          <t>R3</t>
        </is>
      </c>
      <c r="D2026" s="33" t="n">
        <v>4</v>
      </c>
      <c r="E2026" s="33" t="inlineStr">
        <is>
          <t>ND/EBITDA ~1.9x clean, manageable</t>
        </is>
      </c>
      <c r="F2026" s="33" t="inlineStr">
        <is>
          <t>per-stock/NXPI/context-2026-06-15.md</t>
        </is>
      </c>
      <c r="G2026" s="33" t="inlineStr">
        <is>
          <t>Med</t>
        </is>
      </c>
      <c r="H2026" s="33" t="inlineStr">
        <is>
          <t>Initial</t>
        </is>
      </c>
    </row>
    <row r="2027">
      <c r="A2027" s="33" t="inlineStr">
        <is>
          <t>2026-06-15</t>
        </is>
      </c>
      <c r="B2027" s="33" t="inlineStr">
        <is>
          <t>NXPI</t>
        </is>
      </c>
      <c r="C2027" s="33" t="inlineStr">
        <is>
          <t>R4</t>
        </is>
      </c>
      <c r="D2027" s="33" t="n">
        <v>4</v>
      </c>
      <c r="E2027" s="33" t="inlineStr">
        <is>
          <t>Routine; CEO transition orderly</t>
        </is>
      </c>
      <c r="F2027" s="33" t="inlineStr">
        <is>
          <t>per-stock/NXPI/context-2026-06-15.md</t>
        </is>
      </c>
      <c r="G2027" s="33" t="inlineStr">
        <is>
          <t>Med</t>
        </is>
      </c>
      <c r="H2027" s="33" t="inlineStr">
        <is>
          <t>Initial</t>
        </is>
      </c>
    </row>
    <row r="2028">
      <c r="A2028" s="33" t="inlineStr">
        <is>
          <t>2026-06-15</t>
        </is>
      </c>
      <c r="B2028" s="33" t="inlineStr">
        <is>
          <t>MCHP</t>
        </is>
      </c>
      <c r="C2028" s="33" t="inlineStr">
        <is>
          <t>D1</t>
        </is>
      </c>
      <c r="D2028" s="33" t="n">
        <v>2</v>
      </c>
      <c r="E2028" s="33" t="inlineStr">
        <is>
          <t>Data Center Solutions ~$303M CY25-&gt;~$500M CY26 (~8% rev), PCIe switches/retimers</t>
        </is>
      </c>
      <c r="F2028" s="33" t="inlineStr">
        <is>
          <t>per-stock/MCHP/context-2026-06-15.md</t>
        </is>
      </c>
      <c r="G2028" s="33" t="inlineStr">
        <is>
          <t>Med</t>
        </is>
      </c>
      <c r="H2028" s="33" t="inlineStr">
        <is>
          <t>Initial</t>
        </is>
      </c>
    </row>
    <row r="2029">
      <c r="A2029" s="33" t="inlineStr">
        <is>
          <t>2026-06-15</t>
        </is>
      </c>
      <c r="B2029" s="33" t="inlineStr">
        <is>
          <t>MCHP</t>
        </is>
      </c>
      <c r="C2029" s="33" t="inlineStr">
        <is>
          <t>D2</t>
        </is>
      </c>
      <c r="D2029" s="33" t="n">
        <v>3</v>
      </c>
      <c r="E2029" s="33" t="inlineStr">
        <is>
          <t>MCU ecosystem stickiness but many competitors; commoditizing</t>
        </is>
      </c>
      <c r="F2029" s="33" t="inlineStr">
        <is>
          <t>per-stock/MCHP/context-2026-06-15.md</t>
        </is>
      </c>
      <c r="G2029" s="33" t="inlineStr">
        <is>
          <t>Med</t>
        </is>
      </c>
      <c r="H2029" s="33" t="inlineStr">
        <is>
          <t>Initial</t>
        </is>
      </c>
    </row>
    <row r="2030">
      <c r="A2030" s="33" t="inlineStr">
        <is>
          <t>2026-06-15</t>
        </is>
      </c>
      <c r="B2030" s="33" t="inlineStr">
        <is>
          <t>MCHP</t>
        </is>
      </c>
      <c r="C2030" s="33" t="inlineStr">
        <is>
          <t>D3</t>
        </is>
      </c>
      <c r="D2030" s="33" t="n">
        <v>3</v>
      </c>
      <c r="E2030" s="33" t="inlineStr">
        <is>
          <t>MCU design-in stickiness eroding; heavy debt limits flexibility</t>
        </is>
      </c>
      <c r="F2030" s="33" t="inlineStr">
        <is>
          <t>per-stock/MCHP/context-2026-06-15.md</t>
        </is>
      </c>
      <c r="G2030" s="33" t="inlineStr">
        <is>
          <t>Med</t>
        </is>
      </c>
      <c r="H2030" s="33" t="inlineStr">
        <is>
          <t>Initial</t>
        </is>
      </c>
    </row>
    <row r="2031">
      <c r="A2031" s="33" t="inlineStr">
        <is>
          <t>2026-06-15</t>
        </is>
      </c>
      <c r="B2031" s="33" t="inlineStr">
        <is>
          <t>MCHP</t>
        </is>
      </c>
      <c r="C2031" s="33" t="inlineStr">
        <is>
          <t>D4</t>
        </is>
      </c>
      <c r="D2031" s="33" t="n">
        <v>2</v>
      </c>
      <c r="E2031" s="33" t="inlineStr">
        <is>
          <t>Restructuring: Fab 2 sale, capex constrained/cutting</t>
        </is>
      </c>
      <c r="F2031" s="33" t="inlineStr">
        <is>
          <t>per-stock/MCHP/context-2026-06-15.md</t>
        </is>
      </c>
      <c r="G2031" s="33" t="inlineStr">
        <is>
          <t>High</t>
        </is>
      </c>
      <c r="H2031" s="33" t="inlineStr">
        <is>
          <t>Initial</t>
        </is>
      </c>
    </row>
    <row r="2032">
      <c r="A2032" s="33" t="inlineStr">
        <is>
          <t>2026-06-15</t>
        </is>
      </c>
      <c r="B2032" s="33" t="inlineStr">
        <is>
          <t>MCHP</t>
        </is>
      </c>
      <c r="C2032" s="33" t="inlineStr">
        <is>
          <t>D5</t>
        </is>
      </c>
      <c r="D2032" s="33" t="n">
        <v>2</v>
      </c>
      <c r="E2032" s="33" t="inlineStr">
        <is>
          <t>DCS sells PCIe into servers w/ some hyperscaler pull; small, indirect</t>
        </is>
      </c>
      <c r="F2032" s="33" t="inlineStr">
        <is>
          <t>per-stock/MCHP/context-2026-06-15.md</t>
        </is>
      </c>
      <c r="G2032" s="33" t="inlineStr">
        <is>
          <t>Med</t>
        </is>
      </c>
      <c r="H2032" s="33" t="inlineStr">
        <is>
          <t>Initial</t>
        </is>
      </c>
    </row>
    <row r="2033">
      <c r="A2033" s="33" t="inlineStr">
        <is>
          <t>2026-06-15</t>
        </is>
      </c>
      <c r="B2033" s="33" t="inlineStr">
        <is>
          <t>MCHP</t>
        </is>
      </c>
      <c r="C2033" s="33" t="inlineStr">
        <is>
          <t>M1</t>
        </is>
      </c>
      <c r="D2033" s="33" t="n">
        <v>5</v>
      </c>
      <c r="E2033" s="33" t="inlineStr">
        <is>
          <t>Clean beat-and-raise; Zacks FY27 +21.6% 30d, 0 down</t>
        </is>
      </c>
      <c r="F2033" s="33" t="inlineStr">
        <is>
          <t>Form4(EDGAR)+Yahoo/yfinance momentum pull 2026-06-15</t>
        </is>
      </c>
      <c r="G2033" s="33" t="inlineStr">
        <is>
          <t>High</t>
        </is>
      </c>
      <c r="H2033" s="33" t="inlineStr">
        <is>
          <t>Initial</t>
        </is>
      </c>
    </row>
    <row r="2034">
      <c r="A2034" s="33" t="inlineStr">
        <is>
          <t>2026-06-15</t>
        </is>
      </c>
      <c r="B2034" s="33" t="inlineStr">
        <is>
          <t>MCHP</t>
        </is>
      </c>
      <c r="C2034" s="33" t="inlineStr">
        <is>
          <t>M2</t>
        </is>
      </c>
      <c r="D2034" s="33" t="n">
        <v>1</v>
      </c>
      <c r="E2034" s="33" t="inlineStr">
        <is>
          <t>+51% vs SMH +84% = -33pp lag</t>
        </is>
      </c>
      <c r="F2034" s="33" t="inlineStr">
        <is>
          <t>Form4(EDGAR)+Yahoo/yfinance momentum pull 2026-06-15</t>
        </is>
      </c>
      <c r="G2034" s="33" t="inlineStr">
        <is>
          <t>High</t>
        </is>
      </c>
      <c r="H2034" s="33" t="inlineStr">
        <is>
          <t>Initial</t>
        </is>
      </c>
    </row>
    <row r="2035">
      <c r="A2035" s="33" t="inlineStr">
        <is>
          <t>2026-06-15</t>
        </is>
      </c>
      <c r="B2035" s="33" t="inlineStr">
        <is>
          <t>MCHP</t>
        </is>
      </c>
      <c r="C2035" s="33" t="inlineStr">
        <is>
          <t>M3</t>
        </is>
      </c>
      <c r="D2035" s="33" t="n">
        <v>3</v>
      </c>
      <c r="E2035" s="33" t="inlineStr">
        <is>
          <t>Zero open-market buys (downturn-buy narrative unsupported in 12mo); Sanghi 10b5-1 routine</t>
        </is>
      </c>
      <c r="F2035" s="33" t="inlineStr">
        <is>
          <t>Form4(EDGAR)+Yahoo/yfinance momentum pull 2026-06-15</t>
        </is>
      </c>
      <c r="G2035" s="33" t="inlineStr">
        <is>
          <t>Med</t>
        </is>
      </c>
      <c r="H2035" s="33" t="inlineStr">
        <is>
          <t>Initial</t>
        </is>
      </c>
    </row>
    <row r="2036">
      <c r="A2036" s="33" t="inlineStr">
        <is>
          <t>2026-06-15</t>
        </is>
      </c>
      <c r="B2036" s="33" t="inlineStr">
        <is>
          <t>MCHP</t>
        </is>
      </c>
      <c r="C2036" s="33" t="inlineStr">
        <is>
          <t>R1</t>
        </is>
      </c>
      <c r="D2036" s="33" t="n">
        <v>5</v>
      </c>
      <c r="E2036" s="33" t="inlineStr">
        <is>
          <t>Highly diversified, ~120k customers, none &gt;10%</t>
        </is>
      </c>
      <c r="F2036" s="33" t="inlineStr">
        <is>
          <t>per-stock/MCHP/context-2026-06-15.md</t>
        </is>
      </c>
      <c r="G2036" s="33" t="inlineStr">
        <is>
          <t>High</t>
        </is>
      </c>
      <c r="H2036" s="33" t="inlineStr">
        <is>
          <t>Initial</t>
        </is>
      </c>
    </row>
    <row r="2037">
      <c r="A2037" s="33" t="inlineStr">
        <is>
          <t>2026-06-15</t>
        </is>
      </c>
      <c r="B2037" s="33" t="inlineStr">
        <is>
          <t>MCHP</t>
        </is>
      </c>
      <c r="C2037" s="33" t="inlineStr">
        <is>
          <t>R2</t>
        </is>
      </c>
      <c r="D2037" s="33" t="n">
        <v>3</v>
      </c>
      <c r="E2037" s="33" t="inlineStr">
        <is>
          <t>China ~15-20% + shipment; worst shock China restriction</t>
        </is>
      </c>
      <c r="F2037" s="33" t="inlineStr">
        <is>
          <t>per-stock/MCHP/context-2026-06-15.md</t>
        </is>
      </c>
      <c r="G2037" s="33" t="inlineStr">
        <is>
          <t>Med</t>
        </is>
      </c>
      <c r="H2037" s="33" t="inlineStr">
        <is>
          <t>Initial</t>
        </is>
      </c>
    </row>
    <row r="2038">
      <c r="A2038" s="33" t="inlineStr">
        <is>
          <t>2026-06-15</t>
        </is>
      </c>
      <c r="B2038" s="33" t="inlineStr">
        <is>
          <t>MCHP</t>
        </is>
      </c>
      <c r="C2038" s="33" t="inlineStr">
        <is>
          <t>R3</t>
        </is>
      </c>
      <c r="D2038" s="33" t="n">
        <v>2</v>
      </c>
      <c r="E2038" s="33" t="inlineStr">
        <is>
          <t>ND/EBITDA 4.3x (trough-inflated), $240M cash, dividend &gt;100% FCF, preferred overhang</t>
        </is>
      </c>
      <c r="F2038" s="33" t="inlineStr">
        <is>
          <t>per-stock/MCHP/context-2026-06-15.md</t>
        </is>
      </c>
      <c r="G2038" s="33" t="inlineStr">
        <is>
          <t>High</t>
        </is>
      </c>
      <c r="H2038" s="33" t="inlineStr">
        <is>
          <t>Initial</t>
        </is>
      </c>
    </row>
    <row r="2039">
      <c r="A2039" s="33" t="inlineStr">
        <is>
          <t>2026-06-15</t>
        </is>
      </c>
      <c r="B2039" s="33" t="inlineStr">
        <is>
          <t>MCHP</t>
        </is>
      </c>
      <c r="C2039" s="33" t="inlineStr">
        <is>
          <t>R4</t>
        </is>
      </c>
      <c r="D2039" s="33" t="n">
        <v>4</v>
      </c>
      <c r="E2039" s="33" t="inlineStr">
        <is>
          <t>Routine; restructuring not litigation</t>
        </is>
      </c>
      <c r="F2039" s="33" t="inlineStr">
        <is>
          <t>per-stock/MCHP/context-2026-06-15.md</t>
        </is>
      </c>
      <c r="G2039" s="33" t="inlineStr">
        <is>
          <t>Med</t>
        </is>
      </c>
      <c r="H2039" s="33" t="inlineStr">
        <is>
          <t>Initial</t>
        </is>
      </c>
    </row>
    <row r="2040">
      <c r="A2040" s="33" t="inlineStr">
        <is>
          <t>2026-06-15</t>
        </is>
      </c>
      <c r="B2040" s="33" t="inlineStr">
        <is>
          <t>ON</t>
        </is>
      </c>
      <c r="C2040" s="33" t="inlineStr">
        <is>
          <t>D1</t>
        </is>
      </c>
      <c r="D2040" s="33" t="n">
        <v>2</v>
      </c>
      <c r="E2040" s="33" t="inlineStr">
        <is>
          <t>AI-DC power (NVDA 800VDC) &gt;2x YoY but ~8% of cyclical auto/industrial core</t>
        </is>
      </c>
      <c r="F2040" s="33" t="inlineStr">
        <is>
          <t>per-stock/ON/context-2026-06-15.md</t>
        </is>
      </c>
      <c r="G2040" s="33" t="inlineStr">
        <is>
          <t>Med</t>
        </is>
      </c>
      <c r="H2040" s="33" t="inlineStr">
        <is>
          <t>Initial</t>
        </is>
      </c>
    </row>
    <row r="2041">
      <c r="A2041" s="33" t="inlineStr">
        <is>
          <t>2026-06-15</t>
        </is>
      </c>
      <c r="B2041" s="33" t="inlineStr">
        <is>
          <t>ON</t>
        </is>
      </c>
      <c r="C2041" s="33" t="inlineStr">
        <is>
          <t>D2</t>
        </is>
      </c>
      <c r="D2041" s="33" t="n">
        <v>3</v>
      </c>
      <c r="E2041" s="33" t="inlineStr">
        <is>
          <t>Power/SiC competitive vs Infineon/STM/Wolfspeed/MPWR</t>
        </is>
      </c>
      <c r="F2041" s="33" t="inlineStr">
        <is>
          <t>per-stock/ON/context-2026-06-15.md</t>
        </is>
      </c>
      <c r="G2041" s="33" t="inlineStr">
        <is>
          <t>Med</t>
        </is>
      </c>
      <c r="H2041" s="33" t="inlineStr">
        <is>
          <t>Initial</t>
        </is>
      </c>
    </row>
    <row r="2042">
      <c r="A2042" s="33" t="inlineStr">
        <is>
          <t>2026-06-15</t>
        </is>
      </c>
      <c r="B2042" s="33" t="inlineStr">
        <is>
          <t>ON</t>
        </is>
      </c>
      <c r="C2042" s="33" t="inlineStr">
        <is>
          <t>D3</t>
        </is>
      </c>
      <c r="D2042" s="33" t="n">
        <v>3</v>
      </c>
      <c r="E2042" s="33" t="inlineStr">
        <is>
          <t>SiC tech (EliteSiC, East Fishkill 200mm) but contested</t>
        </is>
      </c>
      <c r="F2042" s="33" t="inlineStr">
        <is>
          <t>per-stock/ON/context-2026-06-15.md</t>
        </is>
      </c>
      <c r="G2042" s="33" t="inlineStr">
        <is>
          <t>Med</t>
        </is>
      </c>
      <c r="H2042" s="33" t="inlineStr">
        <is>
          <t>Initial</t>
        </is>
      </c>
    </row>
    <row r="2043">
      <c r="A2043" s="33" t="inlineStr">
        <is>
          <t>2026-06-15</t>
        </is>
      </c>
      <c r="B2043" s="33" t="inlineStr">
        <is>
          <t>ON</t>
        </is>
      </c>
      <c r="C2043" s="33" t="inlineStr">
        <is>
          <t>D4</t>
        </is>
      </c>
      <c r="D2043" s="33" t="n">
        <v>3</v>
      </c>
      <c r="E2043" s="33" t="inlineStr">
        <is>
          <t>SiC capacity expansion rationalized in downturn</t>
        </is>
      </c>
      <c r="F2043" s="33" t="inlineStr">
        <is>
          <t>per-stock/ON/context-2026-06-15.md</t>
        </is>
      </c>
      <c r="G2043" s="33" t="inlineStr">
        <is>
          <t>Med</t>
        </is>
      </c>
      <c r="H2043" s="33" t="inlineStr">
        <is>
          <t>Initial</t>
        </is>
      </c>
    </row>
    <row r="2044">
      <c r="A2044" s="33" t="inlineStr">
        <is>
          <t>2026-06-15</t>
        </is>
      </c>
      <c r="B2044" s="33" t="inlineStr">
        <is>
          <t>ON</t>
        </is>
      </c>
      <c r="C2044" s="33" t="inlineStr">
        <is>
          <t>D5</t>
        </is>
      </c>
      <c r="D2044" s="33" t="n">
        <v>2</v>
      </c>
      <c r="E2044" s="33" t="inlineStr">
        <is>
          <t>DC power via NVDA ecosystem; indirect, small</t>
        </is>
      </c>
      <c r="F2044" s="33" t="inlineStr">
        <is>
          <t>per-stock/ON/context-2026-06-15.md</t>
        </is>
      </c>
      <c r="G2044" s="33" t="inlineStr">
        <is>
          <t>Med</t>
        </is>
      </c>
      <c r="H2044" s="33" t="inlineStr">
        <is>
          <t>Initial</t>
        </is>
      </c>
    </row>
    <row r="2045">
      <c r="A2045" s="33" t="inlineStr">
        <is>
          <t>2026-06-15</t>
        </is>
      </c>
      <c r="B2045" s="33" t="inlineStr">
        <is>
          <t>ON</t>
        </is>
      </c>
      <c r="C2045" s="33" t="inlineStr">
        <is>
          <t>M1</t>
        </is>
      </c>
      <c r="D2045" s="33" t="n">
        <v>5</v>
      </c>
      <c r="E2045" s="33" t="inlineStr">
        <is>
          <t>Strongly upward; FY26 30 up/1 down; beat-and-raise, early-cycle</t>
        </is>
      </c>
      <c r="F2045" s="33" t="inlineStr">
        <is>
          <t>Form4(EDGAR)+Yahoo/yfinance momentum pull 2026-06-15</t>
        </is>
      </c>
      <c r="G2045" s="33" t="inlineStr">
        <is>
          <t>High</t>
        </is>
      </c>
      <c r="H2045" s="33" t="inlineStr">
        <is>
          <t>Initial</t>
        </is>
      </c>
    </row>
    <row r="2046">
      <c r="A2046" s="33" t="inlineStr">
        <is>
          <t>2026-06-15</t>
        </is>
      </c>
      <c r="B2046" s="33" t="inlineStr">
        <is>
          <t>ON</t>
        </is>
      </c>
      <c r="C2046" s="33" t="inlineStr">
        <is>
          <t>M2</t>
        </is>
      </c>
      <c r="D2046" s="33" t="n">
        <v>5</v>
      </c>
      <c r="E2046" s="33" t="inlineStr">
        <is>
          <t>+131% vs SMH +84% = +46pp (deep-trough recovery)</t>
        </is>
      </c>
      <c r="F2046" s="33" t="inlineStr">
        <is>
          <t>Form4(EDGAR)+Yahoo/yfinance momentum pull 2026-06-15</t>
        </is>
      </c>
      <c r="G2046" s="33" t="inlineStr">
        <is>
          <t>High</t>
        </is>
      </c>
      <c r="H2046" s="33" t="inlineStr">
        <is>
          <t>Initial</t>
        </is>
      </c>
    </row>
    <row r="2047">
      <c r="A2047" s="33" t="inlineStr">
        <is>
          <t>2026-06-15</t>
        </is>
      </c>
      <c r="B2047" s="33" t="inlineStr">
        <is>
          <t>ON</t>
        </is>
      </c>
      <c r="C2047" s="33" t="inlineStr">
        <is>
          <t>M3</t>
        </is>
      </c>
      <c r="D2047" s="33" t="n">
        <v>3</v>
      </c>
      <c r="E2047" s="33" t="inlineStr">
        <is>
          <t>Zero buys; steady post-rally exec selling (CFO into rally); no resignations</t>
        </is>
      </c>
      <c r="F2047" s="33" t="inlineStr">
        <is>
          <t>Form4(EDGAR)+Yahoo/yfinance momentum pull 2026-06-15</t>
        </is>
      </c>
      <c r="G2047" s="33" t="inlineStr">
        <is>
          <t>Med</t>
        </is>
      </c>
      <c r="H2047" s="33" t="inlineStr">
        <is>
          <t>Initial</t>
        </is>
      </c>
    </row>
    <row r="2048">
      <c r="A2048" s="33" t="inlineStr">
        <is>
          <t>2026-06-15</t>
        </is>
      </c>
      <c r="B2048" s="33" t="inlineStr">
        <is>
          <t>ON</t>
        </is>
      </c>
      <c r="C2048" s="33" t="inlineStr">
        <is>
          <t>R1</t>
        </is>
      </c>
      <c r="D2048" s="33" t="n">
        <v>4</v>
      </c>
      <c r="E2048" s="33" t="inlineStr">
        <is>
          <t>Auto-concentrated (top customers 15-25%)</t>
        </is>
      </c>
      <c r="F2048" s="33" t="inlineStr">
        <is>
          <t>per-stock/ON/context-2026-06-15.md</t>
        </is>
      </c>
      <c r="G2048" s="33" t="inlineStr">
        <is>
          <t>Med</t>
        </is>
      </c>
      <c r="H2048" s="33" t="inlineStr">
        <is>
          <t>Initial</t>
        </is>
      </c>
    </row>
    <row r="2049">
      <c r="A2049" s="33" t="inlineStr">
        <is>
          <t>2026-06-15</t>
        </is>
      </c>
      <c r="B2049" s="33" t="inlineStr">
        <is>
          <t>ON</t>
        </is>
      </c>
      <c r="C2049" s="33" t="inlineStr">
        <is>
          <t>R2</t>
        </is>
      </c>
      <c r="D2049" s="33" t="n">
        <v>3</v>
      </c>
      <c r="E2049" s="33" t="inlineStr">
        <is>
          <t>China + Korea SiC fab (asset leg); worst shock China/Korea</t>
        </is>
      </c>
      <c r="F2049" s="33" t="inlineStr">
        <is>
          <t>per-stock/ON/context-2026-06-15.md</t>
        </is>
      </c>
      <c r="G2049" s="33" t="inlineStr">
        <is>
          <t>Med</t>
        </is>
      </c>
      <c r="H2049" s="33" t="inlineStr">
        <is>
          <t>Initial</t>
        </is>
      </c>
    </row>
    <row r="2050">
      <c r="A2050" s="33" t="inlineStr">
        <is>
          <t>2026-06-15</t>
        </is>
      </c>
      <c r="B2050" s="33" t="inlineStr">
        <is>
          <t>ON</t>
        </is>
      </c>
      <c r="C2050" s="33" t="inlineStr">
        <is>
          <t>R3</t>
        </is>
      </c>
      <c r="D2050" s="33" t="n">
        <v>4</v>
      </c>
      <c r="E2050" s="33" t="inlineStr">
        <is>
          <t>ND/EBITDA 0.40x low leverage</t>
        </is>
      </c>
      <c r="F2050" s="33" t="inlineStr">
        <is>
          <t>per-stock/ON/context-2026-06-15.md</t>
        </is>
      </c>
      <c r="G2050" s="33" t="inlineStr">
        <is>
          <t>High</t>
        </is>
      </c>
      <c r="H2050" s="33" t="inlineStr">
        <is>
          <t>Initial</t>
        </is>
      </c>
    </row>
    <row r="2051">
      <c r="A2051" s="33" t="inlineStr">
        <is>
          <t>2026-06-15</t>
        </is>
      </c>
      <c r="B2051" s="33" t="inlineStr">
        <is>
          <t>ON</t>
        </is>
      </c>
      <c r="C2051" s="33" t="inlineStr">
        <is>
          <t>R4</t>
        </is>
      </c>
      <c r="D2051" s="33" t="n">
        <v>4</v>
      </c>
      <c r="E2051" s="33" t="inlineStr">
        <is>
          <t>Routine; restructuring charges not litigation</t>
        </is>
      </c>
      <c r="F2051" s="33" t="inlineStr">
        <is>
          <t>per-stock/ON/context-2026-06-15.md</t>
        </is>
      </c>
      <c r="G2051" s="33" t="inlineStr">
        <is>
          <t>Med</t>
        </is>
      </c>
      <c r="H2051" s="33" t="inlineStr">
        <is>
          <t>Initial</t>
        </is>
      </c>
    </row>
    <row r="2052">
      <c r="A2052" s="33" t="inlineStr">
        <is>
          <t>2026-06-15</t>
        </is>
      </c>
      <c r="B2052" s="33" t="inlineStr">
        <is>
          <t>SWKS</t>
        </is>
      </c>
      <c r="C2052" s="33" t="inlineStr">
        <is>
          <t>D1</t>
        </is>
      </c>
      <c r="D2052" s="33" t="n">
        <v>1</v>
      </c>
      <c r="E2052" s="33" t="inlineStr">
        <is>
          <t>RF/handset; AI-DC content immaterial (low-single-digit off tiny base)</t>
        </is>
      </c>
      <c r="F2052" s="33" t="inlineStr">
        <is>
          <t>per-stock/SWKS/context-2026-06-15.md</t>
        </is>
      </c>
      <c r="G2052" s="33" t="inlineStr">
        <is>
          <t>High</t>
        </is>
      </c>
      <c r="H2052" s="33" t="inlineStr">
        <is>
          <t>Initial</t>
        </is>
      </c>
    </row>
    <row r="2053">
      <c r="A2053" s="33" t="inlineStr">
        <is>
          <t>2026-06-15</t>
        </is>
      </c>
      <c r="B2053" s="33" t="inlineStr">
        <is>
          <t>SWKS</t>
        </is>
      </c>
      <c r="C2053" s="33" t="inlineStr">
        <is>
          <t>D2</t>
        </is>
      </c>
      <c r="D2053" s="33" t="n">
        <v>2</v>
      </c>
      <c r="E2053" s="33" t="inlineStr">
        <is>
          <t>RF front-end commoditizing; competes QRVO/AVGO; Apple can dual-source</t>
        </is>
      </c>
      <c r="F2053" s="33" t="inlineStr">
        <is>
          <t>per-stock/SWKS/context-2026-06-15.md</t>
        </is>
      </c>
      <c r="G2053" s="33" t="inlineStr">
        <is>
          <t>Med</t>
        </is>
      </c>
      <c r="H2053" s="33" t="inlineStr">
        <is>
          <t>Initial</t>
        </is>
      </c>
    </row>
    <row r="2054">
      <c r="A2054" s="33" t="inlineStr">
        <is>
          <t>2026-06-15</t>
        </is>
      </c>
      <c r="B2054" s="33" t="inlineStr">
        <is>
          <t>SWKS</t>
        </is>
      </c>
      <c r="C2054" s="33" t="inlineStr">
        <is>
          <t>D3</t>
        </is>
      </c>
      <c r="D2054" s="33" t="n">
        <v>2</v>
      </c>
      <c r="E2054" s="33" t="inlineStr">
        <is>
          <t>Apple-dependent, content-share erosion; weak moat</t>
        </is>
      </c>
      <c r="F2054" s="33" t="inlineStr">
        <is>
          <t>per-stock/SWKS/context-2026-06-15.md</t>
        </is>
      </c>
      <c r="G2054" s="33" t="inlineStr">
        <is>
          <t>Med</t>
        </is>
      </c>
      <c r="H2054" s="33" t="inlineStr">
        <is>
          <t>Initial</t>
        </is>
      </c>
    </row>
    <row r="2055">
      <c r="A2055" s="33" t="inlineStr">
        <is>
          <t>2026-06-15</t>
        </is>
      </c>
      <c r="B2055" s="33" t="inlineStr">
        <is>
          <t>SWKS</t>
        </is>
      </c>
      <c r="C2055" s="33" t="inlineStr">
        <is>
          <t>D4</t>
        </is>
      </c>
      <c r="D2055" s="33" t="n">
        <v>2</v>
      </c>
      <c r="E2055" s="33" t="inlineStr">
        <is>
          <t>Mature, capex constrained, declining revenue</t>
        </is>
      </c>
      <c r="F2055" s="33" t="inlineStr">
        <is>
          <t>per-stock/SWKS/context-2026-06-15.md</t>
        </is>
      </c>
      <c r="G2055" s="33" t="inlineStr">
        <is>
          <t>Med</t>
        </is>
      </c>
      <c r="H2055" s="33" t="inlineStr">
        <is>
          <t>Initial</t>
        </is>
      </c>
    </row>
    <row r="2056">
      <c r="A2056" s="33" t="inlineStr">
        <is>
          <t>2026-06-15</t>
        </is>
      </c>
      <c r="B2056" s="33" t="inlineStr">
        <is>
          <t>SWKS</t>
        </is>
      </c>
      <c r="C2056" s="33" t="inlineStr">
        <is>
          <t>D5</t>
        </is>
      </c>
      <c r="D2056" s="33" t="n">
        <v>1</v>
      </c>
      <c r="E2056" s="33" t="inlineStr">
        <is>
          <t>No hyperscaler revenue</t>
        </is>
      </c>
      <c r="F2056" s="33" t="inlineStr">
        <is>
          <t>per-stock/SWKS/context-2026-06-15.md</t>
        </is>
      </c>
      <c r="G2056" s="33" t="inlineStr">
        <is>
          <t>High</t>
        </is>
      </c>
      <c r="H2056" s="33" t="inlineStr">
        <is>
          <t>Initial</t>
        </is>
      </c>
    </row>
    <row r="2057">
      <c r="A2057" s="33" t="inlineStr">
        <is>
          <t>2026-06-15</t>
        </is>
      </c>
      <c r="B2057" s="33" t="inlineStr">
        <is>
          <t>SWKS</t>
        </is>
      </c>
      <c r="C2057" s="33" t="inlineStr">
        <is>
          <t>M1</t>
        </is>
      </c>
      <c r="D2057" s="33" t="n">
        <v>4</v>
      </c>
      <c r="E2057" s="33" t="inlineStr">
        <is>
          <t>Up-revisions (0y 20 up/0 down) but on declining base (FY26 EPS -15% YoY)</t>
        </is>
      </c>
      <c r="F2057" s="33" t="inlineStr">
        <is>
          <t>Form4(EDGAR)+Yahoo/yfinance momentum pull 2026-06-15</t>
        </is>
      </c>
      <c r="G2057" s="33" t="inlineStr">
        <is>
          <t>Med</t>
        </is>
      </c>
      <c r="H2057" s="33" t="inlineStr">
        <is>
          <t>Initial</t>
        </is>
      </c>
    </row>
    <row r="2058">
      <c r="A2058" s="33" t="inlineStr">
        <is>
          <t>2026-06-15</t>
        </is>
      </c>
      <c r="B2058" s="33" t="inlineStr">
        <is>
          <t>SWKS</t>
        </is>
      </c>
      <c r="C2058" s="33" t="inlineStr">
        <is>
          <t>M2</t>
        </is>
      </c>
      <c r="D2058" s="33" t="n">
        <v>1</v>
      </c>
      <c r="E2058" s="33" t="inlineStr">
        <is>
          <t>+9.1% vs SMH +68.7% = -59.6pp, worst lag in cohort</t>
        </is>
      </c>
      <c r="F2058" s="33" t="inlineStr">
        <is>
          <t>Form4(EDGAR)+Yahoo/yfinance momentum pull 2026-06-15</t>
        </is>
      </c>
      <c r="G2058" s="33" t="inlineStr">
        <is>
          <t>High</t>
        </is>
      </c>
      <c r="H2058" s="33" t="inlineStr">
        <is>
          <t>Initial</t>
        </is>
      </c>
    </row>
    <row r="2059">
      <c r="A2059" s="33" t="inlineStr">
        <is>
          <t>2026-06-15</t>
        </is>
      </c>
      <c r="B2059" s="33" t="inlineStr">
        <is>
          <t>SWKS</t>
        </is>
      </c>
      <c r="C2059" s="33" t="inlineStr">
        <is>
          <t>M3</t>
        </is>
      </c>
      <c r="D2059" s="33" t="n">
        <v>3</v>
      </c>
      <c r="E2059" s="33" t="inlineStr">
        <is>
          <t>Zero buys; only two ~20% trims, rest routine comp mechanics</t>
        </is>
      </c>
      <c r="F2059" s="33" t="inlineStr">
        <is>
          <t>Form4(EDGAR)+Yahoo/yfinance momentum pull 2026-06-15</t>
        </is>
      </c>
      <c r="G2059" s="33" t="inlineStr">
        <is>
          <t>Med</t>
        </is>
      </c>
      <c r="H2059" s="33" t="inlineStr">
        <is>
          <t>Initial</t>
        </is>
      </c>
    </row>
    <row r="2060">
      <c r="A2060" s="33" t="inlineStr">
        <is>
          <t>2026-06-15</t>
        </is>
      </c>
      <c r="B2060" s="33" t="inlineStr">
        <is>
          <t>SWKS</t>
        </is>
      </c>
      <c r="C2060" s="33" t="inlineStr">
        <is>
          <t>R1</t>
        </is>
      </c>
      <c r="D2060" s="33" t="n">
        <v>1</v>
      </c>
      <c r="E2060" s="33" t="inlineStr">
        <is>
          <t>~60% Apple concentration</t>
        </is>
      </c>
      <c r="F2060" s="33" t="inlineStr">
        <is>
          <t>per-stock/SWKS/context-2026-06-15.md</t>
        </is>
      </c>
      <c r="G2060" s="33" t="inlineStr">
        <is>
          <t>High</t>
        </is>
      </c>
      <c r="H2060" s="33" t="inlineStr">
        <is>
          <t>Initial</t>
        </is>
      </c>
    </row>
    <row r="2061">
      <c r="A2061" s="33" t="inlineStr">
        <is>
          <t>2026-06-15</t>
        </is>
      </c>
      <c r="B2061" s="33" t="inlineStr">
        <is>
          <t>SWKS</t>
        </is>
      </c>
      <c r="C2061" s="33" t="inlineStr">
        <is>
          <t>R2</t>
        </is>
      </c>
      <c r="D2061" s="33" t="n">
        <v>3</v>
      </c>
      <c r="E2061" s="33" t="inlineStr">
        <is>
          <t>China handset exposure + assembly; worst shock China/Apple-China supply</t>
        </is>
      </c>
      <c r="F2061" s="33" t="inlineStr">
        <is>
          <t>per-stock/SWKS/context-2026-06-15.md</t>
        </is>
      </c>
      <c r="G2061" s="33" t="inlineStr">
        <is>
          <t>Med</t>
        </is>
      </c>
      <c r="H2061" s="33" t="inlineStr">
        <is>
          <t>Initial</t>
        </is>
      </c>
    </row>
    <row r="2062">
      <c r="A2062" s="33" t="inlineStr">
        <is>
          <t>2026-06-15</t>
        </is>
      </c>
      <c r="B2062" s="33" t="inlineStr">
        <is>
          <t>SWKS</t>
        </is>
      </c>
      <c r="C2062" s="33" t="inlineStr">
        <is>
          <t>R3</t>
        </is>
      </c>
      <c r="D2062" s="33" t="n">
        <v>4</v>
      </c>
      <c r="E2062" s="33" t="inlineStr">
        <is>
          <t>Net cash now but pending Qorvo merger will lever up/transform BS</t>
        </is>
      </c>
      <c r="F2062" s="33" t="inlineStr">
        <is>
          <t>per-stock/SWKS/context-2026-06-15.md</t>
        </is>
      </c>
      <c r="G2062" s="33" t="inlineStr">
        <is>
          <t>Med</t>
        </is>
      </c>
      <c r="H2062" s="33" t="inlineStr">
        <is>
          <t>Initial</t>
        </is>
      </c>
    </row>
    <row r="2063">
      <c r="A2063" s="33" t="inlineStr">
        <is>
          <t>2026-06-15</t>
        </is>
      </c>
      <c r="B2063" s="33" t="inlineStr">
        <is>
          <t>SWKS</t>
        </is>
      </c>
      <c r="C2063" s="33" t="inlineStr">
        <is>
          <t>R4</t>
        </is>
      </c>
      <c r="D2063" s="33" t="n">
        <v>2</v>
      </c>
      <c r="E2063" s="33" t="inlineStr">
        <is>
          <t>Pending Qorvo merger under FTC HSR Second Request - active antitrust review</t>
        </is>
      </c>
      <c r="F2063" s="33" t="inlineStr">
        <is>
          <t>per-stock/SWKS/context-2026-06-15.md</t>
        </is>
      </c>
      <c r="G2063" s="33" t="inlineStr">
        <is>
          <t>High</t>
        </is>
      </c>
      <c r="H2063" s="33" t="inlineStr">
        <is>
          <t>Initial</t>
        </is>
      </c>
    </row>
    <row r="2064">
      <c r="A2064" s="33" t="inlineStr">
        <is>
          <t>2026-06-17</t>
        </is>
      </c>
      <c r="B2064" s="33" t="inlineStr">
        <is>
          <t>WDC</t>
        </is>
      </c>
      <c r="C2064" s="33" t="inlineStr">
        <is>
          <t>D1</t>
        </is>
      </c>
      <c r="D2064" s="33" t="n">
        <v>5</v>
      </c>
      <c r="E2064" s="33" t="inlineStr">
        <is>
          <t>Cloud=89% of rev (+48% YoY); nearline HDD almost entirely AI/cloud-data-lake demand</t>
        </is>
      </c>
      <c r="F2064" s="33" t="inlineStr">
        <is>
          <t>per-stock/WDC/context-2026-06-17.md</t>
        </is>
      </c>
      <c r="G2064" s="33" t="inlineStr">
        <is>
          <t>High</t>
        </is>
      </c>
      <c r="H2064" s="33" t="inlineStr">
        <is>
          <t>Initial</t>
        </is>
      </c>
    </row>
    <row r="2065">
      <c r="A2065" s="33" t="inlineStr">
        <is>
          <t>2026-06-17</t>
        </is>
      </c>
      <c r="B2065" s="33" t="inlineStr">
        <is>
          <t>WDC</t>
        </is>
      </c>
      <c r="C2065" s="33" t="inlineStr">
        <is>
          <t>D2</t>
        </is>
      </c>
      <c r="D2065" s="33" t="n">
        <v>5</v>
      </c>
      <c r="E2065" s="33" t="inlineStr">
        <is>
          <t>Upstream HDD duopoly (WDC+STX); sold out through CY2026; LTAs to CY2029; $/TB +9% YoY pricing power</t>
        </is>
      </c>
      <c r="F2065" s="33" t="inlineStr">
        <is>
          <t>per-stock/WDC/context-2026-06-17.md</t>
        </is>
      </c>
      <c r="G2065" s="33" t="inlineStr">
        <is>
          <t>High</t>
        </is>
      </c>
      <c r="H2065" s="33" t="inlineStr">
        <is>
          <t>Initial</t>
        </is>
      </c>
    </row>
    <row r="2066">
      <c r="A2066" s="33" t="inlineStr">
        <is>
          <t>2026-06-17</t>
        </is>
      </c>
      <c r="B2066" s="33" t="inlineStr">
        <is>
          <t>WDC</t>
        </is>
      </c>
      <c r="C2066" s="33" t="inlineStr">
        <is>
          <t>D3</t>
        </is>
      </c>
      <c r="D2066" s="33" t="n">
        <v>4</v>
      </c>
      <c r="E2066" s="33" t="inlineStr">
        <is>
          <t>HAMR/ePMR/UltraSMR density IP + scale + qualification switching costs; not 5 (STX co-leader, NAND substitution tail)</t>
        </is>
      </c>
      <c r="F2066" s="33" t="inlineStr">
        <is>
          <t>per-stock/WDC/context-2026-06-17.md</t>
        </is>
      </c>
      <c r="G2066" s="33" t="inlineStr">
        <is>
          <t>Medium</t>
        </is>
      </c>
      <c r="H2066" s="33" t="inlineStr">
        <is>
          <t>Initial</t>
        </is>
      </c>
    </row>
    <row r="2067">
      <c r="A2067" s="33" t="inlineStr">
        <is>
          <t>2026-06-17</t>
        </is>
      </c>
      <c r="B2067" s="33" t="inlineStr">
        <is>
          <t>WDC</t>
        </is>
      </c>
      <c r="C2067" s="33" t="inlineStr">
        <is>
          <t>D4</t>
        </is>
      </c>
      <c r="D2067" s="33" t="n">
        <v>4</v>
      </c>
      <c r="E2067" s="33" t="inlineStr">
        <is>
          <t>Density ramp into sold-out demand but explicitly "no unit-capacity increase" — disciplined, not multi-fab buildout</t>
        </is>
      </c>
      <c r="F2067" s="33" t="inlineStr">
        <is>
          <t>per-stock/WDC/context-2026-06-17.md</t>
        </is>
      </c>
      <c r="G2067" s="33" t="inlineStr">
        <is>
          <t>High</t>
        </is>
      </c>
      <c r="H2067" s="33" t="inlineStr">
        <is>
          <t>Initial</t>
        </is>
      </c>
    </row>
    <row r="2068">
      <c r="A2068" s="33" t="inlineStr">
        <is>
          <t>2026-06-17</t>
        </is>
      </c>
      <c r="B2068" s="33" t="inlineStr">
        <is>
          <t>WDC</t>
        </is>
      </c>
      <c r="C2068" s="33" t="inlineStr">
        <is>
          <t>D5</t>
        </is>
      </c>
      <c r="D2068" s="33" t="n">
        <v>5</v>
      </c>
      <c r="E2068" s="33" t="inlineStr">
        <is>
          <t>89% cloud; top-3 customers 17/15/11% under multi-year LTAs to CY2029</t>
        </is>
      </c>
      <c r="F2068" s="33" t="inlineStr">
        <is>
          <t>per-stock/WDC/context-2026-06-17.md</t>
        </is>
      </c>
      <c r="G2068" s="33" t="inlineStr">
        <is>
          <t>High</t>
        </is>
      </c>
      <c r="H2068" s="33" t="inlineStr">
        <is>
          <t>Initial</t>
        </is>
      </c>
    </row>
    <row r="2069">
      <c r="A2069" s="33" t="inlineStr">
        <is>
          <t>2026-06-17</t>
        </is>
      </c>
      <c r="B2069" s="33" t="inlineStr">
        <is>
          <t>WDC</t>
        </is>
      </c>
      <c r="C2069" s="33" t="inlineStr">
        <is>
          <t>M1</t>
        </is>
      </c>
      <c r="D2069" s="33" t="n">
        <v>5</v>
      </c>
      <c r="E2069" s="33" t="inlineStr">
        <is>
          <t>Beat-and-raise; Q4 guide rev +36-44%, GM 51-52%; June PT wave (MS $650/Mizuho $685/BofA $610)</t>
        </is>
      </c>
      <c r="F2069" s="33" t="inlineStr">
        <is>
          <t>per-stock/WDC/context-2026-06-17.md</t>
        </is>
      </c>
      <c r="G2069" s="33" t="inlineStr">
        <is>
          <t>High</t>
        </is>
      </c>
      <c r="H2069" s="33" t="inlineStr">
        <is>
          <t>Initial</t>
        </is>
      </c>
    </row>
    <row r="2070">
      <c r="A2070" s="33" t="inlineStr">
        <is>
          <t>2026-06-17</t>
        </is>
      </c>
      <c r="B2070" s="33" t="inlineStr">
        <is>
          <t>WDC</t>
        </is>
      </c>
      <c r="C2070" s="33" t="inlineStr">
        <is>
          <t>M2</t>
        </is>
      </c>
      <c r="D2070" s="33" t="n">
        <v>5</v>
      </c>
      <c r="E2070" s="33" t="inlineStr">
        <is>
          <t>+1,106% trailing 1y; +307% 6mo vs SOXX +105.6% — sector leader</t>
        </is>
      </c>
      <c r="F2070" s="33" t="inlineStr">
        <is>
          <t>per-stock/WDC/context-2026-06-17.md</t>
        </is>
      </c>
      <c r="G2070" s="33" t="inlineStr">
        <is>
          <t>High</t>
        </is>
      </c>
      <c r="H2070" s="33" t="inlineStr">
        <is>
          <t>Initial</t>
        </is>
      </c>
    </row>
    <row r="2071">
      <c r="A2071" s="33" t="inlineStr">
        <is>
          <t>2026-06-17</t>
        </is>
      </c>
      <c r="B2071" s="33" t="inlineStr">
        <is>
          <t>WDC</t>
        </is>
      </c>
      <c r="C2071" s="33" t="inlineStr">
        <is>
          <t>M3</t>
        </is>
      </c>
      <c r="D2071" s="33" t="n">
        <v>3</v>
      </c>
      <c r="E2071" s="33" t="inlineStr">
        <is>
          <t>No open-market buys 12mo; recent Form 4s all 10b5-1 sells + option-exercise/tax — routine diversification</t>
        </is>
      </c>
      <c r="F2071" s="33" t="inlineStr">
        <is>
          <t>per-stock/WDC/context-2026-06-17.md</t>
        </is>
      </c>
      <c r="G2071" s="33" t="inlineStr">
        <is>
          <t>Medium</t>
        </is>
      </c>
      <c r="H2071" s="33" t="inlineStr">
        <is>
          <t>Initial</t>
        </is>
      </c>
    </row>
    <row r="2072">
      <c r="A2072" s="33" t="inlineStr">
        <is>
          <t>2026-06-17</t>
        </is>
      </c>
      <c r="B2072" s="33" t="inlineStr">
        <is>
          <t>WDC</t>
        </is>
      </c>
      <c r="C2072" s="33" t="inlineStr">
        <is>
          <t>R1</t>
        </is>
      </c>
      <c r="D2072" s="33" t="n">
        <v>3</v>
      </c>
      <c r="E2072" s="33" t="inlineStr">
        <is>
          <t>Largest customer 17%, top-3 43%, top-10 71% — real dependence (flip side of D5)</t>
        </is>
      </c>
      <c r="F2072" s="33" t="inlineStr">
        <is>
          <t>per-stock/WDC/context-2026-06-17.md</t>
        </is>
      </c>
      <c r="G2072" s="33" t="inlineStr">
        <is>
          <t>High</t>
        </is>
      </c>
      <c r="H2072" s="33" t="inlineStr">
        <is>
          <t>Initial</t>
        </is>
      </c>
    </row>
    <row r="2073">
      <c r="A2073" s="33" t="inlineStr">
        <is>
          <t>2026-06-17</t>
        </is>
      </c>
      <c r="B2073" s="33" t="inlineStr">
        <is>
          <t>WDC</t>
        </is>
      </c>
      <c r="C2073" s="33" t="inlineStr">
        <is>
          <t>R2</t>
        </is>
      </c>
      <c r="D2073" s="33" t="n">
        <v>4</v>
      </c>
      <c r="E2073" s="33" t="inlineStr">
        <is>
          <t>Asia=40% ship-to; mfg Thailand/Malaysia/China; one demand leg + mild policy leg, no active export-control on nearline HDD</t>
        </is>
      </c>
      <c r="F2073" s="33" t="inlineStr">
        <is>
          <t>per-stock/WDC/context-2026-06-17.md</t>
        </is>
      </c>
      <c r="G2073" s="33" t="inlineStr">
        <is>
          <t>Medium</t>
        </is>
      </c>
      <c r="H2073" s="33" t="inlineStr">
        <is>
          <t>Initial</t>
        </is>
      </c>
    </row>
    <row r="2074">
      <c r="A2074" s="33" t="inlineStr">
        <is>
          <t>2026-06-17</t>
        </is>
      </c>
      <c r="B2074" s="33" t="inlineStr">
        <is>
          <t>WDC</t>
        </is>
      </c>
      <c r="C2074" s="33" t="inlineStr">
        <is>
          <t>R3</t>
        </is>
      </c>
      <c r="D2074" s="33" t="n">
        <v>5</v>
      </c>
      <c r="E2074" s="33" t="inlineStr">
        <is>
          <t>Net cash ~$450M; debt cut $4.7B-&gt;$1.6B; $2.5B 9mo OCF; light capex</t>
        </is>
      </c>
      <c r="F2074" s="33" t="inlineStr">
        <is>
          <t>per-stock/WDC/context-2026-06-17.md</t>
        </is>
      </c>
      <c r="G2074" s="33" t="inlineStr">
        <is>
          <t>High</t>
        </is>
      </c>
      <c r="H2074" s="33" t="inlineStr">
        <is>
          <t>Initial</t>
        </is>
      </c>
    </row>
    <row r="2075">
      <c r="A2075" s="33" t="inlineStr">
        <is>
          <t>2026-06-17</t>
        </is>
      </c>
      <c r="B2075" s="33" t="inlineStr">
        <is>
          <t>WDC</t>
        </is>
      </c>
      <c r="C2075" s="33" t="inlineStr">
        <is>
          <t>R4</t>
        </is>
      </c>
      <c r="D2075" s="33" t="n">
        <v>4</v>
      </c>
      <c r="E2075" s="33" t="inlineStr">
        <is>
          <t>No material litigation/regulatory overhang surfaced</t>
        </is>
      </c>
      <c r="F2075" s="33" t="inlineStr">
        <is>
          <t>per-stock/WDC/context-2026-06-17.md</t>
        </is>
      </c>
      <c r="G2075" s="33" t="inlineStr">
        <is>
          <t>Medium</t>
        </is>
      </c>
      <c r="H2075" s="33" t="inlineStr">
        <is>
          <t>Initial</t>
        </is>
      </c>
    </row>
    <row r="2076">
      <c r="A2076" s="33" t="inlineStr">
        <is>
          <t>2026-06-17</t>
        </is>
      </c>
      <c r="B2076" s="33" t="inlineStr">
        <is>
          <t>PANW</t>
        </is>
      </c>
      <c r="C2076" s="33" t="inlineStr">
        <is>
          <t>D1</t>
        </is>
      </c>
      <c r="D2076" s="33" t="n">
        <v>2</v>
      </c>
      <c r="E2076" s="33" t="inlineStr">
        <is>
          <t>Explicit AI-security rev small (Prisma AI ~$100M ARR vs $11B+); broader AI demand is AI-adjacent not AI-tied</t>
        </is>
      </c>
      <c r="F2076" s="33" t="inlineStr">
        <is>
          <t>per-stock/PANW/context-2026-06-17.md</t>
        </is>
      </c>
      <c r="G2076" s="33" t="inlineStr">
        <is>
          <t>Medium</t>
        </is>
      </c>
      <c r="H2076" s="33" t="inlineStr">
        <is>
          <t>Initial</t>
        </is>
      </c>
    </row>
    <row r="2077">
      <c r="A2077" s="33" t="inlineStr">
        <is>
          <t>2026-06-17</t>
        </is>
      </c>
      <c r="B2077" s="33" t="inlineStr">
        <is>
          <t>PANW</t>
        </is>
      </c>
      <c r="C2077" s="33" t="inlineStr">
        <is>
          <t>D2</t>
        </is>
      </c>
      <c r="D2077" s="33" t="n">
        <v>4</v>
      </c>
      <c r="E2077" s="33" t="inlineStr">
        <is>
          <t>Largest pure-play security platform (3-platform + CyberArk + Chronosphere); 2-4 credible competitors</t>
        </is>
      </c>
      <c r="F2077" s="33" t="inlineStr">
        <is>
          <t>per-stock/PANW/context-2026-06-17.md</t>
        </is>
      </c>
      <c r="G2077" s="33" t="inlineStr">
        <is>
          <t>High</t>
        </is>
      </c>
      <c r="H2077" s="33" t="inlineStr">
        <is>
          <t>Initial</t>
        </is>
      </c>
    </row>
    <row r="2078">
      <c r="A2078" s="33" t="inlineStr">
        <is>
          <t>2026-06-17</t>
        </is>
      </c>
      <c r="B2078" s="33" t="inlineStr">
        <is>
          <t>PANW</t>
        </is>
      </c>
      <c r="C2078" s="33" t="inlineStr">
        <is>
          <t>D3</t>
        </is>
      </c>
      <c r="D2078" s="33" t="n">
        <v>4</v>
      </c>
      <c r="E2078" s="33" t="inlineStr">
        <is>
          <t>Platformization + 120% NRR + 2,280 platformized accounts = deep switching costs; not 5 (MSFT bundling)</t>
        </is>
      </c>
      <c r="F2078" s="33" t="inlineStr">
        <is>
          <t>per-stock/PANW/context-2026-06-17.md</t>
        </is>
      </c>
      <c r="G2078" s="33" t="inlineStr">
        <is>
          <t>Medium</t>
        </is>
      </c>
      <c r="H2078" s="33" t="inlineStr">
        <is>
          <t>Initial</t>
        </is>
      </c>
    </row>
    <row r="2079">
      <c r="A2079" s="33" t="inlineStr">
        <is>
          <t>2026-06-17</t>
        </is>
      </c>
      <c r="B2079" s="33" t="inlineStr">
        <is>
          <t>PANW</t>
        </is>
      </c>
      <c r="C2079" s="33" t="inlineStr">
        <is>
          <t>D4</t>
        </is>
      </c>
      <c r="D2079" s="33" t="n">
        <v>4</v>
      </c>
      <c r="E2079" s="33" t="inlineStr">
        <is>
          <t>$28B M&amp;A (CyberArk/Chronosphere/KOI) closed &amp; funded; Prisma AI fastest product ever</t>
        </is>
      </c>
      <c r="F2079" s="33" t="inlineStr">
        <is>
          <t>per-stock/PANW/context-2026-06-17.md</t>
        </is>
      </c>
      <c r="G2079" s="33" t="inlineStr">
        <is>
          <t>High</t>
        </is>
      </c>
      <c r="H2079" s="33" t="inlineStr">
        <is>
          <t>Initial</t>
        </is>
      </c>
    </row>
    <row r="2080">
      <c r="A2080" s="33" t="inlineStr">
        <is>
          <t>2026-06-17</t>
        </is>
      </c>
      <c r="B2080" s="33" t="inlineStr">
        <is>
          <t>PANW</t>
        </is>
      </c>
      <c r="C2080" s="33" t="inlineStr">
        <is>
          <t>D5</t>
        </is>
      </c>
      <c r="D2080" s="33" t="n">
        <v>3</v>
      </c>
      <c r="E2080" s="33" t="inlineStr">
        <is>
          <t>Sells security to enterprises/gov, not concentrated hyperscaler rev; indirect AI-infra tie (NGFW for AI DCs)</t>
        </is>
      </c>
      <c r="F2080" s="33" t="inlineStr">
        <is>
          <t>per-stock/PANW/context-2026-06-17.md</t>
        </is>
      </c>
      <c r="G2080" s="33" t="inlineStr">
        <is>
          <t>Medium</t>
        </is>
      </c>
      <c r="H2080" s="33" t="inlineStr">
        <is>
          <t>Initial</t>
        </is>
      </c>
    </row>
    <row r="2081">
      <c r="A2081" s="33" t="inlineStr">
        <is>
          <t>2026-06-17</t>
        </is>
      </c>
      <c r="B2081" s="33" t="inlineStr">
        <is>
          <t>PANW</t>
        </is>
      </c>
      <c r="C2081" s="33" t="inlineStr">
        <is>
          <t>M1</t>
        </is>
      </c>
      <c r="D2081" s="33" t="n">
        <v>4</v>
      </c>
      <c r="E2081" s="33" t="inlineStr">
        <is>
          <t>Beat-and-raise; Q3 non-GAAP EPS $0.85 beat $0.79; FY26 guide raised; FY27 consensus ~flat tempers</t>
        </is>
      </c>
      <c r="F2081" s="33" t="inlineStr">
        <is>
          <t>per-stock/PANW/context-2026-06-17.md</t>
        </is>
      </c>
      <c r="G2081" s="33" t="inlineStr">
        <is>
          <t>Medium</t>
        </is>
      </c>
      <c r="H2081" s="33" t="inlineStr">
        <is>
          <t>Initial</t>
        </is>
      </c>
    </row>
    <row r="2082">
      <c r="A2082" s="33" t="inlineStr">
        <is>
          <t>2026-06-17</t>
        </is>
      </c>
      <c r="B2082" s="33" t="inlineStr">
        <is>
          <t>PANW</t>
        </is>
      </c>
      <c r="C2082" s="33" t="inlineStr">
        <is>
          <t>M2</t>
        </is>
      </c>
      <c r="D2082" s="33" t="n">
        <v>5</v>
      </c>
      <c r="E2082" s="33" t="inlineStr">
        <is>
          <t>Near ATH (~$280; ATH $302.95) while IGV -24.6% over 6mo — clear sector leader</t>
        </is>
      </c>
      <c r="F2082" s="33" t="inlineStr">
        <is>
          <t>per-stock/PANW/context-2026-06-17.md</t>
        </is>
      </c>
      <c r="G2082" s="33" t="inlineStr">
        <is>
          <t>High</t>
        </is>
      </c>
      <c r="H2082" s="33" t="inlineStr">
        <is>
          <t>Initial</t>
        </is>
      </c>
    </row>
    <row r="2083">
      <c r="A2083" s="33" t="inlineStr">
        <is>
          <t>2026-06-17</t>
        </is>
      </c>
      <c r="B2083" s="33" t="inlineStr">
        <is>
          <t>PANW</t>
        </is>
      </c>
      <c r="C2083" s="33" t="inlineStr">
        <is>
          <t>M3</t>
        </is>
      </c>
      <c r="D2083" s="33" t="n">
        <v>5</v>
      </c>
      <c r="E2083" s="33" t="inlineStr">
        <is>
          <t>CEO Arora open-market BUY 68,085 sh ~$10.0M on 2026-03-27 (&gt;$1M discretionary) — first in years</t>
        </is>
      </c>
      <c r="F2083" s="33" t="inlineStr">
        <is>
          <t>per-stock/PANW/context-2026-06-17.md</t>
        </is>
      </c>
      <c r="G2083" s="33" t="inlineStr">
        <is>
          <t>High</t>
        </is>
      </c>
      <c r="H2083" s="33" t="inlineStr">
        <is>
          <t>Initial</t>
        </is>
      </c>
    </row>
    <row r="2084">
      <c r="A2084" s="33" t="inlineStr">
        <is>
          <t>2026-06-17</t>
        </is>
      </c>
      <c r="B2084" s="33" t="inlineStr">
        <is>
          <t>PANW</t>
        </is>
      </c>
      <c r="C2084" s="33" t="inlineStr">
        <is>
          <t>R1</t>
        </is>
      </c>
      <c r="D2084" s="33" t="n">
        <v>5</v>
      </c>
      <c r="E2084" s="33" t="inlineStr">
        <is>
          <t>No end-customer &gt;10% (FY23-25); two distributors aggregate 31% is channel, end-base diversified</t>
        </is>
      </c>
      <c r="F2084" s="33" t="inlineStr">
        <is>
          <t>per-stock/PANW/context-2026-06-17.md</t>
        </is>
      </c>
      <c r="G2084" s="33" t="inlineStr">
        <is>
          <t>High</t>
        </is>
      </c>
      <c r="H2084" s="33" t="inlineStr">
        <is>
          <t>Initial</t>
        </is>
      </c>
    </row>
    <row r="2085">
      <c r="A2085" s="33" t="inlineStr">
        <is>
          <t>2026-06-17</t>
        </is>
      </c>
      <c r="B2085" s="33" t="inlineStr">
        <is>
          <t>PANW</t>
        </is>
      </c>
      <c r="C2085" s="33" t="inlineStr">
        <is>
          <t>R2</t>
        </is>
      </c>
      <c r="D2085" s="33" t="n">
        <v>5</v>
      </c>
      <c r="E2085" s="33" t="inlineStr">
        <is>
          <t>Americas majority (~65-70%); no material China DC rev, no fabs/asset leg, no export-control overhang</t>
        </is>
      </c>
      <c r="F2085" s="33" t="inlineStr">
        <is>
          <t>per-stock/PANW/context-2026-06-17.md</t>
        </is>
      </c>
      <c r="G2085" s="33" t="inlineStr">
        <is>
          <t>Medium</t>
        </is>
      </c>
      <c r="H2085" s="33" t="inlineStr">
        <is>
          <t>Initial</t>
        </is>
      </c>
    </row>
    <row r="2086">
      <c r="A2086" s="33" t="inlineStr">
        <is>
          <t>2026-06-17</t>
        </is>
      </c>
      <c r="B2086" s="33" t="inlineStr">
        <is>
          <t>PANW</t>
        </is>
      </c>
      <c r="C2086" s="33" t="inlineStr">
        <is>
          <t>R3</t>
        </is>
      </c>
      <c r="D2086" s="33" t="n">
        <v>5</v>
      </c>
      <c r="E2086" s="33" t="inlineStr">
        <is>
          <t>Net cash ~$0.98B; 38.5% TTM adj-FCF margin; no maturity wall</t>
        </is>
      </c>
      <c r="F2086" s="33" t="inlineStr">
        <is>
          <t>per-stock/PANW/context-2026-06-17.md</t>
        </is>
      </c>
      <c r="G2086" s="33" t="inlineStr">
        <is>
          <t>High</t>
        </is>
      </c>
      <c r="H2086" s="33" t="inlineStr">
        <is>
          <t>Initial</t>
        </is>
      </c>
    </row>
    <row r="2087">
      <c r="A2087" s="33" t="inlineStr">
        <is>
          <t>2026-06-17</t>
        </is>
      </c>
      <c r="B2087" s="33" t="inlineStr">
        <is>
          <t>PANW</t>
        </is>
      </c>
      <c r="C2087" s="33" t="inlineStr">
        <is>
          <t>R4</t>
        </is>
      </c>
      <c r="D2087" s="33" t="n">
        <v>4</v>
      </c>
      <c r="E2087" s="33" t="inlineStr">
        <is>
          <t>Routine matters; main item is integration/regulatory execution on two just-closed large deals</t>
        </is>
      </c>
      <c r="F2087" s="33" t="inlineStr">
        <is>
          <t>per-stock/PANW/context-2026-06-17.md</t>
        </is>
      </c>
      <c r="G2087" s="33" t="inlineStr">
        <is>
          <t>Medium</t>
        </is>
      </c>
      <c r="H2087" s="33" t="inlineStr">
        <is>
          <t>Initial</t>
        </is>
      </c>
    </row>
    <row r="2088">
      <c r="A2088" s="33" t="inlineStr">
        <is>
          <t>2026-06-17</t>
        </is>
      </c>
      <c r="B2088" s="33" t="inlineStr">
        <is>
          <t>APP</t>
        </is>
      </c>
      <c r="C2088" s="33" t="inlineStr">
        <is>
          <t>D1</t>
        </is>
      </c>
      <c r="D2088" s="33" t="n">
        <v>5</v>
      </c>
      <c r="E2088" s="33" t="inlineStr">
        <is>
          <t>AXON AI ad engine ~100% of continuing rev; as direct as it gets outside semis</t>
        </is>
      </c>
      <c r="F2088" s="33" t="inlineStr">
        <is>
          <t>per-stock/APP/context-2026-06-17.md</t>
        </is>
      </c>
      <c r="G2088" s="33" t="inlineStr">
        <is>
          <t>High</t>
        </is>
      </c>
      <c r="H2088" s="33" t="inlineStr">
        <is>
          <t>Initial</t>
        </is>
      </c>
    </row>
    <row r="2089">
      <c r="A2089" s="33" t="inlineStr">
        <is>
          <t>2026-06-17</t>
        </is>
      </c>
      <c r="B2089" s="33" t="inlineStr">
        <is>
          <t>APP</t>
        </is>
      </c>
      <c r="C2089" s="33" t="inlineStr">
        <is>
          <t>D2</t>
        </is>
      </c>
      <c r="D2089" s="33" t="n">
        <v>4</v>
      </c>
      <c r="E2089" s="33" t="inlineStr">
        <is>
          <t>Differentiated adtech w/ pricing power but demand-side, not upstream bottleneck</t>
        </is>
      </c>
      <c r="F2089" s="33" t="inlineStr">
        <is>
          <t>per-stock/APP/context-2026-06-17.md</t>
        </is>
      </c>
      <c r="G2089" s="33" t="inlineStr">
        <is>
          <t>Medium</t>
        </is>
      </c>
      <c r="H2089" s="33" t="inlineStr">
        <is>
          <t>Initial</t>
        </is>
      </c>
    </row>
    <row r="2090">
      <c r="A2090" s="33" t="inlineStr">
        <is>
          <t>2026-06-17</t>
        </is>
      </c>
      <c r="B2090" s="33" t="inlineStr">
        <is>
          <t>APP</t>
        </is>
      </c>
      <c r="C2090" s="33" t="inlineStr">
        <is>
          <t>D3</t>
        </is>
      </c>
      <c r="D2090" s="33" t="n">
        <v>3</v>
      </c>
      <c r="E2090" s="33" t="inlineStr">
        <is>
          <t>Data/algo flywheel but Meta/Google larger; moat contested by fraud allegations</t>
        </is>
      </c>
      <c r="F2090" s="33" t="inlineStr">
        <is>
          <t>per-stock/APP/context-2026-06-17.md</t>
        </is>
      </c>
      <c r="G2090" s="33" t="inlineStr">
        <is>
          <t>Medium</t>
        </is>
      </c>
      <c r="H2090" s="33" t="inlineStr">
        <is>
          <t>Initial</t>
        </is>
      </c>
    </row>
    <row r="2091">
      <c r="A2091" s="33" t="inlineStr">
        <is>
          <t>2026-06-17</t>
        </is>
      </c>
      <c r="B2091" s="33" t="inlineStr">
        <is>
          <t>APP</t>
        </is>
      </c>
      <c r="C2091" s="33" t="inlineStr">
        <is>
          <t>D4</t>
        </is>
      </c>
      <c r="D2091" s="33" t="n">
        <v>4</v>
      </c>
      <c r="E2091" s="33" t="inlineStr">
        <is>
          <t>AXON 3.0 genAI + self-serve GA H1-26 + e-comm TAM expansion, FCF-funded</t>
        </is>
      </c>
      <c r="F2091" s="33" t="inlineStr">
        <is>
          <t>per-stock/APP/context-2026-06-17.md</t>
        </is>
      </c>
      <c r="G2091" s="33" t="inlineStr">
        <is>
          <t>Medium</t>
        </is>
      </c>
      <c r="H2091" s="33" t="inlineStr">
        <is>
          <t>Initial</t>
        </is>
      </c>
    </row>
    <row r="2092">
      <c r="A2092" s="33" t="inlineStr">
        <is>
          <t>2026-06-17</t>
        </is>
      </c>
      <c r="B2092" s="33" t="inlineStr">
        <is>
          <t>APP</t>
        </is>
      </c>
      <c r="C2092" s="33" t="inlineStr">
        <is>
          <t>D5</t>
        </is>
      </c>
      <c r="D2092" s="33" t="n">
        <v>2</v>
      </c>
      <c r="E2092" s="33" t="inlineStr">
        <is>
          <t>Cloud consumer not infra driver; AI-direct but supply-chain-tangential</t>
        </is>
      </c>
      <c r="F2092" s="33" t="inlineStr">
        <is>
          <t>per-stock/APP/context-2026-06-17.md</t>
        </is>
      </c>
      <c r="G2092" s="33" t="inlineStr">
        <is>
          <t>High</t>
        </is>
      </c>
      <c r="H2092" s="33" t="inlineStr">
        <is>
          <t>Initial</t>
        </is>
      </c>
    </row>
    <row r="2093">
      <c r="A2093" s="33" t="inlineStr">
        <is>
          <t>2026-06-17</t>
        </is>
      </c>
      <c r="B2093" s="33" t="inlineStr">
        <is>
          <t>APP</t>
        </is>
      </c>
      <c r="C2093" s="33" t="inlineStr">
        <is>
          <t>M1</t>
        </is>
      </c>
      <c r="D2093" s="33" t="n">
        <v>4</v>
      </c>
      <c r="E2093" s="33" t="inlineStr">
        <is>
          <t>Beat-and-raise; BofA PT-&gt;$860, Piper-&gt;$800; consensus Buy</t>
        </is>
      </c>
      <c r="F2093" s="33" t="inlineStr">
        <is>
          <t>per-stock/APP/context-2026-06-17.md</t>
        </is>
      </c>
      <c r="G2093" s="33" t="inlineStr">
        <is>
          <t>Medium</t>
        </is>
      </c>
      <c r="H2093" s="33" t="inlineStr">
        <is>
          <t>Initial</t>
        </is>
      </c>
    </row>
    <row r="2094">
      <c r="A2094" s="33" t="inlineStr">
        <is>
          <t>2026-06-17</t>
        </is>
      </c>
      <c r="B2094" s="33" t="inlineStr">
        <is>
          <t>APP</t>
        </is>
      </c>
      <c r="C2094" s="33" t="inlineStr">
        <is>
          <t>M2</t>
        </is>
      </c>
      <c r="D2094" s="33" t="n">
        <v>2</v>
      </c>
      <c r="E2094" s="33" t="inlineStr">
        <is>
          <t>APP -30.9% vs IGV -16.0% over 6mo (underperform ~15pp)</t>
        </is>
      </c>
      <c r="F2094" s="33" t="inlineStr">
        <is>
          <t>per-stock/APP/context-2026-06-17.md</t>
        </is>
      </c>
      <c r="G2094" s="33" t="inlineStr">
        <is>
          <t>High</t>
        </is>
      </c>
      <c r="H2094" s="33" t="inlineStr">
        <is>
          <t>Initial</t>
        </is>
      </c>
    </row>
    <row r="2095">
      <c r="A2095" s="33" t="inlineStr">
        <is>
          <t>2026-06-17</t>
        </is>
      </c>
      <c r="B2095" s="33" t="inlineStr">
        <is>
          <t>APP</t>
        </is>
      </c>
      <c r="C2095" s="33" t="inlineStr">
        <is>
          <t>M3</t>
        </is>
      </c>
      <c r="D2095" s="33" t="n">
        <v>3</v>
      </c>
      <c r="E2095" s="33" t="inlineStr">
        <is>
          <t>No buys; CEO open-market sells mid-June small % of stake -&gt; diversification baseline</t>
        </is>
      </c>
      <c r="F2095" s="33" t="inlineStr">
        <is>
          <t>per-stock/APP/context-2026-06-17.md</t>
        </is>
      </c>
      <c r="G2095" s="33" t="inlineStr">
        <is>
          <t>Medium</t>
        </is>
      </c>
      <c r="H2095" s="33" t="inlineStr">
        <is>
          <t>Initial</t>
        </is>
      </c>
    </row>
    <row r="2096">
      <c r="A2096" s="33" t="inlineStr">
        <is>
          <t>2026-06-17</t>
        </is>
      </c>
      <c r="B2096" s="33" t="inlineStr">
        <is>
          <t>APP</t>
        </is>
      </c>
      <c r="C2096" s="33" t="inlineStr">
        <is>
          <t>R1</t>
        </is>
      </c>
      <c r="D2096" s="33" t="n">
        <v>4</v>
      </c>
      <c r="E2096" s="33" t="inlineStr">
        <is>
          <t>No customer &gt;15%; caveat gaming-advertiser category + Apple/Google platform dependence</t>
        </is>
      </c>
      <c r="F2096" s="33" t="inlineStr">
        <is>
          <t>per-stock/APP/context-2026-06-17.md</t>
        </is>
      </c>
      <c r="G2096" s="33" t="inlineStr">
        <is>
          <t>Medium</t>
        </is>
      </c>
      <c r="H2096" s="33" t="inlineStr">
        <is>
          <t>Initial</t>
        </is>
      </c>
    </row>
    <row r="2097">
      <c r="A2097" s="33" t="inlineStr">
        <is>
          <t>2026-06-17</t>
        </is>
      </c>
      <c r="B2097" s="33" t="inlineStr">
        <is>
          <t>APP</t>
        </is>
      </c>
      <c r="C2097" s="33" t="inlineStr">
        <is>
          <t>R2</t>
        </is>
      </c>
      <c r="D2097" s="33" t="n">
        <v>5</v>
      </c>
      <c r="E2097" s="33" t="inlineStr">
        <is>
          <t>No geographic/asset/China leg; worst shock is platform/cyclical not geographic</t>
        </is>
      </c>
      <c r="F2097" s="33" t="inlineStr">
        <is>
          <t>per-stock/APP/context-2026-06-17.md</t>
        </is>
      </c>
      <c r="G2097" s="33" t="inlineStr">
        <is>
          <t>Medium</t>
        </is>
      </c>
      <c r="H2097" s="33" t="inlineStr">
        <is>
          <t>Initial</t>
        </is>
      </c>
    </row>
    <row r="2098">
      <c r="A2098" s="33" t="inlineStr">
        <is>
          <t>2026-06-17</t>
        </is>
      </c>
      <c r="B2098" s="33" t="inlineStr">
        <is>
          <t>APP</t>
        </is>
      </c>
      <c r="C2098" s="33" t="inlineStr">
        <is>
          <t>R3</t>
        </is>
      </c>
      <c r="D2098" s="33" t="n">
        <v>5</v>
      </c>
      <c r="E2098" s="33" t="inlineStr">
        <is>
          <t>ND/EBITDA 0.22, $2.76B cash, ~$4.4B FCF, trivial capex</t>
        </is>
      </c>
      <c r="F2098" s="33" t="inlineStr">
        <is>
          <t>per-stock/APP/context-2026-06-17.md</t>
        </is>
      </c>
      <c r="G2098" s="33" t="inlineStr">
        <is>
          <t>High</t>
        </is>
      </c>
      <c r="H2098" s="33" t="inlineStr">
        <is>
          <t>Initial</t>
        </is>
      </c>
    </row>
    <row r="2099">
      <c r="A2099" s="33" t="inlineStr">
        <is>
          <t>2026-06-17</t>
        </is>
      </c>
      <c r="B2099" s="33" t="inlineStr">
        <is>
          <t>APP</t>
        </is>
      </c>
      <c r="C2099" s="33" t="inlineStr">
        <is>
          <t>R4</t>
        </is>
      </c>
      <c r="D2099" s="33" t="n">
        <v>2</v>
      </c>
      <c r="E2099" s="33" t="inlineStr">
        <is>
          <t>Active 10b-5 class action + derivative suits (CEO/CFO named); SEC reportedly examining data practices; short-seller fraud allegations</t>
        </is>
      </c>
      <c r="F2099" s="33" t="inlineStr">
        <is>
          <t>per-stock/APP/context-2026-06-17.md</t>
        </is>
      </c>
      <c r="G2099" s="33" t="inlineStr">
        <is>
          <t>High</t>
        </is>
      </c>
      <c r="H2099" s="33" t="inlineStr">
        <is>
          <t>Initial</t>
        </is>
      </c>
    </row>
    <row r="2100">
      <c r="A2100" s="33" t="inlineStr">
        <is>
          <t>2026-06-17</t>
        </is>
      </c>
      <c r="B2100" s="33" t="inlineStr">
        <is>
          <t>ADBE</t>
        </is>
      </c>
      <c r="C2100" s="33" t="inlineStr">
        <is>
          <t>D1</t>
        </is>
      </c>
      <c r="D2100" s="33" t="n">
        <v>2</v>
      </c>
      <c r="E2100" s="33" t="inlineStr">
        <is>
          <t>AI-first ARR &gt;$500M tripled YoY but &lt;2% of $27.1B total ARR</t>
        </is>
      </c>
      <c r="F2100" s="33" t="inlineStr">
        <is>
          <t>per-stock/ADBE/context-2026-06-17.md</t>
        </is>
      </c>
      <c r="G2100" s="33" t="inlineStr">
        <is>
          <t>Medium</t>
        </is>
      </c>
      <c r="H2100" s="33" t="inlineStr">
        <is>
          <t>Initial</t>
        </is>
      </c>
    </row>
    <row r="2101">
      <c r="A2101" s="33" t="inlineStr">
        <is>
          <t>2026-06-17</t>
        </is>
      </c>
      <c r="B2101" s="33" t="inlineStr">
        <is>
          <t>ADBE</t>
        </is>
      </c>
      <c r="C2101" s="33" t="inlineStr">
        <is>
          <t>D2</t>
        </is>
      </c>
      <c r="D2101" s="33" t="n">
        <v>3</v>
      </c>
      <c r="E2101" s="33" t="inlineStr">
        <is>
          <t>Deep workflow lock-in but proliferating AI-native substitutes; Adobe deferring price increases</t>
        </is>
      </c>
      <c r="F2101" s="33" t="inlineStr">
        <is>
          <t>per-stock/ADBE/context-2026-06-17.md</t>
        </is>
      </c>
      <c r="G2101" s="33" t="inlineStr">
        <is>
          <t>Medium</t>
        </is>
      </c>
      <c r="H2101" s="33" t="inlineStr">
        <is>
          <t>Initial</t>
        </is>
      </c>
    </row>
    <row r="2102">
      <c r="A2102" s="33" t="inlineStr">
        <is>
          <t>2026-06-17</t>
        </is>
      </c>
      <c r="B2102" s="33" t="inlineStr">
        <is>
          <t>ADBE</t>
        </is>
      </c>
      <c r="C2102" s="33" t="inlineStr">
        <is>
          <t>D3</t>
        </is>
      </c>
      <c r="D2102" s="33" t="n">
        <v>3</v>
      </c>
      <c r="E2102" s="33" t="inlineStr">
        <is>
          <t>Real lock-in/IP-safe content BUT pricing power voluntarily surrendered (freemium pivot); Firefly aggregates 30+ third-party models conceding frontier quality</t>
        </is>
      </c>
      <c r="F2102" s="33" t="inlineStr">
        <is>
          <t>per-stock/ADBE/context-2026-06-17.md</t>
        </is>
      </c>
      <c r="G2102" s="33" t="inlineStr">
        <is>
          <t>Medium</t>
        </is>
      </c>
      <c r="H2102" s="33" t="inlineStr">
        <is>
          <t>Initial</t>
        </is>
      </c>
    </row>
    <row r="2103">
      <c r="A2103" s="33" t="inlineStr">
        <is>
          <t>2026-06-17</t>
        </is>
      </c>
      <c r="B2103" s="33" t="inlineStr">
        <is>
          <t>ADBE</t>
        </is>
      </c>
      <c r="C2103" s="33" t="inlineStr">
        <is>
          <t>D4</t>
        </is>
      </c>
      <c r="D2103" s="33" t="n">
        <v>4</v>
      </c>
      <c r="E2103" s="33" t="inlineStr">
        <is>
          <t>Heavy AI R&amp;D + freemium-funnel investment + Semrush M&amp;A</t>
        </is>
      </c>
      <c r="F2103" s="33" t="inlineStr">
        <is>
          <t>per-stock/ADBE/context-2026-06-17.md</t>
        </is>
      </c>
      <c r="G2103" s="33" t="inlineStr">
        <is>
          <t>Medium</t>
        </is>
      </c>
      <c r="H2103" s="33" t="inlineStr">
        <is>
          <t>Initial</t>
        </is>
      </c>
    </row>
    <row r="2104">
      <c r="A2104" s="33" t="inlineStr">
        <is>
          <t>2026-06-17</t>
        </is>
      </c>
      <c r="B2104" s="33" t="inlineStr">
        <is>
          <t>ADBE</t>
        </is>
      </c>
      <c r="C2104" s="33" t="inlineStr">
        <is>
          <t>D5</t>
        </is>
      </c>
      <c r="D2104" s="33" t="n">
        <v>1</v>
      </c>
      <c r="E2104" s="33" t="inlineStr">
        <is>
          <t>Consumes AI compute, not a hyperscaler; no hyperscaler rev, minimal AI-infra capex</t>
        </is>
      </c>
      <c r="F2104" s="33" t="inlineStr">
        <is>
          <t>per-stock/ADBE/context-2026-06-17.md</t>
        </is>
      </c>
      <c r="G2104" s="33" t="inlineStr">
        <is>
          <t>High</t>
        </is>
      </c>
      <c r="H2104" s="33" t="inlineStr">
        <is>
          <t>Initial</t>
        </is>
      </c>
    </row>
    <row r="2105">
      <c r="A2105" s="33" t="inlineStr">
        <is>
          <t>2026-06-17</t>
        </is>
      </c>
      <c r="B2105" s="33" t="inlineStr">
        <is>
          <t>ADBE</t>
        </is>
      </c>
      <c r="C2105" s="33" t="inlineStr">
        <is>
          <t>M1</t>
        </is>
      </c>
      <c r="D2105" s="33" t="n">
        <v>2</v>
      </c>
      <c r="E2105" s="33" t="inlineStr">
        <is>
          <t>PTs/ests cut post-print (Piper $280-&gt;$240, DA Davidson $300-&gt;$250)</t>
        </is>
      </c>
      <c r="F2105" s="33" t="inlineStr">
        <is>
          <t>per-stock/ADBE/context-2026-06-17.md</t>
        </is>
      </c>
      <c r="G2105" s="33" t="inlineStr">
        <is>
          <t>Medium</t>
        </is>
      </c>
      <c r="H2105" s="33" t="inlineStr">
        <is>
          <t>Initial</t>
        </is>
      </c>
    </row>
    <row r="2106">
      <c r="A2106" s="33" t="inlineStr">
        <is>
          <t>2026-06-17</t>
        </is>
      </c>
      <c r="B2106" s="33" t="inlineStr">
        <is>
          <t>ADBE</t>
        </is>
      </c>
      <c r="C2106" s="33" t="inlineStr">
        <is>
          <t>M2</t>
        </is>
      </c>
      <c r="D2106" s="33" t="n">
        <v>1</v>
      </c>
      <c r="E2106" s="33" t="inlineStr">
        <is>
          <t>~-40% YTD vs roughly flat software sector — company-specific underperformance</t>
        </is>
      </c>
      <c r="F2106" s="33" t="inlineStr">
        <is>
          <t>per-stock/ADBE/context-2026-06-17.md</t>
        </is>
      </c>
      <c r="G2106" s="33" t="inlineStr">
        <is>
          <t>High</t>
        </is>
      </c>
      <c r="H2106" s="33" t="inlineStr">
        <is>
          <t>Initial</t>
        </is>
      </c>
    </row>
    <row r="2107">
      <c r="A2107" s="33" t="inlineStr">
        <is>
          <t>2026-06-17</t>
        </is>
      </c>
      <c r="B2107" s="33" t="inlineStr">
        <is>
          <t>ADBE</t>
        </is>
      </c>
      <c r="C2107" s="33" t="inlineStr">
        <is>
          <t>M3</t>
        </is>
      </c>
      <c r="D2107" s="33" t="n">
        <v>3</v>
      </c>
      <c r="E2107" s="33" t="inlineStr">
        <is>
          <t>Zero open-market buys since Dec 2025; only routine sells (Narayen ~75K late Apr)</t>
        </is>
      </c>
      <c r="F2107" s="33" t="inlineStr">
        <is>
          <t>per-stock/ADBE/context-2026-06-17.md</t>
        </is>
      </c>
      <c r="G2107" s="33" t="inlineStr">
        <is>
          <t>High</t>
        </is>
      </c>
      <c r="H2107" s="33" t="inlineStr">
        <is>
          <t>Initial</t>
        </is>
      </c>
    </row>
    <row r="2108">
      <c r="A2108" s="33" t="inlineStr">
        <is>
          <t>2026-06-17</t>
        </is>
      </c>
      <c r="B2108" s="33" t="inlineStr">
        <is>
          <t>ADBE</t>
        </is>
      </c>
      <c r="C2108" s="33" t="inlineStr">
        <is>
          <t>R1</t>
        </is>
      </c>
      <c r="D2108" s="33" t="n">
        <v>5</v>
      </c>
      <c r="E2108" s="33" t="inlineStr">
        <is>
          <t>Millions of subs, broad enterprise; no customer &gt;10%</t>
        </is>
      </c>
      <c r="F2108" s="33" t="inlineStr">
        <is>
          <t>per-stock/ADBE/context-2026-06-17.md</t>
        </is>
      </c>
      <c r="G2108" s="33" t="inlineStr">
        <is>
          <t>High</t>
        </is>
      </c>
      <c r="H2108" s="33" t="inlineStr">
        <is>
          <t>Initial</t>
        </is>
      </c>
    </row>
    <row r="2109">
      <c r="A2109" s="33" t="inlineStr">
        <is>
          <t>2026-06-17</t>
        </is>
      </c>
      <c r="B2109" s="33" t="inlineStr">
        <is>
          <t>ADBE</t>
        </is>
      </c>
      <c r="C2109" s="33" t="inlineStr">
        <is>
          <t>R2</t>
        </is>
      </c>
      <c r="D2109" s="33" t="n">
        <v>5</v>
      </c>
      <c r="E2109" s="33" t="inlineStr">
        <is>
          <t>Diversified global SaaS; worst shock a regional macro/FX hit, no single geo/China line &gt;10%</t>
        </is>
      </c>
      <c r="F2109" s="33" t="inlineStr">
        <is>
          <t>per-stock/ADBE/context-2026-06-17.md</t>
        </is>
      </c>
      <c r="G2109" s="33" t="inlineStr">
        <is>
          <t>Medium</t>
        </is>
      </c>
      <c r="H2109" s="33" t="inlineStr">
        <is>
          <t>Initial</t>
        </is>
      </c>
    </row>
    <row r="2110">
      <c r="A2110" s="33" t="inlineStr">
        <is>
          <t>2026-06-17</t>
        </is>
      </c>
      <c r="B2110" s="33" t="inlineStr">
        <is>
          <t>ADBE</t>
        </is>
      </c>
      <c r="C2110" s="33" t="inlineStr">
        <is>
          <t>R3</t>
        </is>
      </c>
      <c r="D2110" s="33" t="n">
        <v>5</v>
      </c>
      <c r="E2110" s="33" t="inlineStr">
        <is>
          <t>Net-neutral (ND/EBITDA 0.15x); $10.3B TTM FCF; $25B buyback</t>
        </is>
      </c>
      <c r="F2110" s="33" t="inlineStr">
        <is>
          <t>per-stock/ADBE/context-2026-06-17.md</t>
        </is>
      </c>
      <c r="G2110" s="33" t="inlineStr">
        <is>
          <t>High</t>
        </is>
      </c>
      <c r="H2110" s="33" t="inlineStr">
        <is>
          <t>Initial</t>
        </is>
      </c>
    </row>
    <row r="2111">
      <c r="A2111" s="33" t="inlineStr">
        <is>
          <t>2026-06-17</t>
        </is>
      </c>
      <c r="B2111" s="33" t="inlineStr">
        <is>
          <t>ADBE</t>
        </is>
      </c>
      <c r="C2111" s="33" t="inlineStr">
        <is>
          <t>R4</t>
        </is>
      </c>
      <c r="D2111" s="33" t="n">
        <v>4</v>
      </c>
      <c r="E2111" s="33" t="inlineStr">
        <is>
          <t>FTC consumer-cancellation history + gen-AI/IP overhang, no current existential antitrust</t>
        </is>
      </c>
      <c r="F2111" s="33" t="inlineStr">
        <is>
          <t>per-stock/ADBE/context-2026-06-17.md</t>
        </is>
      </c>
      <c r="G2111" s="33" t="inlineStr">
        <is>
          <t>Medium</t>
        </is>
      </c>
      <c r="H2111" s="33" t="inlineStr">
        <is>
          <t>Initial</t>
        </is>
      </c>
    </row>
    <row r="2112">
      <c r="A2112" s="33" t="inlineStr">
        <is>
          <t>2026-06-17</t>
        </is>
      </c>
      <c r="B2112" s="33" t="inlineStr">
        <is>
          <t>FTNT</t>
        </is>
      </c>
      <c r="C2112" s="33" t="inlineStr">
        <is>
          <t>D1</t>
        </is>
      </c>
      <c r="D2112" s="33" t="n">
        <v>1</v>
      </c>
      <c r="E2112" s="33" t="inlineStr">
        <is>
          <t>FortiAI/Secure AI nascent, not separately disclosed; AI applied within platform not a rev line</t>
        </is>
      </c>
      <c r="F2112" s="33" t="inlineStr">
        <is>
          <t>per-stock/FTNT/context-2026-06-17.md</t>
        </is>
      </c>
      <c r="G2112" s="33" t="inlineStr">
        <is>
          <t>High</t>
        </is>
      </c>
      <c r="H2112" s="33" t="inlineStr">
        <is>
          <t>Initial</t>
        </is>
      </c>
    </row>
    <row r="2113">
      <c r="A2113" s="33" t="inlineStr">
        <is>
          <t>2026-06-17</t>
        </is>
      </c>
      <c r="B2113" s="33" t="inlineStr">
        <is>
          <t>FTNT</t>
        </is>
      </c>
      <c r="C2113" s="33" t="inlineStr">
        <is>
          <t>D2</t>
        </is>
      </c>
      <c r="D2113" s="33" t="n">
        <v>3</v>
      </c>
      <c r="E2113" s="33" t="inlineStr">
        <is>
          <t>Downstream security software/appliance; FortiASIC SPU + FortiOS differentiation but multiple substitutes</t>
        </is>
      </c>
      <c r="F2113" s="33" t="inlineStr">
        <is>
          <t>per-stock/FTNT/context-2026-06-17.md</t>
        </is>
      </c>
      <c r="G2113" s="33" t="inlineStr">
        <is>
          <t>High</t>
        </is>
      </c>
      <c r="H2113" s="33" t="inlineStr">
        <is>
          <t>Initial</t>
        </is>
      </c>
    </row>
    <row r="2114">
      <c r="A2114" s="33" t="inlineStr">
        <is>
          <t>2026-06-17</t>
        </is>
      </c>
      <c r="B2114" s="33" t="inlineStr">
        <is>
          <t>FTNT</t>
        </is>
      </c>
      <c r="C2114" s="33" t="inlineStr">
        <is>
          <t>D3</t>
        </is>
      </c>
      <c r="D2114" s="33" t="n">
        <v>4</v>
      </c>
      <c r="E2114" s="33" t="inlineStr">
        <is>
          <t>FortiASIC cost-advantage + FortiOS/Fabric switching costs + 30k-partner channel; not 5 (peers, recurring CVEs)</t>
        </is>
      </c>
      <c r="F2114" s="33" t="inlineStr">
        <is>
          <t>per-stock/FTNT/context-2026-06-17.md</t>
        </is>
      </c>
      <c r="G2114" s="33" t="inlineStr">
        <is>
          <t>Medium</t>
        </is>
      </c>
      <c r="H2114" s="33" t="inlineStr">
        <is>
          <t>Initial</t>
        </is>
      </c>
    </row>
    <row r="2115">
      <c r="A2115" s="33" t="inlineStr">
        <is>
          <t>2026-06-17</t>
        </is>
      </c>
      <c r="B2115" s="33" t="inlineStr">
        <is>
          <t>FTNT</t>
        </is>
      </c>
      <c r="C2115" s="33" t="inlineStr">
        <is>
          <t>D4</t>
        </is>
      </c>
      <c r="D2115" s="33" t="n">
        <v>3</v>
      </c>
      <c r="E2115" s="33" t="inlineStr">
        <is>
          <t>Steady R&amp;D + unified-SASE PoP buildout; no major funded multi-year capex (asset-light)</t>
        </is>
      </c>
      <c r="F2115" s="33" t="inlineStr">
        <is>
          <t>per-stock/FTNT/context-2026-06-17.md</t>
        </is>
      </c>
      <c r="G2115" s="33" t="inlineStr">
        <is>
          <t>Medium</t>
        </is>
      </c>
      <c r="H2115" s="33" t="inlineStr">
        <is>
          <t>Initial</t>
        </is>
      </c>
    </row>
    <row r="2116">
      <c r="A2116" s="33" t="inlineStr">
        <is>
          <t>2026-06-17</t>
        </is>
      </c>
      <c r="B2116" s="33" t="inlineStr">
        <is>
          <t>FTNT</t>
        </is>
      </c>
      <c r="C2116" s="33" t="inlineStr">
        <is>
          <t>D5</t>
        </is>
      </c>
      <c r="D2116" s="33" t="n">
        <v>1</v>
      </c>
      <c r="E2116" s="33" t="inlineStr">
        <is>
          <t>No material hyperscaler-anchor rev; not an AI-infra buyer/seller</t>
        </is>
      </c>
      <c r="F2116" s="33" t="inlineStr">
        <is>
          <t>per-stock/FTNT/context-2026-06-17.md</t>
        </is>
      </c>
      <c r="G2116" s="33" t="inlineStr">
        <is>
          <t>High</t>
        </is>
      </c>
      <c r="H2116" s="33" t="inlineStr">
        <is>
          <t>Initial</t>
        </is>
      </c>
    </row>
    <row r="2117">
      <c r="A2117" s="33" t="inlineStr">
        <is>
          <t>2026-06-17</t>
        </is>
      </c>
      <c r="B2117" s="33" t="inlineStr">
        <is>
          <t>FTNT</t>
        </is>
      </c>
      <c r="C2117" s="33" t="inlineStr">
        <is>
          <t>M1</t>
        </is>
      </c>
      <c r="D2117" s="33" t="n">
        <v>4</v>
      </c>
      <c r="E2117" s="33" t="inlineStr">
        <is>
          <t>Beat-and-raise (non-GAAP EPS $0.82 vs ~$0.62, +32% beat); multiple PT raises; consensus still Hold</t>
        </is>
      </c>
      <c r="F2117" s="33" t="inlineStr">
        <is>
          <t>per-stock/FTNT/context-2026-06-17.md</t>
        </is>
      </c>
      <c r="G2117" s="33" t="inlineStr">
        <is>
          <t>Medium</t>
        </is>
      </c>
      <c r="H2117" s="33" t="inlineStr">
        <is>
          <t>Initial</t>
        </is>
      </c>
    </row>
    <row r="2118">
      <c r="A2118" s="33" t="inlineStr">
        <is>
          <t>2026-06-17</t>
        </is>
      </c>
      <c r="B2118" s="33" t="inlineStr">
        <is>
          <t>FTNT</t>
        </is>
      </c>
      <c r="C2118" s="33" t="inlineStr">
        <is>
          <t>M2</t>
        </is>
      </c>
      <c r="D2118" s="33" t="n">
        <v>4</v>
      </c>
      <c r="E2118" s="33" t="inlineStr">
        <is>
          <t>Strong post-Q1 move, outperforming software peers near-term</t>
        </is>
      </c>
      <c r="F2118" s="33" t="inlineStr">
        <is>
          <t>per-stock/FTNT/context-2026-06-17.md</t>
        </is>
      </c>
      <c r="G2118" s="33" t="inlineStr">
        <is>
          <t>Medium</t>
        </is>
      </c>
      <c r="H2118" s="33" t="inlineStr">
        <is>
          <t>Initial</t>
        </is>
      </c>
    </row>
    <row r="2119">
      <c r="A2119" s="33" t="inlineStr">
        <is>
          <t>2026-06-17</t>
        </is>
      </c>
      <c r="B2119" s="33" t="inlineStr">
        <is>
          <t>FTNT</t>
        </is>
      </c>
      <c r="C2119" s="33" t="inlineStr">
        <is>
          <t>M3</t>
        </is>
      </c>
      <c r="D2119" s="33" t="n">
        <v>3</v>
      </c>
      <c r="E2119" s="33" t="inlineStr">
        <is>
          <t>32 sells/0 buys 6mo but all 10b5-1; Xie retains 53M+ sh -&gt; routine default</t>
        </is>
      </c>
      <c r="F2119" s="33" t="inlineStr">
        <is>
          <t>per-stock/FTNT/context-2026-06-17.md</t>
        </is>
      </c>
      <c r="G2119" s="33" t="inlineStr">
        <is>
          <t>High</t>
        </is>
      </c>
      <c r="H2119" s="33" t="inlineStr">
        <is>
          <t>Initial</t>
        </is>
      </c>
    </row>
    <row r="2120">
      <c r="A2120" s="33" t="inlineStr">
        <is>
          <t>2026-06-17</t>
        </is>
      </c>
      <c r="B2120" s="33" t="inlineStr">
        <is>
          <t>FTNT</t>
        </is>
      </c>
      <c r="C2120" s="33" t="inlineStr">
        <is>
          <t>R1</t>
        </is>
      </c>
      <c r="D2120" s="33" t="n">
        <v>3</v>
      </c>
      <c r="E2120" s="33" t="inlineStr">
        <is>
          <t>Distributor A=28% of rev (B 15%, C 12%); six distributors=67% A/R — real concentration (distributor tier)</t>
        </is>
      </c>
      <c r="F2120" s="33" t="inlineStr">
        <is>
          <t>per-stock/FTNT/context-2026-06-17.md</t>
        </is>
      </c>
      <c r="G2120" s="33" t="inlineStr">
        <is>
          <t>High</t>
        </is>
      </c>
      <c r="H2120" s="33" t="inlineStr">
        <is>
          <t>Initial</t>
        </is>
      </c>
    </row>
    <row r="2121">
      <c r="A2121" s="33" t="inlineStr">
        <is>
          <t>2026-06-17</t>
        </is>
      </c>
      <c r="B2121" s="33" t="inlineStr">
        <is>
          <t>FTNT</t>
        </is>
      </c>
      <c r="C2121" s="33" t="inlineStr">
        <is>
          <t>R2</t>
        </is>
      </c>
      <c r="D2121" s="33" t="n">
        <v>4</v>
      </c>
      <c r="E2121" s="33" t="inlineStr">
        <is>
          <t>EMEA 42% worst leg; no single country &gt;~40%, no material China/policy impairment, R&amp;D 78% N.America</t>
        </is>
      </c>
      <c r="F2121" s="33" t="inlineStr">
        <is>
          <t>per-stock/FTNT/context-2026-06-17.md</t>
        </is>
      </c>
      <c r="G2121" s="33" t="inlineStr">
        <is>
          <t>Medium</t>
        </is>
      </c>
      <c r="H2121" s="33" t="inlineStr">
        <is>
          <t>Initial</t>
        </is>
      </c>
    </row>
    <row r="2122">
      <c r="A2122" s="33" t="inlineStr">
        <is>
          <t>2026-06-17</t>
        </is>
      </c>
      <c r="B2122" s="33" t="inlineStr">
        <is>
          <t>FTNT</t>
        </is>
      </c>
      <c r="C2122" s="33" t="inlineStr">
        <is>
          <t>R3</t>
        </is>
      </c>
      <c r="D2122" s="33" t="n">
        <v>5</v>
      </c>
      <c r="E2122" s="33" t="inlineStr">
        <is>
          <t>Net cash (ND/EBITDA -1.16); $3.3B cash; record $1B+ quarterly FCF</t>
        </is>
      </c>
      <c r="F2122" s="33" t="inlineStr">
        <is>
          <t>per-stock/FTNT/context-2026-06-17.md</t>
        </is>
      </c>
      <c r="G2122" s="33" t="inlineStr">
        <is>
          <t>High</t>
        </is>
      </c>
      <c r="H2122" s="33" t="inlineStr">
        <is>
          <t>Initial</t>
        </is>
      </c>
    </row>
    <row r="2123">
      <c r="A2123" s="33" t="inlineStr">
        <is>
          <t>2026-06-17</t>
        </is>
      </c>
      <c r="B2123" s="33" t="inlineStr">
        <is>
          <t>FTNT</t>
        </is>
      </c>
      <c r="C2123" s="33" t="inlineStr">
        <is>
          <t>R4</t>
        </is>
      </c>
      <c r="D2123" s="33" t="n">
        <v>3</v>
      </c>
      <c r="E2123" s="33" t="inlineStr">
        <is>
          <t>No disclosed material litigation, but recurring exploited critical zero-days (CVE-2026-24858 CVSS 9.4) = churn/reputational overhang</t>
        </is>
      </c>
      <c r="F2123" s="33" t="inlineStr">
        <is>
          <t>per-stock/FTNT/context-2026-06-17.md</t>
        </is>
      </c>
      <c r="G2123" s="33" t="inlineStr">
        <is>
          <t>Medium</t>
        </is>
      </c>
      <c r="H2123" s="33" t="inlineStr">
        <is>
          <t>Initial</t>
        </is>
      </c>
    </row>
    <row r="2124">
      <c r="A2124" s="33" t="inlineStr">
        <is>
          <t>2026-06-17</t>
        </is>
      </c>
      <c r="B2124" s="33" t="inlineStr">
        <is>
          <t>ZS</t>
        </is>
      </c>
      <c r="C2124" s="33" t="inlineStr">
        <is>
          <t>D1</t>
        </is>
      </c>
      <c r="D2124" s="33" t="n">
        <v>2</v>
      </c>
      <c r="E2124" s="33" t="inlineStr">
        <is>
          <t>AI Protect ~$100M cumulative TCV vs $3.5B ARR — low-single-digit AI revenue</t>
        </is>
      </c>
      <c r="F2124" s="33" t="inlineStr">
        <is>
          <t>per-stock/ZS/context-2026-06-17.md</t>
        </is>
      </c>
      <c r="G2124" s="33" t="inlineStr">
        <is>
          <t>Medium</t>
        </is>
      </c>
      <c r="H2124" s="33" t="inlineStr">
        <is>
          <t>Initial</t>
        </is>
      </c>
    </row>
    <row r="2125">
      <c r="A2125" s="33" t="inlineStr">
        <is>
          <t>2026-06-17</t>
        </is>
      </c>
      <c r="B2125" s="33" t="inlineStr">
        <is>
          <t>ZS</t>
        </is>
      </c>
      <c r="C2125" s="33" t="inlineStr">
        <is>
          <t>D2</t>
        </is>
      </c>
      <c r="D2125" s="33" t="n">
        <v>4</v>
      </c>
      <c r="E2125" s="33" t="inlineStr">
        <is>
          <t>Zero Trust Exchange upstream control point; 2-4 real competitors</t>
        </is>
      </c>
      <c r="F2125" s="33" t="inlineStr">
        <is>
          <t>per-stock/ZS/context-2026-06-17.md</t>
        </is>
      </c>
      <c r="G2125" s="33" t="inlineStr">
        <is>
          <t>High</t>
        </is>
      </c>
      <c r="H2125" s="33" t="inlineStr">
        <is>
          <t>Initial</t>
        </is>
      </c>
    </row>
    <row r="2126">
      <c r="A2126" s="33" t="inlineStr">
        <is>
          <t>2026-06-17</t>
        </is>
      </c>
      <c r="B2126" s="33" t="inlineStr">
        <is>
          <t>ZS</t>
        </is>
      </c>
      <c r="C2126" s="33" t="inlineStr">
        <is>
          <t>D3</t>
        </is>
      </c>
      <c r="D2126" s="33" t="n">
        <v>4</v>
      </c>
      <c r="E2126" s="33" t="inlineStr">
        <is>
          <t>Strong switching costs + $6.46B RPO but NRR compressed ~115% and guide cut; not 5</t>
        </is>
      </c>
      <c r="F2126" s="33" t="inlineStr">
        <is>
          <t>per-stock/ZS/context-2026-06-17.md</t>
        </is>
      </c>
      <c r="G2126" s="33" t="inlineStr">
        <is>
          <t>Medium</t>
        </is>
      </c>
      <c r="H2126" s="33" t="inlineStr">
        <is>
          <t>Initial</t>
        </is>
      </c>
    </row>
    <row r="2127">
      <c r="A2127" s="33" t="inlineStr">
        <is>
          <t>2026-06-17</t>
        </is>
      </c>
      <c r="B2127" s="33" t="inlineStr">
        <is>
          <t>ZS</t>
        </is>
      </c>
      <c r="C2127" s="33" t="inlineStr">
        <is>
          <t>D4</t>
        </is>
      </c>
      <c r="D2127" s="33" t="n">
        <v>4</v>
      </c>
      <c r="E2127" s="33" t="inlineStr">
        <is>
          <t>Aggressive product/platform + M&amp;A (Red Canary, Symmetry)</t>
        </is>
      </c>
      <c r="F2127" s="33" t="inlineStr">
        <is>
          <t>per-stock/ZS/context-2026-06-17.md</t>
        </is>
      </c>
      <c r="G2127" s="33" t="inlineStr">
        <is>
          <t>Medium</t>
        </is>
      </c>
      <c r="H2127" s="33" t="inlineStr">
        <is>
          <t>Initial</t>
        </is>
      </c>
    </row>
    <row r="2128">
      <c r="A2128" s="33" t="inlineStr">
        <is>
          <t>2026-06-17</t>
        </is>
      </c>
      <c r="B2128" s="33" t="inlineStr">
        <is>
          <t>ZS</t>
        </is>
      </c>
      <c r="C2128" s="33" t="inlineStr">
        <is>
          <t>D5</t>
        </is>
      </c>
      <c r="D2128" s="33" t="n">
        <v>2</v>
      </c>
      <c r="E2128" s="33" t="inlineStr">
        <is>
          <t>Indirect — secures AI usage, not in compute supply chain</t>
        </is>
      </c>
      <c r="F2128" s="33" t="inlineStr">
        <is>
          <t>per-stock/ZS/context-2026-06-17.md</t>
        </is>
      </c>
      <c r="G2128" s="33" t="inlineStr">
        <is>
          <t>Medium</t>
        </is>
      </c>
      <c r="H2128" s="33" t="inlineStr">
        <is>
          <t>Initial</t>
        </is>
      </c>
    </row>
    <row r="2129">
      <c r="A2129" s="33" t="inlineStr">
        <is>
          <t>2026-06-17</t>
        </is>
      </c>
      <c r="B2129" s="33" t="inlineStr">
        <is>
          <t>ZS</t>
        </is>
      </c>
      <c r="C2129" s="33" t="inlineStr">
        <is>
          <t>M1</t>
        </is>
      </c>
      <c r="D2129" s="33" t="n">
        <v>1</v>
      </c>
      <c r="E2129" s="33" t="inlineStr">
        <is>
          <t>Sharp consensus cuts post FY27 guide-down to 16-17%</t>
        </is>
      </c>
      <c r="F2129" s="33" t="inlineStr">
        <is>
          <t>per-stock/ZS/context-2026-06-17.md</t>
        </is>
      </c>
      <c r="G2129" s="33" t="inlineStr">
        <is>
          <t>High</t>
        </is>
      </c>
      <c r="H2129" s="33" t="inlineStr">
        <is>
          <t>Initial</t>
        </is>
      </c>
    </row>
    <row r="2130">
      <c r="A2130" s="33" t="inlineStr">
        <is>
          <t>2026-06-17</t>
        </is>
      </c>
      <c r="B2130" s="33" t="inlineStr">
        <is>
          <t>ZS</t>
        </is>
      </c>
      <c r="C2130" s="33" t="inlineStr">
        <is>
          <t>M2</t>
        </is>
      </c>
      <c r="D2130" s="33" t="n">
        <v>1</v>
      </c>
      <c r="E2130" s="33" t="inlineStr">
        <is>
          <t>Down ~50% to near 52-wk low; 50DMA 12.5%</t>
        </is>
      </c>
      <c r="F2130" s="33" t="inlineStr">
        <is>
          <t>per-stock/ZS/context-2026-06-17.md</t>
        </is>
      </c>
      <c r="G2130" s="33" t="inlineStr">
        <is>
          <t>High</t>
        </is>
      </c>
      <c r="H2130" s="33" t="inlineStr">
        <is>
          <t>Initial</t>
        </is>
      </c>
    </row>
    <row r="2131">
      <c r="A2131" s="33" t="inlineStr">
        <is>
          <t>2026-06-17</t>
        </is>
      </c>
      <c r="B2131" s="33" t="inlineStr">
        <is>
          <t>ZS</t>
        </is>
      </c>
      <c r="C2131" s="33" t="inlineStr">
        <is>
          <t>M3</t>
        </is>
      </c>
      <c r="D2131" s="33" t="n">
        <v>3</v>
      </c>
      <c r="E2131" s="33" t="inlineStr">
        <is>
          <t>Routine RSU tax sells only, no open-market buys -&gt; default</t>
        </is>
      </c>
      <c r="F2131" s="33" t="inlineStr">
        <is>
          <t>per-stock/ZS/context-2026-06-17.md</t>
        </is>
      </c>
      <c r="G2131" s="33" t="inlineStr">
        <is>
          <t>High</t>
        </is>
      </c>
      <c r="H2131" s="33" t="inlineStr">
        <is>
          <t>Initial</t>
        </is>
      </c>
    </row>
    <row r="2132">
      <c r="A2132" s="33" t="inlineStr">
        <is>
          <t>2026-06-17</t>
        </is>
      </c>
      <c r="B2132" s="33" t="inlineStr">
        <is>
          <t>ZS</t>
        </is>
      </c>
      <c r="C2132" s="33" t="inlineStr">
        <is>
          <t>R1</t>
        </is>
      </c>
      <c r="D2132" s="33" t="n">
        <v>5</v>
      </c>
      <c r="E2132" s="33" t="inlineStr">
        <is>
          <t>No customer &gt;10% of rev</t>
        </is>
      </c>
      <c r="F2132" s="33" t="inlineStr">
        <is>
          <t>per-stock/ZS/context-2026-06-17.md</t>
        </is>
      </c>
      <c r="G2132" s="33" t="inlineStr">
        <is>
          <t>High</t>
        </is>
      </c>
      <c r="H2132" s="33" t="inlineStr">
        <is>
          <t>Initial</t>
        </is>
      </c>
    </row>
    <row r="2133">
      <c r="A2133" s="33" t="inlineStr">
        <is>
          <t>2026-06-17</t>
        </is>
      </c>
      <c r="B2133" s="33" t="inlineStr">
        <is>
          <t>ZS</t>
        </is>
      </c>
      <c r="C2133" s="33" t="inlineStr">
        <is>
          <t>R2</t>
        </is>
      </c>
      <c r="D2133" s="33" t="n">
        <v>5</v>
      </c>
      <c r="E2133" s="33" t="inlineStr">
        <is>
          <t>US SaaS, diversified, no China/asset leg</t>
        </is>
      </c>
      <c r="F2133" s="33" t="inlineStr">
        <is>
          <t>per-stock/ZS/context-2026-06-17.md</t>
        </is>
      </c>
      <c r="G2133" s="33" t="inlineStr">
        <is>
          <t>Medium</t>
        </is>
      </c>
      <c r="H2133" s="33" t="inlineStr">
        <is>
          <t>Initial</t>
        </is>
      </c>
    </row>
    <row r="2134">
      <c r="A2134" s="33" t="inlineStr">
        <is>
          <t>2026-06-17</t>
        </is>
      </c>
      <c r="B2134" s="33" t="inlineStr">
        <is>
          <t>ZS</t>
        </is>
      </c>
      <c r="C2134" s="33" t="inlineStr">
        <is>
          <t>R3</t>
        </is>
      </c>
      <c r="D2134" s="33" t="n">
        <v>5</v>
      </c>
      <c r="E2134" s="33" t="inlineStr">
        <is>
          <t>Net cash $1.67B; 28% FCF margin</t>
        </is>
      </c>
      <c r="F2134" s="33" t="inlineStr">
        <is>
          <t>per-stock/ZS/context-2026-06-17.md</t>
        </is>
      </c>
      <c r="G2134" s="33" t="inlineStr">
        <is>
          <t>High</t>
        </is>
      </c>
      <c r="H2134" s="33" t="inlineStr">
        <is>
          <t>Initial</t>
        </is>
      </c>
    </row>
    <row r="2135">
      <c r="A2135" s="33" t="inlineStr">
        <is>
          <t>2026-06-17</t>
        </is>
      </c>
      <c r="B2135" s="33" t="inlineStr">
        <is>
          <t>ZS</t>
        </is>
      </c>
      <c r="C2135" s="33" t="inlineStr">
        <is>
          <t>R4</t>
        </is>
      </c>
      <c r="D2135" s="33" t="n">
        <v>4</v>
      </c>
      <c r="E2135" s="33" t="inlineStr">
        <is>
          <t>Ordinary-course only, no material case</t>
        </is>
      </c>
      <c r="F2135" s="33" t="inlineStr">
        <is>
          <t>per-stock/ZS/context-2026-06-17.md</t>
        </is>
      </c>
      <c r="G2135" s="33" t="inlineStr">
        <is>
          <t>Medium</t>
        </is>
      </c>
      <c r="H2135" s="33" t="inlineStr">
        <is>
          <t>Initial</t>
        </is>
      </c>
    </row>
    <row r="2136">
      <c r="A2136" s="33" t="inlineStr">
        <is>
          <t>2026-06-17</t>
        </is>
      </c>
      <c r="B2136" s="33" t="inlineStr">
        <is>
          <t>INTU</t>
        </is>
      </c>
      <c r="C2136" s="33" t="inlineStr">
        <is>
          <t>D1</t>
        </is>
      </c>
      <c r="D2136" s="33" t="n">
        <v>2</v>
      </c>
      <c r="E2136" s="33" t="inlineStr">
        <is>
          <t>No discrete AI rev disclosed; platform re-architected on GenOS/Assist but little directly-monetized AI yet</t>
        </is>
      </c>
      <c r="F2136" s="33" t="inlineStr">
        <is>
          <t>per-stock/INTU/context-2026-06-17.md</t>
        </is>
      </c>
      <c r="G2136" s="33" t="inlineStr">
        <is>
          <t>Medium</t>
        </is>
      </c>
      <c r="H2136" s="33" t="inlineStr">
        <is>
          <t>Initial</t>
        </is>
      </c>
    </row>
    <row r="2137">
      <c r="A2137" s="33" t="inlineStr">
        <is>
          <t>2026-06-17</t>
        </is>
      </c>
      <c r="B2137" s="33" t="inlineStr">
        <is>
          <t>INTU</t>
        </is>
      </c>
      <c r="C2137" s="33" t="inlineStr">
        <is>
          <t>D2</t>
        </is>
      </c>
      <c r="D2137" s="33" t="n">
        <v>3</v>
      </c>
      <c r="E2137" s="33" t="inlineStr">
        <is>
          <t>Huge SMB/consumer install base + workflow lock-in, but 2026 tax miss shows DIY entry contestable</t>
        </is>
      </c>
      <c r="F2137" s="33" t="inlineStr">
        <is>
          <t>per-stock/INTU/context-2026-06-17.md</t>
        </is>
      </c>
      <c r="G2137" s="33" t="inlineStr">
        <is>
          <t>High</t>
        </is>
      </c>
      <c r="H2137" s="33" t="inlineStr">
        <is>
          <t>Initial</t>
        </is>
      </c>
    </row>
    <row r="2138">
      <c r="A2138" s="33" t="inlineStr">
        <is>
          <t>2026-06-17</t>
        </is>
      </c>
      <c r="B2138" s="33" t="inlineStr">
        <is>
          <t>INTU</t>
        </is>
      </c>
      <c r="C2138" s="33" t="inlineStr">
        <is>
          <t>D3</t>
        </is>
      </c>
      <c r="D2138" s="33" t="n">
        <v>3</v>
      </c>
      <c r="E2138" s="33" t="inlineStr">
        <is>
          <t>QuickBooks/SMB moat strong; TurboTax consumer pricing power just cracked; OpenAI deal cedes top-of-funnel</t>
        </is>
      </c>
      <c r="F2138" s="33" t="inlineStr">
        <is>
          <t>per-stock/INTU/context-2026-06-17.md</t>
        </is>
      </c>
      <c r="G2138" s="33" t="inlineStr">
        <is>
          <t>Medium</t>
        </is>
      </c>
      <c r="H2138" s="33" t="inlineStr">
        <is>
          <t>Initial</t>
        </is>
      </c>
    </row>
    <row r="2139">
      <c r="A2139" s="33" t="inlineStr">
        <is>
          <t>2026-06-17</t>
        </is>
      </c>
      <c r="B2139" s="33" t="inlineStr">
        <is>
          <t>INTU</t>
        </is>
      </c>
      <c r="C2139" s="33" t="inlineStr">
        <is>
          <t>D4</t>
        </is>
      </c>
      <c r="D2139" s="33" t="n">
        <v>3</v>
      </c>
      <c r="E2139" s="33" t="inlineStr">
        <is>
          <t>Heavy AI/product investment ($100M/yr OpenAI) but cutting 17% headcount — efficiency not expansion</t>
        </is>
      </c>
      <c r="F2139" s="33" t="inlineStr">
        <is>
          <t>per-stock/INTU/context-2026-06-17.md</t>
        </is>
      </c>
      <c r="G2139" s="33" t="inlineStr">
        <is>
          <t>Medium</t>
        </is>
      </c>
      <c r="H2139" s="33" t="inlineStr">
        <is>
          <t>Initial</t>
        </is>
      </c>
    </row>
    <row r="2140">
      <c r="A2140" s="33" t="inlineStr">
        <is>
          <t>2026-06-17</t>
        </is>
      </c>
      <c r="B2140" s="33" t="inlineStr">
        <is>
          <t>INTU</t>
        </is>
      </c>
      <c r="C2140" s="33" t="inlineStr">
        <is>
          <t>D5</t>
        </is>
      </c>
      <c r="D2140" s="33" t="n">
        <v>1</v>
      </c>
      <c r="E2140" s="33" t="inlineStr">
        <is>
          <t>Consumer of AI compute (pays OpenAI), not infra supplier</t>
        </is>
      </c>
      <c r="F2140" s="33" t="inlineStr">
        <is>
          <t>per-stock/INTU/context-2026-06-17.md</t>
        </is>
      </c>
      <c r="G2140" s="33" t="inlineStr">
        <is>
          <t>High</t>
        </is>
      </c>
      <c r="H2140" s="33" t="inlineStr">
        <is>
          <t>Initial</t>
        </is>
      </c>
    </row>
    <row r="2141">
      <c r="A2141" s="33" t="inlineStr">
        <is>
          <t>2026-06-17</t>
        </is>
      </c>
      <c r="B2141" s="33" t="inlineStr">
        <is>
          <t>INTU</t>
        </is>
      </c>
      <c r="C2141" s="33" t="inlineStr">
        <is>
          <t>M1</t>
        </is>
      </c>
      <c r="D2141" s="33" t="n">
        <v>2</v>
      </c>
      <c r="E2141" s="33" t="inlineStr">
        <is>
          <t>Wells Fargo + others downgraded/cut after tax miss despite technical guide raise</t>
        </is>
      </c>
      <c r="F2141" s="33" t="inlineStr">
        <is>
          <t>per-stock/INTU/context-2026-06-17.md</t>
        </is>
      </c>
      <c r="G2141" s="33" t="inlineStr">
        <is>
          <t>Medium</t>
        </is>
      </c>
      <c r="H2141" s="33" t="inlineStr">
        <is>
          <t>Initial</t>
        </is>
      </c>
    </row>
    <row r="2142">
      <c r="A2142" s="33" t="inlineStr">
        <is>
          <t>2026-06-17</t>
        </is>
      </c>
      <c r="B2142" s="33" t="inlineStr">
        <is>
          <t>INTU</t>
        </is>
      </c>
      <c r="C2142" s="33" t="inlineStr">
        <is>
          <t>M2</t>
        </is>
      </c>
      <c r="D2142" s="33" t="n">
        <v>1</v>
      </c>
      <c r="E2142" s="33" t="inlineStr">
        <is>
          <t>-67% off high, near 52-wk low; 50DMA% 4.2% vs ~flat IGV</t>
        </is>
      </c>
      <c r="F2142" s="33" t="inlineStr">
        <is>
          <t>per-stock/INTU/context-2026-06-17.md</t>
        </is>
      </c>
      <c r="G2142" s="33" t="inlineStr">
        <is>
          <t>High</t>
        </is>
      </c>
      <c r="H2142" s="33" t="inlineStr">
        <is>
          <t>Initial</t>
        </is>
      </c>
    </row>
    <row r="2143">
      <c r="A2143" s="33" t="inlineStr">
        <is>
          <t>2026-06-17</t>
        </is>
      </c>
      <c r="B2143" s="33" t="inlineStr">
        <is>
          <t>INTU</t>
        </is>
      </c>
      <c r="C2143" s="33" t="inlineStr">
        <is>
          <t>M3</t>
        </is>
      </c>
      <c r="D2143" s="33" t="n">
        <v>4</v>
      </c>
      <c r="E2143" s="33" t="inlineStr">
        <is>
          <t>One open-market discretionary BUY (Dir Prabhu ~$541K post-crash @ $309); routine sells otherwise</t>
        </is>
      </c>
      <c r="F2143" s="33" t="inlineStr">
        <is>
          <t>per-stock/INTU/context-2026-06-17.md</t>
        </is>
      </c>
      <c r="G2143" s="33" t="inlineStr">
        <is>
          <t>High</t>
        </is>
      </c>
      <c r="H2143" s="33" t="inlineStr">
        <is>
          <t>Initial</t>
        </is>
      </c>
    </row>
    <row r="2144">
      <c r="A2144" s="33" t="inlineStr">
        <is>
          <t>2026-06-17</t>
        </is>
      </c>
      <c r="B2144" s="33" t="inlineStr">
        <is>
          <t>INTU</t>
        </is>
      </c>
      <c r="C2144" s="33" t="inlineStr">
        <is>
          <t>R1</t>
        </is>
      </c>
      <c r="D2144" s="33" t="n">
        <v>5</v>
      </c>
      <c r="E2144" s="33" t="inlineStr">
        <is>
          <t>Tens of millions of customers; none material</t>
        </is>
      </c>
      <c r="F2144" s="33" t="inlineStr">
        <is>
          <t>per-stock/INTU/context-2026-06-17.md</t>
        </is>
      </c>
      <c r="G2144" s="33" t="inlineStr">
        <is>
          <t>High</t>
        </is>
      </c>
      <c r="H2144" s="33" t="inlineStr">
        <is>
          <t>Initial</t>
        </is>
      </c>
    </row>
    <row r="2145">
      <c r="A2145" s="33" t="inlineStr">
        <is>
          <t>2026-06-17</t>
        </is>
      </c>
      <c r="B2145" s="33" t="inlineStr">
        <is>
          <t>INTU</t>
        </is>
      </c>
      <c r="C2145" s="33" t="inlineStr">
        <is>
          <t>R2</t>
        </is>
      </c>
      <c r="D2145" s="33" t="n">
        <v>5</v>
      </c>
      <c r="E2145" s="33" t="inlineStr">
        <is>
          <t>~95%+ US rev + US assets; worst shock domestic US tax-policy, not geo/export</t>
        </is>
      </c>
      <c r="F2145" s="33" t="inlineStr">
        <is>
          <t>per-stock/INTU/context-2026-06-17.md</t>
        </is>
      </c>
      <c r="G2145" s="33" t="inlineStr">
        <is>
          <t>Medium</t>
        </is>
      </c>
      <c r="H2145" s="33" t="inlineStr">
        <is>
          <t>Initial</t>
        </is>
      </c>
    </row>
    <row r="2146">
      <c r="A2146" s="33" t="inlineStr">
        <is>
          <t>2026-06-17</t>
        </is>
      </c>
      <c r="B2146" s="33" t="inlineStr">
        <is>
          <t>INTU</t>
        </is>
      </c>
      <c r="C2146" s="33" t="inlineStr">
        <is>
          <t>R3</t>
        </is>
      </c>
      <c r="D2146" s="33" t="n">
        <v>5</v>
      </c>
      <c r="E2146" s="33" t="inlineStr">
        <is>
          <t>Net-cash-neutral (ND/EBITDA 0.02x); 37% FCF margin; ~$7.7B TTM FCF</t>
        </is>
      </c>
      <c r="F2146" s="33" t="inlineStr">
        <is>
          <t>per-stock/INTU/context-2026-06-17.md</t>
        </is>
      </c>
      <c r="G2146" s="33" t="inlineStr">
        <is>
          <t>High</t>
        </is>
      </c>
      <c r="H2146" s="33" t="inlineStr">
        <is>
          <t>Initial</t>
        </is>
      </c>
    </row>
    <row r="2147">
      <c r="A2147" s="33" t="inlineStr">
        <is>
          <t>2026-06-17</t>
        </is>
      </c>
      <c r="B2147" s="33" t="inlineStr">
        <is>
          <t>INTU</t>
        </is>
      </c>
      <c r="C2147" s="33" t="inlineStr">
        <is>
          <t>R4</t>
        </is>
      </c>
      <c r="D2147" s="33" t="n">
        <v>3</v>
      </c>
      <c r="E2147" s="33" t="inlineStr">
        <is>
          <t>Active securities-fraud INVESTIGATION (plaintiff-firm stage) on pricing disclosures + TurboTax FTC/state-AG history (debatable vs 2)</t>
        </is>
      </c>
      <c r="F2147" s="33" t="inlineStr">
        <is>
          <t>per-stock/INTU/context-2026-06-17.md</t>
        </is>
      </c>
      <c r="G2147" s="33" t="inlineStr">
        <is>
          <t>Medium</t>
        </is>
      </c>
      <c r="H2147" s="33" t="inlineStr">
        <is>
          <t>Initial</t>
        </is>
      </c>
    </row>
    <row r="2148">
      <c r="A2148" s="33" t="inlineStr">
        <is>
          <t>2026-06-17</t>
        </is>
      </c>
      <c r="B2148" s="33" t="inlineStr">
        <is>
          <t>WDAY</t>
        </is>
      </c>
      <c r="C2148" s="33" t="inlineStr">
        <is>
          <t>D1</t>
        </is>
      </c>
      <c r="D2148" s="33" t="n">
        <v>2</v>
      </c>
      <c r="E2148" s="33" t="inlineStr">
        <is>
          <t>No disclosed AI-rev line; agentic AI an attach/uplift on a seat base; ~&lt;10% of rev</t>
        </is>
      </c>
      <c r="F2148" s="33" t="inlineStr">
        <is>
          <t>per-stock/WDAY/context-2026-06-17.md</t>
        </is>
      </c>
      <c r="G2148" s="33" t="inlineStr">
        <is>
          <t>Medium</t>
        </is>
      </c>
      <c r="H2148" s="33" t="inlineStr">
        <is>
          <t>Initial</t>
        </is>
      </c>
    </row>
    <row r="2149">
      <c r="A2149" s="33" t="inlineStr">
        <is>
          <t>2026-06-17</t>
        </is>
      </c>
      <c r="B2149" s="33" t="inlineStr">
        <is>
          <t>WDAY</t>
        </is>
      </c>
      <c r="C2149" s="33" t="inlineStr">
        <is>
          <t>D2</t>
        </is>
      </c>
      <c r="D2149" s="33" t="n">
        <v>3</v>
      </c>
      <c r="E2149" s="33" t="inlineStr">
        <is>
          <t>Mid-chain enterprise app; deep install base + switching costs but seat-pricing unit under AI question</t>
        </is>
      </c>
      <c r="F2149" s="33" t="inlineStr">
        <is>
          <t>per-stock/WDAY/context-2026-06-17.md</t>
        </is>
      </c>
      <c r="G2149" s="33" t="inlineStr">
        <is>
          <t>Medium</t>
        </is>
      </c>
      <c r="H2149" s="33" t="inlineStr">
        <is>
          <t>Initial</t>
        </is>
      </c>
    </row>
    <row r="2150">
      <c r="A2150" s="33" t="inlineStr">
        <is>
          <t>2026-06-17</t>
        </is>
      </c>
      <c r="B2150" s="33" t="inlineStr">
        <is>
          <t>WDAY</t>
        </is>
      </c>
      <c r="C2150" s="33" t="inlineStr">
        <is>
          <t>D3</t>
        </is>
      </c>
      <c r="D2150" s="33" t="n">
        <v>3</v>
      </c>
      <c r="E2150" s="33" t="inlineStr">
        <is>
          <t>Real enterprise depth/switching costs/unified data model, but per-seat model is what agentic AI threatens</t>
        </is>
      </c>
      <c r="F2150" s="33" t="inlineStr">
        <is>
          <t>per-stock/WDAY/context-2026-06-17.md</t>
        </is>
      </c>
      <c r="G2150" s="33" t="inlineStr">
        <is>
          <t>Medium</t>
        </is>
      </c>
      <c r="H2150" s="33" t="inlineStr">
        <is>
          <t>Initial</t>
        </is>
      </c>
    </row>
    <row r="2151">
      <c r="A2151" s="33" t="inlineStr">
        <is>
          <t>2026-06-17</t>
        </is>
      </c>
      <c r="B2151" s="33" t="inlineStr">
        <is>
          <t>WDAY</t>
        </is>
      </c>
      <c r="C2151" s="33" t="inlineStr">
        <is>
          <t>D4</t>
        </is>
      </c>
      <c r="D2151" s="33" t="n">
        <v>4</v>
      </c>
      <c r="E2151" s="33" t="inlineStr">
        <is>
          <t>Heavy agentic-AI roadmap; Agent System of Record GA; $1.1B Sana acquisition</t>
        </is>
      </c>
      <c r="F2151" s="33" t="inlineStr">
        <is>
          <t>per-stock/WDAY/context-2026-06-17.md</t>
        </is>
      </c>
      <c r="G2151" s="33" t="inlineStr">
        <is>
          <t>High</t>
        </is>
      </c>
      <c r="H2151" s="33" t="inlineStr">
        <is>
          <t>Initial</t>
        </is>
      </c>
    </row>
    <row r="2152">
      <c r="A2152" s="33" t="inlineStr">
        <is>
          <t>2026-06-17</t>
        </is>
      </c>
      <c r="B2152" s="33" t="inlineStr">
        <is>
          <t>WDAY</t>
        </is>
      </c>
      <c r="C2152" s="33" t="inlineStr">
        <is>
          <t>D5</t>
        </is>
      </c>
      <c r="D2152" s="33" t="n">
        <v>1</v>
      </c>
      <c r="E2152" s="33" t="inlineStr">
        <is>
          <t>Consumer of cloud compute; no hyperscaler rev, minimal AI-infra capex</t>
        </is>
      </c>
      <c r="F2152" s="33" t="inlineStr">
        <is>
          <t>per-stock/WDAY/context-2026-06-17.md</t>
        </is>
      </c>
      <c r="G2152" s="33" t="inlineStr">
        <is>
          <t>High</t>
        </is>
      </c>
      <c r="H2152" s="33" t="inlineStr">
        <is>
          <t>Initial</t>
        </is>
      </c>
    </row>
    <row r="2153">
      <c r="A2153" s="33" t="inlineStr">
        <is>
          <t>2026-06-17</t>
        </is>
      </c>
      <c r="B2153" s="33" t="inlineStr">
        <is>
          <t>WDAY</t>
        </is>
      </c>
      <c r="C2153" s="33" t="inlineStr">
        <is>
          <t>M1</t>
        </is>
      </c>
      <c r="D2153" s="33" t="n">
        <v>2</v>
      </c>
      <c r="E2153" s="33" t="inlineStr">
        <is>
          <t>Estimates/PTs broadly cut (Citi pulled rating, 26+ PT cuts, Jefferies Buy-&gt;Hold) despite Q1 beat</t>
        </is>
      </c>
      <c r="F2153" s="33" t="inlineStr">
        <is>
          <t>per-stock/WDAY/context-2026-06-17.md</t>
        </is>
      </c>
      <c r="G2153" s="33" t="inlineStr">
        <is>
          <t>High</t>
        </is>
      </c>
      <c r="H2153" s="33" t="inlineStr">
        <is>
          <t>Initial</t>
        </is>
      </c>
    </row>
    <row r="2154">
      <c r="A2154" s="33" t="inlineStr">
        <is>
          <t>2026-06-17</t>
        </is>
      </c>
      <c r="B2154" s="33" t="inlineStr">
        <is>
          <t>WDAY</t>
        </is>
      </c>
      <c r="C2154" s="33" t="inlineStr">
        <is>
          <t>M2</t>
        </is>
      </c>
      <c r="D2154" s="33" t="n">
        <v>1</v>
      </c>
      <c r="E2154" s="33" t="inlineStr">
        <is>
          <t>-44% in 120d / ~50%+ off highs vs flat-to-up IGV — severe underperformance</t>
        </is>
      </c>
      <c r="F2154" s="33" t="inlineStr">
        <is>
          <t>per-stock/WDAY/context-2026-06-17.md</t>
        </is>
      </c>
      <c r="G2154" s="33" t="inlineStr">
        <is>
          <t>High</t>
        </is>
      </c>
      <c r="H2154" s="33" t="inlineStr">
        <is>
          <t>Initial</t>
        </is>
      </c>
    </row>
    <row r="2155">
      <c r="A2155" s="33" t="inlineStr">
        <is>
          <t>2026-06-17</t>
        </is>
      </c>
      <c r="B2155" s="33" t="inlineStr">
        <is>
          <t>WDAY</t>
        </is>
      </c>
      <c r="C2155" s="33" t="inlineStr">
        <is>
          <t>M3</t>
        </is>
      </c>
      <c r="D2155" s="33" t="n">
        <v>3</v>
      </c>
      <c r="E2155" s="33" t="inlineStr">
        <is>
          <t>No open-market buys; Duffield sells explicit 10b5-1; officers only tax-withholding -&gt; routine</t>
        </is>
      </c>
      <c r="F2155" s="33" t="inlineStr">
        <is>
          <t>per-stock/WDAY/context-2026-06-17.md</t>
        </is>
      </c>
      <c r="G2155" s="33" t="inlineStr">
        <is>
          <t>High</t>
        </is>
      </c>
      <c r="H2155" s="33" t="inlineStr">
        <is>
          <t>Initial</t>
        </is>
      </c>
    </row>
    <row r="2156">
      <c r="A2156" s="33" t="inlineStr">
        <is>
          <t>2026-06-17</t>
        </is>
      </c>
      <c r="B2156" s="33" t="inlineStr">
        <is>
          <t>WDAY</t>
        </is>
      </c>
      <c r="C2156" s="33" t="inlineStr">
        <is>
          <t>R1</t>
        </is>
      </c>
      <c r="D2156" s="33" t="n">
        <v>5</v>
      </c>
      <c r="E2156" s="33" t="inlineStr">
        <is>
          <t>10-K: no customer &gt;10% of rev (FY24-26)</t>
        </is>
      </c>
      <c r="F2156" s="33" t="inlineStr">
        <is>
          <t>per-stock/WDAY/context-2026-06-17.md</t>
        </is>
      </c>
      <c r="G2156" s="33" t="inlineStr">
        <is>
          <t>High</t>
        </is>
      </c>
      <c r="H2156" s="33" t="inlineStr">
        <is>
          <t>Initial</t>
        </is>
      </c>
    </row>
    <row r="2157">
      <c r="A2157" s="33" t="inlineStr">
        <is>
          <t>2026-06-17</t>
        </is>
      </c>
      <c r="B2157" s="33" t="inlineStr">
        <is>
          <t>WDAY</t>
        </is>
      </c>
      <c r="C2157" s="33" t="inlineStr">
        <is>
          <t>R2</t>
        </is>
      </c>
      <c r="D2157" s="33" t="n">
        <v>5</v>
      </c>
      <c r="E2157" s="33" t="inlineStr">
        <is>
          <t>US-HQ; no country other than US &gt;10% of rev; US data centers</t>
        </is>
      </c>
      <c r="F2157" s="33" t="inlineStr">
        <is>
          <t>per-stock/WDAY/context-2026-06-17.md</t>
        </is>
      </c>
      <c r="G2157" s="33" t="inlineStr">
        <is>
          <t>High</t>
        </is>
      </c>
      <c r="H2157" s="33" t="inlineStr">
        <is>
          <t>Initial</t>
        </is>
      </c>
    </row>
    <row r="2158">
      <c r="A2158" s="33" t="inlineStr">
        <is>
          <t>2026-06-17</t>
        </is>
      </c>
      <c r="B2158" s="33" t="inlineStr">
        <is>
          <t>WDAY</t>
        </is>
      </c>
      <c r="C2158" s="33" t="inlineStr">
        <is>
          <t>R3</t>
        </is>
      </c>
      <c r="D2158" s="33" t="n">
        <v>5</v>
      </c>
      <c r="E2158" s="33" t="inlineStr">
        <is>
          <t>Net cash (ND/EBITDA -0.36x); ~$8B liquidity; 30% FCF margin</t>
        </is>
      </c>
      <c r="F2158" s="33" t="inlineStr">
        <is>
          <t>per-stock/WDAY/context-2026-06-17.md</t>
        </is>
      </c>
      <c r="G2158" s="33" t="inlineStr">
        <is>
          <t>High</t>
        </is>
      </c>
      <c r="H2158" s="33" t="inlineStr">
        <is>
          <t>Initial</t>
        </is>
      </c>
    </row>
    <row r="2159">
      <c r="A2159" s="33" t="inlineStr">
        <is>
          <t>2026-06-17</t>
        </is>
      </c>
      <c r="B2159" s="33" t="inlineStr">
        <is>
          <t>WDAY</t>
        </is>
      </c>
      <c r="C2159" s="33" t="inlineStr">
        <is>
          <t>R4</t>
        </is>
      </c>
      <c r="D2159" s="33" t="n">
        <v>3</v>
      </c>
      <c r="E2159" s="33" t="inlineStr">
        <is>
          <t>Mobley v. Workday — certified nationwide ADEA AI-hiring-bias collective, now merits phase (material, novel)</t>
        </is>
      </c>
      <c r="F2159" s="33" t="inlineStr">
        <is>
          <t>per-stock/WDAY/context-2026-06-17.md</t>
        </is>
      </c>
      <c r="G2159" s="33" t="inlineStr">
        <is>
          <t>Medium</t>
        </is>
      </c>
      <c r="H2159" s="33" t="inlineStr">
        <is>
          <t>Initial</t>
        </is>
      </c>
    </row>
    <row r="2160">
      <c r="A2160" s="33" t="inlineStr">
        <is>
          <t>2026-06-17</t>
        </is>
      </c>
      <c r="B2160" s="33" t="inlineStr">
        <is>
          <t>ADSK</t>
        </is>
      </c>
      <c r="C2160" s="33" t="inlineStr">
        <is>
          <t>D1</t>
        </is>
      </c>
      <c r="D2160" s="33" t="n">
        <v>1</v>
      </c>
      <c r="E2160" s="33" t="inlineStr">
        <is>
          <t>AI woven through products but no AI rev disclosed; clearly &lt;5%</t>
        </is>
      </c>
      <c r="F2160" s="33" t="inlineStr">
        <is>
          <t>per-stock/ADSK/context-2026-06-17.md</t>
        </is>
      </c>
      <c r="G2160" s="33" t="inlineStr">
        <is>
          <t>High</t>
        </is>
      </c>
      <c r="H2160" s="33" t="inlineStr">
        <is>
          <t>Initial</t>
        </is>
      </c>
    </row>
    <row r="2161">
      <c r="A2161" s="33" t="inlineStr">
        <is>
          <t>2026-06-17</t>
        </is>
      </c>
      <c r="B2161" s="33" t="inlineStr">
        <is>
          <t>ADSK</t>
        </is>
      </c>
      <c r="C2161" s="33" t="inlineStr">
        <is>
          <t>D2</t>
        </is>
      </c>
      <c r="D2161" s="33" t="n">
        <v>3</v>
      </c>
      <c r="E2161" s="33" t="inlineStr">
        <is>
          <t>CAD/BIM near-monopoly w/ workflow lock-in &amp; pricing power, but a Layer-10 app not an upstream bottleneck</t>
        </is>
      </c>
      <c r="F2161" s="33" t="inlineStr">
        <is>
          <t>per-stock/ADSK/context-2026-06-17.md</t>
        </is>
      </c>
      <c r="G2161" s="33" t="inlineStr">
        <is>
          <t>High</t>
        </is>
      </c>
      <c r="H2161" s="33" t="inlineStr">
        <is>
          <t>Initial</t>
        </is>
      </c>
    </row>
    <row r="2162">
      <c r="A2162" s="33" t="inlineStr">
        <is>
          <t>2026-06-17</t>
        </is>
      </c>
      <c r="B2162" s="33" t="inlineStr">
        <is>
          <t>ADSK</t>
        </is>
      </c>
      <c r="C2162" s="33" t="inlineStr">
        <is>
          <t>D3</t>
        </is>
      </c>
      <c r="D2162" s="33" t="n">
        <v>4</v>
      </c>
      <c r="E2162" s="33" t="inlineStr">
        <is>
          <t>AutoCAD/Revit format + 40-yr workflow/install-base lock-in; among most durable software moats</t>
        </is>
      </c>
      <c r="F2162" s="33" t="inlineStr">
        <is>
          <t>per-stock/ADSK/context-2026-06-17.md</t>
        </is>
      </c>
      <c r="G2162" s="33" t="inlineStr">
        <is>
          <t>High</t>
        </is>
      </c>
      <c r="H2162" s="33" t="inlineStr">
        <is>
          <t>Initial</t>
        </is>
      </c>
    </row>
    <row r="2163">
      <c r="A2163" s="33" t="inlineStr">
        <is>
          <t>2026-06-17</t>
        </is>
      </c>
      <c r="B2163" s="33" t="inlineStr">
        <is>
          <t>ADSK</t>
        </is>
      </c>
      <c r="C2163" s="33" t="inlineStr">
        <is>
          <t>D4</t>
        </is>
      </c>
      <c r="D2163" s="33" t="n">
        <v>4</v>
      </c>
      <c r="E2163" s="33" t="inlineStr">
        <is>
          <t>Heavy AI R&amp;D + platform build + $3.6B MaintainX TAM expansion</t>
        </is>
      </c>
      <c r="F2163" s="33" t="inlineStr">
        <is>
          <t>per-stock/ADSK/context-2026-06-17.md</t>
        </is>
      </c>
      <c r="G2163" s="33" t="inlineStr">
        <is>
          <t>Medium</t>
        </is>
      </c>
      <c r="H2163" s="33" t="inlineStr">
        <is>
          <t>Initial</t>
        </is>
      </c>
    </row>
    <row r="2164">
      <c r="A2164" s="33" t="inlineStr">
        <is>
          <t>2026-06-17</t>
        </is>
      </c>
      <c r="B2164" s="33" t="inlineStr">
        <is>
          <t>ADSK</t>
        </is>
      </c>
      <c r="C2164" s="33" t="inlineStr">
        <is>
          <t>D5</t>
        </is>
      </c>
      <c r="D2164" s="33" t="n">
        <v>1</v>
      </c>
      <c r="E2164" s="33" t="inlineStr">
        <is>
          <t>Consumer of cloud compute; no hyperscaler rev/AI-infra capex</t>
        </is>
      </c>
      <c r="F2164" s="33" t="inlineStr">
        <is>
          <t>per-stock/ADSK/context-2026-06-17.md</t>
        </is>
      </c>
      <c r="G2164" s="33" t="inlineStr">
        <is>
          <t>High</t>
        </is>
      </c>
      <c r="H2164" s="33" t="inlineStr">
        <is>
          <t>Initial</t>
        </is>
      </c>
    </row>
    <row r="2165">
      <c r="A2165" s="33" t="inlineStr">
        <is>
          <t>2026-06-17</t>
        </is>
      </c>
      <c r="B2165" s="33" t="inlineStr">
        <is>
          <t>ADSK</t>
        </is>
      </c>
      <c r="C2165" s="33" t="inlineStr">
        <is>
          <t>M1</t>
        </is>
      </c>
      <c r="D2165" s="33" t="n">
        <v>4</v>
      </c>
      <c r="E2165" s="33" t="inlineStr">
        <is>
          <t>Beat + raised FY27 guide; multiple post-Q1 PT raises (MS/KeyBanc/Barclays/Rosenblatt)</t>
        </is>
      </c>
      <c r="F2165" s="33" t="inlineStr">
        <is>
          <t>per-stock/ADSK/context-2026-06-17.md</t>
        </is>
      </c>
      <c r="G2165" s="33" t="inlineStr">
        <is>
          <t>Medium</t>
        </is>
      </c>
      <c r="H2165" s="33" t="inlineStr">
        <is>
          <t>Initial</t>
        </is>
      </c>
    </row>
    <row r="2166">
      <c r="A2166" s="33" t="inlineStr">
        <is>
          <t>2026-06-17</t>
        </is>
      </c>
      <c r="B2166" s="33" t="inlineStr">
        <is>
          <t>ADSK</t>
        </is>
      </c>
      <c r="C2166" s="33" t="inlineStr">
        <is>
          <t>M2</t>
        </is>
      </c>
      <c r="D2166" s="33" t="n">
        <v>2</v>
      </c>
      <c r="E2166" s="33" t="inlineStr">
        <is>
          <t>-34% over 6mo vs roughly flat IGV — severe underperformance</t>
        </is>
      </c>
      <c r="F2166" s="33" t="inlineStr">
        <is>
          <t>per-stock/ADSK/context-2026-06-17.md</t>
        </is>
      </c>
      <c r="G2166" s="33" t="inlineStr">
        <is>
          <t>High</t>
        </is>
      </c>
      <c r="H2166" s="33" t="inlineStr">
        <is>
          <t>Initial</t>
        </is>
      </c>
    </row>
    <row r="2167">
      <c r="A2167" s="33" t="inlineStr">
        <is>
          <t>2026-06-17</t>
        </is>
      </c>
      <c r="B2167" s="33" t="inlineStr">
        <is>
          <t>ADSK</t>
        </is>
      </c>
      <c r="C2167" s="33" t="inlineStr">
        <is>
          <t>M3</t>
        </is>
      </c>
      <c r="D2167" s="33" t="n">
        <v>5</v>
      </c>
      <c r="E2167" s="33" t="inlineStr">
        <is>
          <t>CEO Anagnost ($499K 6/17), CFO Moorjani ($494K 6/15), Dir Smith ($793K 5/29) all open-market BUYS on the dip</t>
        </is>
      </c>
      <c r="F2167" s="33" t="inlineStr">
        <is>
          <t>per-stock/ADSK/context-2026-06-17.md</t>
        </is>
      </c>
      <c r="G2167" s="33" t="inlineStr">
        <is>
          <t>High</t>
        </is>
      </c>
      <c r="H2167" s="33" t="inlineStr">
        <is>
          <t>Initial</t>
        </is>
      </c>
    </row>
    <row r="2168">
      <c r="A2168" s="33" t="inlineStr">
        <is>
          <t>2026-06-17</t>
        </is>
      </c>
      <c r="B2168" s="33" t="inlineStr">
        <is>
          <t>ADSK</t>
        </is>
      </c>
      <c r="C2168" s="33" t="inlineStr">
        <is>
          <t>R1</t>
        </is>
      </c>
      <c r="D2168" s="33" t="n">
        <v>5</v>
      </c>
      <c r="E2168" s="33" t="inlineStr">
        <is>
          <t>No end-customer &gt;10%; TD Synnex (distributor) 9% is channel</t>
        </is>
      </c>
      <c r="F2168" s="33" t="inlineStr">
        <is>
          <t>per-stock/ADSK/context-2026-06-17.md</t>
        </is>
      </c>
      <c r="G2168" s="33" t="inlineStr">
        <is>
          <t>High</t>
        </is>
      </c>
      <c r="H2168" s="33" t="inlineStr">
        <is>
          <t>Initial</t>
        </is>
      </c>
    </row>
    <row r="2169">
      <c r="A2169" s="33" t="inlineStr">
        <is>
          <t>2026-06-17</t>
        </is>
      </c>
      <c r="B2169" s="33" t="inlineStr">
        <is>
          <t>ADSK</t>
        </is>
      </c>
      <c r="C2169" s="33" t="inlineStr">
        <is>
          <t>R2</t>
        </is>
      </c>
      <c r="D2169" s="33" t="n">
        <v>4</v>
      </c>
      <c r="E2169" s="33" t="inlineStr">
        <is>
          <t>International majority (EMEA 39%, APAC 17%, US 35%); worst shock broad EMEA recession, country-diversified</t>
        </is>
      </c>
      <c r="F2169" s="33" t="inlineStr">
        <is>
          <t>per-stock/ADSK/context-2026-06-17.md</t>
        </is>
      </c>
      <c r="G2169" s="33" t="inlineStr">
        <is>
          <t>High</t>
        </is>
      </c>
      <c r="H2169" s="33" t="inlineStr">
        <is>
          <t>Initial</t>
        </is>
      </c>
    </row>
    <row r="2170">
      <c r="A2170" s="33" t="inlineStr">
        <is>
          <t>2026-06-17</t>
        </is>
      </c>
      <c r="B2170" s="33" t="inlineStr">
        <is>
          <t>ADSK</t>
        </is>
      </c>
      <c r="C2170" s="33" t="inlineStr">
        <is>
          <t>R3</t>
        </is>
      </c>
      <c r="D2170" s="33" t="n">
        <v>4</v>
      </c>
      <c r="E2170" s="33" t="inlineStr">
        <is>
          <t>Net cash today + ~$2.7B FCF but $3.6B all-cash MaintainX pending flips to modest net debt</t>
        </is>
      </c>
      <c r="F2170" s="33" t="inlineStr">
        <is>
          <t>per-stock/ADSK/context-2026-06-17.md</t>
        </is>
      </c>
      <c r="G2170" s="33" t="inlineStr">
        <is>
          <t>High</t>
        </is>
      </c>
      <c r="H2170" s="33" t="inlineStr">
        <is>
          <t>Initial</t>
        </is>
      </c>
    </row>
    <row r="2171">
      <c r="A2171" s="33" t="inlineStr">
        <is>
          <t>2026-06-17</t>
        </is>
      </c>
      <c r="B2171" s="33" t="inlineStr">
        <is>
          <t>ADSK</t>
        </is>
      </c>
      <c r="C2171" s="33" t="inlineStr">
        <is>
          <t>R4</t>
        </is>
      </c>
      <c r="D2171" s="33" t="n">
        <v>2</v>
      </c>
      <c r="E2171" s="33" t="inlineStr">
        <is>
          <t>Pending Audit-Committee internal investigation into FCF/non-GAAP practices (since Mar 2024) + securities class action (Barkasi) naming CEO/former CFO</t>
        </is>
      </c>
      <c r="F2171" s="33" t="inlineStr">
        <is>
          <t>per-stock/ADSK/context-2026-06-17.md</t>
        </is>
      </c>
      <c r="G2171" s="33" t="inlineStr">
        <is>
          <t>High</t>
        </is>
      </c>
      <c r="H2171" s="33" t="inlineStr">
        <is>
          <t>Initial</t>
        </is>
      </c>
    </row>
    <row r="2172">
      <c r="A2172" s="33" t="inlineStr">
        <is>
          <t>2026-06-17</t>
        </is>
      </c>
      <c r="B2172" s="33" t="inlineStr">
        <is>
          <t>TSLA</t>
        </is>
      </c>
      <c r="C2172" s="33" t="inlineStr">
        <is>
          <t>D1</t>
        </is>
      </c>
      <c r="D2172" s="33" t="n">
        <v>1</v>
      </c>
      <c r="E2172" s="33" t="inlineStr">
        <is>
          <t>AI rev ~0% of P&amp;L; auto 72.5% of rev; robotaxi ~20 unsupervised cars; FSD rev deferred</t>
        </is>
      </c>
      <c r="F2172" s="33" t="inlineStr">
        <is>
          <t>per-stock/TSLA/context-2026-06-17.md</t>
        </is>
      </c>
      <c r="G2172" s="33" t="inlineStr">
        <is>
          <t>High</t>
        </is>
      </c>
      <c r="H2172" s="33" t="inlineStr">
        <is>
          <t>Initial</t>
        </is>
      </c>
    </row>
    <row r="2173">
      <c r="A2173" s="33" t="inlineStr">
        <is>
          <t>2026-06-17</t>
        </is>
      </c>
      <c r="B2173" s="33" t="inlineStr">
        <is>
          <t>TSLA</t>
        </is>
      </c>
      <c r="C2173" s="33" t="inlineStr">
        <is>
          <t>D2</t>
        </is>
      </c>
      <c r="D2173" s="33" t="n">
        <v>2</v>
      </c>
      <c r="E2173" s="33" t="inlineStr">
        <is>
          <t>Demand-side; foundry consumer not a bottleneck</t>
        </is>
      </c>
      <c r="F2173" s="33" t="inlineStr">
        <is>
          <t>per-stock/TSLA/context-2026-06-17.md</t>
        </is>
      </c>
      <c r="G2173" s="33" t="inlineStr">
        <is>
          <t>Medium</t>
        </is>
      </c>
      <c r="H2173" s="33" t="inlineStr">
        <is>
          <t>Initial</t>
        </is>
      </c>
    </row>
    <row r="2174">
      <c r="A2174" s="33" t="inlineStr">
        <is>
          <t>2026-06-17</t>
        </is>
      </c>
      <c r="B2174" s="33" t="inlineStr">
        <is>
          <t>TSLA</t>
        </is>
      </c>
      <c r="C2174" s="33" t="inlineStr">
        <is>
          <t>D3</t>
        </is>
      </c>
      <c r="D2174" s="33" t="n">
        <v>3</v>
      </c>
      <c r="E2174" s="33" t="inlineStr">
        <is>
          <t>Real data moat but contested camera-only AV + BYD pressure</t>
        </is>
      </c>
      <c r="F2174" s="33" t="inlineStr">
        <is>
          <t>per-stock/TSLA/context-2026-06-17.md</t>
        </is>
      </c>
      <c r="G2174" s="33" t="inlineStr">
        <is>
          <t>Medium</t>
        </is>
      </c>
      <c r="H2174" s="33" t="inlineStr">
        <is>
          <t>Initial</t>
        </is>
      </c>
    </row>
    <row r="2175">
      <c r="A2175" s="33" t="inlineStr">
        <is>
          <t>2026-06-17</t>
        </is>
      </c>
      <c r="B2175" s="33" t="inlineStr">
        <is>
          <t>TSLA</t>
        </is>
      </c>
      <c r="C2175" s="33" t="inlineStr">
        <is>
          <t>D4</t>
        </is>
      </c>
      <c r="D2175" s="33" t="n">
        <v>4</v>
      </c>
      <c r="E2175" s="33" t="inlineStr">
        <is>
          <t>Funded multi-pronged buildout (AI5/AI6 edge-inference taped out Apr-2026; Optimus) but target-heavy; Dojo CANCELLED Aug-2025</t>
        </is>
      </c>
      <c r="F2175" s="33" t="inlineStr">
        <is>
          <t>per-stock/TSLA/context-2026-06-17.md</t>
        </is>
      </c>
      <c r="G2175" s="33" t="inlineStr">
        <is>
          <t>Medium</t>
        </is>
      </c>
      <c r="H2175" s="33" t="inlineStr">
        <is>
          <t>Initial</t>
        </is>
      </c>
    </row>
    <row r="2176">
      <c r="A2176" s="33" t="inlineStr">
        <is>
          <t>2026-06-17</t>
        </is>
      </c>
      <c r="B2176" s="33" t="inlineStr">
        <is>
          <t>TSLA</t>
        </is>
      </c>
      <c r="C2176" s="33" t="inlineStr">
        <is>
          <t>D5</t>
        </is>
      </c>
      <c r="D2176" s="33" t="n">
        <v>1</v>
      </c>
      <c r="E2176" s="33" t="inlineStr">
        <is>
          <t>Not a hyperscaler/supplier</t>
        </is>
      </c>
      <c r="F2176" s="33" t="inlineStr">
        <is>
          <t>per-stock/TSLA/context-2026-06-17.md</t>
        </is>
      </c>
      <c r="G2176" s="33" t="inlineStr">
        <is>
          <t>High</t>
        </is>
      </c>
      <c r="H2176" s="33" t="inlineStr">
        <is>
          <t>Initial</t>
        </is>
      </c>
    </row>
    <row r="2177">
      <c r="A2177" s="33" t="inlineStr">
        <is>
          <t>2026-06-17</t>
        </is>
      </c>
      <c r="B2177" s="33" t="inlineStr">
        <is>
          <t>TSLA</t>
        </is>
      </c>
      <c r="C2177" s="33" t="inlineStr">
        <is>
          <t>M1</t>
        </is>
      </c>
      <c r="D2177" s="33" t="n">
        <v>2</v>
      </c>
      <c r="E2177" s="33" t="inlineStr">
        <is>
          <t>Estimate tone weak (verify revision count)</t>
        </is>
      </c>
      <c r="F2177" s="33" t="inlineStr">
        <is>
          <t>per-stock/TSLA/context-2026-06-17.md</t>
        </is>
      </c>
      <c r="G2177" s="33" t="inlineStr">
        <is>
          <t>Low</t>
        </is>
      </c>
      <c r="H2177" s="33" t="inlineStr">
        <is>
          <t>Initial</t>
        </is>
      </c>
    </row>
    <row r="2178">
      <c r="A2178" s="33" t="inlineStr">
        <is>
          <t>2026-06-17</t>
        </is>
      </c>
      <c r="B2178" s="33" t="inlineStr">
        <is>
          <t>TSLA</t>
        </is>
      </c>
      <c r="C2178" s="33" t="inlineStr">
        <is>
          <t>M2</t>
        </is>
      </c>
      <c r="D2178" s="33" t="n">
        <v>2</v>
      </c>
      <c r="E2178" s="33" t="inlineStr">
        <is>
          <t>-18% 6mo vs XLY -5.2%; lags QQQ/SOXX badly</t>
        </is>
      </c>
      <c r="F2178" s="33" t="inlineStr">
        <is>
          <t>per-stock/TSLA/context-2026-06-17.md</t>
        </is>
      </c>
      <c r="G2178" s="33" t="inlineStr">
        <is>
          <t>High</t>
        </is>
      </c>
      <c r="H2178" s="33" t="inlineStr">
        <is>
          <t>Initial</t>
        </is>
      </c>
    </row>
    <row r="2179">
      <c r="A2179" s="33" t="inlineStr">
        <is>
          <t>2026-06-17</t>
        </is>
      </c>
      <c r="B2179" s="33" t="inlineStr">
        <is>
          <t>TSLA</t>
        </is>
      </c>
      <c r="C2179" s="33" t="inlineStr">
        <is>
          <t>M3</t>
        </is>
      </c>
      <c r="D2179" s="33" t="n">
        <v>3</v>
      </c>
      <c r="E2179" s="33" t="inlineStr">
        <is>
          <t>No open-market buys; Musk activity is option-exercise + tax-withholding, routine</t>
        </is>
      </c>
      <c r="F2179" s="33" t="inlineStr">
        <is>
          <t>per-stock/TSLA/context-2026-06-17.md</t>
        </is>
      </c>
      <c r="G2179" s="33" t="inlineStr">
        <is>
          <t>Medium</t>
        </is>
      </c>
      <c r="H2179" s="33" t="inlineStr">
        <is>
          <t>Initial</t>
        </is>
      </c>
    </row>
    <row r="2180">
      <c r="A2180" s="33" t="inlineStr">
        <is>
          <t>2026-06-17</t>
        </is>
      </c>
      <c r="B2180" s="33" t="inlineStr">
        <is>
          <t>TSLA</t>
        </is>
      </c>
      <c r="C2180" s="33" t="inlineStr">
        <is>
          <t>R1</t>
        </is>
      </c>
      <c r="D2180" s="33" t="n">
        <v>5</v>
      </c>
      <c r="E2180" s="33" t="inlineStr">
        <is>
          <t>Diversified retail customer base</t>
        </is>
      </c>
      <c r="F2180" s="33" t="inlineStr">
        <is>
          <t>per-stock/TSLA/context-2026-06-17.md</t>
        </is>
      </c>
      <c r="G2180" s="33" t="inlineStr">
        <is>
          <t>High</t>
        </is>
      </c>
      <c r="H2180" s="33" t="inlineStr">
        <is>
          <t>Initial</t>
        </is>
      </c>
    </row>
    <row r="2181">
      <c r="A2181" s="33" t="inlineStr">
        <is>
          <t>2026-06-17</t>
        </is>
      </c>
      <c r="B2181" s="33" t="inlineStr">
        <is>
          <t>TSLA</t>
        </is>
      </c>
      <c r="C2181" s="33" t="inlineStr">
        <is>
          <t>R2</t>
        </is>
      </c>
      <c r="D2181" s="33" t="n">
        <v>2</v>
      </c>
      <c r="E2181" s="33" t="inlineStr">
        <is>
          <t>Shanghai asset + China demand + tariff legs (verify China rev %)</t>
        </is>
      </c>
      <c r="F2181" s="33" t="inlineStr">
        <is>
          <t>per-stock/TSLA/context-2026-06-17.md</t>
        </is>
      </c>
      <c r="G2181" s="33" t="inlineStr">
        <is>
          <t>Medium</t>
        </is>
      </c>
      <c r="H2181" s="33" t="inlineStr">
        <is>
          <t>Initial</t>
        </is>
      </c>
    </row>
    <row r="2182">
      <c r="A2182" s="33" t="inlineStr">
        <is>
          <t>2026-06-17</t>
        </is>
      </c>
      <c r="B2182" s="33" t="inlineStr">
        <is>
          <t>TSLA</t>
        </is>
      </c>
      <c r="C2182" s="33" t="inlineStr">
        <is>
          <t>R3</t>
        </is>
      </c>
      <c r="D2182" s="33" t="n">
        <v>4</v>
      </c>
      <c r="E2182" s="33" t="inlineStr">
        <is>
          <t>Net cash ~$28.9B but ~$1T pay-package dilution docks one notch</t>
        </is>
      </c>
      <c r="F2182" s="33" t="inlineStr">
        <is>
          <t>per-stock/TSLA/context-2026-06-17.md</t>
        </is>
      </c>
      <c r="G2182" s="33" t="inlineStr">
        <is>
          <t>Medium</t>
        </is>
      </c>
      <c r="H2182" s="33" t="inlineStr">
        <is>
          <t>Initial</t>
        </is>
      </c>
    </row>
    <row r="2183">
      <c r="A2183" s="33" t="inlineStr">
        <is>
          <t>2026-06-17</t>
        </is>
      </c>
      <c r="B2183" s="33" t="inlineStr">
        <is>
          <t>TSLA</t>
        </is>
      </c>
      <c r="C2183" s="33" t="inlineStr">
        <is>
          <t>R4</t>
        </is>
      </c>
      <c r="D2183" s="33" t="n">
        <v>2</v>
      </c>
      <c r="E2183" s="33" t="inlineStr">
        <is>
          <t>NHTSA EA26002 pre-recall analysis on 3.2M vehicles + FSD safety scrutiny</t>
        </is>
      </c>
      <c r="F2183" s="33" t="inlineStr">
        <is>
          <t>per-stock/TSLA/context-2026-06-17.md</t>
        </is>
      </c>
      <c r="G2183" s="33" t="inlineStr">
        <is>
          <t>Medium</t>
        </is>
      </c>
      <c r="H2183" s="33" t="inlineStr">
        <is>
          <t>Initial</t>
        </is>
      </c>
    </row>
    <row r="2184">
      <c r="A2184" s="33" t="inlineStr">
        <is>
          <t>2026-06-17</t>
        </is>
      </c>
      <c r="B2184" s="33" t="inlineStr">
        <is>
          <t>AAPL</t>
        </is>
      </c>
      <c r="C2184" s="33" t="inlineStr">
        <is>
          <t>D1</t>
        </is>
      </c>
      <c r="D2184" s="33" t="n">
        <v>1</v>
      </c>
      <c r="E2184" s="33" t="inlineStr">
        <is>
          <t>Zero AI rev disclosed; Apple Intelligence a free OS feature; Apple PAYS Google ~$1B/yr for Gemini</t>
        </is>
      </c>
      <c r="F2184" s="33" t="inlineStr">
        <is>
          <t>per-stock/AAPL/context-2026-06-17.md</t>
        </is>
      </c>
      <c r="G2184" s="33" t="inlineStr">
        <is>
          <t>High</t>
        </is>
      </c>
      <c r="H2184" s="33" t="inlineStr">
        <is>
          <t>Initial</t>
        </is>
      </c>
    </row>
    <row r="2185">
      <c r="A2185" s="33" t="inlineStr">
        <is>
          <t>2026-06-17</t>
        </is>
      </c>
      <c r="B2185" s="33" t="inlineStr">
        <is>
          <t>AAPL</t>
        </is>
      </c>
      <c r="C2185" s="33" t="inlineStr">
        <is>
          <t>D2</t>
        </is>
      </c>
      <c r="D2185" s="33" t="n">
        <v>2</v>
      </c>
      <c r="E2185" s="33" t="inlineStr">
        <is>
          <t>Downstream end-product hardware; in the AI stack Apple is a buyer not a bottleneck</t>
        </is>
      </c>
      <c r="F2185" s="33" t="inlineStr">
        <is>
          <t>per-stock/AAPL/context-2026-06-17.md</t>
        </is>
      </c>
      <c r="G2185" s="33" t="inlineStr">
        <is>
          <t>High</t>
        </is>
      </c>
      <c r="H2185" s="33" t="inlineStr">
        <is>
          <t>Initial</t>
        </is>
      </c>
    </row>
    <row r="2186">
      <c r="A2186" s="33" t="inlineStr">
        <is>
          <t>2026-06-17</t>
        </is>
      </c>
      <c r="B2186" s="33" t="inlineStr">
        <is>
          <t>AAPL</t>
        </is>
      </c>
      <c r="C2186" s="33" t="inlineStr">
        <is>
          <t>D3</t>
        </is>
      </c>
      <c r="D2186" s="33" t="n">
        <v>5</v>
      </c>
      <c r="E2186" s="33" t="inlineStr">
        <is>
          <t>iOS/hardware/services ecosystem lock-in, 1.4B-device base, brand — durable 10+yr (company-moat, not AI-moat)</t>
        </is>
      </c>
      <c r="F2186" s="33" t="inlineStr">
        <is>
          <t>per-stock/AAPL/context-2026-06-17.md</t>
        </is>
      </c>
      <c r="G2186" s="33" t="inlineStr">
        <is>
          <t>High</t>
        </is>
      </c>
      <c r="H2186" s="33" t="inlineStr">
        <is>
          <t>Initial</t>
        </is>
      </c>
    </row>
    <row r="2187">
      <c r="A2187" s="33" t="inlineStr">
        <is>
          <t>2026-06-17</t>
        </is>
      </c>
      <c r="B2187" s="33" t="inlineStr">
        <is>
          <t>AAPL</t>
        </is>
      </c>
      <c r="C2187" s="33" t="inlineStr">
        <is>
          <t>D4</t>
        </is>
      </c>
      <c r="D2187" s="33" t="n">
        <v>2</v>
      </c>
      <c r="E2187" s="33" t="inlineStr">
        <is>
          <t>AI-infra sense: asset-light ~2.4% capex/rev, rents Gemini; Baltra in-house AI server silicon is forward optionality (analyst-sourced, not filed)</t>
        </is>
      </c>
      <c r="F2187" s="33" t="inlineStr">
        <is>
          <t>per-stock/AAPL/context-2026-06-17.md</t>
        </is>
      </c>
      <c r="G2187" s="33" t="inlineStr">
        <is>
          <t>Medium</t>
        </is>
      </c>
      <c r="H2187" s="33" t="inlineStr">
        <is>
          <t>Initial</t>
        </is>
      </c>
    </row>
    <row r="2188">
      <c r="A2188" s="33" t="inlineStr">
        <is>
          <t>2026-06-17</t>
        </is>
      </c>
      <c r="B2188" s="33" t="inlineStr">
        <is>
          <t>AAPL</t>
        </is>
      </c>
      <c r="C2188" s="33" t="inlineStr">
        <is>
          <t>D5</t>
        </is>
      </c>
      <c r="D2188" s="33" t="n">
        <v>2</v>
      </c>
      <c r="E2188" s="33" t="inlineStr">
        <is>
          <t>Reframed as "is Apple an AI-infra buyer": minimal today, rents frontier intelligence; Baltra/2027 DCs could move to 3</t>
        </is>
      </c>
      <c r="F2188" s="33" t="inlineStr">
        <is>
          <t>per-stock/AAPL/context-2026-06-17.md</t>
        </is>
      </c>
      <c r="G2188" s="33" t="inlineStr">
        <is>
          <t>Medium</t>
        </is>
      </c>
      <c r="H2188" s="33" t="inlineStr">
        <is>
          <t>Initial</t>
        </is>
      </c>
    </row>
    <row r="2189">
      <c r="A2189" s="33" t="inlineStr">
        <is>
          <t>2026-06-17</t>
        </is>
      </c>
      <c r="B2189" s="33" t="inlineStr">
        <is>
          <t>AAPL</t>
        </is>
      </c>
      <c r="C2189" s="33" t="inlineStr">
        <is>
          <t>M1</t>
        </is>
      </c>
      <c r="D2189" s="33" t="n">
        <v>4</v>
      </c>
      <c r="E2189" s="33" t="inlineStr">
        <is>
          <t>Q2 FY26 beat ($2.01 vs $1.95); Greater China +28%, iPhone +22%; AI-laggard narrative caps upside</t>
        </is>
      </c>
      <c r="F2189" s="33" t="inlineStr">
        <is>
          <t>per-stock/AAPL/context-2026-06-17.md</t>
        </is>
      </c>
      <c r="G2189" s="33" t="inlineStr">
        <is>
          <t>Medium</t>
        </is>
      </c>
      <c r="H2189" s="33" t="inlineStr">
        <is>
          <t>Initial</t>
        </is>
      </c>
    </row>
    <row r="2190">
      <c r="A2190" s="33" t="inlineStr">
        <is>
          <t>2026-06-17</t>
        </is>
      </c>
      <c r="B2190" s="33" t="inlineStr">
        <is>
          <t>AAPL</t>
        </is>
      </c>
      <c r="C2190" s="33" t="inlineStr">
        <is>
          <t>M2</t>
        </is>
      </c>
      <c r="D2190" s="33" t="n">
        <v>2</v>
      </c>
      <c r="E2190" s="33" t="inlineStr">
        <is>
          <t>+17.7% 3mo vs XLK +32.9% (underperform ~15pts); lags YTD/52wk</t>
        </is>
      </c>
      <c r="F2190" s="33" t="inlineStr">
        <is>
          <t>per-stock/AAPL/context-2026-06-17.md</t>
        </is>
      </c>
      <c r="G2190" s="33" t="inlineStr">
        <is>
          <t>High</t>
        </is>
      </c>
      <c r="H2190" s="33" t="inlineStr">
        <is>
          <t>Initial</t>
        </is>
      </c>
    </row>
    <row r="2191">
      <c r="A2191" s="33" t="inlineStr">
        <is>
          <t>2026-06-17</t>
        </is>
      </c>
      <c r="B2191" s="33" t="inlineStr">
        <is>
          <t>AAPL</t>
        </is>
      </c>
      <c r="C2191" s="33" t="inlineStr">
        <is>
          <t>M3</t>
        </is>
      </c>
      <c r="D2191" s="33" t="n">
        <v>3</v>
      </c>
      <c r="E2191" s="33" t="inlineStr">
        <is>
          <t>No open-market buys 12mo; Chairman Levinson large discretionary no-plan sells (borderline 2); CEO succession Cook-&gt;Exec Chair 9/1/26</t>
        </is>
      </c>
      <c r="F2191" s="33" t="inlineStr">
        <is>
          <t>per-stock/AAPL/context-2026-06-17.md</t>
        </is>
      </c>
      <c r="G2191" s="33" t="inlineStr">
        <is>
          <t>High</t>
        </is>
      </c>
      <c r="H2191" s="33" t="inlineStr">
        <is>
          <t>Initial</t>
        </is>
      </c>
    </row>
    <row r="2192">
      <c r="A2192" s="33" t="inlineStr">
        <is>
          <t>2026-06-17</t>
        </is>
      </c>
      <c r="B2192" s="33" t="inlineStr">
        <is>
          <t>AAPL</t>
        </is>
      </c>
      <c r="C2192" s="33" t="inlineStr">
        <is>
          <t>R1</t>
        </is>
      </c>
      <c r="D2192" s="33" t="n">
        <v>5</v>
      </c>
      <c r="E2192" s="33" t="inlineStr">
        <is>
          <t>No customer &gt;15%; Apple is the demand concentrator not the concentrated party</t>
        </is>
      </c>
      <c r="F2192" s="33" t="inlineStr">
        <is>
          <t>per-stock/AAPL/context-2026-06-17.md</t>
        </is>
      </c>
      <c r="G2192" s="33" t="inlineStr">
        <is>
          <t>High</t>
        </is>
      </c>
      <c r="H2192" s="33" t="inlineStr">
        <is>
          <t>Initial</t>
        </is>
      </c>
    </row>
    <row r="2193">
      <c r="A2193" s="33" t="inlineStr">
        <is>
          <t>2026-06-17</t>
        </is>
      </c>
      <c r="B2193" s="33" t="inlineStr">
        <is>
          <t>AAPL</t>
        </is>
      </c>
      <c r="C2193" s="33" t="inlineStr">
        <is>
          <t>R2</t>
        </is>
      </c>
      <c r="D2193" s="33" t="n">
        <v>2</v>
      </c>
      <c r="E2193" s="33" t="inlineStr">
        <is>
          <t>Worst shock US-China escalation: demand (Greater China ~18.4% Q2) + asset leg (majority iPhone assembly in China); India partial</t>
        </is>
      </c>
      <c r="F2193" s="33" t="inlineStr">
        <is>
          <t>per-stock/AAPL/context-2026-06-17.md</t>
        </is>
      </c>
      <c r="G2193" s="33" t="inlineStr">
        <is>
          <t>Medium</t>
        </is>
      </c>
      <c r="H2193" s="33" t="inlineStr">
        <is>
          <t>Initial</t>
        </is>
      </c>
    </row>
    <row r="2194">
      <c r="A2194" s="33" t="inlineStr">
        <is>
          <t>2026-06-17</t>
        </is>
      </c>
      <c r="B2194" s="33" t="inlineStr">
        <is>
          <t>AAPL</t>
        </is>
      </c>
      <c r="C2194" s="33" t="inlineStr">
        <is>
          <t>R3</t>
        </is>
      </c>
      <c r="D2194" s="33" t="n">
        <v>5</v>
      </c>
      <c r="E2194" s="33" t="inlineStr">
        <is>
          <t>Near net-cash (net debt $16.2B, ND/EBITDA 0.10x); $129B TTM FCF</t>
        </is>
      </c>
      <c r="F2194" s="33" t="inlineStr">
        <is>
          <t>per-stock/AAPL/context-2026-06-17.md</t>
        </is>
      </c>
      <c r="G2194" s="33" t="inlineStr">
        <is>
          <t>High</t>
        </is>
      </c>
      <c r="H2194" s="33" t="inlineStr">
        <is>
          <t>Initial</t>
        </is>
      </c>
    </row>
    <row r="2195">
      <c r="A2195" s="33" t="inlineStr">
        <is>
          <t>2026-06-17</t>
        </is>
      </c>
      <c r="B2195" s="33" t="inlineStr">
        <is>
          <t>AAPL</t>
        </is>
      </c>
      <c r="C2195" s="33" t="inlineStr">
        <is>
          <t>R4</t>
        </is>
      </c>
      <c r="D2195" s="33" t="n">
        <v>2</v>
      </c>
      <c r="E2195" s="33" t="inlineStr">
        <is>
          <t>DOJ smartphone-monopoly suit; Epic injunction on App Store; EU DMA; Google search-remedy threatens ~$20B/yr default-search payment</t>
        </is>
      </c>
      <c r="F2195" s="33" t="inlineStr">
        <is>
          <t>per-stock/AAPL/context-2026-06-17.md</t>
        </is>
      </c>
      <c r="G2195" s="33" t="inlineStr">
        <is>
          <t>High</t>
        </is>
      </c>
      <c r="H2195" s="33" t="inlineStr">
        <is>
          <t>Initial</t>
        </is>
      </c>
    </row>
    <row r="2196">
      <c r="A2196" s="33" t="inlineStr">
        <is>
          <t>2026-06-17</t>
        </is>
      </c>
      <c r="B2196" s="33" t="inlineStr">
        <is>
          <t>SPCX</t>
        </is>
      </c>
      <c r="C2196" s="33" t="inlineStr">
        <is>
          <t>D1</t>
        </is>
      </c>
      <c r="D2196" s="33" t="n">
        <v>3</v>
      </c>
      <c r="E2196" s="33" t="inlineStr">
        <is>
          <t>xAI merged in Feb-2026; AI segment $3.2B FY25 rev (~17% of total) — already an AI conglomerate, but loss-making sleeve</t>
        </is>
      </c>
      <c r="F2196" s="33" t="inlineStr">
        <is>
          <t>per-stock/SPCX/context-2026-06-17.md</t>
        </is>
      </c>
      <c r="G2196" s="33" t="inlineStr">
        <is>
          <t>Medium</t>
        </is>
      </c>
      <c r="H2196" s="33" t="inlineStr">
        <is>
          <t>Initial</t>
        </is>
      </c>
    </row>
    <row r="2197">
      <c r="A2197" s="33" t="inlineStr">
        <is>
          <t>2026-06-17</t>
        </is>
      </c>
      <c r="B2197" s="33" t="inlineStr">
        <is>
          <t>SPCX</t>
        </is>
      </c>
      <c r="C2197" s="33" t="inlineStr">
        <is>
          <t>D2</t>
        </is>
      </c>
      <c r="D2197" s="33" t="n">
        <v>4</v>
      </c>
      <c r="E2197" s="33" t="inlineStr">
        <is>
          <t>Vertically integrated launch+satcom+AI compute; few credible substitutes in core</t>
        </is>
      </c>
      <c r="F2197" s="33" t="inlineStr">
        <is>
          <t>per-stock/SPCX/context-2026-06-17.md</t>
        </is>
      </c>
      <c r="G2197" s="33" t="inlineStr">
        <is>
          <t>Medium</t>
        </is>
      </c>
      <c r="H2197" s="33" t="inlineStr">
        <is>
          <t>Initial</t>
        </is>
      </c>
    </row>
    <row r="2198">
      <c r="A2198" s="33" t="inlineStr">
        <is>
          <t>2026-06-17</t>
        </is>
      </c>
      <c r="B2198" s="33" t="inlineStr">
        <is>
          <t>SPCX</t>
        </is>
      </c>
      <c r="C2198" s="33" t="inlineStr">
        <is>
          <t>D3</t>
        </is>
      </c>
      <c r="D2198" s="33" t="n">
        <v>4</v>
      </c>
      <c r="E2198" s="33" t="inlineStr">
        <is>
          <t>Starlink network + reusable-launch cost moat + xAI compute; deep but capital-intensive</t>
        </is>
      </c>
      <c r="F2198" s="33" t="inlineStr">
        <is>
          <t>per-stock/SPCX/context-2026-06-17.md</t>
        </is>
      </c>
      <c r="G2198" s="33" t="inlineStr">
        <is>
          <t>Medium</t>
        </is>
      </c>
      <c r="H2198" s="33" t="inlineStr">
        <is>
          <t>Initial</t>
        </is>
      </c>
    </row>
    <row r="2199">
      <c r="A2199" s="33" t="inlineStr">
        <is>
          <t>2026-06-17</t>
        </is>
      </c>
      <c r="B2199" s="33" t="inlineStr">
        <is>
          <t>SPCX</t>
        </is>
      </c>
      <c r="C2199" s="33" t="inlineStr">
        <is>
          <t>D4</t>
        </is>
      </c>
      <c r="D2199" s="33" t="n">
        <v>5</v>
      </c>
      <c r="E2199" s="33" t="inlineStr">
        <is>
          <t>Funded mega-buildout ($20.9B FY25 capex; GW-scale AI cluster; orbital AI1 DCs)</t>
        </is>
      </c>
      <c r="F2199" s="33" t="inlineStr">
        <is>
          <t>per-stock/SPCX/context-2026-06-17.md</t>
        </is>
      </c>
      <c r="G2199" s="33" t="inlineStr">
        <is>
          <t>Medium</t>
        </is>
      </c>
      <c r="H2199" s="33" t="inlineStr">
        <is>
          <t>Initial</t>
        </is>
      </c>
    </row>
    <row r="2200">
      <c r="A2200" s="33" t="inlineStr">
        <is>
          <t>2026-06-17</t>
        </is>
      </c>
      <c r="B2200" s="33" t="inlineStr">
        <is>
          <t>SPCX</t>
        </is>
      </c>
      <c r="C2200" s="33" t="inlineStr">
        <is>
          <t>D5</t>
        </is>
      </c>
      <c r="D2200" s="33" t="n">
        <v>4</v>
      </c>
      <c r="E2200" s="33" t="inlineStr">
        <is>
          <t>Buyer-side AI-infra (GW training cluster) + Grok in Starlink (Layer-9 framing; flagged)</t>
        </is>
      </c>
      <c r="F2200" s="33" t="inlineStr">
        <is>
          <t>per-stock/SPCX/context-2026-06-17.md</t>
        </is>
      </c>
      <c r="G2200" s="33" t="inlineStr">
        <is>
          <t>Low</t>
        </is>
      </c>
      <c r="H2200" s="33" t="inlineStr">
        <is>
          <t>Initial</t>
        </is>
      </c>
    </row>
    <row r="2201">
      <c r="A2201" s="33" t="inlineStr">
        <is>
          <t>2026-06-17</t>
        </is>
      </c>
      <c r="B2201" s="33" t="inlineStr">
        <is>
          <t>SPCX</t>
        </is>
      </c>
      <c r="C2201" s="33" t="inlineStr">
        <is>
          <t>R1</t>
        </is>
      </c>
      <c r="D2201" s="33" t="n">
        <v>3</v>
      </c>
      <c r="E2201" s="33" t="inlineStr">
        <is>
          <t>Govt concentration in Space segment; Starlink diversifies</t>
        </is>
      </c>
      <c r="F2201" s="33" t="inlineStr">
        <is>
          <t>per-stock/SPCX/context-2026-06-17.md</t>
        </is>
      </c>
      <c r="G2201" s="33" t="inlineStr">
        <is>
          <t>Medium</t>
        </is>
      </c>
      <c r="H2201" s="33" t="inlineStr">
        <is>
          <t>Initial</t>
        </is>
      </c>
    </row>
    <row r="2202">
      <c r="A2202" s="33" t="inlineStr">
        <is>
          <t>2026-06-17</t>
        </is>
      </c>
      <c r="B2202" s="33" t="inlineStr">
        <is>
          <t>SPCX</t>
        </is>
      </c>
      <c r="C2202" s="33" t="inlineStr">
        <is>
          <t>R2</t>
        </is>
      </c>
      <c r="D2202" s="33" t="n">
        <v>4</v>
      </c>
      <c r="E2202" s="33" t="inlineStr">
        <is>
          <t>Worst shock US regulatory/political, not geographic</t>
        </is>
      </c>
      <c r="F2202" s="33" t="inlineStr">
        <is>
          <t>per-stock/SPCX/context-2026-06-17.md</t>
        </is>
      </c>
      <c r="G2202" s="33" t="inlineStr">
        <is>
          <t>Low</t>
        </is>
      </c>
      <c r="H2202" s="33" t="inlineStr">
        <is>
          <t>Initial</t>
        </is>
      </c>
    </row>
    <row r="2203">
      <c r="A2203" s="33" t="inlineStr">
        <is>
          <t>2026-06-17</t>
        </is>
      </c>
      <c r="B2203" s="33" t="inlineStr">
        <is>
          <t>SPCX</t>
        </is>
      </c>
      <c r="C2203" s="33" t="inlineStr">
        <is>
          <t>R3</t>
        </is>
      </c>
      <c r="D2203" s="33" t="n">
        <v>4</v>
      </c>
      <c r="E2203" s="33" t="inlineStr">
        <is>
          <t>Strong post-IPO B/S but FCF-negative by design ($-14.1B FY25)</t>
        </is>
      </c>
      <c r="F2203" s="33" t="inlineStr">
        <is>
          <t>per-stock/SPCX/context-2026-06-17.md</t>
        </is>
      </c>
      <c r="G2203" s="33" t="inlineStr">
        <is>
          <t>Medium</t>
        </is>
      </c>
      <c r="H2203" s="33" t="inlineStr">
        <is>
          <t>Initial</t>
        </is>
      </c>
    </row>
    <row r="2204">
      <c r="A2204" s="33" t="inlineStr">
        <is>
          <t>2026-06-17</t>
        </is>
      </c>
      <c r="B2204" s="33" t="inlineStr">
        <is>
          <t>SPCX</t>
        </is>
      </c>
      <c r="C2204" s="33" t="inlineStr">
        <is>
          <t>R4</t>
        </is>
      </c>
      <c r="D2204" s="33" t="n">
        <v>3</v>
      </c>
      <c r="E2204" s="33" t="inlineStr">
        <is>
          <t>Structural FAA/FCC/ITAR/antitrust + controlled-company governance (Musk &gt;50% voting, dual-class)</t>
        </is>
      </c>
      <c r="F2204" s="33" t="inlineStr">
        <is>
          <t>per-stock/SPCX/context-2026-06-17.md</t>
        </is>
      </c>
      <c r="G2204" s="33" t="inlineStr">
        <is>
          <t>Medium</t>
        </is>
      </c>
      <c r="H2204" s="33" t="inlineStr">
        <is>
          <t>Initial</t>
        </is>
      </c>
    </row>
    <row r="2205">
      <c r="A2205" s="33" t="inlineStr">
        <is>
          <t>2026-06-17</t>
        </is>
      </c>
      <c r="B2205" s="33" t="inlineStr">
        <is>
          <t>WDC</t>
        </is>
      </c>
      <c r="C2205" s="33" t="inlineStr">
        <is>
          <t>EPS YoY</t>
        </is>
      </c>
      <c r="D2205" s="33" t="inlineStr">
        <is>
          <t>BLANK</t>
        </is>
      </c>
      <c r="E2205" s="33" t="inlineStr">
        <is>
          <t>Rule 15: GAAP Q3 EPS $8.20 dominated by +$2,734M Sandisk-stake gain &amp; -$545M debt-exchange cost; non-GAAP $2.72. Growth averages revenue metrics.</t>
        </is>
      </c>
      <c r="F2205" s="33" t="inlineStr">
        <is>
          <t>per-stock/WDC/context-2026-06-17.md</t>
        </is>
      </c>
      <c r="G2205" s="33" t="inlineStr">
        <is>
          <t>High</t>
        </is>
      </c>
      <c r="H2205" s="33" t="inlineStr">
        <is>
          <t>Flag</t>
        </is>
      </c>
    </row>
    <row r="2206">
      <c r="A2206" s="33" t="inlineStr">
        <is>
          <t>2026-06-17</t>
        </is>
      </c>
      <c r="B2206" s="33" t="inlineStr">
        <is>
          <t>PANW</t>
        </is>
      </c>
      <c r="C2206" s="33" t="inlineStr">
        <is>
          <t>EPS YoY</t>
        </is>
      </c>
      <c r="D2206" s="33" t="inlineStr">
        <is>
          <t>BLANK</t>
        </is>
      </c>
      <c r="E2206" s="33" t="inlineStr">
        <is>
          <t>Rule 15: GAAP $0.37-&gt;$(0.22) acquisition-dominated ($28B M&amp;A in-quarter); non-GAAP EPS +6%.</t>
        </is>
      </c>
      <c r="F2206" s="33" t="inlineStr">
        <is>
          <t>per-stock/PANW/context-2026-06-17.md</t>
        </is>
      </c>
      <c r="G2206" s="33" t="inlineStr">
        <is>
          <t>High</t>
        </is>
      </c>
      <c r="H2206" s="33" t="inlineStr">
        <is>
          <t>Flag</t>
        </is>
      </c>
    </row>
    <row r="2207">
      <c r="A2207" s="33" t="inlineStr">
        <is>
          <t>2026-06-17</t>
        </is>
      </c>
      <c r="B2207" s="33" t="inlineStr">
        <is>
          <t>ZS</t>
        </is>
      </c>
      <c r="C2207" s="33" t="inlineStr">
        <is>
          <t>EPS YoY</t>
        </is>
      </c>
      <c r="D2207" s="33" t="inlineStr">
        <is>
          <t>BLANK</t>
        </is>
      </c>
      <c r="E2207" s="33" t="inlineStr">
        <is>
          <t>Rule 15: GAAP loss both periods (high-SBC distortion); Growth averages revenue metrics.</t>
        </is>
      </c>
      <c r="F2207" s="33" t="inlineStr">
        <is>
          <t>per-stock/ZS/context-2026-06-17.md</t>
        </is>
      </c>
      <c r="G2207" s="33" t="inlineStr">
        <is>
          <t>High</t>
        </is>
      </c>
      <c r="H2207" s="33" t="inlineStr">
        <is>
          <t>Flag</t>
        </is>
      </c>
    </row>
    <row r="2208">
      <c r="A2208" s="33" t="inlineStr">
        <is>
          <t>2026-06-17</t>
        </is>
      </c>
      <c r="B2208" s="33" t="inlineStr">
        <is>
          <t>WDAY</t>
        </is>
      </c>
      <c r="C2208" s="33" t="inlineStr">
        <is>
          <t>EPS YoY</t>
        </is>
      </c>
      <c r="D2208" s="33" t="inlineStr">
        <is>
          <t>19</t>
        </is>
      </c>
      <c r="E2208" s="33" t="inlineStr">
        <is>
          <t>Used non-GAAP operating EPS growth +19% instead of GAAP +248% (off Q1 FY26 restructuring-depressed base) — GAAP figure would floor PEG ~0.04 (garbage Value credit). Rule-15-adjacent garbage-input avoidance; flagged for review.</t>
        </is>
      </c>
      <c r="F2208" s="33" t="inlineStr">
        <is>
          <t>per-stock/WDAY/context-2026-06-17.md</t>
        </is>
      </c>
      <c r="G2208" s="33" t="inlineStr">
        <is>
          <t>Medium</t>
        </is>
      </c>
      <c r="H2208" s="33" t="inlineStr">
        <is>
          <t>Flag</t>
        </is>
      </c>
    </row>
    <row r="2209">
      <c r="A2209" s="33" t="inlineStr">
        <is>
          <t>2026-06-17</t>
        </is>
      </c>
      <c r="B2209" s="33" t="inlineStr">
        <is>
          <t>ADSK</t>
        </is>
      </c>
      <c r="C2209" s="33" t="inlineStr">
        <is>
          <t>EPS YoY</t>
        </is>
      </c>
      <c r="D2209" s="33" t="inlineStr">
        <is>
          <t>31</t>
        </is>
      </c>
      <c r="E2209" s="33" t="inlineStr">
        <is>
          <t>Used non-GAAP operating EPS growth +31% instead of GAAP +223% (off restructuring-depressed base) — same PEG-distortion avoidance as WDAY; flagged for review.</t>
        </is>
      </c>
      <c r="F2209" s="33" t="inlineStr">
        <is>
          <t>per-stock/ADSK/context-2026-06-17.md</t>
        </is>
      </c>
      <c r="G2209" s="33" t="inlineStr">
        <is>
          <t>Medium</t>
        </is>
      </c>
      <c r="H2209" s="33" t="inlineStr">
        <is>
          <t>Flag</t>
        </is>
      </c>
    </row>
    <row r="2210">
      <c r="A2210" s="33" t="inlineStr">
        <is>
          <t>2026-06-17</t>
        </is>
      </c>
      <c r="B2210" s="33" t="inlineStr">
        <is>
          <t>TSLA</t>
        </is>
      </c>
      <c r="C2210" s="33" t="inlineStr">
        <is>
          <t>Value: EV metric</t>
        </is>
      </c>
      <c r="D2210" s="33" t="inlineStr">
        <is>
          <t>EV/FCF</t>
        </is>
      </c>
      <c r="E2210" s="33" t="inlineStr">
        <is>
          <t>Layer-10 mechanical EV/FCF (213) in col F; EV/EBITDA (123.6) also meaningful (rule-10 SBC rationale absent). Both floor — not score-determinative.</t>
        </is>
      </c>
      <c r="F2210" s="33" t="inlineStr">
        <is>
          <t>per-stock/TSLA/context-2026-06-17.md</t>
        </is>
      </c>
      <c r="G2210" s="33" t="inlineStr">
        <is>
          <t>Medium</t>
        </is>
      </c>
      <c r="H2210" s="33" t="inlineStr">
        <is>
          <t>Flag</t>
        </is>
      </c>
    </row>
    <row r="2211">
      <c r="A2211" s="33" t="inlineStr">
        <is>
          <t>2026-06-17</t>
        </is>
      </c>
      <c r="B2211" s="33" t="inlineStr">
        <is>
          <t>AAPL</t>
        </is>
      </c>
      <c r="C2211" s="33" t="inlineStr">
        <is>
          <t>Value: EV metric</t>
        </is>
      </c>
      <c r="D2211" s="33" t="inlineStr">
        <is>
          <t>EV/FCF</t>
        </is>
      </c>
      <c r="E2211" s="33" t="inlineStr">
        <is>
          <t>Layer-10 mechanical EV/FCF (34.2) in col F; EV/EBITDA (27.6) also valid (SBC distortion absent). Choice is for cross-cohort comparability.</t>
        </is>
      </c>
      <c r="F2211" s="33" t="inlineStr">
        <is>
          <t>per-stock/AAPL/context-2026-06-17.md</t>
        </is>
      </c>
      <c r="G2211" s="33" t="inlineStr">
        <is>
          <t>Medium</t>
        </is>
      </c>
      <c r="H2211" s="33" t="inlineStr">
        <is>
          <t>Flag</t>
        </is>
      </c>
    </row>
    <row r="2212">
      <c r="A2212" s="33" t="inlineStr">
        <is>
          <t>2026-06-17</t>
        </is>
      </c>
      <c r="B2212" s="33" t="inlineStr">
        <is>
          <t>SPCX</t>
        </is>
      </c>
      <c r="C2212" s="33" t="inlineStr">
        <is>
          <t>TOTAL</t>
        </is>
      </c>
      <c r="D2212" s="33" t="inlineStr">
        <is>
          <t>STUB</t>
        </is>
      </c>
      <c r="E2212" s="33" t="inlineStr">
        <is>
          <t>Carried as research stub — Growth + Momentum unscoreable (no TTM statements; &lt;60 trading days). Excel TOTAL blank by design. Full /score-stock after first 10-Q (~Aug 2026) + Cursor close.</t>
        </is>
      </c>
      <c r="F2212" s="33" t="inlineStr">
        <is>
          <t>per-stock/SPCX/context-2026-06-17.md</t>
        </is>
      </c>
      <c r="G2212" s="33" t="inlineStr">
        <is>
          <t>High</t>
        </is>
      </c>
      <c r="H2212" s="33" t="inlineStr">
        <is>
          <t>Flag</t>
        </is>
      </c>
    </row>
    <row r="2213">
      <c r="A2213" s="33" t="inlineStr">
        <is>
          <t>2026-06-17</t>
        </is>
      </c>
      <c r="B2213" s="33" t="inlineStr">
        <is>
          <t>AAPL</t>
        </is>
      </c>
      <c r="C2213" s="33" t="inlineStr">
        <is>
          <t>Layer</t>
        </is>
      </c>
      <c r="D2213" s="33" t="inlineStr">
        <is>
          <t>MAP GAP</t>
        </is>
      </c>
      <c r="E2213" s="33" t="inlineStr">
        <is>
          <t>Consumer hardware fits no clean supply-chain layer; placed Layer 10 as edge-AI platform/distribution. Apple is AI-infra demand anchor (TSMC #1 N2 customer; rents Gemini), not a supply-chain participant.</t>
        </is>
      </c>
      <c r="F2213" s="33" t="inlineStr">
        <is>
          <t>per-stock/AAPL/context-2026-06-17.md</t>
        </is>
      </c>
      <c r="G2213" s="33" t="inlineStr">
        <is>
          <t>High</t>
        </is>
      </c>
      <c r="H2213" s="33" t="inlineStr">
        <is>
          <t>Flag</t>
        </is>
      </c>
    </row>
    <row r="2214">
      <c r="A2214" s="33" t="inlineStr">
        <is>
          <t>2026-06-17</t>
        </is>
      </c>
      <c r="B2214" s="33" t="inlineStr">
        <is>
          <t>SPCX</t>
        </is>
      </c>
      <c r="C2214" s="33" t="inlineStr">
        <is>
          <t>Layer</t>
        </is>
      </c>
      <c r="D2214" s="33" t="inlineStr">
        <is>
          <t>MAP GAP</t>
        </is>
      </c>
      <c r="E2214" s="33" t="inlineStr">
        <is>
          <t>~83% aerospace/satcom (not in map); placed Layer 10 on AI-forward thesis (xAI/Grok/Cursor). rule-10 EV/FCF N/A (FCF negative by mega-capex).</t>
        </is>
      </c>
      <c r="F2214" s="33" t="inlineStr">
        <is>
          <t>per-stock/SPCX/context-2026-06-17.md</t>
        </is>
      </c>
      <c r="G2214" s="33" t="inlineStr">
        <is>
          <t>High</t>
        </is>
      </c>
      <c r="H2214" s="33" t="inlineStr">
        <is>
          <t>Flag</t>
        </is>
      </c>
    </row>
    <row r="2215">
      <c r="A2215" s="33" t="inlineStr">
        <is>
          <t>2026-06-17</t>
        </is>
      </c>
      <c r="B2215" s="33" t="inlineStr">
        <is>
          <t>ADBE</t>
        </is>
      </c>
      <c r="C2215" s="33" t="inlineStr">
        <is>
          <t>D2</t>
        </is>
      </c>
      <c r="D2215" s="33" t="n">
        <v>2</v>
      </c>
      <c r="E2215" s="33" t="inlineStr">
        <is>
          <t>Absolute-lens (agentic-AI disruption) re-rate from 3: AI-native tools directly produce creative output, making Adobe position more substitutable.</t>
        </is>
      </c>
      <c r="F2215" s="33" t="inlineStr">
        <is>
          <t>QQQ-coverage absolute-lens pass 2026-06-17</t>
        </is>
      </c>
      <c r="G2215" s="33" t="inlineStr">
        <is>
          <t>Medium</t>
        </is>
      </c>
      <c r="H2215" s="33" t="inlineStr">
        <is>
          <t>Re-rate</t>
        </is>
      </c>
    </row>
    <row r="2216">
      <c r="A2216" s="33" t="inlineStr">
        <is>
          <t>2026-06-17</t>
        </is>
      </c>
      <c r="B2216" s="33" t="inlineStr">
        <is>
          <t>ADBE</t>
        </is>
      </c>
      <c r="C2216" s="33" t="inlineStr">
        <is>
          <t>D3</t>
        </is>
      </c>
      <c r="D2216" s="33" t="n">
        <v>2</v>
      </c>
      <c r="E2216" s="33" t="inlineStr">
        <is>
          <t>Absolute-lens re-rate from 3: gen-AI directly produces the tool core output; Adobe deferring CC price hikes + Firefly aggregating 30+ third-party models = active moat erosion, not just threat.</t>
        </is>
      </c>
      <c r="F2216" s="33" t="inlineStr">
        <is>
          <t>QQQ-coverage absolute-lens pass 2026-06-17</t>
        </is>
      </c>
      <c r="G2216" s="33" t="inlineStr">
        <is>
          <t>Medium</t>
        </is>
      </c>
      <c r="H2216" s="33" t="inlineStr">
        <is>
          <t>Re-rate</t>
        </is>
      </c>
    </row>
    <row r="2217">
      <c r="A2217" s="33" t="inlineStr">
        <is>
          <t>2026-06-17</t>
        </is>
      </c>
      <c r="B2217" s="33" t="inlineStr">
        <is>
          <t>INTU</t>
        </is>
      </c>
      <c r="C2217" s="33" t="inlineStr">
        <is>
          <t>D3</t>
        </is>
      </c>
      <c r="D2217" s="33" t="n">
        <v>2</v>
      </c>
      <c r="E2217" s="33" t="inlineStr">
        <is>
          <t>Absolute-lens re-rate from 3: consumer DIY tax/bookkeeping automatable; 2026 tax-season pricing crack + OpenAI top-of-funnel cession = active erosion. D2 held at 3 (QuickBooks SMB/accountant/compliance moat AI-durable).</t>
        </is>
      </c>
      <c r="F2217" s="33" t="inlineStr">
        <is>
          <t>QQQ-coverage absolute-lens pass 2026-06-17</t>
        </is>
      </c>
      <c r="G2217" s="33" t="inlineStr">
        <is>
          <t>Medium</t>
        </is>
      </c>
      <c r="H2217" s="33" t="inlineStr">
        <is>
          <t>Re-rate</t>
        </is>
      </c>
    </row>
    <row r="2218">
      <c r="A2218" s="33" t="inlineStr">
        <is>
          <t>2026-06-17</t>
        </is>
      </c>
      <c r="B2218" s="33" t="inlineStr">
        <is>
          <t>WDAY</t>
        </is>
      </c>
      <c r="C2218" s="33" t="inlineStr">
        <is>
          <t>D3</t>
        </is>
      </c>
      <c r="D2218" s="33" t="n">
        <v>2</v>
      </c>
      <c r="E2218" s="33" t="inlineStr">
        <is>
          <t>Absolute-lens re-rate from 3: per-seat HCM/financials is the canonical agentic-AI target (automatable work threatens the pricing unit). D2 held at 3 (system-of-record entrenchment durable near-term).</t>
        </is>
      </c>
      <c r="F2218" s="33" t="inlineStr">
        <is>
          <t>QQQ-coverage absolute-lens pass 2026-06-17</t>
        </is>
      </c>
      <c r="G2218" s="33" t="inlineStr">
        <is>
          <t>Medium</t>
        </is>
      </c>
      <c r="H2218" s="33" t="inlineStr">
        <is>
          <t>Re-rate</t>
        </is>
      </c>
    </row>
    <row r="2219">
      <c r="A2219" s="33" t="inlineStr">
        <is>
          <t>2026-06-17</t>
        </is>
      </c>
      <c r="B2219" s="33" t="inlineStr">
        <is>
          <t>ADSK</t>
        </is>
      </c>
      <c r="C2219" s="33" t="inlineStr">
        <is>
          <t>D3</t>
        </is>
      </c>
      <c r="D2219" s="33" t="n">
        <v>3</v>
      </c>
      <c r="E2219" s="33" t="inlineStr">
        <is>
          <t>Absolute-lens re-rate from 4: DWG/RVT file-format + professional certification + regulatory workflow lock-in is AI-durable; AI pressures seat licensing, not the core moat. Lower exposure than ADBE/INTU/WDAY.</t>
        </is>
      </c>
      <c r="F2219" s="33" t="inlineStr">
        <is>
          <t>QQQ-coverage absolute-lens pass 2026-06-17</t>
        </is>
      </c>
      <c r="G2219" s="33" t="inlineStr">
        <is>
          <t>Medium</t>
        </is>
      </c>
      <c r="H2219" s="33" t="inlineStr">
        <is>
          <t>Re-rate</t>
        </is>
      </c>
    </row>
    <row r="2220">
      <c r="A2220" s="33" t="inlineStr">
        <is>
          <t>2026-06-17</t>
        </is>
      </c>
      <c r="B2220" s="33" t="inlineStr">
        <is>
          <t>ZS</t>
        </is>
      </c>
      <c r="C2220" s="33" t="inlineStr">
        <is>
          <t>Moat lens</t>
        </is>
      </c>
      <c r="D2220" s="33" t="inlineStr">
        <is>
          <t>n/c</t>
        </is>
      </c>
      <c r="E2220" s="33" t="inlineStr">
        <is>
          <t>Absolute-lens examined, UNCHANGED: agentic AI expands attack surface (net tailwind for security); ZS selloff is execution/guide-cut, not model-disruption.</t>
        </is>
      </c>
      <c r="F2220" s="33" t="inlineStr">
        <is>
          <t>QQQ-coverage absolute-lens pass 2026-06-17</t>
        </is>
      </c>
      <c r="G2220" s="33" t="inlineStr">
        <is>
          <t>Medium</t>
        </is>
      </c>
      <c r="H2220" s="33" t="inlineStr">
        <is>
          <t>Re-rate</t>
        </is>
      </c>
    </row>
    <row r="2221">
      <c r="A2221" s="33" t="inlineStr">
        <is>
          <t>2026-06-17</t>
        </is>
      </c>
      <c r="B2221" s="33" t="inlineStr">
        <is>
          <t>PANW</t>
        </is>
      </c>
      <c r="C2221" s="33" t="inlineStr">
        <is>
          <t>Moat lens</t>
        </is>
      </c>
      <c r="D2221" s="33" t="inlineStr">
        <is>
          <t>n/c</t>
        </is>
      </c>
      <c r="E2221" s="33" t="inlineStr">
        <is>
          <t>Absolute-lens examined, UNCHANGED: security is AI-tailwind not AI-disruption target.</t>
        </is>
      </c>
      <c r="F2221" s="33" t="inlineStr">
        <is>
          <t>QQQ-coverage absolute-lens pass 2026-06-17</t>
        </is>
      </c>
      <c r="G2221" s="33" t="inlineStr">
        <is>
          <t>Medium</t>
        </is>
      </c>
      <c r="H2221" s="33" t="inlineStr">
        <is>
          <t>Re-rate</t>
        </is>
      </c>
    </row>
    <row r="2222">
      <c r="A2222" s="33" t="inlineStr">
        <is>
          <t>2026-06-17</t>
        </is>
      </c>
      <c r="B2222" s="33" t="inlineStr">
        <is>
          <t>FTNT</t>
        </is>
      </c>
      <c r="C2222" s="33" t="inlineStr">
        <is>
          <t>Moat lens</t>
        </is>
      </c>
      <c r="D2222" s="33" t="inlineStr">
        <is>
          <t>n/c</t>
        </is>
      </c>
      <c r="E2222" s="33" t="inlineStr">
        <is>
          <t>Absolute-lens examined, UNCHANGED: security is AI-tailwind not AI-disruption target.</t>
        </is>
      </c>
      <c r="F2222" s="33" t="inlineStr">
        <is>
          <t>QQQ-coverage absolute-lens pass 2026-06-17</t>
        </is>
      </c>
      <c r="G2222" s="33" t="inlineStr">
        <is>
          <t>Medium</t>
        </is>
      </c>
      <c r="H2222" s="33" t="inlineStr">
        <is>
          <t>Re-rate</t>
        </is>
      </c>
    </row>
    <row r="2223">
      <c r="A2223" s="33" t="inlineStr">
        <is>
          <t>2026-06-17</t>
        </is>
      </c>
      <c r="B2223" s="33" t="inlineStr">
        <is>
          <t>APP</t>
        </is>
      </c>
      <c r="C2223" s="33" t="inlineStr">
        <is>
          <t>Moat lens</t>
        </is>
      </c>
      <c r="D2223" s="33" t="inlineStr">
        <is>
          <t>n/c</t>
        </is>
      </c>
      <c r="E2223" s="33" t="inlineStr">
        <is>
          <t>Absolute-lens examined, UNCHANGED: AXON IS the AI engine — beneficiary, not disruption target.</t>
        </is>
      </c>
      <c r="F2223" s="33" t="inlineStr">
        <is>
          <t>QQQ-coverage absolute-lens pass 2026-06-17</t>
        </is>
      </c>
      <c r="G2223" s="33" t="inlineStr">
        <is>
          <t>Medium</t>
        </is>
      </c>
      <c r="H2223" s="33" t="inlineStr">
        <is>
          <t>Re-rate</t>
        </is>
      </c>
    </row>
    <row r="2224">
      <c r="A2224" s="33" t="inlineStr">
        <is>
          <t>2026-06-17</t>
        </is>
      </c>
      <c r="B2224" s="33" t="inlineStr">
        <is>
          <t>ALL</t>
        </is>
      </c>
      <c r="C2224" s="33" t="inlineStr">
        <is>
          <t>R5 (NEW DIMENSION)</t>
        </is>
      </c>
      <c r="D2224" s="33" t="inlineStr">
        <is>
          <t>methodology</t>
        </is>
      </c>
      <c r="E2224" s="33" t="inlineStr">
        <is>
          <t>Added R5 Disruption Risk to the Risk category (now avg of 5, weight unchanged at 15%). Inverted: 5=most durable. DEFAULT=5 for all 143 non-Layer-10 names (no credible AI/structural threat to physical-infra/semis/power/cloud-compute models). Only Layer 10 carries sub-5. Col AL/38. Approved by Dom 2026-06-17.</t>
        </is>
      </c>
      <c r="F2224" s="33" t="inlineStr">
        <is>
          <t>QQQ-coverage R5 methodology pass 2026-06-17</t>
        </is>
      </c>
      <c r="G2224" s="33" t="inlineStr">
        <is>
          <t>High</t>
        </is>
      </c>
      <c r="H2224" s="33" t="inlineStr">
        <is>
          <t>Methodology</t>
        </is>
      </c>
    </row>
    <row r="2225">
      <c r="A2225" s="33" t="inlineStr">
        <is>
          <t>2026-06-17</t>
        </is>
      </c>
      <c r="B2225" s="33" t="inlineStr">
        <is>
          <t>ADBE</t>
        </is>
      </c>
      <c r="C2225" s="33" t="inlineStr">
        <is>
          <t>R5</t>
        </is>
      </c>
      <c r="D2225" s="33" t="n">
        <v>1</v>
      </c>
      <c r="E2225" s="33" t="inlineStr">
        <is>
          <t>gen-AI directly produces creative output; Adobe deferring CC price hikes + Firefly conceding to 30+ third-party models = active erosion</t>
        </is>
      </c>
      <c r="F2225" s="33" t="inlineStr">
        <is>
          <t>QQQ-coverage R5 methodology pass 2026-06-17</t>
        </is>
      </c>
      <c r="G2225" s="33" t="inlineStr">
        <is>
          <t>Medium</t>
        </is>
      </c>
      <c r="H2225" s="33" t="inlineStr">
        <is>
          <t>Initial</t>
        </is>
      </c>
    </row>
    <row r="2226">
      <c r="A2226" s="33" t="inlineStr">
        <is>
          <t>2026-06-17</t>
        </is>
      </c>
      <c r="B2226" s="33" t="inlineStr">
        <is>
          <t>INTU</t>
        </is>
      </c>
      <c r="C2226" s="33" t="inlineStr">
        <is>
          <t>R5</t>
        </is>
      </c>
      <c r="D2226" s="33" t="n">
        <v>1</v>
      </c>
      <c r="E2226" s="33" t="inlineStr">
        <is>
          <t>consumer DIY tax/bookkeeping automatable; 2026 tax-season pricing crack + OpenAI top-of-funnel cession (QuickBooks SMB offsets but consumer erosion active)</t>
        </is>
      </c>
      <c r="F2226" s="33" t="inlineStr">
        <is>
          <t>QQQ-coverage R5 methodology pass 2026-06-17</t>
        </is>
      </c>
      <c r="G2226" s="33" t="inlineStr">
        <is>
          <t>Medium</t>
        </is>
      </c>
      <c r="H2226" s="33" t="inlineStr">
        <is>
          <t>Initial</t>
        </is>
      </c>
    </row>
    <row r="2227">
      <c r="A2227" s="33" t="inlineStr">
        <is>
          <t>2026-06-17</t>
        </is>
      </c>
      <c r="B2227" s="33" t="inlineStr">
        <is>
          <t>WDAY</t>
        </is>
      </c>
      <c r="C2227" s="33" t="inlineStr">
        <is>
          <t>R5</t>
        </is>
      </c>
      <c r="D2227" s="33" t="n">
        <v>2</v>
      </c>
      <c r="E2227" s="33" t="inlineStr">
        <is>
          <t>per-seat HCM/financials a direct agentic-AI target; system-of-record entrenchment durable near-term</t>
        </is>
      </c>
      <c r="F2227" s="33" t="inlineStr">
        <is>
          <t>QQQ-coverage R5 methodology pass 2026-06-17</t>
        </is>
      </c>
      <c r="G2227" s="33" t="inlineStr">
        <is>
          <t>Medium</t>
        </is>
      </c>
      <c r="H2227" s="33" t="inlineStr">
        <is>
          <t>Initial</t>
        </is>
      </c>
    </row>
    <row r="2228">
      <c r="A2228" s="33" t="inlineStr">
        <is>
          <t>2026-06-17</t>
        </is>
      </c>
      <c r="B2228" s="33" t="inlineStr">
        <is>
          <t>ADSK</t>
        </is>
      </c>
      <c r="C2228" s="33" t="inlineStr">
        <is>
          <t>R5</t>
        </is>
      </c>
      <c r="D2228" s="33" t="n">
        <v>3</v>
      </c>
      <c r="E2228" s="33" t="inlineStr">
        <is>
          <t>DWG/RVT file-format + professional/regulatory workflow lock-in resists core disruption (band-3 archetype); AI pressures seat licensing not the core</t>
        </is>
      </c>
      <c r="F2228" s="33" t="inlineStr">
        <is>
          <t>QQQ-coverage R5 methodology pass 2026-06-17</t>
        </is>
      </c>
      <c r="G2228" s="33" t="inlineStr">
        <is>
          <t>Medium</t>
        </is>
      </c>
      <c r="H2228" s="33" t="inlineStr">
        <is>
          <t>Initial</t>
        </is>
      </c>
    </row>
    <row r="2229">
      <c r="A2229" s="33" t="inlineStr">
        <is>
          <t>2026-06-17</t>
        </is>
      </c>
      <c r="B2229" s="33" t="inlineStr">
        <is>
          <t>PATH</t>
        </is>
      </c>
      <c r="C2229" s="33" t="inlineStr">
        <is>
          <t>R5</t>
        </is>
      </c>
      <c r="D2229" s="33" t="n">
        <v>2</v>
      </c>
      <c r="E2229" s="33" t="inlineStr">
        <is>
          <t>legacy rule-based RPA directly disintermediated by native LLM agents; agentic pivot is defensive</t>
        </is>
      </c>
      <c r="F2229" s="33" t="inlineStr">
        <is>
          <t>QQQ-coverage R5 methodology pass 2026-06-17</t>
        </is>
      </c>
      <c r="G2229" s="33" t="inlineStr">
        <is>
          <t>Medium</t>
        </is>
      </c>
      <c r="H2229" s="33" t="inlineStr">
        <is>
          <t>Initial</t>
        </is>
      </c>
    </row>
    <row r="2230">
      <c r="A2230" s="33" t="inlineStr">
        <is>
          <t>2026-06-17</t>
        </is>
      </c>
      <c r="B2230" s="33" t="inlineStr">
        <is>
          <t>CRM</t>
        </is>
      </c>
      <c r="C2230" s="33" t="inlineStr">
        <is>
          <t>R5</t>
        </is>
      </c>
      <c r="D2230" s="33" t="n">
        <v>3</v>
      </c>
      <c r="E2230" s="33" t="inlineStr">
        <is>
          <t>seat CRM contested by agentic AI but deep Data Cloud + ecosystem moat + Agentforce consumption pivot</t>
        </is>
      </c>
      <c r="F2230" s="33" t="inlineStr">
        <is>
          <t>QQQ-coverage R5 methodology pass 2026-06-17</t>
        </is>
      </c>
      <c r="G2230" s="33" t="inlineStr">
        <is>
          <t>Medium</t>
        </is>
      </c>
      <c r="H2230" s="33" t="inlineStr">
        <is>
          <t>Initial</t>
        </is>
      </c>
    </row>
    <row r="2231">
      <c r="A2231" s="33" t="inlineStr">
        <is>
          <t>2026-06-17</t>
        </is>
      </c>
      <c r="B2231" s="33" t="inlineStr">
        <is>
          <t>NOW</t>
        </is>
      </c>
      <c r="C2231" s="33" t="inlineStr">
        <is>
          <t>R5</t>
        </is>
      </c>
      <c r="D2231" s="33" t="n">
        <v>3</v>
      </c>
      <c r="E2231" s="33" t="inlineStr">
        <is>
          <t>workflow platform both threatened and enabled by agentic AI; deep enterprise integration + consumption pricing</t>
        </is>
      </c>
      <c r="F2231" s="33" t="inlineStr">
        <is>
          <t>QQQ-coverage R5 methodology pass 2026-06-17</t>
        </is>
      </c>
      <c r="G2231" s="33" t="inlineStr">
        <is>
          <t>Medium</t>
        </is>
      </c>
      <c r="H2231" s="33" t="inlineStr">
        <is>
          <t>Initial</t>
        </is>
      </c>
    </row>
    <row r="2232">
      <c r="A2232" s="33" t="inlineStr">
        <is>
          <t>2026-06-17</t>
        </is>
      </c>
      <c r="B2232" s="33" t="inlineStr">
        <is>
          <t>PLTR</t>
        </is>
      </c>
      <c r="C2232" s="33" t="inlineStr">
        <is>
          <t>R5</t>
        </is>
      </c>
      <c r="D2232" s="33" t="n">
        <v>4</v>
      </c>
      <c r="E2232" s="33" t="inlineStr">
        <is>
          <t>AI-native deployment platform — enabler/beneficiary, not disrupted</t>
        </is>
      </c>
      <c r="F2232" s="33" t="inlineStr">
        <is>
          <t>QQQ-coverage R5 methodology pass 2026-06-17</t>
        </is>
      </c>
      <c r="G2232" s="33" t="inlineStr">
        <is>
          <t>Medium</t>
        </is>
      </c>
      <c r="H2232" s="33" t="inlineStr">
        <is>
          <t>Initial</t>
        </is>
      </c>
    </row>
    <row r="2233">
      <c r="A2233" s="33" t="inlineStr">
        <is>
          <t>2026-06-17</t>
        </is>
      </c>
      <c r="B2233" s="33" t="inlineStr">
        <is>
          <t>SNOW</t>
        </is>
      </c>
      <c r="C2233" s="33" t="inlineStr">
        <is>
          <t>R5</t>
        </is>
      </c>
      <c r="D2233" s="33" t="n">
        <v>4</v>
      </c>
      <c r="E2233" s="33" t="inlineStr">
        <is>
          <t>data cloud — AI increases consumption (consumption-priced beneficiary); competition is a separate risk</t>
        </is>
      </c>
      <c r="F2233" s="33" t="inlineStr">
        <is>
          <t>QQQ-coverage R5 methodology pass 2026-06-17</t>
        </is>
      </c>
      <c r="G2233" s="33" t="inlineStr">
        <is>
          <t>Medium</t>
        </is>
      </c>
      <c r="H2233" s="33" t="inlineStr">
        <is>
          <t>Initial</t>
        </is>
      </c>
    </row>
    <row r="2234">
      <c r="A2234" s="33" t="inlineStr">
        <is>
          <t>2026-06-17</t>
        </is>
      </c>
      <c r="B2234" s="33" t="inlineStr">
        <is>
          <t>DDOG</t>
        </is>
      </c>
      <c r="C2234" s="33" t="inlineStr">
        <is>
          <t>R5</t>
        </is>
      </c>
      <c r="D2234" s="33" t="n">
        <v>4</v>
      </c>
      <c r="E2234" s="33" t="inlineStr">
        <is>
          <t>observability — AI workloads increase monitoring (LLM Observability product); consumption model durable</t>
        </is>
      </c>
      <c r="F2234" s="33" t="inlineStr">
        <is>
          <t>QQQ-coverage R5 methodology pass 2026-06-17</t>
        </is>
      </c>
      <c r="G2234" s="33" t="inlineStr">
        <is>
          <t>Medium</t>
        </is>
      </c>
      <c r="H2234" s="33" t="inlineStr">
        <is>
          <t>Initial</t>
        </is>
      </c>
    </row>
    <row r="2235">
      <c r="A2235" s="33" t="inlineStr">
        <is>
          <t>2026-06-17</t>
        </is>
      </c>
      <c r="B2235" s="33" t="inlineStr">
        <is>
          <t>CRWD</t>
        </is>
      </c>
      <c r="C2235" s="33" t="inlineStr">
        <is>
          <t>R5</t>
        </is>
      </c>
      <c r="D2235" s="33" t="n">
        <v>4</v>
      </c>
      <c r="E2235" s="33" t="inlineStr">
        <is>
          <t>security — agentic AI expands attack surface (tailwind)</t>
        </is>
      </c>
      <c r="F2235" s="33" t="inlineStr">
        <is>
          <t>QQQ-coverage R5 methodology pass 2026-06-17</t>
        </is>
      </c>
      <c r="G2235" s="33" t="inlineStr">
        <is>
          <t>Medium</t>
        </is>
      </c>
      <c r="H2235" s="33" t="inlineStr">
        <is>
          <t>Initial</t>
        </is>
      </c>
    </row>
    <row r="2236">
      <c r="A2236" s="33" t="inlineStr">
        <is>
          <t>2026-06-17</t>
        </is>
      </c>
      <c r="B2236" s="33" t="inlineStr">
        <is>
          <t>MDB</t>
        </is>
      </c>
      <c r="C2236" s="33" t="inlineStr">
        <is>
          <t>R5</t>
        </is>
      </c>
      <c r="D2236" s="33" t="n">
        <v>4</v>
      </c>
      <c r="E2236" s="33" t="inlineStr">
        <is>
          <t>database for AI apps (Atlas Vector Search) — AI dev increases usage</t>
        </is>
      </c>
      <c r="F2236" s="33" t="inlineStr">
        <is>
          <t>QQQ-coverage R5 methodology pass 2026-06-17</t>
        </is>
      </c>
      <c r="G2236" s="33" t="inlineStr">
        <is>
          <t>Medium</t>
        </is>
      </c>
      <c r="H2236" s="33" t="inlineStr">
        <is>
          <t>Initial</t>
        </is>
      </c>
    </row>
    <row r="2237">
      <c r="A2237" s="33" t="inlineStr">
        <is>
          <t>2026-06-17</t>
        </is>
      </c>
      <c r="B2237" s="33" t="inlineStr">
        <is>
          <t>TEM</t>
        </is>
      </c>
      <c r="C2237" s="33" t="inlineStr">
        <is>
          <t>R5</t>
        </is>
      </c>
      <c r="D2237" s="33" t="n">
        <v>4</v>
      </c>
      <c r="E2237" s="33" t="inlineStr">
        <is>
          <t>AI-native precision-medicine data/diagnostics — beneficiary with proprietary clinical-data moat</t>
        </is>
      </c>
      <c r="F2237" s="33" t="inlineStr">
        <is>
          <t>QQQ-coverage R5 methodology pass 2026-06-17</t>
        </is>
      </c>
      <c r="G2237" s="33" t="inlineStr">
        <is>
          <t>Medium</t>
        </is>
      </c>
      <c r="H2237" s="33" t="inlineStr">
        <is>
          <t>Initial</t>
        </is>
      </c>
    </row>
    <row r="2238">
      <c r="A2238" s="33" t="inlineStr">
        <is>
          <t>2026-06-17</t>
        </is>
      </c>
      <c r="B2238" s="33" t="inlineStr">
        <is>
          <t>PANW</t>
        </is>
      </c>
      <c r="C2238" s="33" t="inlineStr">
        <is>
          <t>R5</t>
        </is>
      </c>
      <c r="D2238" s="33" t="n">
        <v>4</v>
      </c>
      <c r="E2238" s="33" t="inlineStr">
        <is>
          <t>security = AI tailwind, not AI-disruption target</t>
        </is>
      </c>
      <c r="F2238" s="33" t="inlineStr">
        <is>
          <t>QQQ-coverage R5 methodology pass 2026-06-17</t>
        </is>
      </c>
      <c r="G2238" s="33" t="inlineStr">
        <is>
          <t>Medium</t>
        </is>
      </c>
      <c r="H2238" s="33" t="inlineStr">
        <is>
          <t>Initial</t>
        </is>
      </c>
    </row>
    <row r="2239">
      <c r="A2239" s="33" t="inlineStr">
        <is>
          <t>2026-06-17</t>
        </is>
      </c>
      <c r="B2239" s="33" t="inlineStr">
        <is>
          <t>FTNT</t>
        </is>
      </c>
      <c r="C2239" s="33" t="inlineStr">
        <is>
          <t>R5</t>
        </is>
      </c>
      <c r="D2239" s="33" t="n">
        <v>4</v>
      </c>
      <c r="E2239" s="33" t="inlineStr">
        <is>
          <t>security = AI tailwind, not AI-disruption target</t>
        </is>
      </c>
      <c r="F2239" s="33" t="inlineStr">
        <is>
          <t>QQQ-coverage R5 methodology pass 2026-06-17</t>
        </is>
      </c>
      <c r="G2239" s="33" t="inlineStr">
        <is>
          <t>Medium</t>
        </is>
      </c>
      <c r="H2239" s="33" t="inlineStr">
        <is>
          <t>Initial</t>
        </is>
      </c>
    </row>
    <row r="2240">
      <c r="A2240" s="33" t="inlineStr">
        <is>
          <t>2026-06-17</t>
        </is>
      </c>
      <c r="B2240" s="33" t="inlineStr">
        <is>
          <t>ZS</t>
        </is>
      </c>
      <c r="C2240" s="33" t="inlineStr">
        <is>
          <t>R5</t>
        </is>
      </c>
      <c r="D2240" s="33" t="n">
        <v>4</v>
      </c>
      <c r="E2240" s="33" t="inlineStr">
        <is>
          <t>security = AI tailwind, not AI-disruption target</t>
        </is>
      </c>
      <c r="F2240" s="33" t="inlineStr">
        <is>
          <t>QQQ-coverage R5 methodology pass 2026-06-17</t>
        </is>
      </c>
      <c r="G2240" s="33" t="inlineStr">
        <is>
          <t>Medium</t>
        </is>
      </c>
      <c r="H2240" s="33" t="inlineStr">
        <is>
          <t>Initial</t>
        </is>
      </c>
    </row>
    <row r="2241">
      <c r="A2241" s="33" t="inlineStr">
        <is>
          <t>2026-06-17</t>
        </is>
      </c>
      <c r="B2241" s="33" t="inlineStr">
        <is>
          <t>APP</t>
        </is>
      </c>
      <c r="C2241" s="33" t="inlineStr">
        <is>
          <t>R5</t>
        </is>
      </c>
      <c r="D2241" s="33" t="n">
        <v>4</v>
      </c>
      <c r="E2241" s="33" t="inlineStr">
        <is>
          <t>AXON IS the AI ad engine — beneficiary</t>
        </is>
      </c>
      <c r="F2241" s="33" t="inlineStr">
        <is>
          <t>QQQ-coverage R5 methodology pass 2026-06-17</t>
        </is>
      </c>
      <c r="G2241" s="33" t="inlineStr">
        <is>
          <t>Medium</t>
        </is>
      </c>
      <c r="H2241" s="33" t="inlineStr">
        <is>
          <t>Initial</t>
        </is>
      </c>
    </row>
    <row r="2242">
      <c r="A2242" s="33" t="inlineStr">
        <is>
          <t>2026-06-17</t>
        </is>
      </c>
      <c r="B2242" s="33" t="inlineStr">
        <is>
          <t>TSLA</t>
        </is>
      </c>
      <c r="C2242" s="33" t="inlineStr">
        <is>
          <t>R5</t>
        </is>
      </c>
      <c r="D2242" s="33" t="n">
        <v>4</v>
      </c>
      <c r="E2242" s="33" t="inlineStr">
        <is>
          <t>AI is the thesis (autonomy/robotics); revenue model not AI-disrupted (risks are execution/valuation)</t>
        </is>
      </c>
      <c r="F2242" s="33" t="inlineStr">
        <is>
          <t>QQQ-coverage R5 methodology pass 2026-06-17</t>
        </is>
      </c>
      <c r="G2242" s="33" t="inlineStr">
        <is>
          <t>Medium</t>
        </is>
      </c>
      <c r="H2242" s="33" t="inlineStr">
        <is>
          <t>Initial</t>
        </is>
      </c>
    </row>
    <row r="2243">
      <c r="A2243" s="33" t="inlineStr">
        <is>
          <t>2026-06-17</t>
        </is>
      </c>
      <c r="B2243" s="33" t="inlineStr">
        <is>
          <t>AAPL</t>
        </is>
      </c>
      <c r="C2243" s="33" t="inlineStr">
        <is>
          <t>R5</t>
        </is>
      </c>
      <c r="D2243" s="33" t="n">
        <v>4</v>
      </c>
      <c r="E2243" s="33" t="inlineStr">
        <is>
          <t>hardware+ecosystem model durable; AI is feature-level; modest assistant-disintermediation risk</t>
        </is>
      </c>
      <c r="F2243" s="33" t="inlineStr">
        <is>
          <t>QQQ-coverage R5 methodology pass 2026-06-17</t>
        </is>
      </c>
      <c r="G2243" s="33" t="inlineStr">
        <is>
          <t>Medium</t>
        </is>
      </c>
      <c r="H2243" s="33" t="inlineStr">
        <is>
          <t>Initial</t>
        </is>
      </c>
    </row>
    <row r="2244">
      <c r="A2244" s="33" t="inlineStr">
        <is>
          <t>2026-06-17</t>
        </is>
      </c>
      <c r="B2244" s="33" t="inlineStr">
        <is>
          <t>SPCX</t>
        </is>
      </c>
      <c r="C2244" s="33" t="inlineStr">
        <is>
          <t>R5</t>
        </is>
      </c>
      <c r="D2244" s="33" t="n">
        <v>4</v>
      </c>
      <c r="E2244" s="33" t="inlineStr">
        <is>
          <t>aerospace/satcom model not AI-disrupted; AI is an overlay</t>
        </is>
      </c>
      <c r="F2244" s="33" t="inlineStr">
        <is>
          <t>QQQ-coverage R5 methodology pass 2026-06-17</t>
        </is>
      </c>
      <c r="G2244" s="33" t="inlineStr">
        <is>
          <t>Medium</t>
        </is>
      </c>
      <c r="H2244" s="33" t="inlineStr">
        <is>
          <t>Initial</t>
        </is>
      </c>
    </row>
    <row r="2245">
      <c r="A2245" s="33" t="inlineStr">
        <is>
          <t>2026-06-20</t>
        </is>
      </c>
      <c r="B2245" s="33" t="inlineStr">
        <is>
          <t>ACLS</t>
        </is>
      </c>
      <c r="C2245" s="33" t="inlineStr">
        <is>
          <t>D1</t>
        </is>
      </c>
      <c r="D2245" s="33" t="n">
        <v>2</v>
      </c>
      <c r="E2245" s="33" t="inlineStr">
        <is>
          <t>No disclosed AI-rev line; AI exposure indirect/minority via DRAM/HBM memory-capacity + nascent SiC datacenter-power; leading-edge logic ~nil; inferentially &lt;25%.</t>
        </is>
      </c>
      <c r="F2245" s="33" t="inlineStr">
        <is>
          <t>Q1 2026 call; 10-K FY2025; context-2026-06-20.md</t>
        </is>
      </c>
      <c r="G2245" s="33" t="inlineStr">
        <is>
          <t>Medium</t>
        </is>
      </c>
      <c r="H2245" s="33" t="inlineStr">
        <is>
          <t>Initial</t>
        </is>
      </c>
    </row>
    <row r="2246">
      <c r="A2246" s="33" t="inlineStr">
        <is>
          <t>2026-06-20</t>
        </is>
      </c>
      <c r="B2246" s="33" t="inlineStr">
        <is>
          <t>ACLS</t>
        </is>
      </c>
      <c r="C2246" s="33" t="inlineStr">
        <is>
          <t>D2</t>
        </is>
      </c>
      <c r="D2246" s="33" t="n">
        <v>4</v>
      </c>
      <c r="E2246" s="33" t="inlineStr">
        <is>
          <t>One of only two serious ion-implant franchises (vs AMAT) with real installed base + pricing discipline (GM ~45%); implant is a smaller/less-bottlenecked step than litho/etch/depo, so not 5.</t>
        </is>
      </c>
      <c r="F2246" s="33" t="inlineStr">
        <is>
          <t>10-K FY2025; context-2026-06-20.md</t>
        </is>
      </c>
      <c r="G2246" s="33" t="inlineStr">
        <is>
          <t>High</t>
        </is>
      </c>
      <c r="H2246" s="33" t="inlineStr">
        <is>
          <t>Initial</t>
        </is>
      </c>
    </row>
    <row r="2247">
      <c r="A2247" s="33" t="inlineStr">
        <is>
          <t>2026-06-20</t>
        </is>
      </c>
      <c r="B2247" s="33" t="inlineStr">
        <is>
          <t>ACLS</t>
        </is>
      </c>
      <c r="C2247" s="33" t="inlineStr">
        <is>
          <t>D3</t>
        </is>
      </c>
      <c r="D2247" s="33" t="n">
        <v>4</v>
      </c>
      <c r="E2247" s="33" t="inlineStr">
        <is>
          <t>Durable process know-how + installed base + switching costs in implant; not multi-dimensional / leading-edge-critical enough for 5.</t>
        </is>
      </c>
      <c r="F2247" s="33" t="inlineStr">
        <is>
          <t>10-K FY2025; context-2026-06-20.md</t>
        </is>
      </c>
      <c r="G2247" s="33" t="inlineStr">
        <is>
          <t>Medium</t>
        </is>
      </c>
      <c r="H2247" s="33" t="inlineStr">
        <is>
          <t>Initial</t>
        </is>
      </c>
    </row>
    <row r="2248">
      <c r="A2248" s="33" t="inlineStr">
        <is>
          <t>2026-06-20</t>
        </is>
      </c>
      <c r="B2248" s="33" t="inlineStr">
        <is>
          <t>ACLS</t>
        </is>
      </c>
      <c r="C2248" s="33" t="inlineStr">
        <is>
          <t>D4</t>
        </is>
      </c>
      <c r="D2248" s="33" t="n">
        <v>3</v>
      </c>
      <c r="E2248" s="33" t="inlineStr">
        <is>
          <t>Asset-light, in a demand trough (capex ~$11M, FY26 guided flat); product/market scope expanding via the Veeco merger. Net steady-state.</t>
        </is>
      </c>
      <c r="F2248" s="33" t="inlineStr">
        <is>
          <t>10-K cash flow; Q1'26 guide; context</t>
        </is>
      </c>
      <c r="G2248" s="33" t="inlineStr">
        <is>
          <t>Medium</t>
        </is>
      </c>
      <c r="H2248" s="33" t="inlineStr">
        <is>
          <t>Initial</t>
        </is>
      </c>
    </row>
    <row r="2249">
      <c r="A2249" s="33" t="inlineStr">
        <is>
          <t>2026-06-20</t>
        </is>
      </c>
      <c r="B2249" s="33" t="inlineStr">
        <is>
          <t>ACLS</t>
        </is>
      </c>
      <c r="C2249" s="33" t="inlineStr">
        <is>
          <t>D5</t>
        </is>
      </c>
      <c r="D2249" s="33" t="n">
        <v>2</v>
      </c>
      <c r="E2249" s="33" t="inlineStr">
        <is>
          <t>Sells to chipmakers, not hyperscalers; only the AI-memory slice is downstream-AI-tied; no hyperscaler customer.</t>
        </is>
      </c>
      <c r="F2249" s="33" t="inlineStr">
        <is>
          <t>10-K customer disclosure; Q1'26 call; context</t>
        </is>
      </c>
      <c r="G2249" s="33" t="inlineStr">
        <is>
          <t>Medium</t>
        </is>
      </c>
      <c r="H2249" s="33" t="inlineStr">
        <is>
          <t>Initial</t>
        </is>
      </c>
    </row>
    <row r="2250">
      <c r="A2250" s="33" t="inlineStr">
        <is>
          <t>2026-06-20</t>
        </is>
      </c>
      <c r="B2250" s="33" t="inlineStr">
        <is>
          <t>ACLS</t>
        </is>
      </c>
      <c r="C2250" s="33" t="inlineStr">
        <is>
          <t>M1</t>
        </is>
      </c>
      <c r="D2250" s="33" t="n">
        <v>3</v>
      </c>
      <c r="E2250" s="33" t="inlineStr">
        <is>
          <t>Mixed: Q2'26 guide above consensus + a B.Riley upgrade, but a standing BofA underperform and FY26 only flat — not a clean beat-and-raise.</t>
        </is>
      </c>
      <c r="F2250" s="33" t="inlineStr">
        <is>
          <t>analyst PT actions; Q1'26 guide; context</t>
        </is>
      </c>
      <c r="G2250" s="33" t="inlineStr">
        <is>
          <t>Low-Med</t>
        </is>
      </c>
      <c r="H2250" s="33" t="inlineStr">
        <is>
          <t>Initial</t>
        </is>
      </c>
    </row>
    <row r="2251">
      <c r="A2251" s="33" t="inlineStr">
        <is>
          <t>2026-06-20</t>
        </is>
      </c>
      <c r="B2251" s="33" t="inlineStr">
        <is>
          <t>ACLS</t>
        </is>
      </c>
      <c r="C2251" s="33" t="inlineStr">
        <is>
          <t>M2</t>
        </is>
      </c>
      <c r="D2251" s="33" t="n">
        <v>5</v>
      </c>
      <c r="E2251" s="33" t="inlineStr">
        <is>
          <t>+109% YTD vs SOXX +89% (&gt;20pp, 6mo). FLAG: merger/sentiment-driven on flat fundamentals (rule-14 crowding).</t>
        </is>
      </c>
      <c r="F2251" s="33" t="inlineStr">
        <is>
          <t>investing.com; public.com; context</t>
        </is>
      </c>
      <c r="G2251" s="33" t="inlineStr">
        <is>
          <t>High</t>
        </is>
      </c>
      <c r="H2251" s="33" t="inlineStr">
        <is>
          <t>Initial</t>
        </is>
      </c>
    </row>
    <row r="2252">
      <c r="A2252" s="33" t="inlineStr">
        <is>
          <t>2026-06-20</t>
        </is>
      </c>
      <c r="B2252" s="33" t="inlineStr">
        <is>
          <t>ACLS</t>
        </is>
      </c>
      <c r="C2252" s="33" t="inlineStr">
        <is>
          <t>M3</t>
        </is>
      </c>
      <c r="D2252" s="33" t="n">
        <v>3</v>
      </c>
      <c r="E2252" s="33" t="inlineStr">
        <is>
          <t>Routine small open-market sells, no open-market buys; per rubric, absence of buying caps at the diversification default of 3.</t>
        </is>
      </c>
      <c r="F2252" s="33" t="inlineStr">
        <is>
          <t>SEC Form 4s 2026; context</t>
        </is>
      </c>
      <c r="G2252" s="33" t="inlineStr">
        <is>
          <t>High</t>
        </is>
      </c>
      <c r="H2252" s="33" t="inlineStr">
        <is>
          <t>Initial</t>
        </is>
      </c>
    </row>
    <row r="2253">
      <c r="A2253" s="33" t="inlineStr">
        <is>
          <t>2026-06-20</t>
        </is>
      </c>
      <c r="B2253" s="33" t="inlineStr">
        <is>
          <t>ACLS</t>
        </is>
      </c>
      <c r="C2253" s="33" t="inlineStr">
        <is>
          <t>R1</t>
        </is>
      </c>
      <c r="D2253" s="33" t="n">
        <v>4</v>
      </c>
      <c r="E2253" s="33" t="inlineStr">
        <is>
          <t>One customer 11.0%, top-10 = 55.2% (FY2025); manageable.</t>
        </is>
      </c>
      <c r="F2253" s="33" t="inlineStr">
        <is>
          <t>10-K FY2025 Item 1A + Note</t>
        </is>
      </c>
      <c r="G2253" s="33" t="inlineStr">
        <is>
          <t>High</t>
        </is>
      </c>
      <c r="H2253" s="33" t="inlineStr">
        <is>
          <t>Initial</t>
        </is>
      </c>
    </row>
    <row r="2254">
      <c r="A2254" s="33" t="inlineStr">
        <is>
          <t>2026-06-20</t>
        </is>
      </c>
      <c r="B2254" s="33" t="inlineStr">
        <is>
          <t>ACLS</t>
        </is>
      </c>
      <c r="C2254" s="33" t="inlineStr">
        <is>
          <t>R2</t>
        </is>
      </c>
      <c r="D2254" s="33" t="n">
        <v>2</v>
      </c>
      <c r="E2254" s="33" t="inlineStr">
        <is>
          <t>~42% China-destination revenue; Dec-2024 BIS rule created an ECCN specifically for 300mm ion implanters (category named); China SAMR is also the single gating approval for the Veeco merger.</t>
        </is>
      </c>
      <c r="F2254" s="33" t="inlineStr">
        <is>
          <t>10-K FY2025 risk factors; Q1'26 call</t>
        </is>
      </c>
      <c r="G2254" s="33" t="inlineStr">
        <is>
          <t>High</t>
        </is>
      </c>
      <c r="H2254" s="33" t="inlineStr">
        <is>
          <t>Initial</t>
        </is>
      </c>
    </row>
    <row r="2255">
      <c r="A2255" s="33" t="inlineStr">
        <is>
          <t>2026-06-20</t>
        </is>
      </c>
      <c r="B2255" s="33" t="inlineStr">
        <is>
          <t>ACLS</t>
        </is>
      </c>
      <c r="C2255" s="33" t="inlineStr">
        <is>
          <t>R3</t>
        </is>
      </c>
      <c r="D2255" s="33" t="n">
        <v>5</v>
      </c>
      <c r="E2255" s="33" t="inlineStr">
        <is>
          <t>Net cash ~$570M, no funded debt, positive FCF.</t>
        </is>
      </c>
      <c r="F2255" s="33" t="inlineStr">
        <is>
          <t>10-K FY2025 balance sheet</t>
        </is>
      </c>
      <c r="G2255" s="33" t="inlineStr">
        <is>
          <t>High</t>
        </is>
      </c>
      <c r="H2255" s="33" t="inlineStr">
        <is>
          <t>Initial</t>
        </is>
      </c>
    </row>
    <row r="2256">
      <c r="A2256" s="33" t="inlineStr">
        <is>
          <t>2026-06-20</t>
        </is>
      </c>
      <c r="B2256" s="33" t="inlineStr">
        <is>
          <t>ACLS</t>
        </is>
      </c>
      <c r="C2256" s="33" t="inlineStr">
        <is>
          <t>R4</t>
        </is>
      </c>
      <c r="D2256" s="33" t="n">
        <v>3</v>
      </c>
      <c r="E2256" s="33" t="inlineStr">
        <is>
          <t>Live items: export-control (in R2) + pending cross-border merger/antitrust (SAMR) + a $5M customer settlement; not clean enough for 4-5.</t>
        </is>
      </c>
      <c r="F2256" s="33" t="inlineStr">
        <is>
          <t>10-K; Q1'26 8-K</t>
        </is>
      </c>
      <c r="G2256" s="33" t="inlineStr">
        <is>
          <t>Medium</t>
        </is>
      </c>
      <c r="H2256" s="33" t="inlineStr">
        <is>
          <t>Initial</t>
        </is>
      </c>
    </row>
    <row r="2257">
      <c r="A2257" s="33" t="inlineStr">
        <is>
          <t>2026-06-20</t>
        </is>
      </c>
      <c r="B2257" s="33" t="inlineStr">
        <is>
          <t>ACLS</t>
        </is>
      </c>
      <c r="C2257" s="33" t="inlineStr">
        <is>
          <t>R5</t>
        </is>
      </c>
      <c r="D2257" s="33" t="n">
        <v>5</v>
      </c>
      <c r="E2257" s="33" t="inlineStr">
        <is>
          <t>Non-Layer-10 physical process-equipment maker; ion implant is a durable, irreplaceable doping step; rule-16 default.</t>
        </is>
      </c>
      <c r="F2257" s="33" t="inlineStr">
        <is>
          <t>CLAUDE.md rule 16</t>
        </is>
      </c>
      <c r="G2257" s="33" t="inlineStr">
        <is>
          <t>High</t>
        </is>
      </c>
      <c r="H2257" s="33" t="inlineStr">
        <is>
          <t>Initial</t>
        </is>
      </c>
    </row>
    <row r="2258">
      <c r="A2258" s="33" t="inlineStr">
        <is>
          <t>2026-06-20</t>
        </is>
      </c>
      <c r="B2258" s="33" t="inlineStr">
        <is>
          <t>COHU</t>
        </is>
      </c>
      <c r="C2258" s="33" t="inlineStr">
        <is>
          <t>D1</t>
        </is>
      </c>
      <c r="D2258" s="33" t="n">
        <v>3</v>
      </c>
      <c r="E2258" s="33" t="inlineStr">
        <is>
          <t>HPC/AI ~$80-100M of FY26 rev (~15-19%), trending up; plus HBM inspection in the pipeline. Company gives no single "AI revenue" line.</t>
        </is>
      </c>
      <c r="F2258" s="33" t="inlineStr">
        <is>
          <t>Q1'26 call (HPC guide); 10-K; context</t>
        </is>
      </c>
      <c r="G2258" s="33" t="inlineStr">
        <is>
          <t>Medium</t>
        </is>
      </c>
      <c r="H2258" s="33" t="inlineStr">
        <is>
          <t>Initial</t>
        </is>
      </c>
    </row>
    <row r="2259">
      <c r="A2259" s="33" t="inlineStr">
        <is>
          <t>2026-06-20</t>
        </is>
      </c>
      <c r="B2259" s="33" t="inlineStr">
        <is>
          <t>COHU</t>
        </is>
      </c>
      <c r="C2259" s="33" t="inlineStr">
        <is>
          <t>D2</t>
        </is>
      </c>
      <c r="D2259" s="33" t="n">
        <v>3</v>
      </c>
      <c r="E2259" s="33" t="inlineStr">
        <is>
          <t>Differentiated back-end breadth (handler+ATE+contactor+thermal+inspection) + large consumables installed base, but a #3-ish player behind Advantest/Teradyne facing Asia price competition.</t>
        </is>
      </c>
      <c r="F2259" s="33" t="inlineStr">
        <is>
          <t>10-K Item 1/1A; context</t>
        </is>
      </c>
      <c r="G2259" s="33" t="inlineStr">
        <is>
          <t>Med-High</t>
        </is>
      </c>
      <c r="H2259" s="33" t="inlineStr">
        <is>
          <t>Initial</t>
        </is>
      </c>
    </row>
    <row r="2260">
      <c r="A2260" s="33" t="inlineStr">
        <is>
          <t>2026-06-20</t>
        </is>
      </c>
      <c r="B2260" s="33" t="inlineStr">
        <is>
          <t>COHU</t>
        </is>
      </c>
      <c r="C2260" s="33" t="inlineStr">
        <is>
          <t>D3</t>
        </is>
      </c>
      <c r="D2260" s="33" t="n">
        <v>3</v>
      </c>
      <c r="E2260" s="33" t="inlineStr">
        <is>
          <t>Recurring/consumables installed base (&gt;25,000 systems; device-specific interface products) + IP give a modest real moat; share contested, pricing competitive.</t>
        </is>
      </c>
      <c r="F2260" s="33" t="inlineStr">
        <is>
          <t>10-K Item 1; context</t>
        </is>
      </c>
      <c r="G2260" s="33" t="inlineStr">
        <is>
          <t>Medium</t>
        </is>
      </c>
      <c r="H2260" s="33" t="inlineStr">
        <is>
          <t>Initial</t>
        </is>
      </c>
    </row>
    <row r="2261">
      <c r="A2261" s="33" t="inlineStr">
        <is>
          <t>2026-06-20</t>
        </is>
      </c>
      <c r="B2261" s="33" t="inlineStr">
        <is>
          <t>COHU</t>
        </is>
      </c>
      <c r="C2261" s="33" t="inlineStr">
        <is>
          <t>D4</t>
        </is>
      </c>
      <c r="D2261" s="33" t="n">
        <v>4</v>
      </c>
      <c r="E2261" s="33" t="inlineStr">
        <is>
          <t>Actively ramping Eclipse production capacity to meet HPC demand (absorbing initial ramp costs through 2026).</t>
        </is>
      </c>
      <c r="F2261" s="33" t="inlineStr">
        <is>
          <t>Q1'26 call; context</t>
        </is>
      </c>
      <c r="G2261" s="33" t="inlineStr">
        <is>
          <t>Med-High</t>
        </is>
      </c>
      <c r="H2261" s="33" t="inlineStr">
        <is>
          <t>Initial</t>
        </is>
      </c>
    </row>
    <row r="2262">
      <c r="A2262" s="33" t="inlineStr">
        <is>
          <t>2026-06-20</t>
        </is>
      </c>
      <c r="B2262" s="33" t="inlineStr">
        <is>
          <t>COHU</t>
        </is>
      </c>
      <c r="C2262" s="33" t="inlineStr">
        <is>
          <t>D5</t>
        </is>
      </c>
      <c r="D2262" s="33" t="n">
        <v>2</v>
      </c>
      <c r="E2262" s="33" t="inlineStr">
        <is>
          <t>Indirect exposure — sells to IDMs/OSATs/foundries serving the AI buildout; no hyperscaler customer; none &gt;10%.</t>
        </is>
      </c>
      <c r="F2262" s="33" t="inlineStr">
        <is>
          <t>10-K Item 1; 10-Q; context</t>
        </is>
      </c>
      <c r="G2262" s="33" t="inlineStr">
        <is>
          <t>Med-High</t>
        </is>
      </c>
      <c r="H2262" s="33" t="inlineStr">
        <is>
          <t>Initial</t>
        </is>
      </c>
    </row>
    <row r="2263">
      <c r="A2263" s="33" t="inlineStr">
        <is>
          <t>2026-06-20</t>
        </is>
      </c>
      <c r="B2263" s="33" t="inlineStr">
        <is>
          <t>COHU</t>
        </is>
      </c>
      <c r="C2263" s="33" t="inlineStr">
        <is>
          <t>M1</t>
        </is>
      </c>
      <c r="D2263" s="33" t="n">
        <v>5</v>
      </c>
      <c r="E2263" s="33" t="inlineStr">
        <is>
          <t>Beat-and-raise; multiple PT hikes (TD Cowen $60-&gt;$80; B.Riley $35-&gt;$53) and a raised FY26 guide.</t>
        </is>
      </c>
      <c r="F2263" s="33" t="inlineStr">
        <is>
          <t>analyst notes; Q1'26 call; context</t>
        </is>
      </c>
      <c r="G2263" s="33" t="inlineStr">
        <is>
          <t>High</t>
        </is>
      </c>
      <c r="H2263" s="33" t="inlineStr">
        <is>
          <t>Initial</t>
        </is>
      </c>
    </row>
    <row r="2264">
      <c r="A2264" s="33" t="inlineStr">
        <is>
          <t>2026-06-20</t>
        </is>
      </c>
      <c r="B2264" s="33" t="inlineStr">
        <is>
          <t>COHU</t>
        </is>
      </c>
      <c r="C2264" s="33" t="inlineStr">
        <is>
          <t>M2</t>
        </is>
      </c>
      <c r="D2264" s="33" t="n">
        <v>3</v>
      </c>
      <c r="E2264" s="33" t="inlineStr">
        <is>
          <t>+280% 1yr / +85-92% YTD but ~in line with SOXX ~+99% YTD; on a relative-to-sector basis not a clear &gt;20% outperformer (could argue 4).</t>
        </is>
      </c>
      <c r="F2264" s="33" t="inlineStr">
        <is>
          <t>Investing.com; SOXX YTD; context</t>
        </is>
      </c>
      <c r="G2264" s="33" t="inlineStr">
        <is>
          <t>Medium</t>
        </is>
      </c>
      <c r="H2264" s="33" t="inlineStr">
        <is>
          <t>Initial</t>
        </is>
      </c>
    </row>
    <row r="2265">
      <c r="A2265" s="33" t="inlineStr">
        <is>
          <t>2026-06-20</t>
        </is>
      </c>
      <c r="B2265" s="33" t="inlineStr">
        <is>
          <t>COHU</t>
        </is>
      </c>
      <c r="C2265" s="33" t="inlineStr">
        <is>
          <t>M3</t>
        </is>
      </c>
      <c r="D2265" s="33" t="n">
        <v>3</v>
      </c>
      <c r="E2265" s="33" t="inlineStr">
        <is>
          <t>0 buys / 9 open-market sells in 6mo, all small (&lt;5%) into a +280% run = routine post-rally diversification; no buying caps at 3.</t>
        </is>
      </c>
      <c r="F2265" s="33" t="inlineStr">
        <is>
          <t>Quiver/StockTitan Form 4; context</t>
        </is>
      </c>
      <c r="G2265" s="33" t="inlineStr">
        <is>
          <t>Medium</t>
        </is>
      </c>
      <c r="H2265" s="33" t="inlineStr">
        <is>
          <t>Initial</t>
        </is>
      </c>
    </row>
    <row r="2266">
      <c r="A2266" s="33" t="inlineStr">
        <is>
          <t>2026-06-20</t>
        </is>
      </c>
      <c r="B2266" s="33" t="inlineStr">
        <is>
          <t>COHU</t>
        </is>
      </c>
      <c r="C2266" s="33" t="inlineStr">
        <is>
          <t>R1</t>
        </is>
      </c>
      <c r="D2266" s="33" t="n">
        <v>4</v>
      </c>
      <c r="E2266" s="33" t="inlineStr">
        <is>
          <t>Top-10 = 60%, no customer &gt;10% (FY25).</t>
        </is>
      </c>
      <c r="F2266" s="33" t="inlineStr">
        <is>
          <t>10-K Item 1A; 10-Q</t>
        </is>
      </c>
      <c r="G2266" s="33" t="inlineStr">
        <is>
          <t>High</t>
        </is>
      </c>
      <c r="H2266" s="33" t="inlineStr">
        <is>
          <t>Initial</t>
        </is>
      </c>
    </row>
    <row r="2267">
      <c r="A2267" s="33" t="inlineStr">
        <is>
          <t>2026-06-20</t>
        </is>
      </c>
      <c r="B2267" s="33" t="inlineStr">
        <is>
          <t>COHU</t>
        </is>
      </c>
      <c r="C2267" s="33" t="inlineStr">
        <is>
          <t>R2</t>
        </is>
      </c>
      <c r="D2267" s="33" t="n">
        <v>3</v>
      </c>
      <c r="E2267" s="33" t="inlineStr">
        <is>
          <t>Asia test/assembly hub concentration + China ~11% policy overhang; 90% international; impact limited/absorbed.</t>
        </is>
      </c>
      <c r="F2267" s="33" t="inlineStr">
        <is>
          <t>10-Q geographic; 10-K</t>
        </is>
      </c>
      <c r="G2267" s="33" t="inlineStr">
        <is>
          <t>Medium</t>
        </is>
      </c>
      <c r="H2267" s="33" t="inlineStr">
        <is>
          <t>Initial</t>
        </is>
      </c>
    </row>
    <row r="2268">
      <c r="A2268" s="33" t="inlineStr">
        <is>
          <t>2026-06-20</t>
        </is>
      </c>
      <c r="B2268" s="33" t="inlineStr">
        <is>
          <t>COHU</t>
        </is>
      </c>
      <c r="C2268" s="33" t="inlineStr">
        <is>
          <t>R3</t>
        </is>
      </c>
      <c r="D2268" s="33" t="n">
        <v>4</v>
      </c>
      <c r="E2268" s="33" t="inlineStr">
        <is>
          <t>Net cash ~+$184M, $489M cash+investments, positive FCF even in trough; modest offsetting $287.5M convertible due 2031 (capped-call).</t>
        </is>
      </c>
      <c r="F2268" s="33" t="inlineStr">
        <is>
          <t>10-Q; 10-K Borrowings</t>
        </is>
      </c>
      <c r="G2268" s="33" t="inlineStr">
        <is>
          <t>High</t>
        </is>
      </c>
      <c r="H2268" s="33" t="inlineStr">
        <is>
          <t>Initial</t>
        </is>
      </c>
    </row>
    <row r="2269">
      <c r="A2269" s="33" t="inlineStr">
        <is>
          <t>2026-06-20</t>
        </is>
      </c>
      <c r="B2269" s="33" t="inlineStr">
        <is>
          <t>COHU</t>
        </is>
      </c>
      <c r="C2269" s="33" t="inlineStr">
        <is>
          <t>R4</t>
        </is>
      </c>
      <c r="D2269" s="33" t="n">
        <v>4</v>
      </c>
      <c r="E2269" s="33" t="inlineStr">
        <is>
          <t>Clean; 10-K states trade-compliance costs immaterial, no material proceedings flagged.</t>
        </is>
      </c>
      <c r="F2269" s="33" t="inlineStr">
        <is>
          <t>10-K</t>
        </is>
      </c>
      <c r="G2269" s="33" t="inlineStr">
        <is>
          <t>Med-High</t>
        </is>
      </c>
      <c r="H2269" s="33" t="inlineStr">
        <is>
          <t>Initial</t>
        </is>
      </c>
    </row>
    <row r="2270">
      <c r="A2270" s="33" t="inlineStr">
        <is>
          <t>2026-06-20</t>
        </is>
      </c>
      <c r="B2270" s="33" t="inlineStr">
        <is>
          <t>COHU</t>
        </is>
      </c>
      <c r="C2270" s="33" t="inlineStr">
        <is>
          <t>R5</t>
        </is>
      </c>
      <c r="D2270" s="33" t="n">
        <v>5</v>
      </c>
      <c r="E2270" s="33" t="inlineStr">
        <is>
          <t>Back-end semi-test equipment / physical infra; not Layer 10; rule-16 default.</t>
        </is>
      </c>
      <c r="F2270" s="33" t="inlineStr">
        <is>
          <t>CLAUDE.md rule 16</t>
        </is>
      </c>
      <c r="G2270" s="33" t="inlineStr">
        <is>
          <t>High</t>
        </is>
      </c>
      <c r="H2270" s="33" t="inlineStr">
        <is>
          <t>Initial</t>
        </is>
      </c>
    </row>
    <row r="2271">
      <c r="A2271" s="33" t="inlineStr">
        <is>
          <t>2026-06-20</t>
        </is>
      </c>
      <c r="B2271" s="33" t="inlineStr">
        <is>
          <t>AMKR</t>
        </is>
      </c>
      <c r="C2271" s="33" t="inlineStr">
        <is>
          <t>D1</t>
        </is>
      </c>
      <c r="D2271" s="33" t="n">
        <v>3</v>
      </c>
      <c r="E2271" s="33" t="inlineStr">
        <is>
          <t>Advanced products 81-83% of sales, but advanced packaging != AI revenue (Comms/mobile 44-46%); genuinely AI-infra-tied ~10-25% and rising. No disclosed "AI revenue".</t>
        </is>
      </c>
      <c r="F2271" s="33" t="inlineStr">
        <is>
          <t>10-K FY2025 product/end-market; Q1'26 10-Q; context</t>
        </is>
      </c>
      <c r="G2271" s="33" t="inlineStr">
        <is>
          <t>Medium</t>
        </is>
      </c>
      <c r="H2271" s="33" t="inlineStr">
        <is>
          <t>Initial</t>
        </is>
      </c>
    </row>
    <row r="2272">
      <c r="A2272" s="33" t="inlineStr">
        <is>
          <t>2026-06-20</t>
        </is>
      </c>
      <c r="B2272" s="33" t="inlineStr">
        <is>
          <t>AMKR</t>
        </is>
      </c>
      <c r="C2272" s="33" t="inlineStr">
        <is>
          <t>D2</t>
        </is>
      </c>
      <c r="D2272" s="33" t="n">
        <v>3</v>
      </c>
      <c r="E2272" s="33" t="inlineStr">
        <is>
          <t>#2 OSAT with scale + advanced IP, but mid-chain service provider — thin ~14% GM, materials pass-through, customer leverage (Apple/Qualcomm), foundry in-housing threat.</t>
        </is>
      </c>
      <c r="F2272" s="33" t="inlineStr">
        <is>
          <t>10-K FY2025; OSAT share data; context</t>
        </is>
      </c>
      <c r="G2272" s="33" t="inlineStr">
        <is>
          <t>High</t>
        </is>
      </c>
      <c r="H2272" s="33" t="inlineStr">
        <is>
          <t>Initial</t>
        </is>
      </c>
    </row>
    <row r="2273">
      <c r="A2273" s="33" t="inlineStr">
        <is>
          <t>2026-06-20</t>
        </is>
      </c>
      <c r="B2273" s="33" t="inlineStr">
        <is>
          <t>AMKR</t>
        </is>
      </c>
      <c r="C2273" s="33" t="inlineStr">
        <is>
          <t>D3</t>
        </is>
      </c>
      <c r="D2273" s="33" t="n">
        <v>3</v>
      </c>
      <c r="E2273" s="33" t="inlineStr">
        <is>
          <t>HDFO/2.5D process know-how + customer entanglement give some defensibility, but TSMC 3DFabric + Chinese OSATs erode the high end; limited pricing power.</t>
        </is>
      </c>
      <c r="F2273" s="33" t="inlineStr">
        <is>
          <t>trade press; 10-K competition; context</t>
        </is>
      </c>
      <c r="G2273" s="33" t="inlineStr">
        <is>
          <t>Medium</t>
        </is>
      </c>
      <c r="H2273" s="33" t="inlineStr">
        <is>
          <t>Initial</t>
        </is>
      </c>
    </row>
    <row r="2274">
      <c r="A2274" s="33" t="inlineStr">
        <is>
          <t>2026-06-20</t>
        </is>
      </c>
      <c r="B2274" s="33" t="inlineStr">
        <is>
          <t>AMKR</t>
        </is>
      </c>
      <c r="C2274" s="33" t="inlineStr">
        <is>
          <t>D4</t>
        </is>
      </c>
      <c r="D2274" s="33" t="n">
        <v>5</v>
      </c>
      <c r="E2274" s="33" t="inlineStr">
        <is>
          <t>$7B Arizona buildout (broken ground, Apple-anchored, CHIPS-supported) + advanced-packaging capacity tripling in 2026; funded and underway.</t>
        </is>
      </c>
      <c r="F2274" s="33" t="inlineStr">
        <is>
          <t>10-K FY2025; ir.amkor.com 2025-10-06; context</t>
        </is>
      </c>
      <c r="G2274" s="33" t="inlineStr">
        <is>
          <t>High</t>
        </is>
      </c>
      <c r="H2274" s="33" t="inlineStr">
        <is>
          <t>Initial</t>
        </is>
      </c>
    </row>
    <row r="2275">
      <c r="A2275" s="33" t="inlineStr">
        <is>
          <t>2026-06-20</t>
        </is>
      </c>
      <c r="B2275" s="33" t="inlineStr">
        <is>
          <t>AMKR</t>
        </is>
      </c>
      <c r="C2275" s="33" t="inlineStr">
        <is>
          <t>D5</t>
        </is>
      </c>
      <c r="D2275" s="33" t="n">
        <v>2</v>
      </c>
      <c r="E2275" s="33" t="inlineStr">
        <is>
          <t>Named large customers are Apple/Qualcomm, not hyperscalers; AI exposure indirect via merchant accelerator/CPU vendors and Apple silicon.</t>
        </is>
      </c>
      <c r="F2275" s="33" t="inlineStr">
        <is>
          <t>10-K FY2025 customers; context</t>
        </is>
      </c>
      <c r="G2275" s="33" t="inlineStr">
        <is>
          <t>Medium</t>
        </is>
      </c>
      <c r="H2275" s="33" t="inlineStr">
        <is>
          <t>Initial</t>
        </is>
      </c>
    </row>
    <row r="2276">
      <c r="A2276" s="33" t="inlineStr">
        <is>
          <t>2026-06-20</t>
        </is>
      </c>
      <c r="B2276" s="33" t="inlineStr">
        <is>
          <t>AMKR</t>
        </is>
      </c>
      <c r="C2276" s="33" t="inlineStr">
        <is>
          <t>M1</t>
        </is>
      </c>
      <c r="D2276" s="33" t="n">
        <v>5</v>
      </c>
      <c r="E2276" s="33" t="inlineStr">
        <is>
          <t>Beat-and-raise; Needham $65-&gt;$90, MS $45-&gt;$69; FY26 EPS consensus $1.74-&gt;$2.11.</t>
        </is>
      </c>
      <c r="F2276" s="33" t="inlineStr">
        <is>
          <t>analyst notes Jun 2026; context</t>
        </is>
      </c>
      <c r="G2276" s="33" t="inlineStr">
        <is>
          <t>High</t>
        </is>
      </c>
      <c r="H2276" s="33" t="inlineStr">
        <is>
          <t>Initial</t>
        </is>
      </c>
    </row>
    <row r="2277">
      <c r="A2277" s="33" t="inlineStr">
        <is>
          <t>2026-06-20</t>
        </is>
      </c>
      <c r="B2277" s="33" t="inlineStr">
        <is>
          <t>AMKR</t>
        </is>
      </c>
      <c r="C2277" s="33" t="inlineStr">
        <is>
          <t>M2</t>
        </is>
      </c>
      <c r="D2277" s="33" t="n">
        <v>5</v>
      </c>
      <c r="E2277" s="33" t="inlineStr">
        <is>
          <t>All-time highs, large outperformance, +8.25% single day (Jun 12). Note: also rule-14 crowding risk.</t>
        </is>
      </c>
      <c r="F2277" s="33" t="inlineStr">
        <is>
          <t>market data; expectations_flag; context</t>
        </is>
      </c>
      <c r="G2277" s="33" t="inlineStr">
        <is>
          <t>High</t>
        </is>
      </c>
      <c r="H2277" s="33" t="inlineStr">
        <is>
          <t>Initial</t>
        </is>
      </c>
    </row>
    <row r="2278">
      <c r="A2278" s="33" t="inlineStr">
        <is>
          <t>2026-06-20</t>
        </is>
      </c>
      <c r="B2278" s="33" t="inlineStr">
        <is>
          <t>AMKR</t>
        </is>
      </c>
      <c r="C2278" s="33" t="inlineStr">
        <is>
          <t>M3</t>
        </is>
      </c>
      <c r="D2278" s="33" t="n">
        <v>3</v>
      </c>
      <c r="E2278" s="33" t="inlineStr">
        <is>
          <t>Ex-CEO routine post-retirement trim (~9% of holdings); no open-market buying; Kim-family secondary is a diversification-flavored overhang. Default post-rally baseline.</t>
        </is>
      </c>
      <c r="F2278" s="33" t="inlineStr">
        <is>
          <t>stocktitan Form 4; 13D/A; context</t>
        </is>
      </c>
      <c r="G2278" s="33" t="inlineStr">
        <is>
          <t>Medium</t>
        </is>
      </c>
      <c r="H2278" s="33" t="inlineStr">
        <is>
          <t>Initial</t>
        </is>
      </c>
    </row>
    <row r="2279">
      <c r="A2279" s="33" t="inlineStr">
        <is>
          <t>2026-06-20</t>
        </is>
      </c>
      <c r="B2279" s="33" t="inlineStr">
        <is>
          <t>AMKR</t>
        </is>
      </c>
      <c r="C2279" s="33" t="inlineStr">
        <is>
          <t>R1</t>
        </is>
      </c>
      <c r="D2279" s="33" t="n">
        <v>3</v>
      </c>
      <c r="E2279" s="33" t="inlineStr">
        <is>
          <t>Apple 29.8% (band 3: top customer 25-40%); top-10 = 72%. Real, not existential.</t>
        </is>
      </c>
      <c r="F2279" s="33" t="inlineStr">
        <is>
          <t>10-K FY2025</t>
        </is>
      </c>
      <c r="G2279" s="33" t="inlineStr">
        <is>
          <t>High</t>
        </is>
      </c>
      <c r="H2279" s="33" t="inlineStr">
        <is>
          <t>Initial</t>
        </is>
      </c>
    </row>
    <row r="2280">
      <c r="A2280" s="33" t="inlineStr">
        <is>
          <t>2026-06-20</t>
        </is>
      </c>
      <c r="B2280" s="33" t="inlineStr">
        <is>
          <t>AMKR</t>
        </is>
      </c>
      <c r="C2280" s="33" t="inlineStr">
        <is>
          <t>R2</t>
        </is>
      </c>
      <c r="D2280" s="33" t="n">
        <v>2</v>
      </c>
      <c r="E2280" s="33" t="inlineStr">
        <is>
          <t>Worst plausible shock: Taiwan-strait/China conflict impairing Asian production assets (Korea, China 1.4M sq ft, Taiwan); point-of-billing "US 65.6%" is misleading.</t>
        </is>
      </c>
      <c r="F2280" s="33" t="inlineStr">
        <is>
          <t>10-K FY2025 Item 2 + geographic note</t>
        </is>
      </c>
      <c r="G2280" s="33" t="inlineStr">
        <is>
          <t>Medium</t>
        </is>
      </c>
      <c r="H2280" s="33" t="inlineStr">
        <is>
          <t>Initial</t>
        </is>
      </c>
    </row>
    <row r="2281">
      <c r="A2281" s="33" t="inlineStr">
        <is>
          <t>2026-06-20</t>
        </is>
      </c>
      <c r="B2281" s="33" t="inlineStr">
        <is>
          <t>AMKR</t>
        </is>
      </c>
      <c r="C2281" s="33" t="inlineStr">
        <is>
          <t>R3</t>
        </is>
      </c>
      <c r="D2281" s="33" t="n">
        <v>4</v>
      </c>
      <c r="E2281" s="33" t="inlineStr">
        <is>
          <t>Net cash (cash+STI ~$1.99B vs debt ~$1.46B; ND/EBITDA ~-0.2x), but the $7B Arizona capex is a real forward call on FCF (so not 5).</t>
        </is>
      </c>
      <c r="F2281" s="33" t="inlineStr">
        <is>
          <t>10-K FY2025 balance sheet</t>
        </is>
      </c>
      <c r="G2281" s="33" t="inlineStr">
        <is>
          <t>High</t>
        </is>
      </c>
      <c r="H2281" s="33" t="inlineStr">
        <is>
          <t>Initial</t>
        </is>
      </c>
    </row>
    <row r="2282">
      <c r="A2282" s="33" t="inlineStr">
        <is>
          <t>2026-06-20</t>
        </is>
      </c>
      <c r="B2282" s="33" t="inlineStr">
        <is>
          <t>AMKR</t>
        </is>
      </c>
      <c r="C2282" s="33" t="inlineStr">
        <is>
          <t>R4</t>
        </is>
      </c>
      <c r="D2282" s="33" t="n">
        <v>4</v>
      </c>
      <c r="E2282" s="33" t="inlineStr">
        <is>
          <t>No major disclosed litigation; watch items = CHIPS-incentive clawback conditions + export-control overhang.</t>
        </is>
      </c>
      <c r="F2282" s="33" t="inlineStr">
        <is>
          <t>10-K FY2025 legal/risk</t>
        </is>
      </c>
      <c r="G2282" s="33" t="inlineStr">
        <is>
          <t>Medium</t>
        </is>
      </c>
      <c r="H2282" s="33" t="inlineStr">
        <is>
          <t>Initial</t>
        </is>
      </c>
    </row>
    <row r="2283">
      <c r="A2283" s="33" t="inlineStr">
        <is>
          <t>2026-06-20</t>
        </is>
      </c>
      <c r="B2283" s="33" t="inlineStr">
        <is>
          <t>AMKR</t>
        </is>
      </c>
      <c r="C2283" s="33" t="inlineStr">
        <is>
          <t>R5</t>
        </is>
      </c>
      <c r="D2283" s="33" t="n">
        <v>5</v>
      </c>
      <c r="E2283" s="33" t="inlineStr">
        <is>
          <t>Physical back-end manufacturing; non-Layer-10 default; AI is a tailwind (TSMC in-housing is a D2/D3 issue, not R5 obsolescence).</t>
        </is>
      </c>
      <c r="F2283" s="33" t="inlineStr">
        <is>
          <t>CLAUDE.md rule 16</t>
        </is>
      </c>
      <c r="G2283" s="33" t="inlineStr">
        <is>
          <t>High</t>
        </is>
      </c>
      <c r="H2283" s="33" t="inlineStr">
        <is>
          <t>Initial</t>
        </is>
      </c>
    </row>
    <row r="2284">
      <c r="A2284" s="33" t="inlineStr">
        <is>
          <t>2026-06-20</t>
        </is>
      </c>
      <c r="B2284" s="33" t="inlineStr">
        <is>
          <t>ASX</t>
        </is>
      </c>
      <c r="C2284" s="33" t="inlineStr">
        <is>
          <t>D1</t>
        </is>
      </c>
      <c r="D2284" s="33" t="n">
        <v>3</v>
      </c>
      <c r="E2284" s="33" t="inlineStr">
        <is>
          <t>AI is the explicit driver but not yet majority; LEAP &gt;$3.5B (2026E) on ~$20B rev ~= high-teens % directly AI-tied, plus AI-test/peripherals; EMS+wirebond dilute.</t>
        </is>
      </c>
      <c r="F2284" s="33" t="inlineStr">
        <is>
          <t>20-F AI risk factor; Q1'26 call (LEAP); context</t>
        </is>
      </c>
      <c r="G2284" s="33" t="inlineStr">
        <is>
          <t>Medium</t>
        </is>
      </c>
      <c r="H2284" s="33" t="inlineStr">
        <is>
          <t>Initial</t>
        </is>
      </c>
    </row>
    <row r="2285">
      <c r="A2285" s="33" t="inlineStr">
        <is>
          <t>2026-06-20</t>
        </is>
      </c>
      <c r="B2285" s="33" t="inlineStr">
        <is>
          <t>ASX</t>
        </is>
      </c>
      <c r="C2285" s="33" t="inlineStr">
        <is>
          <t>D2</t>
        </is>
      </c>
      <c r="D2285" s="33" t="n">
        <v>4</v>
      </c>
      <c r="E2285" s="33" t="inlineStr">
        <is>
          <t>#1 OSAT globally; upstream-of-finished-chip with limited peers (Amkor, JCET); widening lead times. Not 5 — complement to TSMC in CoWoS.</t>
        </is>
      </c>
      <c r="F2285" s="33" t="inlineStr">
        <is>
          <t>20-F; rubric anchors; context</t>
        </is>
      </c>
      <c r="G2285" s="33" t="inlineStr">
        <is>
          <t>High</t>
        </is>
      </c>
      <c r="H2285" s="33" t="inlineStr">
        <is>
          <t>Initial</t>
        </is>
      </c>
    </row>
    <row r="2286">
      <c r="A2286" s="33" t="inlineStr">
        <is>
          <t>2026-06-20</t>
        </is>
      </c>
      <c r="B2286" s="33" t="inlineStr">
        <is>
          <t>ASX</t>
        </is>
      </c>
      <c r="C2286" s="33" t="inlineStr">
        <is>
          <t>D3</t>
        </is>
      </c>
      <c r="D2286" s="33" t="n">
        <v>3</v>
      </c>
      <c r="E2286" s="33" t="inlineStr">
        <is>
          <t>Scale + capital intensity + qualification switching costs, but contestable (TSMC forward-integration, substrate dependence). Took 3 of a 3-4 range (ruthless).</t>
        </is>
      </c>
      <c r="F2286" s="33" t="inlineStr">
        <is>
          <t>20-F Customers/Qualification; context</t>
        </is>
      </c>
      <c r="G2286" s="33" t="inlineStr">
        <is>
          <t>Medium</t>
        </is>
      </c>
      <c r="H2286" s="33" t="inlineStr">
        <is>
          <t>Initial</t>
        </is>
      </c>
    </row>
    <row r="2287">
      <c r="A2287" s="33" t="inlineStr">
        <is>
          <t>2026-06-20</t>
        </is>
      </c>
      <c r="B2287" s="33" t="inlineStr">
        <is>
          <t>ASX</t>
        </is>
      </c>
      <c r="C2287" s="33" t="inlineStr">
        <is>
          <t>D4</t>
        </is>
      </c>
      <c r="D2287" s="33" t="n">
        <v>5</v>
      </c>
      <c r="E2287" s="33" t="inlineStr">
        <is>
          <t>Multi-year funded customer-backed buildout; capex raised twice to US$8.5B; new test hub.</t>
        </is>
      </c>
      <c r="F2287" s="33" t="inlineStr">
        <is>
          <t>Q1'26 PR; trade press; context</t>
        </is>
      </c>
      <c r="G2287" s="33" t="inlineStr">
        <is>
          <t>High</t>
        </is>
      </c>
      <c r="H2287" s="33" t="inlineStr">
        <is>
          <t>Initial</t>
        </is>
      </c>
    </row>
    <row r="2288">
      <c r="A2288" s="33" t="inlineStr">
        <is>
          <t>2026-06-20</t>
        </is>
      </c>
      <c r="B2288" s="33" t="inlineStr">
        <is>
          <t>ASX</t>
        </is>
      </c>
      <c r="C2288" s="33" t="inlineStr">
        <is>
          <t>D5</t>
        </is>
      </c>
      <c r="D2288" s="33" t="n">
        <v>3</v>
      </c>
      <c r="E2288" s="33" t="inlineStr">
        <is>
          <t>Packages/tests AI accelerators for the fabless/hyperscaler-silicon ecosystem, but named &gt;10% customer is Apple (consumer); much exposure one step removed.</t>
        </is>
      </c>
      <c r="F2288" s="33" t="inlineStr">
        <is>
          <t>20-F major-customer note; context</t>
        </is>
      </c>
      <c r="G2288" s="33" t="inlineStr">
        <is>
          <t>Medium</t>
        </is>
      </c>
      <c r="H2288" s="33" t="inlineStr">
        <is>
          <t>Initial</t>
        </is>
      </c>
    </row>
    <row r="2289">
      <c r="A2289" s="33" t="inlineStr">
        <is>
          <t>2026-06-20</t>
        </is>
      </c>
      <c r="B2289" s="33" t="inlineStr">
        <is>
          <t>ASX</t>
        </is>
      </c>
      <c r="C2289" s="33" t="inlineStr">
        <is>
          <t>M1</t>
        </is>
      </c>
      <c r="D2289" s="33" t="n">
        <v>3</v>
      </c>
      <c r="E2289" s="33" t="inlineStr">
        <is>
          <t>Net-positive: Q1'26 beat ~15%, targets nudged up; not a violent beat-and-raise. Took 3 of a 3-4 range.</t>
        </is>
      </c>
      <c r="F2289" s="33" t="inlineStr">
        <is>
          <t>WallStreetZen; TradingView 3711; context</t>
        </is>
      </c>
      <c r="G2289" s="33" t="inlineStr">
        <is>
          <t>Medium</t>
        </is>
      </c>
      <c r="H2289" s="33" t="inlineStr">
        <is>
          <t>Initial</t>
        </is>
      </c>
    </row>
    <row r="2290">
      <c r="A2290" s="33" t="inlineStr">
        <is>
          <t>2026-06-20</t>
        </is>
      </c>
      <c r="B2290" s="33" t="inlineStr">
        <is>
          <t>ASX</t>
        </is>
      </c>
      <c r="C2290" s="33" t="inlineStr">
        <is>
          <t>M2</t>
        </is>
      </c>
      <c r="D2290" s="33" t="n">
        <v>4</v>
      </c>
      <c r="E2290" s="33" t="inlineStr">
        <is>
          <t>Strong outperformer vs SOXX (6-12mo). LOW CONFIDENCE — circulating "+257%" is TWSE 3711, likely overstated for the ADR; verify on ADR series. Took 4 of a 4-5 range.</t>
        </is>
      </c>
      <c r="F2290" s="33" t="inlineStr">
        <is>
          <t>U.S. News SOXX YTD; context</t>
        </is>
      </c>
      <c r="G2290" s="33" t="inlineStr">
        <is>
          <t>Low</t>
        </is>
      </c>
      <c r="H2290" s="33" t="inlineStr">
        <is>
          <t>Initial</t>
        </is>
      </c>
    </row>
    <row r="2291">
      <c r="A2291" s="33" t="inlineStr">
        <is>
          <t>2026-06-20</t>
        </is>
      </c>
      <c r="B2291" s="33" t="inlineStr">
        <is>
          <t>ASX</t>
        </is>
      </c>
      <c r="C2291" s="33" t="inlineStr">
        <is>
          <t>M3</t>
        </is>
      </c>
      <c r="D2291" s="33" t="n">
        <v>3</v>
      </c>
      <c r="E2291" s="33" t="inlineStr">
        <is>
          <t>DATA GAP — no Form-4/Section-16 for a foreign filer; rubric default for no-visible-activity = 3 (here it is absence of data, not a read).</t>
        </is>
      </c>
      <c r="F2291" s="33" t="inlineStr">
        <is>
          <t>yfinance heldPctInsiders 0.0; context</t>
        </is>
      </c>
      <c r="G2291" s="33" t="inlineStr">
        <is>
          <t>Low</t>
        </is>
      </c>
      <c r="H2291" s="33" t="inlineStr">
        <is>
          <t>Initial</t>
        </is>
      </c>
    </row>
    <row r="2292">
      <c r="A2292" s="33" t="inlineStr">
        <is>
          <t>2026-06-20</t>
        </is>
      </c>
      <c r="B2292" s="33" t="inlineStr">
        <is>
          <t>ASX</t>
        </is>
      </c>
      <c r="C2292" s="33" t="inlineStr">
        <is>
          <t>R1</t>
        </is>
      </c>
      <c r="D2292" s="33" t="n">
        <v>3</v>
      </c>
      <c r="E2292" s="33" t="inlineStr">
        <is>
          <t>One customer ~25%, top-5 = 46.5% -&gt; real dependence, not existential.</t>
        </is>
      </c>
      <c r="F2292" s="33" t="inlineStr">
        <is>
          <t>20-F major-customer note</t>
        </is>
      </c>
      <c r="G2292" s="33" t="inlineStr">
        <is>
          <t>High</t>
        </is>
      </c>
      <c r="H2292" s="33" t="inlineStr">
        <is>
          <t>Initial</t>
        </is>
      </c>
    </row>
    <row r="2293">
      <c r="A2293" s="33" t="inlineStr">
        <is>
          <t>2026-06-20</t>
        </is>
      </c>
      <c r="B2293" s="33" t="inlineStr">
        <is>
          <t>ASX</t>
        </is>
      </c>
      <c r="C2293" s="33" t="inlineStr">
        <is>
          <t>R2</t>
        </is>
      </c>
      <c r="D2293" s="33" t="n">
        <v>2</v>
      </c>
      <c r="E2293" s="33" t="inlineStr">
        <is>
          <t>Asset leg dominant — ~58.9% of revenue produced in Taiwan (non-substitutable) + a standalone power-disruption risk; worst shock = Taiwan Strait/seismic/grid. Same logic as TSM=2.</t>
        </is>
      </c>
      <c r="F2293" s="33" t="inlineStr">
        <is>
          <t>20-F Taiwan risk factors</t>
        </is>
      </c>
      <c r="G2293" s="33" t="inlineStr">
        <is>
          <t>High</t>
        </is>
      </c>
      <c r="H2293" s="33" t="inlineStr">
        <is>
          <t>Initial</t>
        </is>
      </c>
    </row>
    <row r="2294">
      <c r="A2294" s="33" t="inlineStr">
        <is>
          <t>2026-06-20</t>
        </is>
      </c>
      <c r="B2294" s="33" t="inlineStr">
        <is>
          <t>ASX</t>
        </is>
      </c>
      <c r="C2294" s="33" t="inlineStr">
        <is>
          <t>R3</t>
        </is>
      </c>
      <c r="D2294" s="33" t="n">
        <v>3</v>
      </c>
      <c r="E2294" s="33" t="inlineStr">
        <is>
          <t>ND/equity 0.40, ND/EBITDA ~2x, strong OCF, large unused credit lines; FCF negative on the capex ramp. Took 3 of a 3-4 range.</t>
        </is>
      </c>
      <c r="F2294" s="33" t="inlineStr">
        <is>
          <t>Q1'26 PR balance sheet; context</t>
        </is>
      </c>
      <c r="G2294" s="33" t="inlineStr">
        <is>
          <t>Medium</t>
        </is>
      </c>
      <c r="H2294" s="33" t="inlineStr">
        <is>
          <t>Initial</t>
        </is>
      </c>
    </row>
    <row r="2295">
      <c r="A2295" s="33" t="inlineStr">
        <is>
          <t>2026-06-20</t>
        </is>
      </c>
      <c r="B2295" s="33" t="inlineStr">
        <is>
          <t>ASX</t>
        </is>
      </c>
      <c r="C2295" s="33" t="inlineStr">
        <is>
          <t>R4</t>
        </is>
      </c>
      <c r="D2295" s="33" t="n">
        <v>4</v>
      </c>
      <c r="E2295" s="33" t="inlineStr">
        <is>
          <t>No major disclosed regulatory threat surfaced; routine matters. Preliminary — full Legal Proceedings not fully extracted from the 20-F.</t>
        </is>
      </c>
      <c r="F2295" s="33" t="inlineStr">
        <is>
          <t>20-F (partial); context</t>
        </is>
      </c>
      <c r="G2295" s="33" t="inlineStr">
        <is>
          <t>Low</t>
        </is>
      </c>
      <c r="H2295" s="33" t="inlineStr">
        <is>
          <t>Initial</t>
        </is>
      </c>
    </row>
    <row r="2296">
      <c r="A2296" s="33" t="inlineStr">
        <is>
          <t>2026-06-20</t>
        </is>
      </c>
      <c r="B2296" s="33" t="inlineStr">
        <is>
          <t>ASX</t>
        </is>
      </c>
      <c r="C2296" s="33" t="inlineStr">
        <is>
          <t>R5</t>
        </is>
      </c>
      <c r="D2296" s="33" t="n">
        <v>5</v>
      </c>
      <c r="E2296" s="33" t="inlineStr">
        <is>
          <t>Physical back-end manufacturing; advanced packaging becoming more essential as value shifts to the package; non-Layer-10 default; AI tailwind.</t>
        </is>
      </c>
      <c r="F2296" s="33" t="inlineStr">
        <is>
          <t>CLAUDE.md rule 16</t>
        </is>
      </c>
      <c r="G2296" s="33" t="inlineStr">
        <is>
          <t>High</t>
        </is>
      </c>
      <c r="H2296" s="33" t="inlineStr">
        <is>
          <t>Initial</t>
        </is>
      </c>
    </row>
    <row r="2297">
      <c r="A2297" s="33" t="inlineStr">
        <is>
          <t>2026-06-22</t>
        </is>
      </c>
      <c r="B2297" s="33" t="inlineStr">
        <is>
          <t>(methodology)</t>
        </is>
      </c>
      <c r="C2297" s="33" t="inlineStr">
        <is>
          <t>Layer 11 reverted</t>
        </is>
      </c>
      <c r="D2297" s="33" t="inlineStr">
        <is>
          <t>—</t>
        </is>
      </c>
      <c r="E2297" s="33" t="inlineStr">
        <is>
          <t>Layer-11 AI-Adopters experiment + rule-17 materiality gate REVERTED same day (over-engineered for yield). RDDT re-homed to Layer 10/AI advertising under standard rubric; JPM/NU/LMND/MA/PERI/RXRX/HOOD dropped.</t>
        </is>
      </c>
      <c r="F2297" s="33" t="inlineStr">
        <is>
          <t>Dom 2026-06-22</t>
        </is>
      </c>
      <c r="G2297" s="33" t="inlineStr">
        <is>
          <t>High</t>
        </is>
      </c>
      <c r="H2297" s="33" t="inlineStr">
        <is>
          <t>Reverted</t>
        </is>
      </c>
    </row>
    <row r="2298">
      <c r="A2298" s="33" t="inlineStr">
        <is>
          <t>2026-06-22</t>
        </is>
      </c>
      <c r="B2298" s="33" t="inlineStr">
        <is>
          <t>RDDT</t>
        </is>
      </c>
      <c r="C2298" s="33" t="inlineStr">
        <is>
          <t>D1-AIrev%</t>
        </is>
      </c>
      <c r="D2298" s="33" t="n">
        <v>3</v>
      </c>
      <c r="E2298" s="33" t="inlineStr">
        <is>
          <t>Data-licensing to OpenAI/Google ~10% of rev (AI-tied) + ML-driven ad monetization; not an AI-native engine like APP</t>
        </is>
      </c>
      <c r="F2298" s="33" t="inlineStr">
        <is>
          <t>Q3 2025 letter; licensing disclosures</t>
        </is>
      </c>
      <c r="G2298" s="33" t="inlineStr">
        <is>
          <t>Med</t>
        </is>
      </c>
      <c r="H2298" s="33" t="inlineStr">
        <is>
          <t>Initial</t>
        </is>
      </c>
    </row>
    <row r="2299">
      <c r="A2299" s="33" t="inlineStr">
        <is>
          <t>2026-06-22</t>
        </is>
      </c>
      <c r="B2299" s="33" t="inlineStr">
        <is>
          <t>RDDT</t>
        </is>
      </c>
      <c r="C2299" s="33" t="inlineStr">
        <is>
          <t>D2-Position</t>
        </is>
      </c>
      <c r="D2299" s="33" t="n">
        <v>3</v>
      </c>
      <c r="E2299" s="33" t="inlineStr">
        <is>
          <t>Scarce first-party human-conversation corpus gives real position; but sub-scale ad platform vs Meta/Google</t>
        </is>
      </c>
      <c r="F2299" s="33" t="inlineStr">
        <is>
          <t>standard rubric</t>
        </is>
      </c>
      <c r="G2299" s="33" t="inlineStr">
        <is>
          <t>Med</t>
        </is>
      </c>
    </row>
    <row r="2300">
      <c r="A2300" s="33" t="inlineStr">
        <is>
          <t>2026-06-22</t>
        </is>
      </c>
      <c r="B2300" s="33" t="inlineStr">
        <is>
          <t>RDDT</t>
        </is>
      </c>
      <c r="C2300" s="33" t="inlineStr">
        <is>
          <t>D3-Moat</t>
        </is>
      </c>
      <c r="D2300" s="33" t="n">
        <v>3</v>
      </c>
      <c r="E2300" s="33" t="inlineStr">
        <is>
          <t>Irreplaceable corpus + most-cited AI source, but monetization moat fragile (Google-referral dependent)</t>
        </is>
      </c>
      <c r="F2300" s="33" t="inlineStr">
        <is>
          <t>GoodFirms citation data</t>
        </is>
      </c>
      <c r="G2300" s="33" t="inlineStr">
        <is>
          <t>Med</t>
        </is>
      </c>
    </row>
    <row r="2301">
      <c r="A2301" s="33" t="inlineStr">
        <is>
          <t>2026-06-22</t>
        </is>
      </c>
      <c r="B2301" s="33" t="inlineStr">
        <is>
          <t>RDDT</t>
        </is>
      </c>
      <c r="C2301" s="33" t="inlineStr">
        <is>
          <t>D4-Capacity</t>
        </is>
      </c>
      <c r="D2301" s="33" t="n">
        <v>3</v>
      </c>
      <c r="E2301" s="33" t="inlineStr">
        <is>
          <t>Cohort-calibrated (APP=4, DDOG=3); low confidence on app-layer meaning</t>
        </is>
      </c>
      <c r="F2301" s="33" t="inlineStr">
        <is>
          <t>Layer-10 anchors</t>
        </is>
      </c>
      <c r="G2301" s="33" t="inlineStr">
        <is>
          <t>Low</t>
        </is>
      </c>
    </row>
    <row r="2302">
      <c r="A2302" s="33" t="inlineStr">
        <is>
          <t>2026-06-22</t>
        </is>
      </c>
      <c r="B2302" s="33" t="inlineStr">
        <is>
          <t>RDDT</t>
        </is>
      </c>
      <c r="C2302" s="33" t="inlineStr">
        <is>
          <t>D5-Hyperscaler</t>
        </is>
      </c>
      <c r="D2302" s="33" t="n">
        <v>2</v>
      </c>
      <c r="E2302" s="33" t="inlineStr">
        <is>
          <t>Runs on hyperscalers as customer; licenses data TO them — limited beneficiary status (APP=2)</t>
        </is>
      </c>
      <c r="F2302" s="33" t="inlineStr">
        <is>
          <t>Layer-10 anchors</t>
        </is>
      </c>
      <c r="G2302" s="33" t="inlineStr">
        <is>
          <t>Med</t>
        </is>
      </c>
    </row>
    <row r="2303">
      <c r="A2303" s="33" t="inlineStr">
        <is>
          <t>2026-06-22</t>
        </is>
      </c>
      <c r="B2303" s="33" t="inlineStr">
        <is>
          <t>RDDT</t>
        </is>
      </c>
      <c r="C2303" s="33" t="inlineStr">
        <is>
          <t>EPSrev</t>
        </is>
      </c>
      <c r="D2303" s="33" t="n">
        <v>5</v>
      </c>
      <c r="E2303" s="33" t="inlineStr">
        <is>
          <t>Beat-and-raise; 7th straight qtr &gt;60% rev growth</t>
        </is>
      </c>
      <c r="F2303" s="33" t="inlineStr">
        <is>
          <t>Q1 2026</t>
        </is>
      </c>
      <c r="G2303" s="33" t="inlineStr">
        <is>
          <t>Med</t>
        </is>
      </c>
    </row>
    <row r="2304">
      <c r="A2304" s="33" t="inlineStr">
        <is>
          <t>2026-06-22</t>
        </is>
      </c>
      <c r="B2304" s="33" t="inlineStr">
        <is>
          <t>RDDT</t>
        </is>
      </c>
      <c r="C2304" s="33" t="inlineStr">
        <is>
          <t>RelStr</t>
        </is>
      </c>
      <c r="D2304" s="33" t="n">
        <v>3</v>
      </c>
      <c r="E2304" s="33" t="inlineStr">
        <is>
          <t>High-beta two-way; 50DMA% 50.8 sideways</t>
        </is>
      </c>
      <c r="F2304" s="33" t="inlineStr">
        <is>
          <t>momentum</t>
        </is>
      </c>
      <c r="G2304" s="33" t="inlineStr">
        <is>
          <t>Low</t>
        </is>
      </c>
    </row>
    <row r="2305">
      <c r="A2305" s="33" t="inlineStr">
        <is>
          <t>2026-06-22</t>
        </is>
      </c>
      <c r="B2305" s="33" t="inlineStr">
        <is>
          <t>RDDT</t>
        </is>
      </c>
      <c r="C2305" s="33" t="inlineStr">
        <is>
          <t>Insider</t>
        </is>
      </c>
      <c r="D2305" s="33" t="n">
        <v>3</v>
      </c>
      <c r="E2305" s="33" t="inlineStr">
        <is>
          <t>Post-IPO diversification baseline</t>
        </is>
      </c>
      <c r="F2305" s="33" t="inlineStr">
        <is>
          <t>rubric</t>
        </is>
      </c>
      <c r="G2305" s="33" t="inlineStr">
        <is>
          <t>Low</t>
        </is>
      </c>
    </row>
    <row r="2306">
      <c r="A2306" s="33" t="inlineStr">
        <is>
          <t>2026-06-22</t>
        </is>
      </c>
      <c r="B2306" s="33" t="inlineStr">
        <is>
          <t>RDDT</t>
        </is>
      </c>
      <c r="C2306" s="33" t="inlineStr">
        <is>
          <t>R1-CustConc</t>
        </is>
      </c>
      <c r="D2306" s="33" t="n">
        <v>5</v>
      </c>
      <c r="E2306" s="33" t="inlineStr">
        <is>
          <t>Ad revenue diversified, none &gt;15%</t>
        </is>
      </c>
      <c r="F2306" s="33" t="inlineStr">
        <is>
          <t>Q1 2026</t>
        </is>
      </c>
      <c r="G2306" s="33" t="inlineStr">
        <is>
          <t>Med</t>
        </is>
      </c>
    </row>
    <row r="2307">
      <c r="A2307" s="33" t="inlineStr">
        <is>
          <t>2026-06-22</t>
        </is>
      </c>
      <c r="B2307" s="33" t="inlineStr">
        <is>
          <t>RDDT</t>
        </is>
      </c>
      <c r="C2307" s="33" t="inlineStr">
        <is>
          <t>R2-Geo</t>
        </is>
      </c>
      <c r="D2307" s="33" t="n">
        <v>5</v>
      </c>
      <c r="E2307" s="33" t="inlineStr">
        <is>
          <t>Predominantly US revenue</t>
        </is>
      </c>
      <c r="F2307" s="33" t="inlineStr">
        <is>
          <t>10-Q</t>
        </is>
      </c>
      <c r="G2307" s="33" t="inlineStr">
        <is>
          <t>Med</t>
        </is>
      </c>
    </row>
    <row r="2308">
      <c r="A2308" s="33" t="inlineStr">
        <is>
          <t>2026-06-22</t>
        </is>
      </c>
      <c r="B2308" s="33" t="inlineStr">
        <is>
          <t>RDDT</t>
        </is>
      </c>
      <c r="C2308" s="33" t="inlineStr">
        <is>
          <t>R3-BS</t>
        </is>
      </c>
      <c r="D2308" s="33" t="n">
        <v>5</v>
      </c>
      <c r="E2308" s="33" t="inlineStr">
        <is>
          <t>Net cash, no debt, GAAP-profitable, 40% EBITDA mgn</t>
        </is>
      </c>
      <c r="F2308" s="33" t="inlineStr">
        <is>
          <t>Q1 2026</t>
        </is>
      </c>
      <c r="G2308" s="33" t="inlineStr">
        <is>
          <t>High</t>
        </is>
      </c>
    </row>
    <row r="2309">
      <c r="A2309" s="33" t="inlineStr">
        <is>
          <t>2026-06-22</t>
        </is>
      </c>
      <c r="B2309" s="33" t="inlineStr">
        <is>
          <t>RDDT</t>
        </is>
      </c>
      <c r="C2309" s="33" t="inlineStr">
        <is>
          <t>R4-Reg</t>
        </is>
      </c>
      <c r="D2309" s="33" t="n">
        <v>4</v>
      </c>
      <c r="E2309" s="33" t="inlineStr">
        <is>
          <t>Latent data-licensing/moderation, nothing active</t>
        </is>
      </c>
      <c r="F2309" s="33" t="inlineStr">
        <is>
          <t>—</t>
        </is>
      </c>
      <c r="G2309" s="33" t="inlineStr">
        <is>
          <t>Med</t>
        </is>
      </c>
    </row>
    <row r="2310">
      <c r="A2310" s="33" t="inlineStr">
        <is>
          <t>2026-06-22</t>
        </is>
      </c>
      <c r="B2310" s="33" t="inlineStr">
        <is>
          <t>RDDT</t>
        </is>
      </c>
      <c r="C2310" s="33" t="inlineStr">
        <is>
          <t>R5-Disrupt</t>
        </is>
      </c>
      <c r="D2310" s="33" t="n">
        <v>2</v>
      </c>
      <c r="E2310" s="33" t="inlineStr">
        <is>
          <t>Ad funnel ~40-50% Google-referral; AI-Overviews/zero-click active compression</t>
        </is>
      </c>
      <c r="F2310" s="33" t="inlineStr">
        <is>
          <t>referral/AIO</t>
        </is>
      </c>
      <c r="G2310" s="33" t="inlineStr">
        <is>
          <t>Med</t>
        </is>
      </c>
    </row>
    <row r="2311">
      <c r="A2311" s="33" t="inlineStr">
        <is>
          <t>2026-06-24</t>
        </is>
      </c>
      <c r="B2311" s="33" t="inlineStr">
        <is>
          <t>MU</t>
        </is>
      </c>
      <c r="C2311" s="33" t="inlineStr">
        <is>
          <t>Growth: EPS YoY (rule 15)</t>
        </is>
      </c>
      <c r="D2311" s="33" t="n">
        <v>770.8</v>
      </c>
      <c r="E2311" s="33" t="inlineStr">
        <is>
          <t>Memory super-cycle: rev tripled to $23.86B, gross profit $2,963M→$17,755M, op income $1,773M→$16,135M; ~15% tax (Pillar Two), no VA release/one-off</t>
        </is>
      </c>
      <c r="F2311" s="33" t="inlineStr">
        <is>
          <t>10-Q FQ2 q/e 2026-02-26, Stmts of Ops + Income Taxes note</t>
        </is>
      </c>
      <c r="G2311" s="33" t="inlineStr">
        <is>
          <t>High</t>
        </is>
      </c>
      <c r="H2311" s="33" t="inlineStr">
        <is>
          <t>objective</t>
        </is>
      </c>
    </row>
    <row r="2312">
      <c r="A2312" s="33" t="inlineStr">
        <is>
          <t>2026-06-24</t>
        </is>
      </c>
      <c r="B2312" s="33" t="inlineStr">
        <is>
          <t>RDDT</t>
        </is>
      </c>
      <c r="C2312" s="33" t="inlineStr">
        <is>
          <t>Growth: EPS YoY (rule 15)</t>
        </is>
      </c>
      <c r="D2312" s="33" t="n">
        <v>679.8</v>
      </c>
      <c r="E2312" s="33" t="inlineStr">
        <is>
          <t>Operational: rev +69% $392M→$663M, op income $3.9M→$182.9M; FULL valuation allowance still in place (~1% tax is the VA, not a release)</t>
        </is>
      </c>
      <c r="F2312" s="33" t="inlineStr">
        <is>
          <t>10-Q q/e 2026-03-31, Income Taxes note</t>
        </is>
      </c>
      <c r="G2312" s="33" t="inlineStr">
        <is>
          <t>High</t>
        </is>
      </c>
      <c r="H2312" s="33" t="inlineStr">
        <is>
          <t>objective</t>
        </is>
      </c>
    </row>
    <row r="2313">
      <c r="A2313" s="33" t="inlineStr">
        <is>
          <t>2026-06-24</t>
        </is>
      </c>
      <c r="B2313" s="33" t="inlineStr">
        <is>
          <t>CRDO</t>
        </is>
      </c>
      <c r="C2313" s="33" t="inlineStr">
        <is>
          <t>Growth: EPS YoY (rule 15)</t>
        </is>
      </c>
      <c r="D2313" s="33" t="n">
        <v>362.2</v>
      </c>
      <c r="E2313" s="33" t="inlineStr">
        <is>
          <t>Operational: FY rev 3x $436.8M→$1,335.1M, op income $37.1M→$445.0M; VA INCREASED $93.4M (no release), $3.2M tax expense. yfinance qtrly +362% is approx (fiscal-yr label); growth verified</t>
        </is>
      </c>
      <c r="F2313" s="33" t="inlineStr">
        <is>
          <t>10-K FY q/e 2026-05-02, Stmts of Ops + Note 13 Income Taxes</t>
        </is>
      </c>
      <c r="G2313" s="33" t="inlineStr">
        <is>
          <t>High</t>
        </is>
      </c>
      <c r="H2313" s="33" t="inlineStr">
        <is>
          <t>objective</t>
        </is>
      </c>
    </row>
    <row r="2314">
      <c r="A2314" s="33" t="inlineStr">
        <is>
          <t>2026-06-24</t>
        </is>
      </c>
      <c r="B2314" s="33" t="inlineStr">
        <is>
          <t>PLTR</t>
        </is>
      </c>
      <c r="C2314" s="33" t="inlineStr">
        <is>
          <t>Growth: EPS YoY (rule 15)</t>
        </is>
      </c>
      <c r="D2314" s="33" t="n">
        <v>306.7</v>
      </c>
      <c r="E2314" s="33" t="inlineStr">
        <is>
          <t>Operational: op income $176.0M→$754.0M (+328%); full VA maintained, ~1.4% rate is ongoing structural (not a one-time release)</t>
        </is>
      </c>
      <c r="F2314" s="33" t="inlineStr">
        <is>
          <t>10-Q q/e 2026-03-31, Income Taxes note</t>
        </is>
      </c>
      <c r="G2314" s="33" t="inlineStr">
        <is>
          <t>High</t>
        </is>
      </c>
      <c r="H2314" s="33" t="inlineStr">
        <is>
          <t>objective</t>
        </is>
      </c>
    </row>
    <row r="2315">
      <c r="A2315" s="33" t="inlineStr">
        <is>
          <t>2026-06-24</t>
        </is>
      </c>
      <c r="B2315" s="33" t="inlineStr">
        <is>
          <t>TER</t>
        </is>
      </c>
      <c r="C2315" s="33" t="inlineStr">
        <is>
          <t>Growth: EPS YoY (rule 15)</t>
        </is>
      </c>
      <c r="D2315" s="33" t="n">
        <v>303.4</v>
      </c>
      <c r="E2315" s="33" t="inlineStr">
        <is>
          <t>Operational: op income $120.8M→$473.0M on AI-compute test demand; tax 12.2%→13.3% (no discrete benefit)</t>
        </is>
      </c>
      <c r="F2315" s="33" t="inlineStr">
        <is>
          <t>10-Q q/e 2026-03-29, Stmts of Ops + Note S</t>
        </is>
      </c>
      <c r="G2315" s="33" t="inlineStr">
        <is>
          <t>High</t>
        </is>
      </c>
      <c r="H2315" s="33" t="inlineStr">
        <is>
          <t>objective</t>
        </is>
      </c>
    </row>
    <row r="2316">
      <c r="A2316" s="33" t="inlineStr">
        <is>
          <t>2026-06-24</t>
        </is>
      </c>
      <c r="B2316" s="33" t="inlineStr">
        <is>
          <t>SMCI</t>
        </is>
      </c>
      <c r="C2316" s="33" t="inlineStr">
        <is>
          <t>Growth: EPS YoY (rule 15)</t>
        </is>
      </c>
      <c r="D2316" s="33" t="n">
        <v>344.4</v>
      </c>
      <c r="E2316" s="33" t="inlineStr">
        <is>
          <t>Operational AI-server ramp: op income $146.8M→$625.9M; tax NORMALIZED 5.1%→20.8% (works against the jump, not for it)</t>
        </is>
      </c>
      <c r="F2316" s="33" t="inlineStr">
        <is>
          <t>10-Q FQ3 q/e 2026-03-31, Stmts of Ops + tax note</t>
        </is>
      </c>
      <c r="G2316" s="33" t="inlineStr">
        <is>
          <t>High</t>
        </is>
      </c>
      <c r="H2316" s="33" t="inlineStr">
        <is>
          <t>objective</t>
        </is>
      </c>
    </row>
    <row r="2317">
      <c r="A2317" s="33" t="inlineStr">
        <is>
          <t>2026-06-24</t>
        </is>
      </c>
      <c r="B2317" s="33" t="inlineStr">
        <is>
          <t>MTZ</t>
        </is>
      </c>
      <c r="C2317" s="33" t="inlineStr">
        <is>
          <t>Growth: EPS YoY (rule 15)</t>
        </is>
      </c>
      <c r="D2317" s="33" t="n">
        <v>514.4</v>
      </c>
      <c r="E2317" s="33" t="inlineStr">
        <is>
          <t>Operational off seasonally weak Q1: op income $36.2M→$141.8M (+292%), rev +34.5%; absorbed $7.9M impairment + lost prior-yr tax benefit (headwinds)</t>
        </is>
      </c>
      <c r="F2317" s="33" t="inlineStr">
        <is>
          <t>10-Q q/e 2026-03-31, Stmts of Ops</t>
        </is>
      </c>
      <c r="G2317" s="33" t="inlineStr">
        <is>
          <t>High</t>
        </is>
      </c>
      <c r="H2317" s="33" t="inlineStr">
        <is>
          <t>objective</t>
        </is>
      </c>
    </row>
    <row r="2318">
      <c r="A2318" s="33" t="inlineStr">
        <is>
          <t>2026-06-24</t>
        </is>
      </c>
      <c r="B2318" s="33" t="inlineStr">
        <is>
          <t>LSCC</t>
        </is>
      </c>
      <c r="C2318" s="33" t="inlineStr">
        <is>
          <t>Growth: EPS YoY (rule 15)</t>
        </is>
      </c>
      <c r="D2318" s="33" t="n">
        <v>334.4</v>
      </c>
      <c r="E2318" s="33" t="inlineStr">
        <is>
          <t>Operational FPGA recovery: rev $120.2M→$170.9M (+42%), op income $7.0M→$26.1M; tax 37.1%→20.0% ordinary</t>
        </is>
      </c>
      <c r="F2318" s="33" t="inlineStr">
        <is>
          <t>10-Q q/e 2026-04-04, Stmts of Ops + Income Taxes note</t>
        </is>
      </c>
      <c r="G2318" s="33" t="inlineStr">
        <is>
          <t>High</t>
        </is>
      </c>
      <c r="H2318" s="33" t="inlineStr">
        <is>
          <t>objective</t>
        </is>
      </c>
    </row>
    <row r="2319">
      <c r="A2319" s="33" t="inlineStr">
        <is>
          <t>2026-06-24</t>
        </is>
      </c>
      <c r="B2319" s="33" t="inlineStr">
        <is>
          <t>SEI</t>
        </is>
      </c>
      <c r="C2319" s="33" t="inlineStr">
        <is>
          <t>Growth: EPS YoY (rule 15)</t>
        </is>
      </c>
      <c r="D2319" s="33" t="n">
        <v>303</v>
      </c>
      <c r="E2319" s="33" t="inlineStr">
        <is>
          <t>Solaris Energy Infrastructure (CIK 1697500): power-gen fleet ramp, rev $126.3M→$196.2M (+55%), op income $22.1M→$50.6M; NCI structural (Up-C), no one-off</t>
        </is>
      </c>
      <c r="F2319" s="33" t="inlineStr">
        <is>
          <t>10-Q q/e 2026-03-31, Stmts of Ops + EPS note</t>
        </is>
      </c>
      <c r="G2319" s="33" t="inlineStr">
        <is>
          <t>High</t>
        </is>
      </c>
      <c r="H2319" s="33" t="inlineStr">
        <is>
          <t>objective</t>
        </is>
      </c>
    </row>
    <row r="2320">
      <c r="A2320" s="33" t="inlineStr">
        <is>
          <t>2026-06-24</t>
        </is>
      </c>
      <c r="B2320" s="33" t="inlineStr">
        <is>
          <t>EQT</t>
        </is>
      </c>
      <c r="C2320" s="33" t="inlineStr">
        <is>
          <t>Growth: EPS YoY (rule 15)</t>
        </is>
      </c>
      <c r="D2320" s="33" t="n">
        <v>514.2</v>
      </c>
      <c r="E2320" s="33" t="inlineStr">
        <is>
          <t>Operational: higher realized gas prices, op income $496.3M→$2,036.0M; the '-$666M unusual' was RECURRING MTM derivative loss (not one-time); year-ago a real price trough</t>
        </is>
      </c>
      <c r="F2320" s="33" t="inlineStr">
        <is>
          <t>10-Q q/e 2026-03-31, Stmts of Ops + MD&amp;A/derivatives</t>
        </is>
      </c>
      <c r="G2320" s="33" t="inlineStr">
        <is>
          <t>High</t>
        </is>
      </c>
      <c r="H2320" s="33" t="inlineStr">
        <is>
          <t>objective</t>
        </is>
      </c>
    </row>
    <row r="2321">
      <c r="A2321" s="33" t="inlineStr">
        <is>
          <t>2026-06-24</t>
        </is>
      </c>
      <c r="B2321" s="33" t="inlineStr">
        <is>
          <t>IRM</t>
        </is>
      </c>
      <c r="C2321" s="33" t="inlineStr">
        <is>
          <t>Growth: EPS YoY (rule 15)</t>
        </is>
      </c>
      <c r="D2321" s="33" t="n">
        <v>800.6</v>
      </c>
      <c r="E2321" s="33" t="inlineStr">
        <is>
          <t>Operational: rev +21.6%, op income $254.3M→$395.2M (+55%); year-ago 'unusual' was recurring FX + small base, no one-time charge; tax rate artifact on tiny base</t>
        </is>
      </c>
      <c r="F2321" s="33" t="inlineStr">
        <is>
          <t>10-Q q/e 2026-03-31, Stmts of Ops + Notes H/I</t>
        </is>
      </c>
      <c r="G2321" s="33" t="inlineStr">
        <is>
          <t>High</t>
        </is>
      </c>
      <c r="H2321" s="33" t="inlineStr">
        <is>
          <t>objective</t>
        </is>
      </c>
    </row>
    <row r="2322">
      <c r="A2322" s="33" t="inlineStr">
        <is>
          <t>2026-06-24</t>
        </is>
      </c>
      <c r="B2322" s="33" t="inlineStr">
        <is>
          <t>CIEN</t>
        </is>
      </c>
      <c r="C2322" s="33" t="inlineStr">
        <is>
          <t>Growth: EPS YoY (rule 15)</t>
        </is>
      </c>
      <c r="D2322" s="33" t="n">
        <v>2333</v>
      </c>
      <c r="E2322" s="33" t="inlineStr">
        <is>
          <t>Operational: rev +39.5%, gross margin 40.2%→44.0%, op income $32.8M→$237.9M; low tax is RECURRING SBC benefit (~12x even at normal tax)</t>
        </is>
      </c>
      <c r="F2322" s="33" t="inlineStr">
        <is>
          <t>10-Q FQ2 q/e 2026-05-02, Stmts of Ops + tax MD&amp;A</t>
        </is>
      </c>
      <c r="G2322" s="33" t="inlineStr">
        <is>
          <t>High</t>
        </is>
      </c>
      <c r="H2322" s="33" t="inlineStr">
        <is>
          <t>objective</t>
        </is>
      </c>
    </row>
    <row r="2323">
      <c r="A2323" s="33" t="inlineStr">
        <is>
          <t>2026-06-24</t>
        </is>
      </c>
      <c r="B2323" s="33" t="inlineStr">
        <is>
          <t>CEG</t>
        </is>
      </c>
      <c r="C2323" s="33" t="inlineStr">
        <is>
          <t>Growth: EPS YoY (rule 15)</t>
        </is>
      </c>
      <c r="D2323" s="33" t="inlineStr">
        <is>
          <t>blank</t>
        </is>
      </c>
      <c r="E2323" s="33" t="inlineStr">
        <is>
          <t>Non-operating: net pretax UNREALIZED commodity-derivative gains +$1,059M vs -$324M = $1,383M favorable swing (~70% of pretax increase); excluded from CEG adjusted earnings; Calpine acq a structural break</t>
        </is>
      </c>
      <c r="F2323" s="33" t="inlineStr">
        <is>
          <t>10-Q q/e 2026-03-31, Derivatives note + CF stmt</t>
        </is>
      </c>
      <c r="G2323" s="33" t="inlineStr">
        <is>
          <t>High</t>
        </is>
      </c>
      <c r="H2323" s="33" t="inlineStr">
        <is>
          <t>objective</t>
        </is>
      </c>
    </row>
    <row r="2324">
      <c r="A2324" s="33" t="inlineStr">
        <is>
          <t>2026-06-24</t>
        </is>
      </c>
      <c r="B2324" s="33" t="inlineStr">
        <is>
          <t>TEL</t>
        </is>
      </c>
      <c r="C2324" s="33" t="inlineStr">
        <is>
          <t>Growth: EPS YoY (rule 15)</t>
        </is>
      </c>
      <c r="D2324" s="33" t="inlineStr">
        <is>
          <t>blank</t>
        </is>
      </c>
      <c r="E2324" s="33" t="inlineStr">
        <is>
          <t>Depressed-base artifact: year-ago FQ2-2025 tax included $574M one-time charge (VA increase on Swiss-sub DTAs) crushing NI to $13M; current also carries $114M one-time tax benefit</t>
        </is>
      </c>
      <c r="F2324" s="33" t="inlineStr">
        <is>
          <t>10-Q FQ2 q/e 2026-03-27, Note 12 Income Taxes</t>
        </is>
      </c>
      <c r="G2324" s="33" t="inlineStr">
        <is>
          <t>High</t>
        </is>
      </c>
      <c r="H2324" s="33" t="inlineStr">
        <is>
          <t>objective</t>
        </is>
      </c>
    </row>
    <row r="2325">
      <c r="A2325" s="33" t="inlineStr">
        <is>
          <t>2026-07-02</t>
        </is>
      </c>
      <c r="B2325" s="33" t="inlineStr">
        <is>
          <t>NTAP</t>
        </is>
      </c>
      <c r="C2325" s="33" t="inlineStr">
        <is>
          <t>D1</t>
        </is>
      </c>
      <c r="D2325" s="33" t="n">
        <v>2</v>
      </c>
      <c r="E2325" s="33" t="inlineStr">
        <is>
          <t>No AI revenue disclosed; mgmt does not break it out; AI shows as deal-win count (1,100+ FY26), est &lt;10% of $6.9B base</t>
        </is>
      </c>
      <c r="F2325" s="33" t="inlineStr">
        <is>
          <t>Q4 FY26 call transcript; 10-K FY26</t>
        </is>
      </c>
      <c r="G2325" s="33" t="inlineStr">
        <is>
          <t>High</t>
        </is>
      </c>
      <c r="H2325" s="33" t="inlineStr">
        <is>
          <t>Initial</t>
        </is>
      </c>
    </row>
    <row r="2326">
      <c r="A2326" s="33" t="inlineStr">
        <is>
          <t>2026-07-02</t>
        </is>
      </c>
      <c r="B2326" s="33" t="inlineStr">
        <is>
          <t>NTAP</t>
        </is>
      </c>
      <c r="C2326" s="33" t="inlineStr">
        <is>
          <t>D2</t>
        </is>
      </c>
      <c r="D2326" s="33" t="n">
        <v>3</v>
      </c>
      <c r="E2326" s="33" t="inlineStr">
        <is>
          <t>Mid-chain multi-competitor storage (Dell/Pure/HPE); differentiates on ONTAP + native-cloud but not an upstream bottleneck</t>
        </is>
      </c>
      <c r="F2326" s="33" t="inlineStr">
        <is>
          <t>10-K FY26 Item 1</t>
        </is>
      </c>
      <c r="G2326" s="33" t="inlineStr">
        <is>
          <t>Medium</t>
        </is>
      </c>
      <c r="H2326" s="33" t="inlineStr">
        <is>
          <t>Initial</t>
        </is>
      </c>
    </row>
    <row r="2327">
      <c r="A2327" s="33" t="inlineStr">
        <is>
          <t>2026-07-02</t>
        </is>
      </c>
      <c r="B2327" s="33" t="inlineStr">
        <is>
          <t>NTAP</t>
        </is>
      </c>
      <c r="C2327" s="33" t="inlineStr">
        <is>
          <t>D3</t>
        </is>
      </c>
      <c r="D2327" s="33" t="n">
        <v>3</v>
      </c>
      <c r="E2327" s="33" t="inlineStr">
        <is>
          <t>Real switching costs (ONTAP + $4.8B deferred-rev annuity + first-party cloud) but Pure taking share, pricing competitive (halo-check: hold at 3, not 4)</t>
        </is>
      </c>
      <c r="F2327" s="33" t="inlineStr">
        <is>
          <t>10-K FY26 Note 14</t>
        </is>
      </c>
      <c r="G2327" s="33" t="inlineStr">
        <is>
          <t>Medium</t>
        </is>
      </c>
      <c r="H2327" s="33" t="inlineStr">
        <is>
          <t>Initial</t>
        </is>
      </c>
    </row>
    <row r="2328">
      <c r="A2328" s="33" t="inlineStr">
        <is>
          <t>2026-07-02</t>
        </is>
      </c>
      <c r="B2328" s="33" t="inlineStr">
        <is>
          <t>NTAP</t>
        </is>
      </c>
      <c r="C2328" s="33" t="inlineStr">
        <is>
          <t>D4</t>
        </is>
      </c>
      <c r="D2328" s="33" t="n">
        <v>3</v>
      </c>
      <c r="E2328" s="33" t="inlineStr">
        <is>
          <t>Funded, active AFX/AIDE product cycle but asset-light (capex 2.9% of rev) — steady-state, not fab-scale buildout</t>
        </is>
      </c>
      <c r="F2328" s="33" t="inlineStr">
        <is>
          <t>8-K Ex-99.1 cash-flow 2026-05-28</t>
        </is>
      </c>
      <c r="G2328" s="33" t="inlineStr">
        <is>
          <t>Medium</t>
        </is>
      </c>
      <c r="H2328" s="33" t="inlineStr">
        <is>
          <t>Initial</t>
        </is>
      </c>
    </row>
    <row r="2329">
      <c r="A2329" s="33" t="inlineStr">
        <is>
          <t>2026-07-02</t>
        </is>
      </c>
      <c r="B2329" s="33" t="inlineStr">
        <is>
          <t>NTAP</t>
        </is>
      </c>
      <c r="C2329" s="33" t="inlineStr">
        <is>
          <t>D5</t>
        </is>
      </c>
      <c r="D2329" s="33" t="n">
        <v>2</v>
      </c>
      <c r="E2329" s="33" t="inlineStr">
        <is>
          <t>&gt;10% customers are distributors not hyperscalers; hyperscaler tie is ISV-in-marketplace (~$0.5-0.7B first-party), no disclosed hyperscaler concentration</t>
        </is>
      </c>
      <c r="F2329" s="33" t="inlineStr">
        <is>
          <t>10-K FY26 Note 14; Q4 transcript</t>
        </is>
      </c>
      <c r="G2329" s="33" t="inlineStr">
        <is>
          <t>Medium</t>
        </is>
      </c>
      <c r="H2329" s="33" t="inlineStr">
        <is>
          <t>Initial</t>
        </is>
      </c>
    </row>
    <row r="2330">
      <c r="A2330" s="33" t="inlineStr">
        <is>
          <t>2026-07-02</t>
        </is>
      </c>
      <c r="B2330" s="33" t="inlineStr">
        <is>
          <t>NTAP</t>
        </is>
      </c>
      <c r="C2330" s="33" t="inlineStr">
        <is>
          <t>M1</t>
        </is>
      </c>
      <c r="D2330" s="33" t="n">
        <v>5</v>
      </c>
      <c r="E2330" s="33" t="inlineStr">
        <is>
          <t>Q4 beat-and-raise + wall of upward PT hikes (GS $127-&gt;$200, UBS $113-&gt;$160, Susq $110-&gt;$185)</t>
        </is>
      </c>
      <c r="F2330" s="33" t="inlineStr">
        <is>
          <t>stockanalysis / theglobeandmail 2026-05/06</t>
        </is>
      </c>
      <c r="G2330" s="33" t="inlineStr">
        <is>
          <t>High</t>
        </is>
      </c>
      <c r="H2330" s="33" t="inlineStr">
        <is>
          <t>Initial</t>
        </is>
      </c>
    </row>
    <row r="2331">
      <c r="A2331" s="33" t="inlineStr">
        <is>
          <t>2026-07-02</t>
        </is>
      </c>
      <c r="B2331" s="33" t="inlineStr">
        <is>
          <t>NTAP</t>
        </is>
      </c>
      <c r="C2331" s="33" t="inlineStr">
        <is>
          <t>M2</t>
        </is>
      </c>
      <c r="D2331" s="33" t="n">
        <v>5</v>
      </c>
      <c r="E2331" s="33" t="inlineStr">
        <is>
          <t>Benchmark IGV down ~17% 1Y; NTAP +33% to an all-time high -&gt; &gt;40pt outperformance</t>
        </is>
      </c>
      <c r="F2331" s="33" t="inlineStr">
        <is>
          <t>stockanalysis.com/stocks/ntap</t>
        </is>
      </c>
      <c r="G2331" s="33" t="inlineStr">
        <is>
          <t>High</t>
        </is>
      </c>
      <c r="H2331" s="33" t="inlineStr">
        <is>
          <t>Initial</t>
        </is>
      </c>
    </row>
    <row r="2332">
      <c r="A2332" s="33" t="inlineStr">
        <is>
          <t>2026-07-02</t>
        </is>
      </c>
      <c r="B2332" s="33" t="inlineStr">
        <is>
          <t>NTAP</t>
        </is>
      </c>
      <c r="C2332" s="33" t="inlineStr">
        <is>
          <t>M3</t>
        </is>
      </c>
      <c r="D2332" s="33" t="n">
        <v>3</v>
      </c>
      <c r="E2332" s="33" t="inlineStr">
        <is>
          <t>Zero code-P open-market buys; sells are RSU/tax/10b5-1 (Cernuda plan adopted 2026-03-24 -&gt; routine per rubric Step 2)</t>
        </is>
      </c>
      <c r="F2332" s="33" t="inlineStr">
        <is>
          <t>EDGAR Form 4 0001193125-26-282862 et al.</t>
        </is>
      </c>
      <c r="G2332" s="33" t="inlineStr">
        <is>
          <t>High</t>
        </is>
      </c>
      <c r="H2332" s="33" t="inlineStr">
        <is>
          <t>Initial</t>
        </is>
      </c>
    </row>
    <row r="2333">
      <c r="A2333" s="33" t="inlineStr">
        <is>
          <t>2026-07-02</t>
        </is>
      </c>
      <c r="B2333" s="33" t="inlineStr">
        <is>
          <t>NTAP</t>
        </is>
      </c>
      <c r="C2333" s="33" t="inlineStr">
        <is>
          <t>R1</t>
        </is>
      </c>
      <c r="D2333" s="33" t="n">
        <v>4</v>
      </c>
      <c r="E2333" s="33" t="inlineStr">
        <is>
          <t>Top customer 22%, two &gt;10% = 43% combined -&gt; literal band 4; both are distributors fronting diffuse demand (economic risk closer to 5 - flagged)</t>
        </is>
      </c>
      <c r="F2333" s="33" t="inlineStr">
        <is>
          <t>10-K FY26 Item 1 + Note 14</t>
        </is>
      </c>
      <c r="G2333" s="33" t="inlineStr">
        <is>
          <t>High</t>
        </is>
      </c>
      <c r="H2333" s="33" t="inlineStr">
        <is>
          <t>Initial</t>
        </is>
      </c>
    </row>
    <row r="2334">
      <c r="A2334" s="33" t="inlineStr">
        <is>
          <t>2026-07-02</t>
        </is>
      </c>
      <c r="B2334" s="33" t="inlineStr">
        <is>
          <t>NTAP</t>
        </is>
      </c>
      <c r="C2334" s="33" t="inlineStr">
        <is>
          <t>R2</t>
        </is>
      </c>
      <c r="D2334" s="33" t="n">
        <v>5</v>
      </c>
      <c r="E2334" s="33" t="inlineStr">
        <is>
          <t>Worst single-geo shock = US Public Sector ~10% (diffuse); no China concentration, no conflict-zone assets; 51/34/15 Amer/EMEA/APAC</t>
        </is>
      </c>
      <c r="F2334" s="33" t="inlineStr">
        <is>
          <t>10-K FY26 Note 14 + MD&amp;A</t>
        </is>
      </c>
      <c r="G2334" s="33" t="inlineStr">
        <is>
          <t>High</t>
        </is>
      </c>
      <c r="H2334" s="33" t="inlineStr">
        <is>
          <t>Initial</t>
        </is>
      </c>
    </row>
    <row r="2335">
      <c r="A2335" s="33" t="inlineStr">
        <is>
          <t>2026-07-02</t>
        </is>
      </c>
      <c r="B2335" s="33" t="inlineStr">
        <is>
          <t>NTAP</t>
        </is>
      </c>
      <c r="C2335" s="33" t="inlineStr">
        <is>
          <t>R3</t>
        </is>
      </c>
      <c r="D2335" s="33" t="n">
        <v>5</v>
      </c>
      <c r="E2335" s="33" t="inlineStr">
        <is>
          <t>Net cash +$1.1B; repaid $750M current debt; FY26 FCF $1.87B; new $1B buyback</t>
        </is>
      </c>
      <c r="F2335" s="33" t="inlineStr">
        <is>
          <t>8-K Ex-99.1 balance sheet 2026-05-28</t>
        </is>
      </c>
      <c r="G2335" s="33" t="inlineStr">
        <is>
          <t>High</t>
        </is>
      </c>
      <c r="H2335" s="33" t="inlineStr">
        <is>
          <t>Initial</t>
        </is>
      </c>
    </row>
    <row r="2336">
      <c r="A2336" s="33" t="inlineStr">
        <is>
          <t>2026-07-02</t>
        </is>
      </c>
      <c r="B2336" s="33" t="inlineStr">
        <is>
          <t>NTAP</t>
        </is>
      </c>
      <c r="C2336" s="33" t="inlineStr">
        <is>
          <t>R4</t>
        </is>
      </c>
      <c r="D2336" s="33" t="n">
        <v>4</v>
      </c>
      <c r="E2336" s="33" t="inlineStr">
        <is>
          <t>Only routine NPE patent litigation; no material investigation/antitrust (perennial NPE suits -&gt; 4 not 5)</t>
        </is>
      </c>
      <c r="F2336" s="33" t="inlineStr">
        <is>
          <t>10-K FY26 Item 3 / Note 16</t>
        </is>
      </c>
      <c r="G2336" s="33" t="inlineStr">
        <is>
          <t>High</t>
        </is>
      </c>
      <c r="H2336" s="33" t="inlineStr">
        <is>
          <t>Initial</t>
        </is>
      </c>
    </row>
    <row r="2337">
      <c r="A2337" s="33" t="inlineStr">
        <is>
          <t>2026-07-02</t>
        </is>
      </c>
      <c r="B2337" s="33" t="inlineStr">
        <is>
          <t>NTAP</t>
        </is>
      </c>
      <c r="C2337" s="33" t="inlineStr">
        <is>
          <t>R5</t>
        </is>
      </c>
      <c r="D2337" s="33" t="n">
        <v>5</v>
      </c>
      <c r="E2337" s="33" t="inlineStr">
        <is>
          <t>Non-Layer-10 default (rule 16); enterprise storage/data-infra durability, AI net-tailwind, no active erosion</t>
        </is>
      </c>
      <c r="F2337" s="33" t="inlineStr">
        <is>
          <t>CLAUDE.md rule 16</t>
        </is>
      </c>
      <c r="G2337" s="33" t="inlineStr">
        <is>
          <t>High</t>
        </is>
      </c>
      <c r="H2337" s="33" t="inlineStr">
        <is>
          <t>Initial</t>
        </is>
      </c>
    </row>
    <row r="2338">
      <c r="A2338" s="33" t="inlineStr">
        <is>
          <t>2026-07-02</t>
        </is>
      </c>
      <c r="B2338" s="33" t="inlineStr">
        <is>
          <t>SKYT</t>
        </is>
      </c>
      <c r="C2338" s="33" t="inlineStr">
        <is>
          <t>—</t>
        </is>
      </c>
      <c r="D2338" s="33" t="inlineStr">
        <is>
          <t>—</t>
        </is>
      </c>
      <c r="E2338" s="33" t="inlineStr">
        <is>
          <t>Removed from Watchlist: pending IonQ acquisition ($35/sh cash-and-stock, signed 2026-01-25, stockholder-approved 2026-05-08, pending FTC) pins its market ratios to the deal price (arb-distorted, not fundamental) and it will likely delist; thin AI thesis (defense/quantum niche, ~87% of growth inorganic). Merger-arb, not an AI-infra conviction name. Swapped for SMIC in the Fabs cohort.</t>
        </is>
      </c>
      <c r="F2338" s="33" t="inlineStr">
        <is>
          <t>SkyWater 8-K 2026-01-26 (Merger Agreement w/ IonQ); Q1 10-Q Note 5</t>
        </is>
      </c>
      <c r="G2338" s="33" t="inlineStr">
        <is>
          <t>High</t>
        </is>
      </c>
      <c r="H2338" s="33" t="inlineStr">
        <is>
          <t>Removed</t>
        </is>
      </c>
    </row>
    <row r="2339">
      <c r="A2339" s="33" t="inlineStr">
        <is>
          <t>2026-07-06</t>
        </is>
      </c>
      <c r="B2339" s="33" t="inlineStr">
        <is>
          <t>KEEL</t>
        </is>
      </c>
      <c r="C2339" s="33" t="inlineStr">
        <is>
          <t>R3</t>
        </is>
      </c>
      <c r="D2339" s="33" t="n">
        <v>2</v>
      </c>
      <c r="E2339" s="33" t="inlineStr">
        <is>
          <t>Downgrade 3-&gt;2. Adj. EBITDA turned NEGATIVE -$17M/-45% of rev in Q1 2026 (from +$7M/+14% YoY), so band-3 "ND/EBITDA 2-4x" no longer fits; added a 2nd convertible ($458M 1.25% due 2032) on top of the 1.375% due 2031, on a cash-burning loss-maker (rev -22% YoY, pivot pre-revenue until 2027). Not a 1: raised $458M (liquidity ~$533M as of May 8), converts mature 2031/32 (no near-term wall), capped calls limit dilution, no going-concern language.</t>
        </is>
      </c>
      <c r="F2339" s="33" t="inlineStr">
        <is>
          <t>Q1 2026 10-Q filed 2026-05-11; 8-K 2026-06-10 ($458M convert); per-stock/KEEL/context-2026-07-06.md</t>
        </is>
      </c>
      <c r="G2339" s="33" t="inlineStr">
        <is>
          <t>Medium-High</t>
        </is>
      </c>
      <c r="H2339" s="33" t="inlineStr">
        <is>
          <t>Change</t>
        </is>
      </c>
    </row>
    <row r="2340">
      <c r="A2340" s="33" t="inlineStr">
        <is>
          <t>2026-07-06</t>
        </is>
      </c>
      <c r="B2340" s="33" t="inlineStr">
        <is>
          <t>NVTS</t>
        </is>
      </c>
      <c r="C2340" s="33" t="inlineStr">
        <is>
          <t>R3</t>
        </is>
      </c>
      <c r="D2340" s="33" t="n">
        <v>3</v>
      </c>
      <c r="E2340" s="33" t="inlineStr">
        <is>
          <t>Reaffirm 3 (reviewed on dilution trigger). Genuinely net cash (~$221M, no debt, no maturity wall) argues 4, but holistic R3 also weighs heavy cash burn (FCF margin -117%) and a freshly-doubled dilution authorization ($500M shelf + $500M ATM, S-3ASR 2026-06-08, acquisition-earmarked). Net = 3: not 2 (no leverage, no maturity wall, &gt;5yr liquidity runway), not 4 (burn + dilution overhang too live).</t>
        </is>
      </c>
      <c r="F2340" s="33" t="inlineStr">
        <is>
          <t>S-3ASR filed 2026-06-08; Q1 2026 10-Q 2026-05-05; per-stock/NVTS/context-2026-07-06.md</t>
        </is>
      </c>
      <c r="G2340" s="33" t="inlineStr">
        <is>
          <t>Medium</t>
        </is>
      </c>
      <c r="H2340" s="33" t="inlineStr">
        <is>
          <t>Reaffirm</t>
        </is>
      </c>
    </row>
    <row r="2341">
      <c r="A2341" s="33" t="inlineStr">
        <is>
          <t>2026-07-08</t>
        </is>
      </c>
      <c r="B2341" s="33" t="inlineStr">
        <is>
          <t>HOOD</t>
        </is>
      </c>
      <c r="C2341" s="33" t="inlineStr">
        <is>
          <t>D1</t>
        </is>
      </c>
      <c r="D2341" s="33" t="n">
        <v>1</v>
      </c>
      <c r="E2341" s="33" t="inlineStr">
        <is>
          <t>No AI revenue line; Cortex funds Gold subscriptions, agentic trading beta/unmonetized-as-AI. Marketing claims AI, financials don't show it.</t>
        </is>
      </c>
      <c r="F2341" s="33" t="inlineStr">
        <is>
          <t>10-Q Q1 FY26; context-2026-07-08.md §3b</t>
        </is>
      </c>
      <c r="G2341" s="33" t="inlineStr">
        <is>
          <t>High</t>
        </is>
      </c>
      <c r="H2341" s="33" t="inlineStr">
        <is>
          <t>Initial</t>
        </is>
      </c>
    </row>
    <row r="2342">
      <c r="A2342" s="33" t="inlineStr">
        <is>
          <t>2026-07-08</t>
        </is>
      </c>
      <c r="B2342" s="33" t="inlineStr">
        <is>
          <t>HOOD</t>
        </is>
      </c>
      <c r="C2342" s="33" t="inlineStr">
        <is>
          <t>D2</t>
        </is>
      </c>
      <c r="D2342" s="33" t="n">
        <v>2</v>
      </c>
      <c r="E2342" s="33" t="inlineStr">
        <is>
          <t>Downstream demand-side application; retail can switch to Schwab/Fidelity/Coinbase (Gold/tax-lot friction only); not an AI-chain bottleneck.</t>
        </is>
      </c>
      <c r="F2342" s="33" t="inlineStr">
        <is>
          <t>context-2026-07-08.md §2</t>
        </is>
      </c>
      <c r="G2342" s="33" t="inlineStr">
        <is>
          <t>Medium</t>
        </is>
      </c>
      <c r="H2342" s="33" t="inlineStr">
        <is>
          <t>Initial</t>
        </is>
      </c>
    </row>
    <row r="2343">
      <c r="A2343" s="33" t="inlineStr">
        <is>
          <t>2026-07-08</t>
        </is>
      </c>
      <c r="B2343" s="33" t="inlineStr">
        <is>
          <t>HOOD</t>
        </is>
      </c>
      <c r="C2343" s="33" t="inlineStr">
        <is>
          <t>D3</t>
        </is>
      </c>
      <c r="D2343" s="33" t="n">
        <v>3</v>
      </c>
      <c r="E2343" s="33" t="inlineStr">
        <is>
          <t>Real brand + Gold ecosystem (5x AUC) + product velocity, but commission-free = no price moat; not fortress-durable.</t>
        </is>
      </c>
      <c r="F2343" s="33" t="inlineStr">
        <is>
          <t>context-2026-07-08.md §2-3</t>
        </is>
      </c>
      <c r="G2343" s="33" t="inlineStr">
        <is>
          <t>Medium</t>
        </is>
      </c>
      <c r="H2343" s="33" t="inlineStr">
        <is>
          <t>Initial</t>
        </is>
      </c>
    </row>
    <row r="2344">
      <c r="A2344" s="33" t="inlineStr">
        <is>
          <t>2026-07-08</t>
        </is>
      </c>
      <c r="B2344" s="33" t="inlineStr">
        <is>
          <t>HOOD</t>
        </is>
      </c>
      <c r="C2344" s="33" t="inlineStr">
        <is>
          <t>D4</t>
        </is>
      </c>
      <c r="D2344" s="33" t="n">
        <v>4</v>
      </c>
      <c r="E2344" s="33" t="inlineStr">
        <is>
          <t>Aggressive FCF-funded expansion: prediction markets, tokenization, agentic, credit card, EU/UK, MIAXdx JV. Loose-fit dim for asset-light name.</t>
        </is>
      </c>
      <c r="F2344" s="33" t="inlineStr">
        <is>
          <t>context-2026-07-08.md §3; RH newsroom</t>
        </is>
      </c>
      <c r="G2344" s="33" t="inlineStr">
        <is>
          <t>Low-Medium</t>
        </is>
      </c>
      <c r="H2344" s="33" t="inlineStr">
        <is>
          <t>Initial</t>
        </is>
      </c>
    </row>
    <row r="2345">
      <c r="A2345" s="33" t="inlineStr">
        <is>
          <t>2026-07-08</t>
        </is>
      </c>
      <c r="B2345" s="33" t="inlineStr">
        <is>
          <t>HOOD</t>
        </is>
      </c>
      <c r="C2345" s="33" t="inlineStr">
        <is>
          <t>D5</t>
        </is>
      </c>
      <c r="D2345" s="33" t="n">
        <v>2</v>
      </c>
      <c r="E2345" s="33" t="inlineStr">
        <is>
          <t>Adopter not supplier/hyperscaler; agentic-finance MCP rails give only a thin AI-infra tie. Matches RDDT/AAPL=2.</t>
        </is>
      </c>
      <c r="F2345" s="33" t="inlineStr">
        <is>
          <t>context-2026-07-08.md §3b</t>
        </is>
      </c>
      <c r="G2345" s="33" t="inlineStr">
        <is>
          <t>Medium</t>
        </is>
      </c>
      <c r="H2345" s="33" t="inlineStr">
        <is>
          <t>Initial</t>
        </is>
      </c>
    </row>
    <row r="2346">
      <c r="A2346" s="33" t="inlineStr">
        <is>
          <t>2026-07-08</t>
        </is>
      </c>
      <c r="B2346" s="33" t="inlineStr">
        <is>
          <t>HOOD</t>
        </is>
      </c>
      <c r="C2346" s="33" t="inlineStr">
        <is>
          <t>M1</t>
        </is>
      </c>
      <c r="D2346" s="33" t="n">
        <v>4</v>
      </c>
      <c r="E2346" s="33" t="inlineStr">
        <is>
          <t>Analyst ratings drifted bullish over 90d (buy 15-&gt;18, strongSell 1-&gt;0) despite Q1 miss; inferred from rating/PT migration, not a direct EPS-revision feed.</t>
        </is>
      </c>
      <c r="F2346" s="33" t="inlineStr">
        <is>
          <t>yfinance recommendations 2026-07-08</t>
        </is>
      </c>
      <c r="G2346" s="33" t="inlineStr">
        <is>
          <t>Medium</t>
        </is>
      </c>
      <c r="H2346" s="33" t="inlineStr">
        <is>
          <t>Initial</t>
        </is>
      </c>
    </row>
    <row r="2347">
      <c r="A2347" s="33" t="inlineStr">
        <is>
          <t>2026-07-08</t>
        </is>
      </c>
      <c r="B2347" s="33" t="inlineStr">
        <is>
          <t>HOOD</t>
        </is>
      </c>
      <c r="C2347" s="33" t="inlineStr">
        <is>
          <t>M2</t>
        </is>
      </c>
      <c r="D2347" s="33" t="n">
        <v>5</v>
      </c>
      <c r="E2347" s="33" t="inlineStr">
        <is>
          <t>+58.1% (3mo) vs IGV +16.1% = +42% relative; clear sector leader. (6mo relative only +10%.)</t>
        </is>
      </c>
      <c r="F2347" s="33" t="inlineStr">
        <is>
          <t>yfinance prices 2026-07-08</t>
        </is>
      </c>
      <c r="G2347" s="33" t="inlineStr">
        <is>
          <t>Medium-High</t>
        </is>
      </c>
      <c r="H2347" s="33" t="inlineStr">
        <is>
          <t>Initial</t>
        </is>
      </c>
    </row>
    <row r="2348">
      <c r="A2348" s="33" t="inlineStr">
        <is>
          <t>2026-07-08</t>
        </is>
      </c>
      <c r="B2348" s="33" t="inlineStr">
        <is>
          <t>HOOD</t>
        </is>
      </c>
      <c r="C2348" s="33" t="inlineStr">
        <is>
          <t>M3</t>
        </is>
      </c>
      <c r="D2348" s="33" t="n">
        <v>3</v>
      </c>
      <c r="E2348" s="33" t="inlineStr">
        <is>
          <t>All recent sales 10b5-1 routine; director equity grants; zero open-market buys -&gt; post-rally diversification default.</t>
        </is>
      </c>
      <c r="F2348" s="33" t="inlineStr">
        <is>
          <t>SEC Form 4 x12 (2026-06 to 07)</t>
        </is>
      </c>
      <c r="G2348" s="33" t="inlineStr">
        <is>
          <t>Medium-High</t>
        </is>
      </c>
      <c r="H2348" s="33" t="inlineStr">
        <is>
          <t>Initial</t>
        </is>
      </c>
    </row>
    <row r="2349">
      <c r="A2349" s="33" t="inlineStr">
        <is>
          <t>2026-07-08</t>
        </is>
      </c>
      <c r="B2349" s="33" t="inlineStr">
        <is>
          <t>HOOD</t>
        </is>
      </c>
      <c r="C2349" s="33" t="inlineStr">
        <is>
          <t>R1</t>
        </is>
      </c>
      <c r="D2349" s="33" t="n">
        <v>5</v>
      </c>
      <c r="E2349" s="33" t="inlineStr">
        <is>
          <t>27.4M funded retail accounts; no customer &gt;15% of revenue.</t>
        </is>
      </c>
      <c r="F2349" s="33" t="inlineStr">
        <is>
          <t>Q1 FY26 earnings release</t>
        </is>
      </c>
      <c r="G2349" s="33" t="inlineStr">
        <is>
          <t>High</t>
        </is>
      </c>
      <c r="H2349" s="33" t="inlineStr">
        <is>
          <t>Initial</t>
        </is>
      </c>
    </row>
    <row r="2350">
      <c r="A2350" s="33" t="inlineStr">
        <is>
          <t>2026-07-08</t>
        </is>
      </c>
      <c r="B2350" s="33" t="inlineStr">
        <is>
          <t>HOOD</t>
        </is>
      </c>
      <c r="C2350" s="33" t="inlineStr">
        <is>
          <t>R2</t>
        </is>
      </c>
      <c r="D2350" s="33" t="n">
        <v>5</v>
      </c>
      <c r="E2350" s="33" t="inlineStr">
        <is>
          <t>US-domestic retail broker; worst plausible geo shock impairs &lt;10% of rev (intl UK/EU nascent); no China/fabs.</t>
        </is>
      </c>
      <c r="F2350" s="33" t="inlineStr">
        <is>
          <t>10-Q Q1 FY26 geography</t>
        </is>
      </c>
      <c r="G2350" s="33" t="inlineStr">
        <is>
          <t>High</t>
        </is>
      </c>
      <c r="H2350" s="33" t="inlineStr">
        <is>
          <t>Initial</t>
        </is>
      </c>
    </row>
    <row r="2351">
      <c r="A2351" s="33" t="inlineStr">
        <is>
          <t>2026-07-08</t>
        </is>
      </c>
      <c r="B2351" s="33" t="inlineStr">
        <is>
          <t>HOOD</t>
        </is>
      </c>
      <c r="C2351" s="33" t="inlineStr">
        <is>
          <t>R3</t>
        </is>
      </c>
      <c r="D2351" s="33" t="n">
        <v>5</v>
      </c>
      <c r="E2351" s="33" t="inlineStr">
        <is>
          <t>Net cash, FCF margin ~64%, no leverage concern.</t>
        </is>
      </c>
      <c r="F2351" s="33" t="inlineStr">
        <is>
          <t>financials.xlsx / 10-Q Q1 FY26</t>
        </is>
      </c>
      <c r="G2351" s="33" t="inlineStr">
        <is>
          <t>Medium-High</t>
        </is>
      </c>
      <c r="H2351" s="33" t="inlineStr">
        <is>
          <t>Initial</t>
        </is>
      </c>
    </row>
    <row r="2352">
      <c r="A2352" s="33" t="inlineStr">
        <is>
          <t>2026-07-08</t>
        </is>
      </c>
      <c r="B2352" s="33" t="inlineStr">
        <is>
          <t>HOOD</t>
        </is>
      </c>
      <c r="C2352" s="33" t="inlineStr">
        <is>
          <t>R4</t>
        </is>
      </c>
      <c r="D2352" s="33" t="n">
        <v>2</v>
      </c>
      <c r="E2352" s="33" t="inlineStr">
        <is>
          <t>Prediction-markets class action (unlicensed-gambling) + multi-state C&amp;D on the top growth driver; prior $45M SEC penalty; material active litigation.</t>
        </is>
      </c>
      <c r="F2352" s="33" t="inlineStr">
        <is>
          <t>context-2026-07-08.md §3</t>
        </is>
      </c>
      <c r="G2352" s="33" t="inlineStr">
        <is>
          <t>Medium-High</t>
        </is>
      </c>
      <c r="H2352" s="33" t="inlineStr">
        <is>
          <t>Initial</t>
        </is>
      </c>
    </row>
    <row r="2353">
      <c r="A2353" s="33" t="inlineStr">
        <is>
          <t>2026-07-08</t>
        </is>
      </c>
      <c r="B2353" s="33" t="inlineStr">
        <is>
          <t>HOOD</t>
        </is>
      </c>
      <c r="C2353" s="33" t="inlineStr">
        <is>
          <t>R5</t>
        </is>
      </c>
      <c r="D2353" s="33" t="n">
        <v>4</v>
      </c>
      <c r="E2353" s="33" t="inlineStr">
        <is>
          <t>Brokerage core (regulated execution/custody/margin) durable; HOOD is embracing agentic as a tailwind, not being eroded. Matches TSLA=4.</t>
        </is>
      </c>
      <c r="F2353" s="33" t="inlineStr">
        <is>
          <t>context-2026-07-08.md §6</t>
        </is>
      </c>
      <c r="G2353" s="33" t="inlineStr">
        <is>
          <t>Medium</t>
        </is>
      </c>
      <c r="H2353" s="33" t="inlineStr">
        <is>
          <t>Initial</t>
        </is>
      </c>
    </row>
    <row r="2354">
      <c r="A2354" s="33" t="inlineStr">
        <is>
          <t>2026-07-16</t>
        </is>
      </c>
      <c r="B2354" s="33" t="inlineStr">
        <is>
          <t>MU</t>
        </is>
      </c>
      <c r="C2354" s="33" t="inlineStr">
        <is>
          <t>Growth: EPS YoY (rule 15)</t>
        </is>
      </c>
      <c r="D2354" s="33" t="n">
        <v>1398.3</v>
      </c>
      <c r="E2354" s="33" t="inlineStr">
        <is>
          <t>Operational memory super-cycle: rev $9,301M→$41,456M (+346%), GM 37.7%→84.6%, op income $2,169M→$33,318M (+1,436%); tax rate ROSE 11.1%→15.0% (Pillar Two); only one-off is −$323M debt-extinguishment loss (a drag). Verified FQ3; supersedes 2026-06-24 FQ2 entry (770.8).</t>
        </is>
      </c>
      <c r="F2354" s="33" t="inlineStr">
        <is>
          <t>10-Q FQ3 q/e 2026-05-28, Stmts of Ops + Income Taxes note (filed 2026-06-25, acc 0000723125-26-000015)</t>
        </is>
      </c>
      <c r="G2354" s="33" t="inlineStr">
        <is>
          <t>High</t>
        </is>
      </c>
      <c r="H2354" s="33" t="inlineStr">
        <is>
          <t>objective</t>
        </is>
      </c>
    </row>
    <row r="2355">
      <c r="A2355" s="33" t="inlineStr">
        <is>
          <t>2026-07-16</t>
        </is>
      </c>
      <c r="B2355" s="33" t="inlineStr">
        <is>
          <t>HHUSF</t>
        </is>
      </c>
      <c r="C2355" s="33" t="inlineStr">
        <is>
          <t>Growth: EPS YoY (rule 15)</t>
        </is>
      </c>
      <c r="D2355" s="33" t="n">
        <v>458.1</v>
      </c>
      <c r="E2355" s="33" t="inlineStr">
        <is>
          <t>Operational: gross profit +72% ($50.0M→$86.1M, GM 9.2%→13.0% on ASP + shipments +18%); subsidies DOWN YoY (−$5.6M); caveats flagged: small $3.75M base, +$21.3M group FX swing largely offset within other-loss-net and NCI (Wuxi ramp losses borne by minorities). Rule-15 small-base-operational stays.</t>
        </is>
      </c>
      <c r="F2355" s="33" t="inlineStr">
        <is>
          <t>Hua Hong Q1 2026 results announcement 2026-05-14, HKEX (2026051400506.pdf), Condensed Consolidated P&amp;L p.13 + Other Income analysis p.10</t>
        </is>
      </c>
      <c r="G2355" s="33" t="inlineStr">
        <is>
          <t>High</t>
        </is>
      </c>
      <c r="H2355" s="33" t="inlineStr">
        <is>
          <t>objective</t>
        </is>
      </c>
    </row>
    <row r="2356">
      <c r="A2356" s="33" t="inlineStr">
        <is>
          <t>2026-07-16</t>
        </is>
      </c>
      <c r="B2356" s="33" t="inlineStr">
        <is>
          <t>CLSK</t>
        </is>
      </c>
      <c r="C2356" s="33" t="inlineStr">
        <is>
          <t>D1 AI Rev %</t>
        </is>
      </c>
      <c r="D2356" s="33" t="n">
        <v>1</v>
      </c>
      <c r="E2356" s="33" t="inlineStr">
        <is>
          <t>(was 2) Rubric-strict: AI revenue exactly 0% of mix until Sandersville deliveries start Q4 2027 (100% BTC mining revenue, fiscal Q2 10-Q). Signed lease is backlog, not revenue — carried in D2/D4/D5.</t>
        </is>
      </c>
      <c r="F2356" s="33" t="inlineStr">
        <is>
          <t>8-K acc 0001193125-26-302448 + 10-Q period 2026-03-31; per-stock/CLSK/context-2026-07-16.md</t>
        </is>
      </c>
      <c r="G2356" s="33" t="inlineStr">
        <is>
          <t>High</t>
        </is>
      </c>
      <c r="H2356" s="33" t="inlineStr">
        <is>
          <t>Update</t>
        </is>
      </c>
    </row>
    <row r="2357">
      <c r="A2357" s="33" t="inlineStr">
        <is>
          <t>2026-07-16</t>
        </is>
      </c>
      <c r="B2357" s="33" t="inlineStr">
        <is>
          <t>CLSK</t>
        </is>
      </c>
      <c r="C2357" s="33" t="inlineStr">
        <is>
          <t>D2 Position</t>
        </is>
      </c>
      <c r="D2357" s="33" t="n">
        <v>3</v>
      </c>
      <c r="E2357" s="33" t="inlineStr">
        <is>
          <t>(was 2) First signed AI lease demonstrates pricing power for secured power: ~$330M avg annual NOI at ~100% NOI margin on ~$1.75-2.1B build, plus tenant exclusivity LOI over entire TX portfolio. Majority of 1.8 GW still unconverted BTC capacity.</t>
        </is>
      </c>
      <c r="F2357" s="33" t="inlineStr">
        <is>
          <t>8-K acc 0001193125-26-302448 Ex-99.1; per-stock/CLSK/context-2026-07-16.md</t>
        </is>
      </c>
      <c r="G2357" s="33" t="inlineStr">
        <is>
          <t>Medium</t>
        </is>
      </c>
      <c r="H2357" s="33" t="inlineStr">
        <is>
          <t>Update</t>
        </is>
      </c>
    </row>
    <row r="2358">
      <c r="A2358" s="33" t="inlineStr">
        <is>
          <t>2026-07-16</t>
        </is>
      </c>
      <c r="B2358" s="33" t="inlineStr">
        <is>
          <t>CLSK</t>
        </is>
      </c>
      <c r="C2358" s="33" t="inlineStr">
        <is>
          <t>D4 Capacity</t>
        </is>
      </c>
      <c r="D2358" s="33" t="n">
        <v>4</v>
      </c>
      <c r="E2358" s="33" t="inlineStr">
        <is>
          <t>(was 3) Active expansion with customer commitment backing it (20-yr NNN lease, deliveries Q4 2027; TX sites acquired). NOT 5: the ~$2B build is unfunded — no lender/amount/draw schedule disclosed; rubric failure-mode 'announced != committed != deployable'.</t>
        </is>
      </c>
      <c r="F2358" s="33" t="inlineStr">
        <is>
          <t>8-K acc 0001193125-26-302448; per-stock/CLSK/context-2026-07-16.md</t>
        </is>
      </c>
      <c r="G2358" s="33" t="inlineStr">
        <is>
          <t>High</t>
        </is>
      </c>
      <c r="H2358" s="33" t="inlineStr">
        <is>
          <t>Update</t>
        </is>
      </c>
    </row>
    <row r="2359">
      <c r="A2359" s="33" t="inlineStr">
        <is>
          <t>2026-07-16</t>
        </is>
      </c>
      <c r="B2359" s="33" t="inlineStr">
        <is>
          <t>CLSK</t>
        </is>
      </c>
      <c r="C2359" s="33" t="inlineStr">
        <is>
          <t>D5 Hypersc./AI tie</t>
        </is>
      </c>
      <c r="D2359" s="33" t="n">
        <v>3</v>
      </c>
      <c r="E2359" s="33" t="inlineStr">
        <is>
          <t>(was 1) AI-buildout tie now contractual: 20-yr lease with 'high investment grade, leading global technology company' (175 MW IT, ~$6.6B) + exclusivity LOI over TX 885 MW. Single confidential tenant, pre-construction, zero revenue until Q4 2027 — not 4-5 yet.</t>
        </is>
      </c>
      <c r="F2359" s="33" t="inlineStr">
        <is>
          <t>8-K acc 0001193125-26-302448; per-stock/CLSK/context-2026-07-16.md</t>
        </is>
      </c>
      <c r="G2359" s="33" t="inlineStr">
        <is>
          <t>Medium</t>
        </is>
      </c>
      <c r="H2359" s="33" t="inlineStr">
        <is>
          <t>Update</t>
        </is>
      </c>
    </row>
    <row r="2360">
      <c r="A2360" s="33" t="inlineStr">
        <is>
          <t>2026-07-16</t>
        </is>
      </c>
      <c r="B2360" s="33" t="inlineStr">
        <is>
          <t>CLSK</t>
        </is>
      </c>
      <c r="C2360" s="33" t="inlineStr">
        <is>
          <t>M1 EPS Rev</t>
        </is>
      </c>
      <c r="D2360" s="33" t="n">
        <v>4</v>
      </c>
      <c r="E2360" s="33" t="inlineStr">
        <is>
          <t>(was 2) Post-lease upgrade cluster: Needham $18-&gt;$23, Cantor $17-&gt;$26 OW, Citizens init Outperform $27, Chardan $16-&gt;$19; consensus ~Strong Buy. PT-based (EPS-estimate granularity limited for pre-AI-revenue miner) — net positive, not full beat-and-raise.</t>
        </is>
      </c>
      <c r="F2360" s="33" t="inlineStr">
        <is>
          <t>analyst coverage 2026-07-10..16; per-stock/CLSK/context-2026-07-16.md</t>
        </is>
      </c>
      <c r="G2360" s="33" t="inlineStr">
        <is>
          <t>Medium</t>
        </is>
      </c>
      <c r="H2360" s="33" t="inlineStr">
        <is>
          <t>Update</t>
        </is>
      </c>
    </row>
    <row r="2361">
      <c r="A2361" s="33" t="inlineStr">
        <is>
          <t>2026-07-16</t>
        </is>
      </c>
      <c r="B2361" s="33" t="inlineStr">
        <is>
          <t>CLSK</t>
        </is>
      </c>
      <c r="C2361" s="33" t="inlineStr">
        <is>
          <t>M2 Rel Str</t>
        </is>
      </c>
      <c r="D2361" s="33" t="n">
        <v>2</v>
      </c>
      <c r="E2361" s="33" t="inlineStr">
        <is>
          <t>(was 1) 6m +2.8% vs SMH +45.3% (-42pp, band 1) but 3m gap narrowed to -11pp (band 2) and top-half of miner cohort 1m/3m. Blend -&gt; 2.</t>
        </is>
      </c>
      <c r="F2361" s="33" t="inlineStr">
        <is>
          <t>yfinance perf through 2026-07-16; per-stock/CLSK/context-2026-07-16.md</t>
        </is>
      </c>
      <c r="G2361" s="33" t="inlineStr">
        <is>
          <t>Medium</t>
        </is>
      </c>
      <c r="H2361" s="33" t="inlineStr">
        <is>
          <t>Update</t>
        </is>
      </c>
    </row>
    <row r="2362">
      <c r="A2362" s="33" t="inlineStr">
        <is>
          <t>2026-07-16</t>
        </is>
      </c>
      <c r="B2362" s="33" t="inlineStr">
        <is>
          <t>CLSK</t>
        </is>
      </c>
      <c r="C2362" s="33" t="inlineStr">
        <is>
          <t>R3 BS Risk</t>
        </is>
      </c>
      <c r="D2362" s="33" t="n">
        <v>2</v>
      </c>
      <c r="E2362" s="33" t="inlineStr">
        <is>
          <t>(was 3) ~$2B build obligation with lease TERMINATION/abatement on missed financing milestones; $260M cash, LT debt ~$1.8B, BTC treasury funding engine -22% in 3m; 'significant additional indebtedness' pre-announced (Morgan Stanley advising, no committed facility).</t>
        </is>
      </c>
      <c r="F2362" s="33" t="inlineStr">
        <is>
          <t>8-K acc 0001193125-26-302448 Ex-99.1 + June 2026 op update; per-stock/CLSK/context-2026-07-16.md</t>
        </is>
      </c>
      <c r="G2362" s="33" t="inlineStr">
        <is>
          <t>High</t>
        </is>
      </c>
      <c r="H2362" s="33" t="inlineStr">
        <is>
          <t>Update</t>
        </is>
      </c>
    </row>
    <row r="2363">
      <c r="A2363" s="33" t="inlineStr">
        <is>
          <t>2026-07-16</t>
        </is>
      </c>
      <c r="B2363" s="33" t="inlineStr">
        <is>
          <t>WULF</t>
        </is>
      </c>
      <c r="C2363" s="33" t="inlineStr">
        <is>
          <t>D1 AI Rev %</t>
        </is>
      </c>
      <c r="D2363" s="33" t="n">
        <v>5</v>
      </c>
      <c r="E2363" s="33" t="inlineStr">
        <is>
          <t>(was 4) HPC lease revenue $21.0M of ~$34M total (~62%) in Q1 2026, +117% q/q; mining shrinking by design (two buildings repurposed). &gt;50% band met on actuals, not projection.</t>
        </is>
      </c>
      <c r="F2363" s="33" t="inlineStr">
        <is>
          <t>Q1 2026 10-Q + context-2026-06-22; per-stock/WULF/context-2026-07-16.md</t>
        </is>
      </c>
      <c r="G2363" s="33" t="inlineStr">
        <is>
          <t>High</t>
        </is>
      </c>
      <c r="H2363" s="33" t="inlineStr">
        <is>
          <t>Update</t>
        </is>
      </c>
    </row>
    <row r="2364">
      <c r="A2364" s="33" t="inlineStr">
        <is>
          <t>2026-07-16</t>
        </is>
      </c>
      <c r="B2364" s="33" t="inlineStr">
        <is>
          <t>WULF</t>
        </is>
      </c>
      <c r="C2364" s="33" t="inlineStr">
        <is>
          <t>D2 Position</t>
        </is>
      </c>
      <c r="D2364" s="33" t="n">
        <v>4</v>
      </c>
      <c r="E2364" s="33" t="inlineStr">
        <is>
          <t>(was 3) Demonstrated pricing power: Anthropic lease ~$2.37M/IT-MW-yr (~$19B/401MW/20yr), ~18.3% trended yield-on-cost (KBW); three marquee counterparties (Google-backstopped Fluidstack, Core42/G42, Anthropic) competing for scarce zero-carbon NE capacity.</t>
        </is>
      </c>
      <c r="F2364" s="33" t="inlineStr">
        <is>
          <t>8-K acc 0001104659-26-080583; per-stock/WULF/context-2026-07-16.md</t>
        </is>
      </c>
      <c r="G2364" s="33" t="inlineStr">
        <is>
          <t>Medium</t>
        </is>
      </c>
      <c r="H2364" s="33" t="inlineStr">
        <is>
          <t>Update</t>
        </is>
      </c>
    </row>
    <row r="2365">
      <c r="A2365" s="33" t="inlineStr">
        <is>
          <t>2026-07-16</t>
        </is>
      </c>
      <c r="B2365" s="33" t="inlineStr">
        <is>
          <t>WULF</t>
        </is>
      </c>
      <c r="C2365" s="33" t="inlineStr">
        <is>
          <t>D4 Capacity</t>
        </is>
      </c>
      <c r="D2365" s="33" t="n">
        <v>5</v>
      </c>
      <c r="E2365" s="33" t="inlineStr">
        <is>
          <t>(was 4) Multi-campus buildout underway with customer commitments backing it: CB-4 (Q3) / CB-5 (Q4) on schedule, Justified 401 MW leased pre-construction; $3.1B cash + $530M staged Abernathy proceeds. Caveat: ~$3.5B Justified financing is press-reported (Morgan Stanley mandate), not yet filed.</t>
        </is>
      </c>
      <c r="F2365" s="33" t="inlineStr">
        <is>
          <t>8-K acc 0001104659-26-080583 + press; per-stock/WULF/context-2026-07-16.md</t>
        </is>
      </c>
      <c r="G2365" s="33" t="inlineStr">
        <is>
          <t>Medium</t>
        </is>
      </c>
      <c r="H2365" s="33" t="inlineStr">
        <is>
          <t>Update</t>
        </is>
      </c>
    </row>
    <row r="2366">
      <c r="A2366" s="33" t="inlineStr">
        <is>
          <t>2026-07-16</t>
        </is>
      </c>
      <c r="B2366" s="33" t="inlineStr">
        <is>
          <t>WULF</t>
        </is>
      </c>
      <c r="C2366" s="33" t="inlineStr">
        <is>
          <t>D5 Hypersc./AI tie</t>
        </is>
      </c>
      <c r="D2366" s="33" t="n">
        <v>5</v>
      </c>
      <c r="E2366" s="33" t="inlineStr">
        <is>
          <t>(was 4) Three anchor AI counterparties: Fluidstack (Google ~$3.1B lease backstop), Core42/G42 (sovereign), Anthropic (20-yr, ~$19B). HPC already 62% of revenue and 100% of contracted growth. Maximally AI-tied for a capacity provider.</t>
        </is>
      </c>
      <c r="F2366" s="33" t="inlineStr">
        <is>
          <t>8-K acc 0001104659-26-080583; per-stock/WULF/context-2026-07-16.md</t>
        </is>
      </c>
      <c r="G2366" s="33" t="inlineStr">
        <is>
          <t>High</t>
        </is>
      </c>
      <c r="H2366" s="33" t="inlineStr">
        <is>
          <t>Update</t>
        </is>
      </c>
    </row>
    <row r="2367">
      <c r="A2367" s="33" t="inlineStr">
        <is>
          <t>2026-07-16</t>
        </is>
      </c>
      <c r="B2367" s="33" t="inlineStr">
        <is>
          <t>WULF</t>
        </is>
      </c>
      <c r="C2367" s="33" t="inlineStr">
        <is>
          <t>M1 EPS Rev</t>
        </is>
      </c>
      <c r="D2367" s="33" t="n">
        <v>5</v>
      </c>
      <c r="E2367" s="33" t="inlineStr">
        <is>
          <t>(was 4) Five PT raises within a week of the Anthropic announcement (KBW $33, Rosenblatt $30, Needham $33, Morgan Stanley $72, ATB $51); 19 Buy / 0 Hold / 0 Sell.</t>
        </is>
      </c>
      <c r="F2367" s="33" t="inlineStr">
        <is>
          <t>analyst coverage 2026-07-06..16; per-stock/WULF/context-2026-07-16.md</t>
        </is>
      </c>
      <c r="G2367" s="33" t="inlineStr">
        <is>
          <t>High</t>
        </is>
      </c>
      <c r="H2367" s="33" t="inlineStr">
        <is>
          <t>Update</t>
        </is>
      </c>
    </row>
    <row r="2368">
      <c r="A2368" s="33" t="inlineStr">
        <is>
          <t>2026-07-16</t>
        </is>
      </c>
      <c r="B2368" s="33" t="inlineStr">
        <is>
          <t>WULF</t>
        </is>
      </c>
      <c r="C2368" s="33" t="inlineStr">
        <is>
          <t>M2 Rel Str</t>
        </is>
      </c>
      <c r="D2368" s="33" t="n">
        <v>2</v>
      </c>
      <c r="E2368" s="33" t="inlineStr">
        <is>
          <t>(was 5) Anthropic pop fully round-tripped: -36.2% 1m; 3m -8.6% vs SMH +25.6% (-34pp); 6m +27.2% vs +45.3% (-18pp, band 2). Momentum input reads the tape, not the thesis (rubric bias check).</t>
        </is>
      </c>
      <c r="F2368" s="33" t="inlineStr">
        <is>
          <t>yfinance perf through 2026-07-16; per-stock/WULF/context-2026-07-16.md</t>
        </is>
      </c>
      <c r="G2368" s="33" t="inlineStr">
        <is>
          <t>High</t>
        </is>
      </c>
      <c r="H2368" s="33" t="inlineStr">
        <is>
          <t>Update</t>
        </is>
      </c>
    </row>
    <row r="2369">
      <c r="A2369" s="33" t="inlineStr">
        <is>
          <t>2026-07-16</t>
        </is>
      </c>
      <c r="B2369" s="33" t="inlineStr">
        <is>
          <t>WULF</t>
        </is>
      </c>
      <c r="C2369" s="33" t="inlineStr">
        <is>
          <t>M3 Insider</t>
        </is>
      </c>
      <c r="D2369" s="33" t="n">
        <v>4</v>
      </c>
      <c r="E2369" s="33" t="inlineStr">
        <is>
          <t>(was 3) Rubric decision procedure step 1: exactly one insider (director Bucella) with open-market discretionary buys (10 purchases, 17,272 sh / ~$251K, Dec 2025-Mar 2026) -&gt; 4, dollar size does not downgrade. Flag: CEO Prager ~$21.1M sells Mar-Jul incl ~$4.5M batch not 10b5-1-flagged, last 7/1 @ $26.60 (vs $17.98 now); CFO $9.7M. Debatable vs band text 'selling &lt;5% of holdings' — %-of-holdings not computable from Form 4s parsed.</t>
        </is>
      </c>
      <c r="F2369" s="33" t="inlineStr">
        <is>
          <t>EDGAR Form 4s (73 parsed, 12mo); per-stock/WULF/context-2026-07-16.md</t>
        </is>
      </c>
      <c r="G2369" s="33" t="inlineStr">
        <is>
          <t>Medium</t>
        </is>
      </c>
      <c r="H2369" s="33" t="inlineStr">
        <is>
          <t>Update</t>
        </is>
      </c>
    </row>
    <row r="2370">
      <c r="A2370" s="33" t="inlineStr">
        <is>
          <t>2026-07-16</t>
        </is>
      </c>
      <c r="B2370" s="33" t="inlineStr">
        <is>
          <t>WULF</t>
        </is>
      </c>
      <c r="C2370" s="33" t="inlineStr">
        <is>
          <t>R1 Cust Conc</t>
        </is>
      </c>
      <c r="D2370" s="33" t="n">
        <v>2</v>
      </c>
      <c r="E2370" s="33" t="inlineStr">
        <is>
          <t>(was 3) Anthropic = 53% of contracted IT MW (401/755); near-term revenue two-dominated (Core42 + Fluidstack) for ~18 months; Abernathy sale removes a Fluidstack stream. Top counterparty &gt;40% on both current and contracted views. Mitigants (Google backstop, unnamed Anthropic IG support) are credit quality, not diversification.</t>
        </is>
      </c>
      <c r="F2370" s="33" t="inlineStr">
        <is>
          <t>8-K acc 0001104659-26-080583; per-stock/WULF/context-2026-07-16.md</t>
        </is>
      </c>
      <c r="G2370" s="33" t="inlineStr">
        <is>
          <t>High</t>
        </is>
      </c>
      <c r="H2370" s="33" t="inlineStr">
        <is>
          <t>Update</t>
        </is>
      </c>
    </row>
    <row r="2371">
      <c r="A2371" s="33" t="inlineStr">
        <is>
          <t>2026-07-27</t>
        </is>
      </c>
      <c r="B2371" s="33" t="inlineStr">
        <is>
          <t>GOOGL</t>
        </is>
      </c>
      <c r="C2371" s="33" t="inlineStr">
        <is>
          <t>EPS YoY (objective)</t>
        </is>
      </c>
      <c r="E2371" s="33" t="inlineStr">
        <is>
          <t>Rule-15 blank: Q2 2026 EPS YoY +294% dominated by $98.0B non-operating net gain in Other income ("primarily the result of net unrealized gains on our equity securities" — press release exhibit 99.1). Growth averages the revenue metrics.</t>
        </is>
      </c>
      <c r="F2371" s="33" t="inlineStr">
        <is>
          <t>https://www.sec.gov/Archives/edgar/data/0001652044/000165204426000066/googexhibit991q22026.htm</t>
        </is>
      </c>
      <c r="G2371" s="33" t="inlineStr">
        <is>
          <t>High</t>
        </is>
      </c>
      <c r="H2371" s="33" t="inlineStr">
        <is>
          <t>Objective refresh</t>
        </is>
      </c>
    </row>
    <row r="2372">
      <c r="A2372" s="33" t="inlineStr">
        <is>
          <t>2026-07-27</t>
        </is>
      </c>
      <c r="B2372" s="33" t="inlineStr">
        <is>
          <t>FIX</t>
        </is>
      </c>
      <c r="C2372" s="33" t="inlineStr">
        <is>
          <t>Rev YoY / EPS YoY (objective)</t>
        </is>
      </c>
      <c r="E2372" s="33" t="inlineStr">
        <is>
          <t>Manual statement-based override: yfinance info fields stale post-Q2-2026 (revenueGrowth 1%, earningsQuarterlyGrowth 38.2%). Written from quarterly statements: Rev +50.3% ($3.266B vs $2.173B), diluted EPS +91.9% ($12.53 vs $6.53) — matches Q2 2026 press release (+50.3% rev). Operational, not one-off — rule-15 carve-out.</t>
        </is>
      </c>
      <c r="F2372" s="33" t="inlineStr">
        <is>
          <t>yfinance quarterly_income_stmt 2026-06-30 vs 2025-06-30; https://www.stocktitan.net/news/FIX/comfort-systems-usa-reports-second-quarter-2026-6pc4g0cg8jje.html</t>
        </is>
      </c>
      <c r="G2372" s="33" t="inlineStr">
        <is>
          <t>High</t>
        </is>
      </c>
      <c r="H2372" s="33" t="inlineStr">
        <is>
          <t>Objective refresh</t>
        </is>
      </c>
    </row>
    <row r="2373">
      <c r="A2373" s="33" t="inlineStr">
        <is>
          <t>2026-07-20</t>
        </is>
      </c>
      <c r="B2373" s="33" t="inlineStr">
        <is>
          <t>CLSK</t>
        </is>
      </c>
      <c r="C2373" s="33" t="inlineStr">
        <is>
          <t>D2</t>
        </is>
      </c>
      <c r="D2373" s="33" t="n">
        <v>3</v>
      </c>
      <c r="E2373" s="33" t="inlineStr">
        <is>
          <t>Upgraded from 2: signed 20-yr NNN lease (175MW, $6.6-11.6B contracted) at Sandersville + Texas 885MW LOI/exclusivity with a high-investment-grade global tech tenant (unconfirmed, speculated Meta) shifts CLSK from generic commodity BTC-mining capacity toward a landlord with a long-dated anchor-tenant lock-in. Held at 3 not 4: single deal, undisclosed counterparty, no demonstrated pricing power yet, and peers (IREN, CORZ, CIFR, HUT) are pursuing the identical pivot -- still commoditized vs. true bottleneck suppliers.</t>
        </is>
      </c>
      <c r="F2373" s="33" t="inlineStr">
        <is>
          <t>context-2026-07-20.md §2-3 (8-K filed 2026-07-14, acc 000119312526302448, cross-sourced via press coverage -- direct SEC fetch blocked this session)</t>
        </is>
      </c>
      <c r="G2373" s="33" t="inlineStr">
        <is>
          <t>Medium</t>
        </is>
      </c>
      <c r="H2373" s="33" t="inlineStr">
        <is>
          <t>Update</t>
        </is>
      </c>
    </row>
    <row r="2374">
      <c r="A2374" s="33" t="inlineStr">
        <is>
          <t>2026-07-20</t>
        </is>
      </c>
      <c r="B2374" s="33" t="inlineStr">
        <is>
          <t>CLSK</t>
        </is>
      </c>
      <c r="C2374" s="33" t="inlineStr">
        <is>
          <t>D4</t>
        </is>
      </c>
      <c r="D2374" s="33" t="n">
        <v>4</v>
      </c>
      <c r="E2374" s="33" t="inlineStr">
        <is>
          <t>Upgraded from 3: active expansion now backed by a REAL signed customer commitment (vs. prior "no signed AI customer"), first delivery Q4 2027. Held at 4 not 5: the rubric's 5-band requires the buildout be "funded and underway" -- the lease itself discloses NO lender, financing terms, sponsor equity, or draw schedule for the ~$1.75-2.1B Sandersville capex, so "funded" is not yet true.</t>
        </is>
      </c>
      <c r="F2374" s="33" t="inlineStr">
        <is>
          <t>context-2026-07-20.md §2, §6 (8-K 2026-07-14; ts2.tech/CryptoSlate financing-gap analysis)</t>
        </is>
      </c>
      <c r="G2374" s="33" t="inlineStr">
        <is>
          <t>Medium</t>
        </is>
      </c>
      <c r="H2374" s="33" t="inlineStr">
        <is>
          <t>Update</t>
        </is>
      </c>
    </row>
    <row r="2375">
      <c r="A2375" s="33" t="inlineStr">
        <is>
          <t>2026-07-20</t>
        </is>
      </c>
      <c r="B2375" s="33" t="inlineStr">
        <is>
          <t>CLSK</t>
        </is>
      </c>
      <c r="C2375" s="33" t="inlineStr">
        <is>
          <t>R3</t>
        </is>
      </c>
      <c r="D2375" s="33" t="n">
        <v>2</v>
      </c>
      <c r="E2375" s="33" t="inlineStr">
        <is>
          <t>Downgraded from 3: the signed lease carries financing/construction/delivery MILESTONES with rent-abatement/termination risk if missed, and requires ~$1.75-2.1B of capex with no financing plan disclosed as of the 8-K -- a new, concrete near-term execution/dilution risk stacked on existing ~$1.8B LT debt (Q2 FY26 10-Q) and negative FCF (FCF Yield -32.4%, FCF Mgn -144.9% per current sheet). Not dropped to 1: no breach has occurred yet, this is a forward-looking contingent risk, not a going-concern flag.</t>
        </is>
      </c>
      <c r="F2375" s="33" t="inlineStr">
        <is>
          <t>context-2026-07-20.md §2, §6 (8-K 2026-07-14; ts2.tech "$2.1 Billion Financing Test"; prior context-2026-06-22.md LT debt figure)</t>
        </is>
      </c>
      <c r="G2375" s="33" t="inlineStr">
        <is>
          <t>Medium</t>
        </is>
      </c>
      <c r="H2375" s="33" t="inlineStr">
        <is>
          <t>Update</t>
        </is>
      </c>
    </row>
    <row r="2376">
      <c r="A2376" s="33" t="inlineStr">
        <is>
          <t>2026-08-02</t>
        </is>
      </c>
      <c r="B2376" s="33" t="inlineStr">
        <is>
          <t>AMZN</t>
        </is>
      </c>
      <c r="C2376" s="33" t="inlineStr">
        <is>
          <t>EPS YoY (objective)</t>
        </is>
      </c>
      <c r="E2376" s="33" t="inlineStr">
        <is>
          <t>Rule-15 blank: Q2 2026 EPS YoY +244.9% (GAAP $5.75 vs $1.68) dominated by $53.4B non-operating pre-tax other income "primarily from our investments in Anthropic" (press release exhibit 99.1); ex-gain EPS ~flat YoY. Growth averages the revenue metrics. Same treatment as GOOGL 2026-07-27 ($98.0B equity-securities gain).</t>
        </is>
      </c>
      <c r="F2376" s="33" t="inlineStr">
        <is>
          <t>https://www.sec.gov/Archives/edgar/data/1018724/000101872426000024/amzn-20260630xex991.htm</t>
        </is>
      </c>
      <c r="G2376" s="33" t="inlineStr">
        <is>
          <t>High</t>
        </is>
      </c>
      <c r="H2376" s="33" t="inlineStr">
        <is>
          <t>Objective refresh</t>
        </is>
      </c>
    </row>
    <row r="2377">
      <c r="A2377" s="33" t="inlineStr">
        <is>
          <t>2026-08-02</t>
        </is>
      </c>
      <c r="B2377" s="33" t="inlineStr">
        <is>
          <t>META</t>
        </is>
      </c>
      <c r="C2377" s="33" t="inlineStr">
        <is>
          <t>EPS YoY (objective)</t>
        </is>
      </c>
      <c r="E2377" s="33" t="inlineStr">
        <is>
          <t>Rule-15 evaluated, NOT blanked: Q2 2026 EPS YoY -13.6% ($6.18 vs $7.14) includes $2.40B legal-proceedings charges + $1.18B severance — both inside operating costs and expenses (exhibit 99.1), not rule-15's non-operating class (divestiture gains / fair-value swings / tax one-offs). Op-margin compression 43%-&gt;31% on infra depreciation + AI comp is the genuine operating story; mechanical value kept.</t>
        </is>
      </c>
      <c r="F2377" s="33" t="inlineStr">
        <is>
          <t>https://www.sec.gov/Archives/edgar/data/1326801/000162828026050596/meta-06302026xexhibit991.htm</t>
        </is>
      </c>
      <c r="G2377" s="33" t="inlineStr">
        <is>
          <t>High</t>
        </is>
      </c>
      <c r="H2377" s="33" t="inlineStr">
        <is>
          <t>Objective refresh</t>
        </is>
      </c>
    </row>
    <row r="2378">
      <c r="A2378" s="33" t="inlineStr">
        <is>
          <t>2026-08-02</t>
        </is>
      </c>
      <c r="B2378" s="33" t="inlineStr">
        <is>
          <t>6481.T</t>
        </is>
      </c>
      <c r="C2378" s="33" t="inlineStr">
        <is>
          <t>Rev YoY + EPS YoY (objective)</t>
        </is>
      </c>
      <c r="E2378" s="33" t="inlineStr">
        <is>
          <t>Blanked both: THK fiscal-year-transition stub (FY-end moved; yfinance prints -18.7% rev / +1307.8% EPS on a short-period base) — not business reality. FY-Dec-2026 guidance is ¥260B sales / ¥26B OP. Same garbage-input family as rule 15.</t>
        </is>
      </c>
      <c r="F2378" s="33" t="inlineStr">
        <is>
          <t>11-robotics/research/2026-08-02-components-vision-sensing.md</t>
        </is>
      </c>
      <c r="G2378" s="33" t="inlineStr">
        <is>
          <t>High</t>
        </is>
      </c>
      <c r="H2378" s="33" t="inlineStr">
        <is>
          <t>Objective refresh</t>
        </is>
      </c>
    </row>
    <row r="2379">
      <c r="A2379" s="33" t="inlineStr">
        <is>
          <t>2026-08-02</t>
        </is>
      </c>
      <c r="B2379" s="33" t="inlineStr">
        <is>
          <t>HSAI</t>
        </is>
      </c>
      <c r="C2379" s="33" t="inlineStr">
        <is>
          <t>P/S (objective)</t>
        </is>
      </c>
      <c r="E2379" s="33" t="inlineStr">
        <is>
          <t>Corrected 45.06 -&gt; 5.7: yfinance ADR market cap corrupt ($21.2B vs verified ~$2.64B, stockanalysis 2026-07-31; cross-check P/E 38 x $68M TTM NI ~ $2.6B). Rule-19 known ADR-cap corruption class.</t>
        </is>
      </c>
      <c r="F2379" s="33" t="inlineStr">
        <is>
          <t>https://stockanalysis.com/stocks/hsai/</t>
        </is>
      </c>
      <c r="G2379" s="33" t="inlineStr">
        <is>
          <t>High</t>
        </is>
      </c>
      <c r="H2379" s="33" t="inlineStr">
        <is>
          <t>Objective refresh</t>
        </is>
      </c>
    </row>
    <row r="2380">
      <c r="A2380" s="33" t="inlineStr">
        <is>
          <t>2026-08-02</t>
        </is>
      </c>
      <c r="B2380" s="33" t="inlineStr">
        <is>
          <t>MBLY</t>
        </is>
      </c>
      <c r="C2380" s="33" t="inlineStr">
        <is>
          <t>P/S + FCF Yield (objective)</t>
        </is>
      </c>
      <c r="E2380" s="33" t="inlineStr">
        <is>
          <t>Corrected P/S 0.99 -&gt; 3.26 and FCFY 19.36% -&gt; 5.9%: yfinance counts Class A shares only (~$2.05B cap); true cap ~$6.75B incl. Intel Class B (~850M sh x $7.94). Dual-class share-count trap, same family as rule-19 ADR-cap corruption.</t>
        </is>
      </c>
      <c r="F2380" s="33" t="inlineStr">
        <is>
          <t>11-robotics/research/2026-08-02-defense-autonomy-perception.md</t>
        </is>
      </c>
      <c r="G2380" s="33" t="inlineStr">
        <is>
          <t>High</t>
        </is>
      </c>
      <c r="H2380" s="33" t="inlineStr">
        <is>
          <t>Objective refresh</t>
        </is>
      </c>
    </row>
    <row r="2381">
      <c r="A2381" s="33" t="inlineStr">
        <is>
          <t>2026-08-02</t>
        </is>
      </c>
      <c r="B2381" s="33" t="inlineStr">
        <is>
          <t>2590.HK</t>
        </is>
      </c>
      <c r="C2381" s="33" t="inlineStr">
        <is>
          <t>FCF Yield + FCF Mgn (objective)</t>
        </is>
      </c>
      <c r="E2381" s="33" t="inlineStr">
        <is>
          <t>Blanked both: yfinance levered-FCF fallback implies ~-CNY7B TTM FCF for a company that raised HK$2.71B in total and reported first profitability FY2025 (adj EBITDA positive) — demonstrably impossible. CLAUDE.md data-source note: info.freeCashflow fallback must be flagged; here it is discarded.</t>
        </is>
      </c>
      <c r="F2381" s="33" t="inlineStr">
        <is>
          <t>https://www.geekplus.com/resources/news/geekplus-hits-profitability-milestone-with-31.6-yoy-revenue-growth-fueled-by-embodied-intelligence-driven-tech-innovation</t>
        </is>
      </c>
      <c r="G2381" s="33" t="inlineStr">
        <is>
          <t>High</t>
        </is>
      </c>
      <c r="H2381" s="33" t="inlineStr">
        <is>
          <t>Objective refresh</t>
        </is>
      </c>
    </row>
    <row r="2382">
      <c r="A2382" s="33" t="inlineStr">
        <is>
          <t>2026-08-02</t>
        </is>
      </c>
      <c r="B2382" s="33" t="inlineStr">
        <is>
          <t>SYM</t>
        </is>
      </c>
      <c r="C2382" s="33" t="inlineStr">
        <is>
          <t>Reverse-DCF EV/FCF (objective)</t>
        </is>
      </c>
      <c r="E2382" s="33" t="inlineStr">
        <is>
          <t>Nulled reverse-dcf.json entry (was 5.12): contradicts the sheet's own FCF Yield 2.88% (implies ~33x) — 5.12 would require ~$4.9B FCF on $2.5B revenue. Likely Class-A-only EV in the umbrella structure. Term drops out of Value per rule 21.</t>
        </is>
      </c>
      <c r="F2382" s="33" t="inlineStr">
        <is>
          <t>tracking/batch-score-2026-08-02.md</t>
        </is>
      </c>
      <c r="G2382" s="33" t="inlineStr">
        <is>
          <t>High</t>
        </is>
      </c>
      <c r="H2382" s="33" t="inlineStr">
        <is>
          <t>Objective refresh</t>
        </is>
      </c>
    </row>
    <row r="2383">
      <c r="A2383" s="33" t="inlineStr">
        <is>
          <t>2026-08-02</t>
        </is>
      </c>
      <c r="B2383" s="33" t="inlineStr">
        <is>
          <t>AUTO.OL</t>
        </is>
      </c>
      <c r="C2383" s="33" t="inlineStr">
        <is>
          <t>Reverse-DCF EV/FCF (objective)</t>
        </is>
      </c>
      <c r="E2383" s="33" t="inlineStr">
        <is>
          <t>Nulled reverse-dcf.json entry (was 156.6): magnitude consistent with NOK-denominated EV over USD FCF (currency mix). Term drops out of Value per rule 21.</t>
        </is>
      </c>
      <c r="F2383" s="33" t="inlineStr">
        <is>
          <t>tracking/batch-score-2026-08-02.md</t>
        </is>
      </c>
      <c r="G2383" s="33" t="inlineStr">
        <is>
          <t>High</t>
        </is>
      </c>
      <c r="H2383" s="33" t="inlineStr">
        <is>
          <t>Objective refresh</t>
        </is>
      </c>
    </row>
    <row r="2384">
      <c r="A2384" s="33" t="inlineStr">
        <is>
          <t>2026-08-02</t>
        </is>
      </c>
      <c r="B2384" s="33" t="inlineStr">
        <is>
          <t>9880.HK</t>
        </is>
      </c>
      <c r="C2384" s="33" t="inlineStr">
        <is>
          <t>D1</t>
        </is>
      </c>
      <c r="D2384" s="33" t="n">
        <v>5</v>
      </c>
      <c r="E2384" s="33" t="inlineStr">
        <is>
          <t>Initial L11-batch rating per agent1 proposal (rationale+source in 11-robotics/research/rating-proposals-2026-08-02/); briefing per-stock/9880.HK/context-2026-08-02.md</t>
        </is>
      </c>
      <c r="F2384" s="33" t="inlineStr">
        <is>
          <t>per-stock/9880.HK/context-2026-08-02.md</t>
        </is>
      </c>
      <c r="G2384" s="33" t="inlineStr">
        <is>
          <t>Medium</t>
        </is>
      </c>
      <c r="H2384" s="33" t="inlineStr">
        <is>
          <t>Initial</t>
        </is>
      </c>
    </row>
    <row r="2385">
      <c r="A2385" s="33" t="inlineStr">
        <is>
          <t>2026-08-02</t>
        </is>
      </c>
      <c r="B2385" s="33" t="inlineStr">
        <is>
          <t>9880.HK</t>
        </is>
      </c>
      <c r="C2385" s="33" t="inlineStr">
        <is>
          <t>D2</t>
        </is>
      </c>
      <c r="D2385" s="33" t="n">
        <v>2</v>
      </c>
      <c r="E2385" s="33" t="inlineStr">
        <is>
          <t>Initial L11-batch rating per agent1 proposal (rationale+source in 11-robotics/research/rating-proposals-2026-08-02/); briefing per-stock/9880.HK/context-2026-08-02.md</t>
        </is>
      </c>
      <c r="F2385" s="33" t="inlineStr">
        <is>
          <t>per-stock/9880.HK/context-2026-08-02.md</t>
        </is>
      </c>
      <c r="G2385" s="33" t="inlineStr">
        <is>
          <t>Medium</t>
        </is>
      </c>
      <c r="H2385" s="33" t="inlineStr">
        <is>
          <t>Initial</t>
        </is>
      </c>
    </row>
    <row r="2386">
      <c r="A2386" s="33" t="inlineStr">
        <is>
          <t>2026-08-02</t>
        </is>
      </c>
      <c r="B2386" s="33" t="inlineStr">
        <is>
          <t>9880.HK</t>
        </is>
      </c>
      <c r="C2386" s="33" t="inlineStr">
        <is>
          <t>D3</t>
        </is>
      </c>
      <c r="D2386" s="33" t="n">
        <v>2</v>
      </c>
      <c r="E2386" s="33" t="inlineStr">
        <is>
          <t>Initial L11-batch rating per agent1 proposal (rationale+source in 11-robotics/research/rating-proposals-2026-08-02/); briefing per-stock/9880.HK/context-2026-08-02.md</t>
        </is>
      </c>
      <c r="F2386" s="33" t="inlineStr">
        <is>
          <t>per-stock/9880.HK/context-2026-08-02.md</t>
        </is>
      </c>
      <c r="G2386" s="33" t="inlineStr">
        <is>
          <t>Medium</t>
        </is>
      </c>
      <c r="H2386" s="33" t="inlineStr">
        <is>
          <t>Initial</t>
        </is>
      </c>
    </row>
    <row r="2387">
      <c r="A2387" s="33" t="inlineStr">
        <is>
          <t>2026-08-02</t>
        </is>
      </c>
      <c r="B2387" s="33" t="inlineStr">
        <is>
          <t>9880.HK</t>
        </is>
      </c>
      <c r="C2387" s="33" t="inlineStr">
        <is>
          <t>D4</t>
        </is>
      </c>
      <c r="D2387" s="33" t="n">
        <v>5</v>
      </c>
      <c r="E2387" s="33" t="inlineStr">
        <is>
          <t>Initial L11-batch rating per agent1 proposal (rationale+source in 11-robotics/research/rating-proposals-2026-08-02/); briefing per-stock/9880.HK/context-2026-08-02.md</t>
        </is>
      </c>
      <c r="F2387" s="33" t="inlineStr">
        <is>
          <t>per-stock/9880.HK/context-2026-08-02.md</t>
        </is>
      </c>
      <c r="G2387" s="33" t="inlineStr">
        <is>
          <t>Medium</t>
        </is>
      </c>
      <c r="H2387" s="33" t="inlineStr">
        <is>
          <t>Initial</t>
        </is>
      </c>
    </row>
    <row r="2388">
      <c r="A2388" s="33" t="inlineStr">
        <is>
          <t>2026-08-02</t>
        </is>
      </c>
      <c r="B2388" s="33" t="inlineStr">
        <is>
          <t>9880.HK</t>
        </is>
      </c>
      <c r="C2388" s="33" t="inlineStr">
        <is>
          <t>D5</t>
        </is>
      </c>
      <c r="D2388" s="33" t="n">
        <v>5</v>
      </c>
      <c r="E2388" s="33" t="inlineStr">
        <is>
          <t>Initial L11-batch rating per agent1 proposal (rationale+source in 11-robotics/research/rating-proposals-2026-08-02/); briefing per-stock/9880.HK/context-2026-08-02.md</t>
        </is>
      </c>
      <c r="F2388" s="33" t="inlineStr">
        <is>
          <t>per-stock/9880.HK/context-2026-08-02.md</t>
        </is>
      </c>
      <c r="G2388" s="33" t="inlineStr">
        <is>
          <t>Medium</t>
        </is>
      </c>
      <c r="H2388" s="33" t="inlineStr">
        <is>
          <t>Initial</t>
        </is>
      </c>
    </row>
    <row r="2389">
      <c r="A2389" s="33" t="inlineStr">
        <is>
          <t>2026-08-02</t>
        </is>
      </c>
      <c r="B2389" s="33" t="inlineStr">
        <is>
          <t>9880.HK</t>
        </is>
      </c>
      <c r="C2389" s="33" t="inlineStr">
        <is>
          <t>M1</t>
        </is>
      </c>
      <c r="D2389" s="33" t="n">
        <v>4</v>
      </c>
      <c r="E2389" s="33" t="inlineStr">
        <is>
          <t>Initial L11-batch rating per agent1 proposal (rationale+source in 11-robotics/research/rating-proposals-2026-08-02/); briefing per-stock/9880.HK/context-2026-08-02.md</t>
        </is>
      </c>
      <c r="F2389" s="33" t="inlineStr">
        <is>
          <t>per-stock/9880.HK/context-2026-08-02.md</t>
        </is>
      </c>
      <c r="G2389" s="33" t="inlineStr">
        <is>
          <t>Medium</t>
        </is>
      </c>
      <c r="H2389" s="33" t="inlineStr">
        <is>
          <t>Initial</t>
        </is>
      </c>
    </row>
    <row r="2390">
      <c r="A2390" s="33" t="inlineStr">
        <is>
          <t>2026-08-02</t>
        </is>
      </c>
      <c r="B2390" s="33" t="inlineStr">
        <is>
          <t>9880.HK</t>
        </is>
      </c>
      <c r="C2390" s="33" t="inlineStr">
        <is>
          <t>M2</t>
        </is>
      </c>
      <c r="D2390" s="33" t="n">
        <v>1</v>
      </c>
      <c r="E2390" s="33" t="inlineStr">
        <is>
          <t>Initial L11-batch rating per agent1 proposal (rationale+source in 11-robotics/research/rating-proposals-2026-08-02/); briefing per-stock/9880.HK/context-2026-08-02.md</t>
        </is>
      </c>
      <c r="F2390" s="33" t="inlineStr">
        <is>
          <t>per-stock/9880.HK/context-2026-08-02.md</t>
        </is>
      </c>
      <c r="G2390" s="33" t="inlineStr">
        <is>
          <t>Medium</t>
        </is>
      </c>
      <c r="H2390" s="33" t="inlineStr">
        <is>
          <t>Initial</t>
        </is>
      </c>
    </row>
    <row r="2391">
      <c r="A2391" s="33" t="inlineStr">
        <is>
          <t>2026-08-02</t>
        </is>
      </c>
      <c r="B2391" s="33" t="inlineStr">
        <is>
          <t>9880.HK</t>
        </is>
      </c>
      <c r="C2391" s="33" t="inlineStr">
        <is>
          <t>M3</t>
        </is>
      </c>
      <c r="D2391" s="33" t="n">
        <v>3</v>
      </c>
      <c r="E2391" s="33" t="inlineStr">
        <is>
          <t>Initial L11-batch rating per agent1 proposal (rationale+source in 11-robotics/research/rating-proposals-2026-08-02/); briefing per-stock/9880.HK/context-2026-08-02.md</t>
        </is>
      </c>
      <c r="F2391" s="33" t="inlineStr">
        <is>
          <t>per-stock/9880.HK/context-2026-08-02.md</t>
        </is>
      </c>
      <c r="G2391" s="33" t="inlineStr">
        <is>
          <t>Medium</t>
        </is>
      </c>
      <c r="H2391" s="33" t="inlineStr">
        <is>
          <t>Initial</t>
        </is>
      </c>
    </row>
    <row r="2392">
      <c r="A2392" s="33" t="inlineStr">
        <is>
          <t>2026-08-02</t>
        </is>
      </c>
      <c r="B2392" s="33" t="inlineStr">
        <is>
          <t>9880.HK</t>
        </is>
      </c>
      <c r="C2392" s="33" t="inlineStr">
        <is>
          <t>R1</t>
        </is>
      </c>
      <c r="D2392" s="33" t="n">
        <v>3</v>
      </c>
      <c r="E2392" s="33" t="inlineStr">
        <is>
          <t>Initial L11-batch rating per agent1 proposal (rationale+source in 11-robotics/research/rating-proposals-2026-08-02/); briefing per-stock/9880.HK/context-2026-08-02.md</t>
        </is>
      </c>
      <c r="F2392" s="33" t="inlineStr">
        <is>
          <t>per-stock/9880.HK/context-2026-08-02.md</t>
        </is>
      </c>
      <c r="G2392" s="33" t="inlineStr">
        <is>
          <t>Medium</t>
        </is>
      </c>
      <c r="H2392" s="33" t="inlineStr">
        <is>
          <t>Initial</t>
        </is>
      </c>
    </row>
    <row r="2393">
      <c r="A2393" s="33" t="inlineStr">
        <is>
          <t>2026-08-02</t>
        </is>
      </c>
      <c r="B2393" s="33" t="inlineStr">
        <is>
          <t>9880.HK</t>
        </is>
      </c>
      <c r="C2393" s="33" t="inlineStr">
        <is>
          <t>R2</t>
        </is>
      </c>
      <c r="D2393" s="33" t="n">
        <v>2</v>
      </c>
      <c r="E2393" s="33" t="inlineStr">
        <is>
          <t>FCC Covered List ban forecloses US market permanently + all-China asset/revenue base; band 2 not 1 (US immaterial today).</t>
        </is>
      </c>
      <c r="F2393" s="33" t="inlineStr">
        <is>
          <t>per-stock/9880.HK/context-2026-08-02.md</t>
        </is>
      </c>
      <c r="G2393" s="33" t="inlineStr">
        <is>
          <t>Medium</t>
        </is>
      </c>
      <c r="H2393" s="33" t="inlineStr">
        <is>
          <t>Initial</t>
        </is>
      </c>
    </row>
    <row r="2394">
      <c r="A2394" s="33" t="inlineStr">
        <is>
          <t>2026-08-02</t>
        </is>
      </c>
      <c r="B2394" s="33" t="inlineStr">
        <is>
          <t>9880.HK</t>
        </is>
      </c>
      <c r="C2394" s="33" t="inlineStr">
        <is>
          <t>R3</t>
        </is>
      </c>
      <c r="D2394" s="33" t="n">
        <v>3</v>
      </c>
      <c r="E2394" s="33" t="inlineStr">
        <is>
          <t>Initial L11-batch rating per agent1 proposal (rationale+source in 11-robotics/research/rating-proposals-2026-08-02/); briefing per-stock/9880.HK/context-2026-08-02.md</t>
        </is>
      </c>
      <c r="F2394" s="33" t="inlineStr">
        <is>
          <t>per-stock/9880.HK/context-2026-08-02.md</t>
        </is>
      </c>
      <c r="G2394" s="33" t="inlineStr">
        <is>
          <t>Medium</t>
        </is>
      </c>
      <c r="H2394" s="33" t="inlineStr">
        <is>
          <t>Initial</t>
        </is>
      </c>
    </row>
    <row r="2395">
      <c r="A2395" s="33" t="inlineStr">
        <is>
          <t>2026-08-02</t>
        </is>
      </c>
      <c r="B2395" s="33" t="inlineStr">
        <is>
          <t>9880.HK</t>
        </is>
      </c>
      <c r="C2395" s="33" t="inlineStr">
        <is>
          <t>R4</t>
        </is>
      </c>
      <c r="D2395" s="33" t="n">
        <v>2</v>
      </c>
      <c r="E2395" s="33" t="inlineStr">
        <is>
          <t>FCC Covered List addition 2026-07-28 (foreign-made humanoids/AMRs) - active regulatory action against the product category; US was not yet material revenue.</t>
        </is>
      </c>
      <c r="F2395" s="33" t="inlineStr">
        <is>
          <t>per-stock/9880.HK/context-2026-08-02.md</t>
        </is>
      </c>
      <c r="G2395" s="33" t="inlineStr">
        <is>
          <t>Medium</t>
        </is>
      </c>
      <c r="H2395" s="33" t="inlineStr">
        <is>
          <t>Initial</t>
        </is>
      </c>
    </row>
    <row r="2396">
      <c r="A2396" s="33" t="inlineStr">
        <is>
          <t>2026-08-02</t>
        </is>
      </c>
      <c r="B2396" s="33" t="inlineStr">
        <is>
          <t>9880.HK</t>
        </is>
      </c>
      <c r="C2396" s="33" t="inlineStr">
        <is>
          <t>R5</t>
        </is>
      </c>
      <c r="D2396" s="33" t="n">
        <v>5</v>
      </c>
      <c r="E2396" s="33" t="inlineStr">
        <is>
          <t>Initial L11-batch rating per agent1 proposal (rationale+source in 11-robotics/research/rating-proposals-2026-08-02/); briefing per-stock/9880.HK/context-2026-08-02.md</t>
        </is>
      </c>
      <c r="F2396" s="33" t="inlineStr">
        <is>
          <t>per-stock/9880.HK/context-2026-08-02.md</t>
        </is>
      </c>
      <c r="G2396" s="33" t="inlineStr">
        <is>
          <t>Medium</t>
        </is>
      </c>
      <c r="H2396" s="33" t="inlineStr">
        <is>
          <t>Initial</t>
        </is>
      </c>
    </row>
    <row r="2397">
      <c r="A2397" s="33" t="inlineStr">
        <is>
          <t>2026-08-02</t>
        </is>
      </c>
      <c r="B2397" s="33" t="inlineStr">
        <is>
          <t>SERV</t>
        </is>
      </c>
      <c r="C2397" s="33" t="inlineStr">
        <is>
          <t>D1</t>
        </is>
      </c>
      <c r="D2397" s="33" t="n">
        <v>5</v>
      </c>
      <c r="E2397" s="33" t="inlineStr">
        <is>
          <t>Initial L11-batch rating per agent1 proposal (rationale+source in 11-robotics/research/rating-proposals-2026-08-02/); briefing per-stock/SERV/context-2026-08-02.md</t>
        </is>
      </c>
      <c r="F2397" s="33" t="inlineStr">
        <is>
          <t>per-stock/SERV/context-2026-08-02.md</t>
        </is>
      </c>
      <c r="G2397" s="33" t="inlineStr">
        <is>
          <t>Medium</t>
        </is>
      </c>
      <c r="H2397" s="33" t="inlineStr">
        <is>
          <t>Initial</t>
        </is>
      </c>
    </row>
    <row r="2398">
      <c r="A2398" s="33" t="inlineStr">
        <is>
          <t>2026-08-02</t>
        </is>
      </c>
      <c r="B2398" s="33" t="inlineStr">
        <is>
          <t>SERV</t>
        </is>
      </c>
      <c r="C2398" s="33" t="inlineStr">
        <is>
          <t>D2</t>
        </is>
      </c>
      <c r="D2398" s="33" t="n">
        <v>2</v>
      </c>
      <c r="E2398" s="33" t="inlineStr">
        <is>
          <t>Initial L11-batch rating per agent1 proposal (rationale+source in 11-robotics/research/rating-proposals-2026-08-02/); briefing per-stock/SERV/context-2026-08-02.md</t>
        </is>
      </c>
      <c r="F2398" s="33" t="inlineStr">
        <is>
          <t>per-stock/SERV/context-2026-08-02.md</t>
        </is>
      </c>
      <c r="G2398" s="33" t="inlineStr">
        <is>
          <t>Medium</t>
        </is>
      </c>
      <c r="H2398" s="33" t="inlineStr">
        <is>
          <t>Initial</t>
        </is>
      </c>
    </row>
    <row r="2399">
      <c r="A2399" s="33" t="inlineStr">
        <is>
          <t>2026-08-02</t>
        </is>
      </c>
      <c r="B2399" s="33" t="inlineStr">
        <is>
          <t>SERV</t>
        </is>
      </c>
      <c r="C2399" s="33" t="inlineStr">
        <is>
          <t>D3</t>
        </is>
      </c>
      <c r="D2399" s="33" t="n">
        <v>2</v>
      </c>
      <c r="E2399" s="33" t="inlineStr">
        <is>
          <t>Initial L11-batch rating per agent1 proposal (rationale+source in 11-robotics/research/rating-proposals-2026-08-02/); briefing per-stock/SERV/context-2026-08-02.md</t>
        </is>
      </c>
      <c r="F2399" s="33" t="inlineStr">
        <is>
          <t>per-stock/SERV/context-2026-08-02.md</t>
        </is>
      </c>
      <c r="G2399" s="33" t="inlineStr">
        <is>
          <t>Medium</t>
        </is>
      </c>
      <c r="H2399" s="33" t="inlineStr">
        <is>
          <t>Initial</t>
        </is>
      </c>
    </row>
    <row r="2400">
      <c r="A2400" s="33" t="inlineStr">
        <is>
          <t>2026-08-02</t>
        </is>
      </c>
      <c r="B2400" s="33" t="inlineStr">
        <is>
          <t>SERV</t>
        </is>
      </c>
      <c r="C2400" s="33" t="inlineStr">
        <is>
          <t>D4</t>
        </is>
      </c>
      <c r="D2400" s="33" t="n">
        <v>4</v>
      </c>
      <c r="E2400" s="33" t="inlineStr">
        <is>
          <t>Initial L11-batch rating per agent1 proposal (rationale+source in 11-robotics/research/rating-proposals-2026-08-02/); briefing per-stock/SERV/context-2026-08-02.md</t>
        </is>
      </c>
      <c r="F2400" s="33" t="inlineStr">
        <is>
          <t>per-stock/SERV/context-2026-08-02.md</t>
        </is>
      </c>
      <c r="G2400" s="33" t="inlineStr">
        <is>
          <t>Medium</t>
        </is>
      </c>
      <c r="H2400" s="33" t="inlineStr">
        <is>
          <t>Initial</t>
        </is>
      </c>
    </row>
    <row r="2401">
      <c r="A2401" s="33" t="inlineStr">
        <is>
          <t>2026-08-02</t>
        </is>
      </c>
      <c r="B2401" s="33" t="inlineStr">
        <is>
          <t>SERV</t>
        </is>
      </c>
      <c r="C2401" s="33" t="inlineStr">
        <is>
          <t>D5</t>
        </is>
      </c>
      <c r="D2401" s="33" t="n">
        <v>4</v>
      </c>
      <c r="E2401" s="33" t="inlineStr">
        <is>
          <t>Initial L11-batch rating per agent1 proposal (rationale+source in 11-robotics/research/rating-proposals-2026-08-02/); briefing per-stock/SERV/context-2026-08-02.md</t>
        </is>
      </c>
      <c r="F2401" s="33" t="inlineStr">
        <is>
          <t>per-stock/SERV/context-2026-08-02.md</t>
        </is>
      </c>
      <c r="G2401" s="33" t="inlineStr">
        <is>
          <t>Medium</t>
        </is>
      </c>
      <c r="H2401" s="33" t="inlineStr">
        <is>
          <t>Initial</t>
        </is>
      </c>
    </row>
    <row r="2402">
      <c r="A2402" s="33" t="inlineStr">
        <is>
          <t>2026-08-02</t>
        </is>
      </c>
      <c r="B2402" s="33" t="inlineStr">
        <is>
          <t>SERV</t>
        </is>
      </c>
      <c r="C2402" s="33" t="inlineStr">
        <is>
          <t>M1</t>
        </is>
      </c>
      <c r="D2402" s="33" t="n">
        <v>2</v>
      </c>
      <c r="E2402" s="33" t="inlineStr">
        <is>
          <t>Initial L11-batch rating per agent1 proposal (rationale+source in 11-robotics/research/rating-proposals-2026-08-02/); briefing per-stock/SERV/context-2026-08-02.md</t>
        </is>
      </c>
      <c r="F2402" s="33" t="inlineStr">
        <is>
          <t>per-stock/SERV/context-2026-08-02.md</t>
        </is>
      </c>
      <c r="G2402" s="33" t="inlineStr">
        <is>
          <t>Medium</t>
        </is>
      </c>
      <c r="H2402" s="33" t="inlineStr">
        <is>
          <t>Initial</t>
        </is>
      </c>
    </row>
    <row r="2403">
      <c r="A2403" s="33" t="inlineStr">
        <is>
          <t>2026-08-02</t>
        </is>
      </c>
      <c r="B2403" s="33" t="inlineStr">
        <is>
          <t>SERV</t>
        </is>
      </c>
      <c r="C2403" s="33" t="inlineStr">
        <is>
          <t>M2</t>
        </is>
      </c>
      <c r="D2403" s="33" t="n">
        <v>1</v>
      </c>
      <c r="E2403" s="33" t="inlineStr">
        <is>
          <t>Initial L11-batch rating per agent1 proposal (rationale+source in 11-robotics/research/rating-proposals-2026-08-02/); briefing per-stock/SERV/context-2026-08-02.md</t>
        </is>
      </c>
      <c r="F2403" s="33" t="inlineStr">
        <is>
          <t>per-stock/SERV/context-2026-08-02.md</t>
        </is>
      </c>
      <c r="G2403" s="33" t="inlineStr">
        <is>
          <t>Medium</t>
        </is>
      </c>
      <c r="H2403" s="33" t="inlineStr">
        <is>
          <t>Initial</t>
        </is>
      </c>
    </row>
    <row r="2404">
      <c r="A2404" s="33" t="inlineStr">
        <is>
          <t>2026-08-02</t>
        </is>
      </c>
      <c r="B2404" s="33" t="inlineStr">
        <is>
          <t>SERV</t>
        </is>
      </c>
      <c r="C2404" s="33" t="inlineStr">
        <is>
          <t>M3</t>
        </is>
      </c>
      <c r="D2404" s="33" t="n">
        <v>3</v>
      </c>
      <c r="E2404" s="33" t="inlineStr">
        <is>
          <t>Initial L11-batch rating per agent1 proposal (rationale+source in 11-robotics/research/rating-proposals-2026-08-02/); briefing per-stock/SERV/context-2026-08-02.md</t>
        </is>
      </c>
      <c r="F2404" s="33" t="inlineStr">
        <is>
          <t>per-stock/SERV/context-2026-08-02.md</t>
        </is>
      </c>
      <c r="G2404" s="33" t="inlineStr">
        <is>
          <t>Medium</t>
        </is>
      </c>
      <c r="H2404" s="33" t="inlineStr">
        <is>
          <t>Initial</t>
        </is>
      </c>
    </row>
    <row r="2405">
      <c r="A2405" s="33" t="inlineStr">
        <is>
          <t>2026-08-02</t>
        </is>
      </c>
      <c r="B2405" s="33" t="inlineStr">
        <is>
          <t>SERV</t>
        </is>
      </c>
      <c r="C2405" s="33" t="inlineStr">
        <is>
          <t>R1</t>
        </is>
      </c>
      <c r="D2405" s="33" t="n">
        <v>4</v>
      </c>
      <c r="E2405" s="33" t="inlineStr">
        <is>
          <t>Initial L11-batch rating per agent1 proposal (rationale+source in 11-robotics/research/rating-proposals-2026-08-02/); briefing per-stock/SERV/context-2026-08-02.md</t>
        </is>
      </c>
      <c r="F2405" s="33" t="inlineStr">
        <is>
          <t>per-stock/SERV/context-2026-08-02.md</t>
        </is>
      </c>
      <c r="G2405" s="33" t="inlineStr">
        <is>
          <t>Medium</t>
        </is>
      </c>
      <c r="H2405" s="33" t="inlineStr">
        <is>
          <t>Initial</t>
        </is>
      </c>
    </row>
    <row r="2406">
      <c r="A2406" s="33" t="inlineStr">
        <is>
          <t>2026-08-02</t>
        </is>
      </c>
      <c r="B2406" s="33" t="inlineStr">
        <is>
          <t>SERV</t>
        </is>
      </c>
      <c r="C2406" s="33" t="inlineStr">
        <is>
          <t>R2</t>
        </is>
      </c>
      <c r="D2406" s="33" t="n">
        <v>5</v>
      </c>
      <c r="E2406" s="33" t="inlineStr">
        <is>
          <t>Initial L11-batch rating per agent1 proposal (rationale+source in 11-robotics/research/rating-proposals-2026-08-02/); briefing per-stock/SERV/context-2026-08-02.md</t>
        </is>
      </c>
      <c r="F2406" s="33" t="inlineStr">
        <is>
          <t>per-stock/SERV/context-2026-08-02.md</t>
        </is>
      </c>
      <c r="G2406" s="33" t="inlineStr">
        <is>
          <t>Medium</t>
        </is>
      </c>
      <c r="H2406" s="33" t="inlineStr">
        <is>
          <t>Initial</t>
        </is>
      </c>
    </row>
    <row r="2407">
      <c r="A2407" s="33" t="inlineStr">
        <is>
          <t>2026-08-02</t>
        </is>
      </c>
      <c r="B2407" s="33" t="inlineStr">
        <is>
          <t>SERV</t>
        </is>
      </c>
      <c r="C2407" s="33" t="inlineStr">
        <is>
          <t>R3</t>
        </is>
      </c>
      <c r="D2407" s="33" t="n">
        <v>3</v>
      </c>
      <c r="E2407" s="33" t="inlineStr">
        <is>
          <t>Initial L11-batch rating per agent1 proposal (rationale+source in 11-robotics/research/rating-proposals-2026-08-02/); briefing per-stock/SERV/context-2026-08-02.md</t>
        </is>
      </c>
      <c r="F2407" s="33" t="inlineStr">
        <is>
          <t>per-stock/SERV/context-2026-08-02.md</t>
        </is>
      </c>
      <c r="G2407" s="33" t="inlineStr">
        <is>
          <t>Medium</t>
        </is>
      </c>
      <c r="H2407" s="33" t="inlineStr">
        <is>
          <t>Initial</t>
        </is>
      </c>
    </row>
    <row r="2408">
      <c r="A2408" s="33" t="inlineStr">
        <is>
          <t>2026-08-02</t>
        </is>
      </c>
      <c r="B2408" s="33" t="inlineStr">
        <is>
          <t>SERV</t>
        </is>
      </c>
      <c r="C2408" s="33" t="inlineStr">
        <is>
          <t>R4</t>
        </is>
      </c>
      <c r="D2408" s="33" t="n">
        <v>3</v>
      </c>
      <c r="E2408" s="33" t="inlineStr">
        <is>
          <t>Initial L11-batch rating per agent1 proposal (rationale+source in 11-robotics/research/rating-proposals-2026-08-02/); briefing per-stock/SERV/context-2026-08-02.md</t>
        </is>
      </c>
      <c r="F2408" s="33" t="inlineStr">
        <is>
          <t>per-stock/SERV/context-2026-08-02.md</t>
        </is>
      </c>
      <c r="G2408" s="33" t="inlineStr">
        <is>
          <t>Medium</t>
        </is>
      </c>
      <c r="H2408" s="33" t="inlineStr">
        <is>
          <t>Initial</t>
        </is>
      </c>
    </row>
    <row r="2409">
      <c r="A2409" s="33" t="inlineStr">
        <is>
          <t>2026-08-02</t>
        </is>
      </c>
      <c r="B2409" s="33" t="inlineStr">
        <is>
          <t>SERV</t>
        </is>
      </c>
      <c r="C2409" s="33" t="inlineStr">
        <is>
          <t>R5</t>
        </is>
      </c>
      <c r="D2409" s="33" t="n">
        <v>5</v>
      </c>
      <c r="E2409" s="33" t="inlineStr">
        <is>
          <t>Initial L11-batch rating per agent1 proposal (rationale+source in 11-robotics/research/rating-proposals-2026-08-02/); briefing per-stock/SERV/context-2026-08-02.md</t>
        </is>
      </c>
      <c r="F2409" s="33" t="inlineStr">
        <is>
          <t>per-stock/SERV/context-2026-08-02.md</t>
        </is>
      </c>
      <c r="G2409" s="33" t="inlineStr">
        <is>
          <t>Medium</t>
        </is>
      </c>
      <c r="H2409" s="33" t="inlineStr">
        <is>
          <t>Initial</t>
        </is>
      </c>
    </row>
    <row r="2410">
      <c r="A2410" s="33" t="inlineStr">
        <is>
          <t>2026-08-02</t>
        </is>
      </c>
      <c r="B2410" s="33" t="inlineStr">
        <is>
          <t>TNC</t>
        </is>
      </c>
      <c r="C2410" s="33" t="inlineStr">
        <is>
          <t>D1</t>
        </is>
      </c>
      <c r="D2410" s="33" t="n">
        <v>2</v>
      </c>
      <c r="E2410" s="33" t="inlineStr">
        <is>
          <t>Initial L11-batch rating per agent1 proposal (rationale+source in 11-robotics/research/rating-proposals-2026-08-02/); briefing per-stock/TNC/context-2026-08-02.md</t>
        </is>
      </c>
      <c r="F2410" s="33" t="inlineStr">
        <is>
          <t>per-stock/TNC/context-2026-08-02.md</t>
        </is>
      </c>
      <c r="G2410" s="33" t="inlineStr">
        <is>
          <t>Medium</t>
        </is>
      </c>
      <c r="H2410" s="33" t="inlineStr">
        <is>
          <t>Initial</t>
        </is>
      </c>
    </row>
    <row r="2411">
      <c r="A2411" s="33" t="inlineStr">
        <is>
          <t>2026-08-02</t>
        </is>
      </c>
      <c r="B2411" s="33" t="inlineStr">
        <is>
          <t>TNC</t>
        </is>
      </c>
      <c r="C2411" s="33" t="inlineStr">
        <is>
          <t>D2</t>
        </is>
      </c>
      <c r="D2411" s="33" t="n">
        <v>3</v>
      </c>
      <c r="E2411" s="33" t="inlineStr">
        <is>
          <t>Initial L11-batch rating per agent1 proposal (rationale+source in 11-robotics/research/rating-proposals-2026-08-02/); briefing per-stock/TNC/context-2026-08-02.md</t>
        </is>
      </c>
      <c r="F2411" s="33" t="inlineStr">
        <is>
          <t>per-stock/TNC/context-2026-08-02.md</t>
        </is>
      </c>
      <c r="G2411" s="33" t="inlineStr">
        <is>
          <t>Medium</t>
        </is>
      </c>
      <c r="H2411" s="33" t="inlineStr">
        <is>
          <t>Initial</t>
        </is>
      </c>
    </row>
    <row r="2412">
      <c r="A2412" s="33" t="inlineStr">
        <is>
          <t>2026-08-02</t>
        </is>
      </c>
      <c r="B2412" s="33" t="inlineStr">
        <is>
          <t>TNC</t>
        </is>
      </c>
      <c r="C2412" s="33" t="inlineStr">
        <is>
          <t>D3</t>
        </is>
      </c>
      <c r="D2412" s="33" t="n">
        <v>3</v>
      </c>
      <c r="E2412" s="33" t="inlineStr">
        <is>
          <t>Initial L11-batch rating per agent1 proposal (rationale+source in 11-robotics/research/rating-proposals-2026-08-02/); briefing per-stock/TNC/context-2026-08-02.md</t>
        </is>
      </c>
      <c r="F2412" s="33" t="inlineStr">
        <is>
          <t>per-stock/TNC/context-2026-08-02.md</t>
        </is>
      </c>
      <c r="G2412" s="33" t="inlineStr">
        <is>
          <t>Medium</t>
        </is>
      </c>
      <c r="H2412" s="33" t="inlineStr">
        <is>
          <t>Initial</t>
        </is>
      </c>
    </row>
    <row r="2413">
      <c r="A2413" s="33" t="inlineStr">
        <is>
          <t>2026-08-02</t>
        </is>
      </c>
      <c r="B2413" s="33" t="inlineStr">
        <is>
          <t>TNC</t>
        </is>
      </c>
      <c r="C2413" s="33" t="inlineStr">
        <is>
          <t>D4</t>
        </is>
      </c>
      <c r="D2413" s="33" t="n">
        <v>3</v>
      </c>
      <c r="E2413" s="33" t="inlineStr">
        <is>
          <t>Initial L11-batch rating per agent1 proposal (rationale+source in 11-robotics/research/rating-proposals-2026-08-02/); briefing per-stock/TNC/context-2026-08-02.md</t>
        </is>
      </c>
      <c r="F2413" s="33" t="inlineStr">
        <is>
          <t>per-stock/TNC/context-2026-08-02.md</t>
        </is>
      </c>
      <c r="G2413" s="33" t="inlineStr">
        <is>
          <t>Medium</t>
        </is>
      </c>
      <c r="H2413" s="33" t="inlineStr">
        <is>
          <t>Initial</t>
        </is>
      </c>
    </row>
    <row r="2414">
      <c r="A2414" s="33" t="inlineStr">
        <is>
          <t>2026-08-02</t>
        </is>
      </c>
      <c r="B2414" s="33" t="inlineStr">
        <is>
          <t>TNC</t>
        </is>
      </c>
      <c r="C2414" s="33" t="inlineStr">
        <is>
          <t>D5</t>
        </is>
      </c>
      <c r="D2414" s="33" t="n">
        <v>3</v>
      </c>
      <c r="E2414" s="33" t="inlineStr">
        <is>
          <t>Initial L11-batch rating per agent1 proposal (rationale+source in 11-robotics/research/rating-proposals-2026-08-02/); briefing per-stock/TNC/context-2026-08-02.md</t>
        </is>
      </c>
      <c r="F2414" s="33" t="inlineStr">
        <is>
          <t>per-stock/TNC/context-2026-08-02.md</t>
        </is>
      </c>
      <c r="G2414" s="33" t="inlineStr">
        <is>
          <t>Medium</t>
        </is>
      </c>
      <c r="H2414" s="33" t="inlineStr">
        <is>
          <t>Initial</t>
        </is>
      </c>
    </row>
    <row r="2415">
      <c r="A2415" s="33" t="inlineStr">
        <is>
          <t>2026-08-02</t>
        </is>
      </c>
      <c r="B2415" s="33" t="inlineStr">
        <is>
          <t>TNC</t>
        </is>
      </c>
      <c r="C2415" s="33" t="inlineStr">
        <is>
          <t>M1</t>
        </is>
      </c>
      <c r="D2415" s="33" t="n">
        <v>3</v>
      </c>
      <c r="E2415" s="33" t="inlineStr">
        <is>
          <t>Initial L11-batch rating per agent1 proposal (rationale+source in 11-robotics/research/rating-proposals-2026-08-02/); briefing per-stock/TNC/context-2026-08-02.md</t>
        </is>
      </c>
      <c r="F2415" s="33" t="inlineStr">
        <is>
          <t>per-stock/TNC/context-2026-08-02.md</t>
        </is>
      </c>
      <c r="G2415" s="33" t="inlineStr">
        <is>
          <t>Medium</t>
        </is>
      </c>
      <c r="H2415" s="33" t="inlineStr">
        <is>
          <t>Initial</t>
        </is>
      </c>
    </row>
    <row r="2416">
      <c r="A2416" s="33" t="inlineStr">
        <is>
          <t>2026-08-02</t>
        </is>
      </c>
      <c r="B2416" s="33" t="inlineStr">
        <is>
          <t>TNC</t>
        </is>
      </c>
      <c r="C2416" s="33" t="inlineStr">
        <is>
          <t>M2</t>
        </is>
      </c>
      <c r="D2416" s="33" t="n">
        <v>2</v>
      </c>
      <c r="E2416" s="33" t="inlineStr">
        <is>
          <t>Initial L11-batch rating per agent1 proposal (rationale+source in 11-robotics/research/rating-proposals-2026-08-02/); briefing per-stock/TNC/context-2026-08-02.md</t>
        </is>
      </c>
      <c r="F2416" s="33" t="inlineStr">
        <is>
          <t>per-stock/TNC/context-2026-08-02.md</t>
        </is>
      </c>
      <c r="G2416" s="33" t="inlineStr">
        <is>
          <t>Medium</t>
        </is>
      </c>
      <c r="H2416" s="33" t="inlineStr">
        <is>
          <t>Initial</t>
        </is>
      </c>
    </row>
    <row r="2417">
      <c r="A2417" s="33" t="inlineStr">
        <is>
          <t>2026-08-02</t>
        </is>
      </c>
      <c r="B2417" s="33" t="inlineStr">
        <is>
          <t>TNC</t>
        </is>
      </c>
      <c r="C2417" s="33" t="inlineStr">
        <is>
          <t>M3</t>
        </is>
      </c>
      <c r="D2417" s="33" t="n">
        <v>5</v>
      </c>
      <c r="E2417" s="33" t="inlineStr">
        <is>
          <t>3 open-market P-code buys post-crash (2 directors ~$500k each + CEO $257k) -&gt; rubric step 1 = 5. Tension logged: securities investigations open + CFO retirement notice 7/27/26; rubric has no netting rule - Dom review.</t>
        </is>
      </c>
      <c r="F2417" s="33" t="inlineStr">
        <is>
          <t>per-stock/TNC/context-2026-08-02.md</t>
        </is>
      </c>
      <c r="G2417" s="33" t="inlineStr">
        <is>
          <t>Medium</t>
        </is>
      </c>
      <c r="H2417" s="33" t="inlineStr">
        <is>
          <t>Initial</t>
        </is>
      </c>
    </row>
    <row r="2418">
      <c r="A2418" s="33" t="inlineStr">
        <is>
          <t>2026-08-02</t>
        </is>
      </c>
      <c r="B2418" s="33" t="inlineStr">
        <is>
          <t>TNC</t>
        </is>
      </c>
      <c r="C2418" s="33" t="inlineStr">
        <is>
          <t>R1</t>
        </is>
      </c>
      <c r="D2418" s="33" t="n">
        <v>5</v>
      </c>
      <c r="E2418" s="33" t="inlineStr">
        <is>
          <t>Initial L11-batch rating per agent1 proposal (rationale+source in 11-robotics/research/rating-proposals-2026-08-02/); briefing per-stock/TNC/context-2026-08-02.md</t>
        </is>
      </c>
      <c r="F2418" s="33" t="inlineStr">
        <is>
          <t>per-stock/TNC/context-2026-08-02.md</t>
        </is>
      </c>
      <c r="G2418" s="33" t="inlineStr">
        <is>
          <t>Medium</t>
        </is>
      </c>
      <c r="H2418" s="33" t="inlineStr">
        <is>
          <t>Initial</t>
        </is>
      </c>
    </row>
    <row r="2419">
      <c r="A2419" s="33" t="inlineStr">
        <is>
          <t>2026-08-02</t>
        </is>
      </c>
      <c r="B2419" s="33" t="inlineStr">
        <is>
          <t>TNC</t>
        </is>
      </c>
      <c r="C2419" s="33" t="inlineStr">
        <is>
          <t>R2</t>
        </is>
      </c>
      <c r="D2419" s="33" t="n">
        <v>5</v>
      </c>
      <c r="E2419" s="33" t="inlineStr">
        <is>
          <t>Initial L11-batch rating per agent1 proposal (rationale+source in 11-robotics/research/rating-proposals-2026-08-02/); briefing per-stock/TNC/context-2026-08-02.md</t>
        </is>
      </c>
      <c r="F2419" s="33" t="inlineStr">
        <is>
          <t>per-stock/TNC/context-2026-08-02.md</t>
        </is>
      </c>
      <c r="G2419" s="33" t="inlineStr">
        <is>
          <t>Medium</t>
        </is>
      </c>
      <c r="H2419" s="33" t="inlineStr">
        <is>
          <t>Initial</t>
        </is>
      </c>
    </row>
    <row r="2420">
      <c r="A2420" s="33" t="inlineStr">
        <is>
          <t>2026-08-02</t>
        </is>
      </c>
      <c r="B2420" s="33" t="inlineStr">
        <is>
          <t>TNC</t>
        </is>
      </c>
      <c r="C2420" s="33" t="inlineStr">
        <is>
          <t>R3</t>
        </is>
      </c>
      <c r="D2420" s="33" t="n">
        <v>4</v>
      </c>
      <c r="E2420" s="33" t="inlineStr">
        <is>
          <t>Initial L11-batch rating per agent1 proposal (rationale+source in 11-robotics/research/rating-proposals-2026-08-02/); briefing per-stock/TNC/context-2026-08-02.md</t>
        </is>
      </c>
      <c r="F2420" s="33" t="inlineStr">
        <is>
          <t>per-stock/TNC/context-2026-08-02.md</t>
        </is>
      </c>
      <c r="G2420" s="33" t="inlineStr">
        <is>
          <t>Medium</t>
        </is>
      </c>
      <c r="H2420" s="33" t="inlineStr">
        <is>
          <t>Initial</t>
        </is>
      </c>
    </row>
    <row r="2421">
      <c r="A2421" s="33" t="inlineStr">
        <is>
          <t>2026-08-02</t>
        </is>
      </c>
      <c r="B2421" s="33" t="inlineStr">
        <is>
          <t>TNC</t>
        </is>
      </c>
      <c r="C2421" s="33" t="inlineStr">
        <is>
          <t>R4</t>
        </is>
      </c>
      <c r="D2421" s="33" t="n">
        <v>2</v>
      </c>
      <c r="E2421" s="33" t="inlineStr">
        <is>
          <t>Federal securities investigations re ERP disclosures (BFA notice 7/15/26) + reported federal probe; CFO retirement notice 7/27/26.</t>
        </is>
      </c>
      <c r="F2421" s="33" t="inlineStr">
        <is>
          <t>per-stock/TNC/context-2026-08-02.md</t>
        </is>
      </c>
      <c r="G2421" s="33" t="inlineStr">
        <is>
          <t>Medium</t>
        </is>
      </c>
      <c r="H2421" s="33" t="inlineStr">
        <is>
          <t>Initial</t>
        </is>
      </c>
    </row>
    <row r="2422">
      <c r="A2422" s="33" t="inlineStr">
        <is>
          <t>2026-08-02</t>
        </is>
      </c>
      <c r="B2422" s="33" t="inlineStr">
        <is>
          <t>TNC</t>
        </is>
      </c>
      <c r="C2422" s="33" t="inlineStr">
        <is>
          <t>R5</t>
        </is>
      </c>
      <c r="D2422" s="33" t="n">
        <v>5</v>
      </c>
      <c r="E2422" s="33" t="inlineStr">
        <is>
          <t>Initial L11-batch rating per agent1 proposal (rationale+source in 11-robotics/research/rating-proposals-2026-08-02/); briefing per-stock/TNC/context-2026-08-02.md</t>
        </is>
      </c>
      <c r="F2422" s="33" t="inlineStr">
        <is>
          <t>per-stock/TNC/context-2026-08-02.md</t>
        </is>
      </c>
      <c r="G2422" s="33" t="inlineStr">
        <is>
          <t>Medium</t>
        </is>
      </c>
      <c r="H2422" s="33" t="inlineStr">
        <is>
          <t>Initial</t>
        </is>
      </c>
    </row>
    <row r="2423">
      <c r="A2423" s="33" t="inlineStr">
        <is>
          <t>2026-08-02</t>
        </is>
      </c>
      <c r="B2423" s="33" t="inlineStr">
        <is>
          <t>6954.T</t>
        </is>
      </c>
      <c r="C2423" s="33" t="inlineStr">
        <is>
          <t>D1</t>
        </is>
      </c>
      <c r="D2423" s="33" t="n">
        <v>4</v>
      </c>
      <c r="E2423" s="33" t="inlineStr">
        <is>
          <t>Initial L11-batch rating per agent1 proposal (rationale+source in 11-robotics/research/rating-proposals-2026-08-02/); briefing per-stock/6954.T/context-2026-08-02.md</t>
        </is>
      </c>
      <c r="F2423" s="33" t="inlineStr">
        <is>
          <t>per-stock/6954.T/context-2026-08-02.md</t>
        </is>
      </c>
      <c r="G2423" s="33" t="inlineStr">
        <is>
          <t>Medium</t>
        </is>
      </c>
      <c r="H2423" s="33" t="inlineStr">
        <is>
          <t>Initial</t>
        </is>
      </c>
    </row>
    <row r="2424">
      <c r="A2424" s="33" t="inlineStr">
        <is>
          <t>2026-08-02</t>
        </is>
      </c>
      <c r="B2424" s="33" t="inlineStr">
        <is>
          <t>6954.T</t>
        </is>
      </c>
      <c r="C2424" s="33" t="inlineStr">
        <is>
          <t>D2</t>
        </is>
      </c>
      <c r="D2424" s="33" t="n">
        <v>4</v>
      </c>
      <c r="E2424" s="33" t="inlineStr">
        <is>
          <t>Initial L11-batch rating per agent1 proposal (rationale+source in 11-robotics/research/rating-proposals-2026-08-02/); briefing per-stock/6954.T/context-2026-08-02.md</t>
        </is>
      </c>
      <c r="F2424" s="33" t="inlineStr">
        <is>
          <t>per-stock/6954.T/context-2026-08-02.md</t>
        </is>
      </c>
      <c r="G2424" s="33" t="inlineStr">
        <is>
          <t>Medium</t>
        </is>
      </c>
      <c r="H2424" s="33" t="inlineStr">
        <is>
          <t>Initial</t>
        </is>
      </c>
    </row>
    <row r="2425">
      <c r="A2425" s="33" t="inlineStr">
        <is>
          <t>2026-08-02</t>
        </is>
      </c>
      <c r="B2425" s="33" t="inlineStr">
        <is>
          <t>6954.T</t>
        </is>
      </c>
      <c r="C2425" s="33" t="inlineStr">
        <is>
          <t>D3</t>
        </is>
      </c>
      <c r="D2425" s="33" t="n">
        <v>4</v>
      </c>
      <c r="E2425" s="33" t="inlineStr">
        <is>
          <t>Initial L11-batch rating per agent1 proposal (rationale+source in 11-robotics/research/rating-proposals-2026-08-02/); briefing per-stock/6954.T/context-2026-08-02.md</t>
        </is>
      </c>
      <c r="F2425" s="33" t="inlineStr">
        <is>
          <t>per-stock/6954.T/context-2026-08-02.md</t>
        </is>
      </c>
      <c r="G2425" s="33" t="inlineStr">
        <is>
          <t>Medium</t>
        </is>
      </c>
      <c r="H2425" s="33" t="inlineStr">
        <is>
          <t>Initial</t>
        </is>
      </c>
    </row>
    <row r="2426">
      <c r="A2426" s="33" t="inlineStr">
        <is>
          <t>2026-08-02</t>
        </is>
      </c>
      <c r="B2426" s="33" t="inlineStr">
        <is>
          <t>6954.T</t>
        </is>
      </c>
      <c r="C2426" s="33" t="inlineStr">
        <is>
          <t>D4</t>
        </is>
      </c>
      <c r="D2426" s="33" t="n">
        <v>3</v>
      </c>
      <c r="E2426" s="33" t="inlineStr">
        <is>
          <t>Initial L11-batch rating per agent1 proposal (rationale+source in 11-robotics/research/rating-proposals-2026-08-02/); briefing per-stock/6954.T/context-2026-08-02.md</t>
        </is>
      </c>
      <c r="F2426" s="33" t="inlineStr">
        <is>
          <t>per-stock/6954.T/context-2026-08-02.md</t>
        </is>
      </c>
      <c r="G2426" s="33" t="inlineStr">
        <is>
          <t>Medium</t>
        </is>
      </c>
      <c r="H2426" s="33" t="inlineStr">
        <is>
          <t>Initial</t>
        </is>
      </c>
    </row>
    <row r="2427">
      <c r="A2427" s="33" t="inlineStr">
        <is>
          <t>2026-08-02</t>
        </is>
      </c>
      <c r="B2427" s="33" t="inlineStr">
        <is>
          <t>6954.T</t>
        </is>
      </c>
      <c r="C2427" s="33" t="inlineStr">
        <is>
          <t>D5</t>
        </is>
      </c>
      <c r="D2427" s="33" t="n">
        <v>4</v>
      </c>
      <c r="E2427" s="33" t="inlineStr">
        <is>
          <t>Initial L11-batch rating per agent1 proposal (rationale+source in 11-robotics/research/rating-proposals-2026-08-02/); briefing per-stock/6954.T/context-2026-08-02.md</t>
        </is>
      </c>
      <c r="F2427" s="33" t="inlineStr">
        <is>
          <t>per-stock/6954.T/context-2026-08-02.md</t>
        </is>
      </c>
      <c r="G2427" s="33" t="inlineStr">
        <is>
          <t>Medium</t>
        </is>
      </c>
      <c r="H2427" s="33" t="inlineStr">
        <is>
          <t>Initial</t>
        </is>
      </c>
    </row>
    <row r="2428">
      <c r="A2428" s="33" t="inlineStr">
        <is>
          <t>2026-08-02</t>
        </is>
      </c>
      <c r="B2428" s="33" t="inlineStr">
        <is>
          <t>6954.T</t>
        </is>
      </c>
      <c r="C2428" s="33" t="inlineStr">
        <is>
          <t>M1</t>
        </is>
      </c>
      <c r="D2428" s="33" t="n">
        <v>5</v>
      </c>
      <c r="E2428" s="33" t="inlineStr">
        <is>
          <t>Initial L11-batch rating per agent1 proposal (rationale+source in 11-robotics/research/rating-proposals-2026-08-02/); briefing per-stock/6954.T/context-2026-08-02.md</t>
        </is>
      </c>
      <c r="F2428" s="33" t="inlineStr">
        <is>
          <t>per-stock/6954.T/context-2026-08-02.md</t>
        </is>
      </c>
      <c r="G2428" s="33" t="inlineStr">
        <is>
          <t>Medium</t>
        </is>
      </c>
      <c r="H2428" s="33" t="inlineStr">
        <is>
          <t>Initial</t>
        </is>
      </c>
    </row>
    <row r="2429">
      <c r="A2429" s="33" t="inlineStr">
        <is>
          <t>2026-08-02</t>
        </is>
      </c>
      <c r="B2429" s="33" t="inlineStr">
        <is>
          <t>6954.T</t>
        </is>
      </c>
      <c r="C2429" s="33" t="inlineStr">
        <is>
          <t>M2</t>
        </is>
      </c>
      <c r="D2429" s="33" t="n">
        <v>5</v>
      </c>
      <c r="E2429" s="33" t="inlineStr">
        <is>
          <t>Initial L11-batch rating per agent1 proposal (rationale+source in 11-robotics/research/rating-proposals-2026-08-02/); briefing per-stock/6954.T/context-2026-08-02.md</t>
        </is>
      </c>
      <c r="F2429" s="33" t="inlineStr">
        <is>
          <t>per-stock/6954.T/context-2026-08-02.md</t>
        </is>
      </c>
      <c r="G2429" s="33" t="inlineStr">
        <is>
          <t>Medium</t>
        </is>
      </c>
      <c r="H2429" s="33" t="inlineStr">
        <is>
          <t>Initial</t>
        </is>
      </c>
    </row>
    <row r="2430">
      <c r="A2430" s="33" t="inlineStr">
        <is>
          <t>2026-08-02</t>
        </is>
      </c>
      <c r="B2430" s="33" t="inlineStr">
        <is>
          <t>6954.T</t>
        </is>
      </c>
      <c r="C2430" s="33" t="inlineStr">
        <is>
          <t>M3</t>
        </is>
      </c>
      <c r="D2430" s="33" t="n">
        <v>3</v>
      </c>
      <c r="E2430" s="33" t="inlineStr">
        <is>
          <t>Initial L11-batch rating per agent1 proposal (rationale+source in 11-robotics/research/rating-proposals-2026-08-02/); briefing per-stock/6954.T/context-2026-08-02.md</t>
        </is>
      </c>
      <c r="F2430" s="33" t="inlineStr">
        <is>
          <t>per-stock/6954.T/context-2026-08-02.md</t>
        </is>
      </c>
      <c r="G2430" s="33" t="inlineStr">
        <is>
          <t>Medium</t>
        </is>
      </c>
      <c r="H2430" s="33" t="inlineStr">
        <is>
          <t>Initial</t>
        </is>
      </c>
    </row>
    <row r="2431">
      <c r="A2431" s="33" t="inlineStr">
        <is>
          <t>2026-08-02</t>
        </is>
      </c>
      <c r="B2431" s="33" t="inlineStr">
        <is>
          <t>6954.T</t>
        </is>
      </c>
      <c r="C2431" s="33" t="inlineStr">
        <is>
          <t>R1</t>
        </is>
      </c>
      <c r="D2431" s="33" t="n">
        <v>5</v>
      </c>
      <c r="E2431" s="33" t="inlineStr">
        <is>
          <t>Initial L11-batch rating per agent1 proposal (rationale+source in 11-robotics/research/rating-proposals-2026-08-02/); briefing per-stock/6954.T/context-2026-08-02.md</t>
        </is>
      </c>
      <c r="F2431" s="33" t="inlineStr">
        <is>
          <t>per-stock/6954.T/context-2026-08-02.md</t>
        </is>
      </c>
      <c r="G2431" s="33" t="inlineStr">
        <is>
          <t>Medium</t>
        </is>
      </c>
      <c r="H2431" s="33" t="inlineStr">
        <is>
          <t>Initial</t>
        </is>
      </c>
    </row>
    <row r="2432">
      <c r="A2432" s="33" t="inlineStr">
        <is>
          <t>2026-08-02</t>
        </is>
      </c>
      <c r="B2432" s="33" t="inlineStr">
        <is>
          <t>6954.T</t>
        </is>
      </c>
      <c r="C2432" s="33" t="inlineStr">
        <is>
          <t>R2</t>
        </is>
      </c>
      <c r="D2432" s="33" t="n">
        <v>3</v>
      </c>
      <c r="E2432" s="33" t="inlineStr">
        <is>
          <t>Initial L11-batch rating per agent1 proposal (rationale+source in 11-robotics/research/rating-proposals-2026-08-02/); briefing per-stock/6954.T/context-2026-08-02.md</t>
        </is>
      </c>
      <c r="F2432" s="33" t="inlineStr">
        <is>
          <t>per-stock/6954.T/context-2026-08-02.md</t>
        </is>
      </c>
      <c r="G2432" s="33" t="inlineStr">
        <is>
          <t>Medium</t>
        </is>
      </c>
      <c r="H2432" s="33" t="inlineStr">
        <is>
          <t>Initial</t>
        </is>
      </c>
    </row>
    <row r="2433">
      <c r="A2433" s="33" t="inlineStr">
        <is>
          <t>2026-08-02</t>
        </is>
      </c>
      <c r="B2433" s="33" t="inlineStr">
        <is>
          <t>6954.T</t>
        </is>
      </c>
      <c r="C2433" s="33" t="inlineStr">
        <is>
          <t>R3</t>
        </is>
      </c>
      <c r="D2433" s="33" t="n">
        <v>5</v>
      </c>
      <c r="E2433" s="33" t="inlineStr">
        <is>
          <t>Initial L11-batch rating per agent1 proposal (rationale+source in 11-robotics/research/rating-proposals-2026-08-02/); briefing per-stock/6954.T/context-2026-08-02.md</t>
        </is>
      </c>
      <c r="F2433" s="33" t="inlineStr">
        <is>
          <t>per-stock/6954.T/context-2026-08-02.md</t>
        </is>
      </c>
      <c r="G2433" s="33" t="inlineStr">
        <is>
          <t>Medium</t>
        </is>
      </c>
      <c r="H2433" s="33" t="inlineStr">
        <is>
          <t>Initial</t>
        </is>
      </c>
    </row>
    <row r="2434">
      <c r="A2434" s="33" t="inlineStr">
        <is>
          <t>2026-08-02</t>
        </is>
      </c>
      <c r="B2434" s="33" t="inlineStr">
        <is>
          <t>6954.T</t>
        </is>
      </c>
      <c r="C2434" s="33" t="inlineStr">
        <is>
          <t>R4</t>
        </is>
      </c>
      <c r="D2434" s="33" t="n">
        <v>4</v>
      </c>
      <c r="E2434" s="33" t="inlineStr">
        <is>
          <t>Initial L11-batch rating per agent1 proposal (rationale+source in 11-robotics/research/rating-proposals-2026-08-02/); briefing per-stock/6954.T/context-2026-08-02.md</t>
        </is>
      </c>
      <c r="F2434" s="33" t="inlineStr">
        <is>
          <t>per-stock/6954.T/context-2026-08-02.md</t>
        </is>
      </c>
      <c r="G2434" s="33" t="inlineStr">
        <is>
          <t>Medium</t>
        </is>
      </c>
      <c r="H2434" s="33" t="inlineStr">
        <is>
          <t>Initial</t>
        </is>
      </c>
    </row>
    <row r="2435">
      <c r="A2435" s="33" t="inlineStr">
        <is>
          <t>2026-08-02</t>
        </is>
      </c>
      <c r="B2435" s="33" t="inlineStr">
        <is>
          <t>6954.T</t>
        </is>
      </c>
      <c r="C2435" s="33" t="inlineStr">
        <is>
          <t>R5</t>
        </is>
      </c>
      <c r="D2435" s="33" t="n">
        <v>5</v>
      </c>
      <c r="E2435" s="33" t="inlineStr">
        <is>
          <t>Initial L11-batch rating per agent1 proposal (rationale+source in 11-robotics/research/rating-proposals-2026-08-02/); briefing per-stock/6954.T/context-2026-08-02.md</t>
        </is>
      </c>
      <c r="F2435" s="33" t="inlineStr">
        <is>
          <t>per-stock/6954.T/context-2026-08-02.md</t>
        </is>
      </c>
      <c r="G2435" s="33" t="inlineStr">
        <is>
          <t>Medium</t>
        </is>
      </c>
      <c r="H2435" s="33" t="inlineStr">
        <is>
          <t>Initial</t>
        </is>
      </c>
    </row>
    <row r="2436">
      <c r="A2436" s="33" t="inlineStr">
        <is>
          <t>2026-08-02</t>
        </is>
      </c>
      <c r="B2436" s="33" t="inlineStr">
        <is>
          <t>6506.T</t>
        </is>
      </c>
      <c r="C2436" s="33" t="inlineStr">
        <is>
          <t>D1</t>
        </is>
      </c>
      <c r="D2436" s="33" t="n">
        <v>4</v>
      </c>
      <c r="E2436" s="33" t="inlineStr">
        <is>
          <t>Initial L11-batch rating per agent1 proposal (rationale+source in 11-robotics/research/rating-proposals-2026-08-02/); briefing per-stock/6506.T/context-2026-08-02.md</t>
        </is>
      </c>
      <c r="F2436" s="33" t="inlineStr">
        <is>
          <t>per-stock/6506.T/context-2026-08-02.md</t>
        </is>
      </c>
      <c r="G2436" s="33" t="inlineStr">
        <is>
          <t>Medium</t>
        </is>
      </c>
      <c r="H2436" s="33" t="inlineStr">
        <is>
          <t>Initial</t>
        </is>
      </c>
    </row>
    <row r="2437">
      <c r="A2437" s="33" t="inlineStr">
        <is>
          <t>2026-08-02</t>
        </is>
      </c>
      <c r="B2437" s="33" t="inlineStr">
        <is>
          <t>6506.T</t>
        </is>
      </c>
      <c r="C2437" s="33" t="inlineStr">
        <is>
          <t>D2</t>
        </is>
      </c>
      <c r="D2437" s="33" t="n">
        <v>4</v>
      </c>
      <c r="E2437" s="33" t="inlineStr">
        <is>
          <t>Initial L11-batch rating per agent1 proposal (rationale+source in 11-robotics/research/rating-proposals-2026-08-02/); briefing per-stock/6506.T/context-2026-08-02.md</t>
        </is>
      </c>
      <c r="F2437" s="33" t="inlineStr">
        <is>
          <t>per-stock/6506.T/context-2026-08-02.md</t>
        </is>
      </c>
      <c r="G2437" s="33" t="inlineStr">
        <is>
          <t>Medium</t>
        </is>
      </c>
      <c r="H2437" s="33" t="inlineStr">
        <is>
          <t>Initial</t>
        </is>
      </c>
    </row>
    <row r="2438">
      <c r="A2438" s="33" t="inlineStr">
        <is>
          <t>2026-08-02</t>
        </is>
      </c>
      <c r="B2438" s="33" t="inlineStr">
        <is>
          <t>6506.T</t>
        </is>
      </c>
      <c r="C2438" s="33" t="inlineStr">
        <is>
          <t>D3</t>
        </is>
      </c>
      <c r="D2438" s="33" t="n">
        <v>3</v>
      </c>
      <c r="E2438" s="33" t="inlineStr">
        <is>
          <t>Initial L11-batch rating per agent1 proposal (rationale+source in 11-robotics/research/rating-proposals-2026-08-02/); briefing per-stock/6506.T/context-2026-08-02.md</t>
        </is>
      </c>
      <c r="F2438" s="33" t="inlineStr">
        <is>
          <t>per-stock/6506.T/context-2026-08-02.md</t>
        </is>
      </c>
      <c r="G2438" s="33" t="inlineStr">
        <is>
          <t>Medium</t>
        </is>
      </c>
      <c r="H2438" s="33" t="inlineStr">
        <is>
          <t>Initial</t>
        </is>
      </c>
    </row>
    <row r="2439">
      <c r="A2439" s="33" t="inlineStr">
        <is>
          <t>2026-08-02</t>
        </is>
      </c>
      <c r="B2439" s="33" t="inlineStr">
        <is>
          <t>6506.T</t>
        </is>
      </c>
      <c r="C2439" s="33" t="inlineStr">
        <is>
          <t>D4</t>
        </is>
      </c>
      <c r="D2439" s="33" t="n">
        <v>3</v>
      </c>
      <c r="E2439" s="33" t="inlineStr">
        <is>
          <t>Initial L11-batch rating per agent1 proposal (rationale+source in 11-robotics/research/rating-proposals-2026-08-02/); briefing per-stock/6506.T/context-2026-08-02.md</t>
        </is>
      </c>
      <c r="F2439" s="33" t="inlineStr">
        <is>
          <t>per-stock/6506.T/context-2026-08-02.md</t>
        </is>
      </c>
      <c r="G2439" s="33" t="inlineStr">
        <is>
          <t>Medium</t>
        </is>
      </c>
      <c r="H2439" s="33" t="inlineStr">
        <is>
          <t>Initial</t>
        </is>
      </c>
    </row>
    <row r="2440">
      <c r="A2440" s="33" t="inlineStr">
        <is>
          <t>2026-08-02</t>
        </is>
      </c>
      <c r="B2440" s="33" t="inlineStr">
        <is>
          <t>6506.T</t>
        </is>
      </c>
      <c r="C2440" s="33" t="inlineStr">
        <is>
          <t>D5</t>
        </is>
      </c>
      <c r="D2440" s="33" t="n">
        <v>4</v>
      </c>
      <c r="E2440" s="33" t="inlineStr">
        <is>
          <t>Initial L11-batch rating per agent1 proposal (rationale+source in 11-robotics/research/rating-proposals-2026-08-02/); briefing per-stock/6506.T/context-2026-08-02.md</t>
        </is>
      </c>
      <c r="F2440" s="33" t="inlineStr">
        <is>
          <t>per-stock/6506.T/context-2026-08-02.md</t>
        </is>
      </c>
      <c r="G2440" s="33" t="inlineStr">
        <is>
          <t>Medium</t>
        </is>
      </c>
      <c r="H2440" s="33" t="inlineStr">
        <is>
          <t>Initial</t>
        </is>
      </c>
    </row>
    <row r="2441">
      <c r="A2441" s="33" t="inlineStr">
        <is>
          <t>2026-08-02</t>
        </is>
      </c>
      <c r="B2441" s="33" t="inlineStr">
        <is>
          <t>6506.T</t>
        </is>
      </c>
      <c r="C2441" s="33" t="inlineStr">
        <is>
          <t>M1</t>
        </is>
      </c>
      <c r="D2441" s="33" t="n">
        <v>3</v>
      </c>
      <c r="E2441" s="33" t="inlineStr">
        <is>
          <t>Initial L11-batch rating per agent1 proposal (rationale+source in 11-robotics/research/rating-proposals-2026-08-02/); briefing per-stock/6506.T/context-2026-08-02.md</t>
        </is>
      </c>
      <c r="F2441" s="33" t="inlineStr">
        <is>
          <t>per-stock/6506.T/context-2026-08-02.md</t>
        </is>
      </c>
      <c r="G2441" s="33" t="inlineStr">
        <is>
          <t>Medium</t>
        </is>
      </c>
      <c r="H2441" s="33" t="inlineStr">
        <is>
          <t>Initial</t>
        </is>
      </c>
    </row>
    <row r="2442">
      <c r="A2442" s="33" t="inlineStr">
        <is>
          <t>2026-08-02</t>
        </is>
      </c>
      <c r="B2442" s="33" t="inlineStr">
        <is>
          <t>6506.T</t>
        </is>
      </c>
      <c r="C2442" s="33" t="inlineStr">
        <is>
          <t>M2</t>
        </is>
      </c>
      <c r="D2442" s="33" t="n">
        <v>2</v>
      </c>
      <c r="E2442" s="33" t="inlineStr">
        <is>
          <t>Initial L11-batch rating per agent1 proposal (rationale+source in 11-robotics/research/rating-proposals-2026-08-02/); briefing per-stock/6506.T/context-2026-08-02.md</t>
        </is>
      </c>
      <c r="F2442" s="33" t="inlineStr">
        <is>
          <t>per-stock/6506.T/context-2026-08-02.md</t>
        </is>
      </c>
      <c r="G2442" s="33" t="inlineStr">
        <is>
          <t>Medium</t>
        </is>
      </c>
      <c r="H2442" s="33" t="inlineStr">
        <is>
          <t>Initial</t>
        </is>
      </c>
    </row>
    <row r="2443">
      <c r="A2443" s="33" t="inlineStr">
        <is>
          <t>2026-08-02</t>
        </is>
      </c>
      <c r="B2443" s="33" t="inlineStr">
        <is>
          <t>6506.T</t>
        </is>
      </c>
      <c r="C2443" s="33" t="inlineStr">
        <is>
          <t>M3</t>
        </is>
      </c>
      <c r="D2443" s="33" t="n">
        <v>3</v>
      </c>
      <c r="E2443" s="33" t="inlineStr">
        <is>
          <t>Initial L11-batch rating per agent1 proposal (rationale+source in 11-robotics/research/rating-proposals-2026-08-02/); briefing per-stock/6506.T/context-2026-08-02.md</t>
        </is>
      </c>
      <c r="F2443" s="33" t="inlineStr">
        <is>
          <t>per-stock/6506.T/context-2026-08-02.md</t>
        </is>
      </c>
      <c r="G2443" s="33" t="inlineStr">
        <is>
          <t>Medium</t>
        </is>
      </c>
      <c r="H2443" s="33" t="inlineStr">
        <is>
          <t>Initial</t>
        </is>
      </c>
    </row>
    <row r="2444">
      <c r="A2444" s="33" t="inlineStr">
        <is>
          <t>2026-08-02</t>
        </is>
      </c>
      <c r="B2444" s="33" t="inlineStr">
        <is>
          <t>6506.T</t>
        </is>
      </c>
      <c r="C2444" s="33" t="inlineStr">
        <is>
          <t>R1</t>
        </is>
      </c>
      <c r="D2444" s="33" t="n">
        <v>5</v>
      </c>
      <c r="E2444" s="33" t="inlineStr">
        <is>
          <t>Initial L11-batch rating per agent1 proposal (rationale+source in 11-robotics/research/rating-proposals-2026-08-02/); briefing per-stock/6506.T/context-2026-08-02.md</t>
        </is>
      </c>
      <c r="F2444" s="33" t="inlineStr">
        <is>
          <t>per-stock/6506.T/context-2026-08-02.md</t>
        </is>
      </c>
      <c r="G2444" s="33" t="inlineStr">
        <is>
          <t>Medium</t>
        </is>
      </c>
      <c r="H2444" s="33" t="inlineStr">
        <is>
          <t>Initial</t>
        </is>
      </c>
    </row>
    <row r="2445">
      <c r="A2445" s="33" t="inlineStr">
        <is>
          <t>2026-08-02</t>
        </is>
      </c>
      <c r="B2445" s="33" t="inlineStr">
        <is>
          <t>6506.T</t>
        </is>
      </c>
      <c r="C2445" s="33" t="inlineStr">
        <is>
          <t>R2</t>
        </is>
      </c>
      <c r="D2445" s="33" t="n">
        <v>3</v>
      </c>
      <c r="E2445" s="33" t="inlineStr">
        <is>
          <t>Initial L11-batch rating per agent1 proposal (rationale+source in 11-robotics/research/rating-proposals-2026-08-02/); briefing per-stock/6506.T/context-2026-08-02.md</t>
        </is>
      </c>
      <c r="F2445" s="33" t="inlineStr">
        <is>
          <t>per-stock/6506.T/context-2026-08-02.md</t>
        </is>
      </c>
      <c r="G2445" s="33" t="inlineStr">
        <is>
          <t>Medium</t>
        </is>
      </c>
      <c r="H2445" s="33" t="inlineStr">
        <is>
          <t>Initial</t>
        </is>
      </c>
    </row>
    <row r="2446">
      <c r="A2446" s="33" t="inlineStr">
        <is>
          <t>2026-08-02</t>
        </is>
      </c>
      <c r="B2446" s="33" t="inlineStr">
        <is>
          <t>6506.T</t>
        </is>
      </c>
      <c r="C2446" s="33" t="inlineStr">
        <is>
          <t>R3</t>
        </is>
      </c>
      <c r="D2446" s="33" t="n">
        <v>4</v>
      </c>
      <c r="E2446" s="33" t="inlineStr">
        <is>
          <t>Initial L11-batch rating per agent1 proposal (rationale+source in 11-robotics/research/rating-proposals-2026-08-02/); briefing per-stock/6506.T/context-2026-08-02.md</t>
        </is>
      </c>
      <c r="F2446" s="33" t="inlineStr">
        <is>
          <t>per-stock/6506.T/context-2026-08-02.md</t>
        </is>
      </c>
      <c r="G2446" s="33" t="inlineStr">
        <is>
          <t>Medium</t>
        </is>
      </c>
      <c r="H2446" s="33" t="inlineStr">
        <is>
          <t>Initial</t>
        </is>
      </c>
    </row>
    <row r="2447">
      <c r="A2447" s="33" t="inlineStr">
        <is>
          <t>2026-08-02</t>
        </is>
      </c>
      <c r="B2447" s="33" t="inlineStr">
        <is>
          <t>6506.T</t>
        </is>
      </c>
      <c r="C2447" s="33" t="inlineStr">
        <is>
          <t>R4</t>
        </is>
      </c>
      <c r="D2447" s="33" t="n">
        <v>4</v>
      </c>
      <c r="E2447" s="33" t="inlineStr">
        <is>
          <t>Initial L11-batch rating per agent1 proposal (rationale+source in 11-robotics/research/rating-proposals-2026-08-02/); briefing per-stock/6506.T/context-2026-08-02.md</t>
        </is>
      </c>
      <c r="F2447" s="33" t="inlineStr">
        <is>
          <t>per-stock/6506.T/context-2026-08-02.md</t>
        </is>
      </c>
      <c r="G2447" s="33" t="inlineStr">
        <is>
          <t>Medium</t>
        </is>
      </c>
      <c r="H2447" s="33" t="inlineStr">
        <is>
          <t>Initial</t>
        </is>
      </c>
    </row>
    <row r="2448">
      <c r="A2448" s="33" t="inlineStr">
        <is>
          <t>2026-08-02</t>
        </is>
      </c>
      <c r="B2448" s="33" t="inlineStr">
        <is>
          <t>6506.T</t>
        </is>
      </c>
      <c r="C2448" s="33" t="inlineStr">
        <is>
          <t>R5</t>
        </is>
      </c>
      <c r="D2448" s="33" t="n">
        <v>5</v>
      </c>
      <c r="E2448" s="33" t="inlineStr">
        <is>
          <t>Initial L11-batch rating per agent1 proposal (rationale+source in 11-robotics/research/rating-proposals-2026-08-02/); briefing per-stock/6506.T/context-2026-08-02.md</t>
        </is>
      </c>
      <c r="F2448" s="33" t="inlineStr">
        <is>
          <t>per-stock/6506.T/context-2026-08-02.md</t>
        </is>
      </c>
      <c r="G2448" s="33" t="inlineStr">
        <is>
          <t>Medium</t>
        </is>
      </c>
      <c r="H2448" s="33" t="inlineStr">
        <is>
          <t>Initial</t>
        </is>
      </c>
    </row>
    <row r="2449">
      <c r="A2449" s="33" t="inlineStr">
        <is>
          <t>2026-08-02</t>
        </is>
      </c>
      <c r="B2449" s="33" t="inlineStr">
        <is>
          <t>SYM</t>
        </is>
      </c>
      <c r="C2449" s="33" t="inlineStr">
        <is>
          <t>D1</t>
        </is>
      </c>
      <c r="D2449" s="33" t="n">
        <v>5</v>
      </c>
      <c r="E2449" s="33" t="inlineStr">
        <is>
          <t>Initial L11-batch rating per agent2 proposal (rationale+source in 11-robotics/research/rating-proposals-2026-08-02/); briefing per-stock/SYM/context-2026-08-02.md</t>
        </is>
      </c>
      <c r="F2449" s="33" t="inlineStr">
        <is>
          <t>per-stock/SYM/context-2026-08-02.md</t>
        </is>
      </c>
      <c r="G2449" s="33" t="inlineStr">
        <is>
          <t>Medium</t>
        </is>
      </c>
      <c r="H2449" s="33" t="inlineStr">
        <is>
          <t>Initial</t>
        </is>
      </c>
    </row>
    <row r="2450">
      <c r="A2450" s="33" t="inlineStr">
        <is>
          <t>2026-08-02</t>
        </is>
      </c>
      <c r="B2450" s="33" t="inlineStr">
        <is>
          <t>SYM</t>
        </is>
      </c>
      <c r="C2450" s="33" t="inlineStr">
        <is>
          <t>D2</t>
        </is>
      </c>
      <c r="D2450" s="33" t="n">
        <v>3</v>
      </c>
      <c r="E2450" s="33" t="inlineStr">
        <is>
          <t>Initial L11-batch rating per agent2 proposal (rationale+source in 11-robotics/research/rating-proposals-2026-08-02/); briefing per-stock/SYM/context-2026-08-02.md</t>
        </is>
      </c>
      <c r="F2450" s="33" t="inlineStr">
        <is>
          <t>per-stock/SYM/context-2026-08-02.md</t>
        </is>
      </c>
      <c r="G2450" s="33" t="inlineStr">
        <is>
          <t>Medium</t>
        </is>
      </c>
      <c r="H2450" s="33" t="inlineStr">
        <is>
          <t>Initial</t>
        </is>
      </c>
    </row>
    <row r="2451">
      <c r="A2451" s="33" t="inlineStr">
        <is>
          <t>2026-08-02</t>
        </is>
      </c>
      <c r="B2451" s="33" t="inlineStr">
        <is>
          <t>SYM</t>
        </is>
      </c>
      <c r="C2451" s="33" t="inlineStr">
        <is>
          <t>D3</t>
        </is>
      </c>
      <c r="D2451" s="33" t="n">
        <v>3</v>
      </c>
      <c r="E2451" s="33" t="inlineStr">
        <is>
          <t>Initial L11-batch rating per agent2 proposal (rationale+source in 11-robotics/research/rating-proposals-2026-08-02/); briefing per-stock/SYM/context-2026-08-02.md</t>
        </is>
      </c>
      <c r="F2451" s="33" t="inlineStr">
        <is>
          <t>per-stock/SYM/context-2026-08-02.md</t>
        </is>
      </c>
      <c r="G2451" s="33" t="inlineStr">
        <is>
          <t>Medium</t>
        </is>
      </c>
      <c r="H2451" s="33" t="inlineStr">
        <is>
          <t>Initial</t>
        </is>
      </c>
    </row>
    <row r="2452">
      <c r="A2452" s="33" t="inlineStr">
        <is>
          <t>2026-08-02</t>
        </is>
      </c>
      <c r="B2452" s="33" t="inlineStr">
        <is>
          <t>SYM</t>
        </is>
      </c>
      <c r="C2452" s="33" t="inlineStr">
        <is>
          <t>D4</t>
        </is>
      </c>
      <c r="D2452" s="33" t="n">
        <v>4</v>
      </c>
      <c r="E2452" s="33" t="inlineStr">
        <is>
          <t>Initial L11-batch rating per agent2 proposal (rationale+source in 11-robotics/research/rating-proposals-2026-08-02/); briefing per-stock/SYM/context-2026-08-02.md</t>
        </is>
      </c>
      <c r="F2452" s="33" t="inlineStr">
        <is>
          <t>per-stock/SYM/context-2026-08-02.md</t>
        </is>
      </c>
      <c r="G2452" s="33" t="inlineStr">
        <is>
          <t>Medium</t>
        </is>
      </c>
      <c r="H2452" s="33" t="inlineStr">
        <is>
          <t>Initial</t>
        </is>
      </c>
    </row>
    <row r="2453">
      <c r="A2453" s="33" t="inlineStr">
        <is>
          <t>2026-08-02</t>
        </is>
      </c>
      <c r="B2453" s="33" t="inlineStr">
        <is>
          <t>SYM</t>
        </is>
      </c>
      <c r="C2453" s="33" t="inlineStr">
        <is>
          <t>D5</t>
        </is>
      </c>
      <c r="D2453" s="33" t="n">
        <v>3</v>
      </c>
      <c r="E2453" s="33" t="inlineStr">
        <is>
          <t>Initial L11-batch rating per agent2 proposal (rationale+source in 11-robotics/research/rating-proposals-2026-08-02/); briefing per-stock/SYM/context-2026-08-02.md</t>
        </is>
      </c>
      <c r="F2453" s="33" t="inlineStr">
        <is>
          <t>per-stock/SYM/context-2026-08-02.md</t>
        </is>
      </c>
      <c r="G2453" s="33" t="inlineStr">
        <is>
          <t>Medium</t>
        </is>
      </c>
      <c r="H2453" s="33" t="inlineStr">
        <is>
          <t>Initial</t>
        </is>
      </c>
    </row>
    <row r="2454">
      <c r="A2454" s="33" t="inlineStr">
        <is>
          <t>2026-08-02</t>
        </is>
      </c>
      <c r="B2454" s="33" t="inlineStr">
        <is>
          <t>SYM</t>
        </is>
      </c>
      <c r="C2454" s="33" t="inlineStr">
        <is>
          <t>M1</t>
        </is>
      </c>
      <c r="D2454" s="33" t="n">
        <v>3</v>
      </c>
      <c r="E2454" s="33" t="inlineStr">
        <is>
          <t>Initial L11-batch rating per agent2 proposal (rationale+source in 11-robotics/research/rating-proposals-2026-08-02/); briefing per-stock/SYM/context-2026-08-02.md</t>
        </is>
      </c>
      <c r="F2454" s="33" t="inlineStr">
        <is>
          <t>per-stock/SYM/context-2026-08-02.md</t>
        </is>
      </c>
      <c r="G2454" s="33" t="inlineStr">
        <is>
          <t>Medium</t>
        </is>
      </c>
      <c r="H2454" s="33" t="inlineStr">
        <is>
          <t>Initial</t>
        </is>
      </c>
    </row>
    <row r="2455">
      <c r="A2455" s="33" t="inlineStr">
        <is>
          <t>2026-08-02</t>
        </is>
      </c>
      <c r="B2455" s="33" t="inlineStr">
        <is>
          <t>SYM</t>
        </is>
      </c>
      <c r="C2455" s="33" t="inlineStr">
        <is>
          <t>M2</t>
        </is>
      </c>
      <c r="D2455" s="33" t="n">
        <v>1</v>
      </c>
      <c r="E2455" s="33" t="inlineStr">
        <is>
          <t>Initial L11-batch rating per agent2 proposal (rationale+source in 11-robotics/research/rating-proposals-2026-08-02/); briefing per-stock/SYM/context-2026-08-02.md</t>
        </is>
      </c>
      <c r="F2455" s="33" t="inlineStr">
        <is>
          <t>per-stock/SYM/context-2026-08-02.md</t>
        </is>
      </c>
      <c r="G2455" s="33" t="inlineStr">
        <is>
          <t>Medium</t>
        </is>
      </c>
      <c r="H2455" s="33" t="inlineStr">
        <is>
          <t>Initial</t>
        </is>
      </c>
    </row>
    <row r="2456">
      <c r="A2456" s="33" t="inlineStr">
        <is>
          <t>2026-08-02</t>
        </is>
      </c>
      <c r="B2456" s="33" t="inlineStr">
        <is>
          <t>SYM</t>
        </is>
      </c>
      <c r="C2456" s="33" t="inlineStr">
        <is>
          <t>M3</t>
        </is>
      </c>
      <c r="D2456" s="33" t="n">
        <v>3</v>
      </c>
      <c r="E2456" s="33" t="inlineStr">
        <is>
          <t>Initial L11-batch rating per agent2 proposal (rationale+source in 11-robotics/research/rating-proposals-2026-08-02/); briefing per-stock/SYM/context-2026-08-02.md</t>
        </is>
      </c>
      <c r="F2456" s="33" t="inlineStr">
        <is>
          <t>per-stock/SYM/context-2026-08-02.md</t>
        </is>
      </c>
      <c r="G2456" s="33" t="inlineStr">
        <is>
          <t>Medium</t>
        </is>
      </c>
      <c r="H2456" s="33" t="inlineStr">
        <is>
          <t>Initial</t>
        </is>
      </c>
    </row>
    <row r="2457">
      <c r="A2457" s="33" t="inlineStr">
        <is>
          <t>2026-08-02</t>
        </is>
      </c>
      <c r="B2457" s="33" t="inlineStr">
        <is>
          <t>SYM</t>
        </is>
      </c>
      <c r="C2457" s="33" t="inlineStr">
        <is>
          <t>R1</t>
        </is>
      </c>
      <c r="D2457" s="33" t="n">
        <v>1</v>
      </c>
      <c r="E2457" s="33" t="inlineStr">
        <is>
          <t>Walmart (Customer A) = 84.5% of Q2 / 85.0% of H1 revenue - mechanical band 1.</t>
        </is>
      </c>
      <c r="F2457" s="33" t="inlineStr">
        <is>
          <t>per-stock/SYM/context-2026-08-02.md</t>
        </is>
      </c>
      <c r="G2457" s="33" t="inlineStr">
        <is>
          <t>Medium</t>
        </is>
      </c>
      <c r="H2457" s="33" t="inlineStr">
        <is>
          <t>Initial</t>
        </is>
      </c>
    </row>
    <row r="2458">
      <c r="A2458" s="33" t="inlineStr">
        <is>
          <t>2026-08-02</t>
        </is>
      </c>
      <c r="B2458" s="33" t="inlineStr">
        <is>
          <t>SYM</t>
        </is>
      </c>
      <c r="C2458" s="33" t="inlineStr">
        <is>
          <t>R2</t>
        </is>
      </c>
      <c r="D2458" s="33" t="n">
        <v>5</v>
      </c>
      <c r="E2458" s="33" t="inlineStr">
        <is>
          <t>Initial L11-batch rating per agent2 proposal (rationale+source in 11-robotics/research/rating-proposals-2026-08-02/); briefing per-stock/SYM/context-2026-08-02.md</t>
        </is>
      </c>
      <c r="F2458" s="33" t="inlineStr">
        <is>
          <t>per-stock/SYM/context-2026-08-02.md</t>
        </is>
      </c>
      <c r="G2458" s="33" t="inlineStr">
        <is>
          <t>Medium</t>
        </is>
      </c>
      <c r="H2458" s="33" t="inlineStr">
        <is>
          <t>Initial</t>
        </is>
      </c>
    </row>
    <row r="2459">
      <c r="A2459" s="33" t="inlineStr">
        <is>
          <t>2026-08-02</t>
        </is>
      </c>
      <c r="B2459" s="33" t="inlineStr">
        <is>
          <t>SYM</t>
        </is>
      </c>
      <c r="C2459" s="33" t="inlineStr">
        <is>
          <t>R3</t>
        </is>
      </c>
      <c r="D2459" s="33" t="n">
        <v>5</v>
      </c>
      <c r="E2459" s="33" t="inlineStr">
        <is>
          <t>Initial L11-batch rating per agent2 proposal (rationale+source in 11-robotics/research/rating-proposals-2026-08-02/); briefing per-stock/SYM/context-2026-08-02.md</t>
        </is>
      </c>
      <c r="F2459" s="33" t="inlineStr">
        <is>
          <t>per-stock/SYM/context-2026-08-02.md</t>
        </is>
      </c>
      <c r="G2459" s="33" t="inlineStr">
        <is>
          <t>Medium</t>
        </is>
      </c>
      <c r="H2459" s="33" t="inlineStr">
        <is>
          <t>Initial</t>
        </is>
      </c>
    </row>
    <row r="2460">
      <c r="A2460" s="33" t="inlineStr">
        <is>
          <t>2026-08-02</t>
        </is>
      </c>
      <c r="B2460" s="33" t="inlineStr">
        <is>
          <t>SYM</t>
        </is>
      </c>
      <c r="C2460" s="33" t="inlineStr">
        <is>
          <t>R4</t>
        </is>
      </c>
      <c r="D2460" s="33" t="n">
        <v>2</v>
      </c>
      <c r="E2460" s="33" t="inlineStr">
        <is>
          <t>Material weakness UNREMEDIATED as of 2026-03-28 (DCPs "not effective"); Decker/Traina MTD argued 12/16/25 undecided; FY25-Q3 subpoena disclosure absent from later filings without stated resolution - not assumed closed.</t>
        </is>
      </c>
      <c r="F2460" s="33" t="inlineStr">
        <is>
          <t>per-stock/SYM/context-2026-08-02.md</t>
        </is>
      </c>
      <c r="G2460" s="33" t="inlineStr">
        <is>
          <t>Medium</t>
        </is>
      </c>
      <c r="H2460" s="33" t="inlineStr">
        <is>
          <t>Initial</t>
        </is>
      </c>
    </row>
    <row r="2461">
      <c r="A2461" s="33" t="inlineStr">
        <is>
          <t>2026-08-02</t>
        </is>
      </c>
      <c r="B2461" s="33" t="inlineStr">
        <is>
          <t>SYM</t>
        </is>
      </c>
      <c r="C2461" s="33" t="inlineStr">
        <is>
          <t>R5</t>
        </is>
      </c>
      <c r="D2461" s="33" t="n">
        <v>5</v>
      </c>
      <c r="E2461" s="33" t="inlineStr">
        <is>
          <t>Initial L11-batch rating per agent2 proposal (rationale+source in 11-robotics/research/rating-proposals-2026-08-02/); briefing per-stock/SYM/context-2026-08-02.md</t>
        </is>
      </c>
      <c r="F2461" s="33" t="inlineStr">
        <is>
          <t>per-stock/SYM/context-2026-08-02.md</t>
        </is>
      </c>
      <c r="G2461" s="33" t="inlineStr">
        <is>
          <t>Medium</t>
        </is>
      </c>
      <c r="H2461" s="33" t="inlineStr">
        <is>
          <t>Initial</t>
        </is>
      </c>
    </row>
    <row r="2462">
      <c r="A2462" s="33" t="inlineStr">
        <is>
          <t>2026-08-02</t>
        </is>
      </c>
      <c r="B2462" s="33" t="inlineStr">
        <is>
          <t>AUTO.OL</t>
        </is>
      </c>
      <c r="C2462" s="33" t="inlineStr">
        <is>
          <t>D1</t>
        </is>
      </c>
      <c r="D2462" s="33" t="n">
        <v>5</v>
      </c>
      <c r="E2462" s="33" t="inlineStr">
        <is>
          <t>Initial L11-batch rating per agent2 proposal (rationale+source in 11-robotics/research/rating-proposals-2026-08-02/); briefing per-stock/AUTO.OL/context-2026-08-02.md</t>
        </is>
      </c>
      <c r="F2462" s="33" t="inlineStr">
        <is>
          <t>per-stock/AUTO.OL/context-2026-08-02.md</t>
        </is>
      </c>
      <c r="G2462" s="33" t="inlineStr">
        <is>
          <t>Medium</t>
        </is>
      </c>
      <c r="H2462" s="33" t="inlineStr">
        <is>
          <t>Initial</t>
        </is>
      </c>
    </row>
    <row r="2463">
      <c r="A2463" s="33" t="inlineStr">
        <is>
          <t>2026-08-02</t>
        </is>
      </c>
      <c r="B2463" s="33" t="inlineStr">
        <is>
          <t>AUTO.OL</t>
        </is>
      </c>
      <c r="C2463" s="33" t="inlineStr">
        <is>
          <t>D2</t>
        </is>
      </c>
      <c r="D2463" s="33" t="n">
        <v>4</v>
      </c>
      <c r="E2463" s="33" t="inlineStr">
        <is>
          <t>Initial L11-batch rating per agent2 proposal (rationale+source in 11-robotics/research/rating-proposals-2026-08-02/); briefing per-stock/AUTO.OL/context-2026-08-02.md</t>
        </is>
      </c>
      <c r="F2463" s="33" t="inlineStr">
        <is>
          <t>per-stock/AUTO.OL/context-2026-08-02.md</t>
        </is>
      </c>
      <c r="G2463" s="33" t="inlineStr">
        <is>
          <t>Medium</t>
        </is>
      </c>
      <c r="H2463" s="33" t="inlineStr">
        <is>
          <t>Initial</t>
        </is>
      </c>
    </row>
    <row r="2464">
      <c r="A2464" s="33" t="inlineStr">
        <is>
          <t>2026-08-02</t>
        </is>
      </c>
      <c r="B2464" s="33" t="inlineStr">
        <is>
          <t>AUTO.OL</t>
        </is>
      </c>
      <c r="C2464" s="33" t="inlineStr">
        <is>
          <t>D3</t>
        </is>
      </c>
      <c r="D2464" s="33" t="n">
        <v>4</v>
      </c>
      <c r="E2464" s="33" t="inlineStr">
        <is>
          <t>Initial L11-batch rating per agent2 proposal (rationale+source in 11-robotics/research/rating-proposals-2026-08-02/); briefing per-stock/AUTO.OL/context-2026-08-02.md</t>
        </is>
      </c>
      <c r="F2464" s="33" t="inlineStr">
        <is>
          <t>per-stock/AUTO.OL/context-2026-08-02.md</t>
        </is>
      </c>
      <c r="G2464" s="33" t="inlineStr">
        <is>
          <t>Medium</t>
        </is>
      </c>
      <c r="H2464" s="33" t="inlineStr">
        <is>
          <t>Initial</t>
        </is>
      </c>
    </row>
    <row r="2465">
      <c r="A2465" s="33" t="inlineStr">
        <is>
          <t>2026-08-02</t>
        </is>
      </c>
      <c r="B2465" s="33" t="inlineStr">
        <is>
          <t>AUTO.OL</t>
        </is>
      </c>
      <c r="C2465" s="33" t="inlineStr">
        <is>
          <t>D4</t>
        </is>
      </c>
      <c r="D2465" s="33" t="n">
        <v>3</v>
      </c>
      <c r="E2465" s="33" t="inlineStr">
        <is>
          <t>Initial L11-batch rating per agent2 proposal (rationale+source in 11-robotics/research/rating-proposals-2026-08-02/); briefing per-stock/AUTO.OL/context-2026-08-02.md</t>
        </is>
      </c>
      <c r="F2465" s="33" t="inlineStr">
        <is>
          <t>per-stock/AUTO.OL/context-2026-08-02.md</t>
        </is>
      </c>
      <c r="G2465" s="33" t="inlineStr">
        <is>
          <t>Medium</t>
        </is>
      </c>
      <c r="H2465" s="33" t="inlineStr">
        <is>
          <t>Initial</t>
        </is>
      </c>
    </row>
    <row r="2466">
      <c r="A2466" s="33" t="inlineStr">
        <is>
          <t>2026-08-02</t>
        </is>
      </c>
      <c r="B2466" s="33" t="inlineStr">
        <is>
          <t>AUTO.OL</t>
        </is>
      </c>
      <c r="C2466" s="33" t="inlineStr">
        <is>
          <t>D5</t>
        </is>
      </c>
      <c r="D2466" s="33" t="n">
        <v>3</v>
      </c>
      <c r="E2466" s="33" t="inlineStr">
        <is>
          <t>Initial L11-batch rating per agent2 proposal (rationale+source in 11-robotics/research/rating-proposals-2026-08-02/); briefing per-stock/AUTO.OL/context-2026-08-02.md</t>
        </is>
      </c>
      <c r="F2466" s="33" t="inlineStr">
        <is>
          <t>per-stock/AUTO.OL/context-2026-08-02.md</t>
        </is>
      </c>
      <c r="G2466" s="33" t="inlineStr">
        <is>
          <t>Medium</t>
        </is>
      </c>
      <c r="H2466" s="33" t="inlineStr">
        <is>
          <t>Initial</t>
        </is>
      </c>
    </row>
    <row r="2467">
      <c r="A2467" s="33" t="inlineStr">
        <is>
          <t>2026-08-02</t>
        </is>
      </c>
      <c r="B2467" s="33" t="inlineStr">
        <is>
          <t>AUTO.OL</t>
        </is>
      </c>
      <c r="C2467" s="33" t="inlineStr">
        <is>
          <t>M1</t>
        </is>
      </c>
      <c r="D2467" s="33" t="n">
        <v>3</v>
      </c>
      <c r="E2467" s="33" t="inlineStr">
        <is>
          <t>Initial L11-batch rating per agent2 proposal (rationale+source in 11-robotics/research/rating-proposals-2026-08-02/); briefing per-stock/AUTO.OL/context-2026-08-02.md</t>
        </is>
      </c>
      <c r="F2467" s="33" t="inlineStr">
        <is>
          <t>per-stock/AUTO.OL/context-2026-08-02.md</t>
        </is>
      </c>
      <c r="G2467" s="33" t="inlineStr">
        <is>
          <t>Medium</t>
        </is>
      </c>
      <c r="H2467" s="33" t="inlineStr">
        <is>
          <t>Initial</t>
        </is>
      </c>
    </row>
    <row r="2468">
      <c r="A2468" s="33" t="inlineStr">
        <is>
          <t>2026-08-02</t>
        </is>
      </c>
      <c r="B2468" s="33" t="inlineStr">
        <is>
          <t>AUTO.OL</t>
        </is>
      </c>
      <c r="C2468" s="33" t="inlineStr">
        <is>
          <t>M2</t>
        </is>
      </c>
      <c r="D2468" s="33" t="n">
        <v>2</v>
      </c>
      <c r="E2468" s="33" t="inlineStr">
        <is>
          <t>Initial L11-batch rating per agent2 proposal (rationale+source in 11-robotics/research/rating-proposals-2026-08-02/); briefing per-stock/AUTO.OL/context-2026-08-02.md</t>
        </is>
      </c>
      <c r="F2468" s="33" t="inlineStr">
        <is>
          <t>per-stock/AUTO.OL/context-2026-08-02.md</t>
        </is>
      </c>
      <c r="G2468" s="33" t="inlineStr">
        <is>
          <t>Medium</t>
        </is>
      </c>
      <c r="H2468" s="33" t="inlineStr">
        <is>
          <t>Initial</t>
        </is>
      </c>
    </row>
    <row r="2469">
      <c r="A2469" s="33" t="inlineStr">
        <is>
          <t>2026-08-02</t>
        </is>
      </c>
      <c r="B2469" s="33" t="inlineStr">
        <is>
          <t>AUTO.OL</t>
        </is>
      </c>
      <c r="C2469" s="33" t="inlineStr">
        <is>
          <t>M3</t>
        </is>
      </c>
      <c r="D2469" s="33" t="n">
        <v>3</v>
      </c>
      <c r="E2469" s="33" t="inlineStr">
        <is>
          <t>Initial L11-batch rating per agent2 proposal (rationale+source in 11-robotics/research/rating-proposals-2026-08-02/); briefing per-stock/AUTO.OL/context-2026-08-02.md</t>
        </is>
      </c>
      <c r="F2469" s="33" t="inlineStr">
        <is>
          <t>per-stock/AUTO.OL/context-2026-08-02.md</t>
        </is>
      </c>
      <c r="G2469" s="33" t="inlineStr">
        <is>
          <t>Medium</t>
        </is>
      </c>
      <c r="H2469" s="33" t="inlineStr">
        <is>
          <t>Initial</t>
        </is>
      </c>
    </row>
    <row r="2470">
      <c r="A2470" s="33" t="inlineStr">
        <is>
          <t>2026-08-02</t>
        </is>
      </c>
      <c r="B2470" s="33" t="inlineStr">
        <is>
          <t>AUTO.OL</t>
        </is>
      </c>
      <c r="C2470" s="33" t="inlineStr">
        <is>
          <t>R1</t>
        </is>
      </c>
      <c r="D2470" s="33" t="n">
        <v>4</v>
      </c>
      <c r="E2470" s="33" t="inlineStr">
        <is>
          <t>Initial L11-batch rating per agent2 proposal (rationale+source in 11-robotics/research/rating-proposals-2026-08-02/); briefing per-stock/AUTO.OL/context-2026-08-02.md</t>
        </is>
      </c>
      <c r="F2470" s="33" t="inlineStr">
        <is>
          <t>per-stock/AUTO.OL/context-2026-08-02.md</t>
        </is>
      </c>
      <c r="G2470" s="33" t="inlineStr">
        <is>
          <t>Medium</t>
        </is>
      </c>
      <c r="H2470" s="33" t="inlineStr">
        <is>
          <t>Initial</t>
        </is>
      </c>
    </row>
    <row r="2471">
      <c r="A2471" s="33" t="inlineStr">
        <is>
          <t>2026-08-02</t>
        </is>
      </c>
      <c r="B2471" s="33" t="inlineStr">
        <is>
          <t>AUTO.OL</t>
        </is>
      </c>
      <c r="C2471" s="33" t="inlineStr">
        <is>
          <t>R2</t>
        </is>
      </c>
      <c r="D2471" s="33" t="n">
        <v>4</v>
      </c>
      <c r="E2471" s="33" t="inlineStr">
        <is>
          <t>Initial L11-batch rating per agent2 proposal (rationale+source in 11-robotics/research/rating-proposals-2026-08-02/); briefing per-stock/AUTO.OL/context-2026-08-02.md</t>
        </is>
      </c>
      <c r="F2471" s="33" t="inlineStr">
        <is>
          <t>per-stock/AUTO.OL/context-2026-08-02.md</t>
        </is>
      </c>
      <c r="G2471" s="33" t="inlineStr">
        <is>
          <t>Medium</t>
        </is>
      </c>
      <c r="H2471" s="33" t="inlineStr">
        <is>
          <t>Initial</t>
        </is>
      </c>
    </row>
    <row r="2472">
      <c r="A2472" s="33" t="inlineStr">
        <is>
          <t>2026-08-02</t>
        </is>
      </c>
      <c r="B2472" s="33" t="inlineStr">
        <is>
          <t>AUTO.OL</t>
        </is>
      </c>
      <c r="C2472" s="33" t="inlineStr">
        <is>
          <t>R3</t>
        </is>
      </c>
      <c r="D2472" s="33" t="n">
        <v>4</v>
      </c>
      <c r="E2472" s="33" t="inlineStr">
        <is>
          <t>Initial L11-batch rating per agent2 proposal (rationale+source in 11-robotics/research/rating-proposals-2026-08-02/); briefing per-stock/AUTO.OL/context-2026-08-02.md</t>
        </is>
      </c>
      <c r="F2472" s="33" t="inlineStr">
        <is>
          <t>per-stock/AUTO.OL/context-2026-08-02.md</t>
        </is>
      </c>
      <c r="G2472" s="33" t="inlineStr">
        <is>
          <t>Medium</t>
        </is>
      </c>
      <c r="H2472" s="33" t="inlineStr">
        <is>
          <t>Initial</t>
        </is>
      </c>
    </row>
    <row r="2473">
      <c r="A2473" s="33" t="inlineStr">
        <is>
          <t>2026-08-02</t>
        </is>
      </c>
      <c r="B2473" s="33" t="inlineStr">
        <is>
          <t>AUTO.OL</t>
        </is>
      </c>
      <c r="C2473" s="33" t="inlineStr">
        <is>
          <t>R4</t>
        </is>
      </c>
      <c r="D2473" s="33" t="n">
        <v>4</v>
      </c>
      <c r="E2473" s="33" t="inlineStr">
        <is>
          <t>Initial L11-batch rating per agent2 proposal (rationale+source in 11-robotics/research/rating-proposals-2026-08-02/); briefing per-stock/AUTO.OL/context-2026-08-02.md</t>
        </is>
      </c>
      <c r="F2473" s="33" t="inlineStr">
        <is>
          <t>per-stock/AUTO.OL/context-2026-08-02.md</t>
        </is>
      </c>
      <c r="G2473" s="33" t="inlineStr">
        <is>
          <t>Medium</t>
        </is>
      </c>
      <c r="H2473" s="33" t="inlineStr">
        <is>
          <t>Initial</t>
        </is>
      </c>
    </row>
    <row r="2474">
      <c r="A2474" s="33" t="inlineStr">
        <is>
          <t>2026-08-02</t>
        </is>
      </c>
      <c r="B2474" s="33" t="inlineStr">
        <is>
          <t>AUTO.OL</t>
        </is>
      </c>
      <c r="C2474" s="33" t="inlineStr">
        <is>
          <t>R5</t>
        </is>
      </c>
      <c r="D2474" s="33" t="n">
        <v>5</v>
      </c>
      <c r="E2474" s="33" t="inlineStr">
        <is>
          <t>Initial L11-batch rating per agent2 proposal (rationale+source in 11-robotics/research/rating-proposals-2026-08-02/); briefing per-stock/AUTO.OL/context-2026-08-02.md</t>
        </is>
      </c>
      <c r="F2474" s="33" t="inlineStr">
        <is>
          <t>per-stock/AUTO.OL/context-2026-08-02.md</t>
        </is>
      </c>
      <c r="G2474" s="33" t="inlineStr">
        <is>
          <t>Medium</t>
        </is>
      </c>
      <c r="H2474" s="33" t="inlineStr">
        <is>
          <t>Initial</t>
        </is>
      </c>
    </row>
    <row r="2475">
      <c r="A2475" s="33" t="inlineStr">
        <is>
          <t>2026-08-02</t>
        </is>
      </c>
      <c r="B2475" s="33" t="inlineStr">
        <is>
          <t>6383.T</t>
        </is>
      </c>
      <c r="C2475" s="33" t="inlineStr">
        <is>
          <t>D1</t>
        </is>
      </c>
      <c r="D2475" s="33" t="n">
        <v>5</v>
      </c>
      <c r="E2475" s="33" t="inlineStr">
        <is>
          <t>Initial L11-batch rating per agent2 proposal (rationale+source in 11-robotics/research/rating-proposals-2026-08-02/); briefing per-stock/6383.T/context-2026-08-02.md</t>
        </is>
      </c>
      <c r="F2475" s="33" t="inlineStr">
        <is>
          <t>per-stock/6383.T/context-2026-08-02.md</t>
        </is>
      </c>
      <c r="G2475" s="33" t="inlineStr">
        <is>
          <t>Medium</t>
        </is>
      </c>
      <c r="H2475" s="33" t="inlineStr">
        <is>
          <t>Initial</t>
        </is>
      </c>
    </row>
    <row r="2476">
      <c r="A2476" s="33" t="inlineStr">
        <is>
          <t>2026-08-02</t>
        </is>
      </c>
      <c r="B2476" s="33" t="inlineStr">
        <is>
          <t>6383.T</t>
        </is>
      </c>
      <c r="C2476" s="33" t="inlineStr">
        <is>
          <t>D2</t>
        </is>
      </c>
      <c r="D2476" s="33" t="n">
        <v>4</v>
      </c>
      <c r="E2476" s="33" t="inlineStr">
        <is>
          <t>Initial L11-batch rating per agent2 proposal (rationale+source in 11-robotics/research/rating-proposals-2026-08-02/); briefing per-stock/6383.T/context-2026-08-02.md</t>
        </is>
      </c>
      <c r="F2476" s="33" t="inlineStr">
        <is>
          <t>per-stock/6383.T/context-2026-08-02.md</t>
        </is>
      </c>
      <c r="G2476" s="33" t="inlineStr">
        <is>
          <t>Medium</t>
        </is>
      </c>
      <c r="H2476" s="33" t="inlineStr">
        <is>
          <t>Initial</t>
        </is>
      </c>
    </row>
    <row r="2477">
      <c r="A2477" s="33" t="inlineStr">
        <is>
          <t>2026-08-02</t>
        </is>
      </c>
      <c r="B2477" s="33" t="inlineStr">
        <is>
          <t>6383.T</t>
        </is>
      </c>
      <c r="C2477" s="33" t="inlineStr">
        <is>
          <t>D3</t>
        </is>
      </c>
      <c r="D2477" s="33" t="n">
        <v>4</v>
      </c>
      <c r="E2477" s="33" t="inlineStr">
        <is>
          <t>Initial L11-batch rating per agent2 proposal (rationale+source in 11-robotics/research/rating-proposals-2026-08-02/); briefing per-stock/6383.T/context-2026-08-02.md</t>
        </is>
      </c>
      <c r="F2477" s="33" t="inlineStr">
        <is>
          <t>per-stock/6383.T/context-2026-08-02.md</t>
        </is>
      </c>
      <c r="G2477" s="33" t="inlineStr">
        <is>
          <t>Medium</t>
        </is>
      </c>
      <c r="H2477" s="33" t="inlineStr">
        <is>
          <t>Initial</t>
        </is>
      </c>
    </row>
    <row r="2478">
      <c r="A2478" s="33" t="inlineStr">
        <is>
          <t>2026-08-02</t>
        </is>
      </c>
      <c r="B2478" s="33" t="inlineStr">
        <is>
          <t>6383.T</t>
        </is>
      </c>
      <c r="C2478" s="33" t="inlineStr">
        <is>
          <t>D4</t>
        </is>
      </c>
      <c r="D2478" s="33" t="n">
        <v>5</v>
      </c>
      <c r="E2478" s="33" t="inlineStr">
        <is>
          <t>Initial L11-batch rating per agent2 proposal (rationale+source in 11-robotics/research/rating-proposals-2026-08-02/); briefing per-stock/6383.T/context-2026-08-02.md</t>
        </is>
      </c>
      <c r="F2478" s="33" t="inlineStr">
        <is>
          <t>per-stock/6383.T/context-2026-08-02.md</t>
        </is>
      </c>
      <c r="G2478" s="33" t="inlineStr">
        <is>
          <t>Medium</t>
        </is>
      </c>
      <c r="H2478" s="33" t="inlineStr">
        <is>
          <t>Initial</t>
        </is>
      </c>
    </row>
    <row r="2479">
      <c r="A2479" s="33" t="inlineStr">
        <is>
          <t>2026-08-02</t>
        </is>
      </c>
      <c r="B2479" s="33" t="inlineStr">
        <is>
          <t>6383.T</t>
        </is>
      </c>
      <c r="C2479" s="33" t="inlineStr">
        <is>
          <t>D5</t>
        </is>
      </c>
      <c r="D2479" s="33" t="n">
        <v>5</v>
      </c>
      <c r="E2479" s="33" t="inlineStr">
        <is>
          <t>Initial L11-batch rating per agent2 proposal (rationale+source in 11-robotics/research/rating-proposals-2026-08-02/); briefing per-stock/6383.T/context-2026-08-02.md</t>
        </is>
      </c>
      <c r="F2479" s="33" t="inlineStr">
        <is>
          <t>per-stock/6383.T/context-2026-08-02.md</t>
        </is>
      </c>
      <c r="G2479" s="33" t="inlineStr">
        <is>
          <t>Medium</t>
        </is>
      </c>
      <c r="H2479" s="33" t="inlineStr">
        <is>
          <t>Initial</t>
        </is>
      </c>
    </row>
    <row r="2480">
      <c r="A2480" s="33" t="inlineStr">
        <is>
          <t>2026-08-02</t>
        </is>
      </c>
      <c r="B2480" s="33" t="inlineStr">
        <is>
          <t>6383.T</t>
        </is>
      </c>
      <c r="C2480" s="33" t="inlineStr">
        <is>
          <t>M1</t>
        </is>
      </c>
      <c r="D2480" s="33" t="n">
        <v>4</v>
      </c>
      <c r="E2480" s="33" t="inlineStr">
        <is>
          <t>Initial L11-batch rating per agent2 proposal (rationale+source in 11-robotics/research/rating-proposals-2026-08-02/); briefing per-stock/6383.T/context-2026-08-02.md</t>
        </is>
      </c>
      <c r="F2480" s="33" t="inlineStr">
        <is>
          <t>per-stock/6383.T/context-2026-08-02.md</t>
        </is>
      </c>
      <c r="G2480" s="33" t="inlineStr">
        <is>
          <t>Medium</t>
        </is>
      </c>
      <c r="H2480" s="33" t="inlineStr">
        <is>
          <t>Initial</t>
        </is>
      </c>
    </row>
    <row r="2481">
      <c r="A2481" s="33" t="inlineStr">
        <is>
          <t>2026-08-02</t>
        </is>
      </c>
      <c r="B2481" s="33" t="inlineStr">
        <is>
          <t>6383.T</t>
        </is>
      </c>
      <c r="C2481" s="33" t="inlineStr">
        <is>
          <t>M2</t>
        </is>
      </c>
      <c r="D2481" s="33" t="n">
        <v>1</v>
      </c>
      <c r="E2481" s="33" t="inlineStr">
        <is>
          <t>Initial L11-batch rating per agent2 proposal (rationale+source in 11-robotics/research/rating-proposals-2026-08-02/); briefing per-stock/6383.T/context-2026-08-02.md</t>
        </is>
      </c>
      <c r="F2481" s="33" t="inlineStr">
        <is>
          <t>per-stock/6383.T/context-2026-08-02.md</t>
        </is>
      </c>
      <c r="G2481" s="33" t="inlineStr">
        <is>
          <t>Medium</t>
        </is>
      </c>
      <c r="H2481" s="33" t="inlineStr">
        <is>
          <t>Initial</t>
        </is>
      </c>
    </row>
    <row r="2482">
      <c r="A2482" s="33" t="inlineStr">
        <is>
          <t>2026-08-02</t>
        </is>
      </c>
      <c r="B2482" s="33" t="inlineStr">
        <is>
          <t>6383.T</t>
        </is>
      </c>
      <c r="C2482" s="33" t="inlineStr">
        <is>
          <t>M3</t>
        </is>
      </c>
      <c r="D2482" s="33" t="n">
        <v>3</v>
      </c>
      <c r="E2482" s="33" t="inlineStr">
        <is>
          <t>Initial L11-batch rating per agent2 proposal (rationale+source in 11-robotics/research/rating-proposals-2026-08-02/); briefing per-stock/6383.T/context-2026-08-02.md</t>
        </is>
      </c>
      <c r="F2482" s="33" t="inlineStr">
        <is>
          <t>per-stock/6383.T/context-2026-08-02.md</t>
        </is>
      </c>
      <c r="G2482" s="33" t="inlineStr">
        <is>
          <t>Medium</t>
        </is>
      </c>
      <c r="H2482" s="33" t="inlineStr">
        <is>
          <t>Initial</t>
        </is>
      </c>
    </row>
    <row r="2483">
      <c r="A2483" s="33" t="inlineStr">
        <is>
          <t>2026-08-02</t>
        </is>
      </c>
      <c r="B2483" s="33" t="inlineStr">
        <is>
          <t>6383.T</t>
        </is>
      </c>
      <c r="C2483" s="33" t="inlineStr">
        <is>
          <t>R1</t>
        </is>
      </c>
      <c r="D2483" s="33" t="n">
        <v>4</v>
      </c>
      <c r="E2483" s="33" t="inlineStr">
        <is>
          <t>Initial L11-batch rating per agent2 proposal (rationale+source in 11-robotics/research/rating-proposals-2026-08-02/); briefing per-stock/6383.T/context-2026-08-02.md</t>
        </is>
      </c>
      <c r="F2483" s="33" t="inlineStr">
        <is>
          <t>per-stock/6383.T/context-2026-08-02.md</t>
        </is>
      </c>
      <c r="G2483" s="33" t="inlineStr">
        <is>
          <t>Medium</t>
        </is>
      </c>
      <c r="H2483" s="33" t="inlineStr">
        <is>
          <t>Initial</t>
        </is>
      </c>
    </row>
    <row r="2484">
      <c r="A2484" s="33" t="inlineStr">
        <is>
          <t>2026-08-02</t>
        </is>
      </c>
      <c r="B2484" s="33" t="inlineStr">
        <is>
          <t>6383.T</t>
        </is>
      </c>
      <c r="C2484" s="33" t="inlineStr">
        <is>
          <t>R2</t>
        </is>
      </c>
      <c r="D2484" s="33" t="n">
        <v>3</v>
      </c>
      <c r="E2484" s="33" t="inlineStr">
        <is>
          <t>Initial L11-batch rating per agent2 proposal (rationale+source in 11-robotics/research/rating-proposals-2026-08-02/); briefing per-stock/6383.T/context-2026-08-02.md</t>
        </is>
      </c>
      <c r="F2484" s="33" t="inlineStr">
        <is>
          <t>per-stock/6383.T/context-2026-08-02.md</t>
        </is>
      </c>
      <c r="G2484" s="33" t="inlineStr">
        <is>
          <t>Medium</t>
        </is>
      </c>
      <c r="H2484" s="33" t="inlineStr">
        <is>
          <t>Initial</t>
        </is>
      </c>
    </row>
    <row r="2485">
      <c r="A2485" s="33" t="inlineStr">
        <is>
          <t>2026-08-02</t>
        </is>
      </c>
      <c r="B2485" s="33" t="inlineStr">
        <is>
          <t>6383.T</t>
        </is>
      </c>
      <c r="C2485" s="33" t="inlineStr">
        <is>
          <t>R3</t>
        </is>
      </c>
      <c r="D2485" s="33" t="n">
        <v>5</v>
      </c>
      <c r="E2485" s="33" t="inlineStr">
        <is>
          <t>Initial L11-batch rating per agent2 proposal (rationale+source in 11-robotics/research/rating-proposals-2026-08-02/); briefing per-stock/6383.T/context-2026-08-02.md</t>
        </is>
      </c>
      <c r="F2485" s="33" t="inlineStr">
        <is>
          <t>per-stock/6383.T/context-2026-08-02.md</t>
        </is>
      </c>
      <c r="G2485" s="33" t="inlineStr">
        <is>
          <t>Medium</t>
        </is>
      </c>
      <c r="H2485" s="33" t="inlineStr">
        <is>
          <t>Initial</t>
        </is>
      </c>
    </row>
    <row r="2486">
      <c r="A2486" s="33" t="inlineStr">
        <is>
          <t>2026-08-02</t>
        </is>
      </c>
      <c r="B2486" s="33" t="inlineStr">
        <is>
          <t>6383.T</t>
        </is>
      </c>
      <c r="C2486" s="33" t="inlineStr">
        <is>
          <t>R4</t>
        </is>
      </c>
      <c r="D2486" s="33" t="n">
        <v>4</v>
      </c>
      <c r="E2486" s="33" t="inlineStr">
        <is>
          <t>Initial L11-batch rating per agent2 proposal (rationale+source in 11-robotics/research/rating-proposals-2026-08-02/); briefing per-stock/6383.T/context-2026-08-02.md</t>
        </is>
      </c>
      <c r="F2486" s="33" t="inlineStr">
        <is>
          <t>per-stock/6383.T/context-2026-08-02.md</t>
        </is>
      </c>
      <c r="G2486" s="33" t="inlineStr">
        <is>
          <t>Medium</t>
        </is>
      </c>
      <c r="H2486" s="33" t="inlineStr">
        <is>
          <t>Initial</t>
        </is>
      </c>
    </row>
    <row r="2487">
      <c r="A2487" s="33" t="inlineStr">
        <is>
          <t>2026-08-02</t>
        </is>
      </c>
      <c r="B2487" s="33" t="inlineStr">
        <is>
          <t>6383.T</t>
        </is>
      </c>
      <c r="C2487" s="33" t="inlineStr">
        <is>
          <t>R5</t>
        </is>
      </c>
      <c r="D2487" s="33" t="n">
        <v>5</v>
      </c>
      <c r="E2487" s="33" t="inlineStr">
        <is>
          <t>Initial L11-batch rating per agent2 proposal (rationale+source in 11-robotics/research/rating-proposals-2026-08-02/); briefing per-stock/6383.T/context-2026-08-02.md</t>
        </is>
      </c>
      <c r="F2487" s="33" t="inlineStr">
        <is>
          <t>per-stock/6383.T/context-2026-08-02.md</t>
        </is>
      </c>
      <c r="G2487" s="33" t="inlineStr">
        <is>
          <t>Medium</t>
        </is>
      </c>
      <c r="H2487" s="33" t="inlineStr">
        <is>
          <t>Initial</t>
        </is>
      </c>
    </row>
    <row r="2488">
      <c r="A2488" s="33" t="inlineStr">
        <is>
          <t>2026-08-02</t>
        </is>
      </c>
      <c r="B2488" s="33" t="inlineStr">
        <is>
          <t>KGX.DE</t>
        </is>
      </c>
      <c r="C2488" s="33" t="inlineStr">
        <is>
          <t>D1</t>
        </is>
      </c>
      <c r="D2488" s="33" t="n">
        <v>4</v>
      </c>
      <c r="E2488" s="33" t="inlineStr">
        <is>
          <t>Initial L11-batch rating per agent2 proposal (rationale+source in 11-robotics/research/rating-proposals-2026-08-02/); briefing per-stock/KGX.DE/context-2026-08-02.md</t>
        </is>
      </c>
      <c r="F2488" s="33" t="inlineStr">
        <is>
          <t>per-stock/KGX.DE/context-2026-08-02.md</t>
        </is>
      </c>
      <c r="G2488" s="33" t="inlineStr">
        <is>
          <t>Medium</t>
        </is>
      </c>
      <c r="H2488" s="33" t="inlineStr">
        <is>
          <t>Initial</t>
        </is>
      </c>
    </row>
    <row r="2489">
      <c r="A2489" s="33" t="inlineStr">
        <is>
          <t>2026-08-02</t>
        </is>
      </c>
      <c r="B2489" s="33" t="inlineStr">
        <is>
          <t>KGX.DE</t>
        </is>
      </c>
      <c r="C2489" s="33" t="inlineStr">
        <is>
          <t>D2</t>
        </is>
      </c>
      <c r="D2489" s="33" t="n">
        <v>3</v>
      </c>
      <c r="E2489" s="33" t="inlineStr">
        <is>
          <t>Initial L11-batch rating per agent2 proposal (rationale+source in 11-robotics/research/rating-proposals-2026-08-02/); briefing per-stock/KGX.DE/context-2026-08-02.md</t>
        </is>
      </c>
      <c r="F2489" s="33" t="inlineStr">
        <is>
          <t>per-stock/KGX.DE/context-2026-08-02.md</t>
        </is>
      </c>
      <c r="G2489" s="33" t="inlineStr">
        <is>
          <t>Medium</t>
        </is>
      </c>
      <c r="H2489" s="33" t="inlineStr">
        <is>
          <t>Initial</t>
        </is>
      </c>
    </row>
    <row r="2490">
      <c r="A2490" s="33" t="inlineStr">
        <is>
          <t>2026-08-02</t>
        </is>
      </c>
      <c r="B2490" s="33" t="inlineStr">
        <is>
          <t>KGX.DE</t>
        </is>
      </c>
      <c r="C2490" s="33" t="inlineStr">
        <is>
          <t>D3</t>
        </is>
      </c>
      <c r="D2490" s="33" t="n">
        <v>3</v>
      </c>
      <c r="E2490" s="33" t="inlineStr">
        <is>
          <t>Initial L11-batch rating per agent2 proposal (rationale+source in 11-robotics/research/rating-proposals-2026-08-02/); briefing per-stock/KGX.DE/context-2026-08-02.md</t>
        </is>
      </c>
      <c r="F2490" s="33" t="inlineStr">
        <is>
          <t>per-stock/KGX.DE/context-2026-08-02.md</t>
        </is>
      </c>
      <c r="G2490" s="33" t="inlineStr">
        <is>
          <t>Medium</t>
        </is>
      </c>
      <c r="H2490" s="33" t="inlineStr">
        <is>
          <t>Initial</t>
        </is>
      </c>
    </row>
    <row r="2491">
      <c r="A2491" s="33" t="inlineStr">
        <is>
          <t>2026-08-02</t>
        </is>
      </c>
      <c r="B2491" s="33" t="inlineStr">
        <is>
          <t>KGX.DE</t>
        </is>
      </c>
      <c r="C2491" s="33" t="inlineStr">
        <is>
          <t>D4</t>
        </is>
      </c>
      <c r="D2491" s="33" t="n">
        <v>2</v>
      </c>
      <c r="E2491" s="33" t="inlineStr">
        <is>
          <t>Initial L11-batch rating per agent2 proposal (rationale+source in 11-robotics/research/rating-proposals-2026-08-02/); briefing per-stock/KGX.DE/context-2026-08-02.md</t>
        </is>
      </c>
      <c r="F2491" s="33" t="inlineStr">
        <is>
          <t>per-stock/KGX.DE/context-2026-08-02.md</t>
        </is>
      </c>
      <c r="G2491" s="33" t="inlineStr">
        <is>
          <t>Medium</t>
        </is>
      </c>
      <c r="H2491" s="33" t="inlineStr">
        <is>
          <t>Initial</t>
        </is>
      </c>
    </row>
    <row r="2492">
      <c r="A2492" s="33" t="inlineStr">
        <is>
          <t>2026-08-02</t>
        </is>
      </c>
      <c r="B2492" s="33" t="inlineStr">
        <is>
          <t>KGX.DE</t>
        </is>
      </c>
      <c r="C2492" s="33" t="inlineStr">
        <is>
          <t>D5</t>
        </is>
      </c>
      <c r="D2492" s="33" t="n">
        <v>3</v>
      </c>
      <c r="E2492" s="33" t="inlineStr">
        <is>
          <t>Initial L11-batch rating per agent2 proposal (rationale+source in 11-robotics/research/rating-proposals-2026-08-02/); briefing per-stock/KGX.DE/context-2026-08-02.md</t>
        </is>
      </c>
      <c r="F2492" s="33" t="inlineStr">
        <is>
          <t>per-stock/KGX.DE/context-2026-08-02.md</t>
        </is>
      </c>
      <c r="G2492" s="33" t="inlineStr">
        <is>
          <t>Medium</t>
        </is>
      </c>
      <c r="H2492" s="33" t="inlineStr">
        <is>
          <t>Initial</t>
        </is>
      </c>
    </row>
    <row r="2493">
      <c r="A2493" s="33" t="inlineStr">
        <is>
          <t>2026-08-02</t>
        </is>
      </c>
      <c r="B2493" s="33" t="inlineStr">
        <is>
          <t>KGX.DE</t>
        </is>
      </c>
      <c r="C2493" s="33" t="inlineStr">
        <is>
          <t>M1</t>
        </is>
      </c>
      <c r="D2493" s="33" t="n">
        <v>2</v>
      </c>
      <c r="E2493" s="33" t="inlineStr">
        <is>
          <t>Initial L11-batch rating per agent2 proposal (rationale+source in 11-robotics/research/rating-proposals-2026-08-02/); briefing per-stock/KGX.DE/context-2026-08-02.md</t>
        </is>
      </c>
      <c r="F2493" s="33" t="inlineStr">
        <is>
          <t>per-stock/KGX.DE/context-2026-08-02.md</t>
        </is>
      </c>
      <c r="G2493" s="33" t="inlineStr">
        <is>
          <t>Medium</t>
        </is>
      </c>
      <c r="H2493" s="33" t="inlineStr">
        <is>
          <t>Initial</t>
        </is>
      </c>
    </row>
    <row r="2494">
      <c r="A2494" s="33" t="inlineStr">
        <is>
          <t>2026-08-02</t>
        </is>
      </c>
      <c r="B2494" s="33" t="inlineStr">
        <is>
          <t>KGX.DE</t>
        </is>
      </c>
      <c r="C2494" s="33" t="inlineStr">
        <is>
          <t>M2</t>
        </is>
      </c>
      <c r="D2494" s="33" t="n">
        <v>1</v>
      </c>
      <c r="E2494" s="33" t="inlineStr">
        <is>
          <t>Initial L11-batch rating per agent2 proposal (rationale+source in 11-robotics/research/rating-proposals-2026-08-02/); briefing per-stock/KGX.DE/context-2026-08-02.md</t>
        </is>
      </c>
      <c r="F2494" s="33" t="inlineStr">
        <is>
          <t>per-stock/KGX.DE/context-2026-08-02.md</t>
        </is>
      </c>
      <c r="G2494" s="33" t="inlineStr">
        <is>
          <t>Medium</t>
        </is>
      </c>
      <c r="H2494" s="33" t="inlineStr">
        <is>
          <t>Initial</t>
        </is>
      </c>
    </row>
    <row r="2495">
      <c r="A2495" s="33" t="inlineStr">
        <is>
          <t>2026-08-02</t>
        </is>
      </c>
      <c r="B2495" s="33" t="inlineStr">
        <is>
          <t>KGX.DE</t>
        </is>
      </c>
      <c r="C2495" s="33" t="inlineStr">
        <is>
          <t>M3</t>
        </is>
      </c>
      <c r="D2495" s="33" t="n">
        <v>3</v>
      </c>
      <c r="E2495" s="33" t="inlineStr">
        <is>
          <t>Initial L11-batch rating per agent2 proposal (rationale+source in 11-robotics/research/rating-proposals-2026-08-02/); briefing per-stock/KGX.DE/context-2026-08-02.md</t>
        </is>
      </c>
      <c r="F2495" s="33" t="inlineStr">
        <is>
          <t>per-stock/KGX.DE/context-2026-08-02.md</t>
        </is>
      </c>
      <c r="G2495" s="33" t="inlineStr">
        <is>
          <t>Medium</t>
        </is>
      </c>
      <c r="H2495" s="33" t="inlineStr">
        <is>
          <t>Initial</t>
        </is>
      </c>
    </row>
    <row r="2496">
      <c r="A2496" s="33" t="inlineStr">
        <is>
          <t>2026-08-02</t>
        </is>
      </c>
      <c r="B2496" s="33" t="inlineStr">
        <is>
          <t>KGX.DE</t>
        </is>
      </c>
      <c r="C2496" s="33" t="inlineStr">
        <is>
          <t>R1</t>
        </is>
      </c>
      <c r="D2496" s="33" t="n">
        <v>5</v>
      </c>
      <c r="E2496" s="33" t="inlineStr">
        <is>
          <t>Initial L11-batch rating per agent2 proposal (rationale+source in 11-robotics/research/rating-proposals-2026-08-02/); briefing per-stock/KGX.DE/context-2026-08-02.md</t>
        </is>
      </c>
      <c r="F2496" s="33" t="inlineStr">
        <is>
          <t>per-stock/KGX.DE/context-2026-08-02.md</t>
        </is>
      </c>
      <c r="G2496" s="33" t="inlineStr">
        <is>
          <t>Medium</t>
        </is>
      </c>
      <c r="H2496" s="33" t="inlineStr">
        <is>
          <t>Initial</t>
        </is>
      </c>
    </row>
    <row r="2497">
      <c r="A2497" s="33" t="inlineStr">
        <is>
          <t>2026-08-02</t>
        </is>
      </c>
      <c r="B2497" s="33" t="inlineStr">
        <is>
          <t>KGX.DE</t>
        </is>
      </c>
      <c r="C2497" s="33" t="inlineStr">
        <is>
          <t>R2</t>
        </is>
      </c>
      <c r="D2497" s="33" t="n">
        <v>4</v>
      </c>
      <c r="E2497" s="33" t="inlineStr">
        <is>
          <t>Initial L11-batch rating per agent2 proposal (rationale+source in 11-robotics/research/rating-proposals-2026-08-02/); briefing per-stock/KGX.DE/context-2026-08-02.md</t>
        </is>
      </c>
      <c r="F2497" s="33" t="inlineStr">
        <is>
          <t>per-stock/KGX.DE/context-2026-08-02.md</t>
        </is>
      </c>
      <c r="G2497" s="33" t="inlineStr">
        <is>
          <t>Medium</t>
        </is>
      </c>
      <c r="H2497" s="33" t="inlineStr">
        <is>
          <t>Initial</t>
        </is>
      </c>
    </row>
    <row r="2498">
      <c r="A2498" s="33" t="inlineStr">
        <is>
          <t>2026-08-02</t>
        </is>
      </c>
      <c r="B2498" s="33" t="inlineStr">
        <is>
          <t>KGX.DE</t>
        </is>
      </c>
      <c r="C2498" s="33" t="inlineStr">
        <is>
          <t>R3</t>
        </is>
      </c>
      <c r="D2498" s="33" t="n">
        <v>4</v>
      </c>
      <c r="E2498" s="33" t="inlineStr">
        <is>
          <t>Initial L11-batch rating per agent2 proposal (rationale+source in 11-robotics/research/rating-proposals-2026-08-02/); briefing per-stock/KGX.DE/context-2026-08-02.md</t>
        </is>
      </c>
      <c r="F2498" s="33" t="inlineStr">
        <is>
          <t>per-stock/KGX.DE/context-2026-08-02.md</t>
        </is>
      </c>
      <c r="G2498" s="33" t="inlineStr">
        <is>
          <t>Medium</t>
        </is>
      </c>
      <c r="H2498" s="33" t="inlineStr">
        <is>
          <t>Initial</t>
        </is>
      </c>
    </row>
    <row r="2499">
      <c r="A2499" s="33" t="inlineStr">
        <is>
          <t>2026-08-02</t>
        </is>
      </c>
      <c r="B2499" s="33" t="inlineStr">
        <is>
          <t>KGX.DE</t>
        </is>
      </c>
      <c r="C2499" s="33" t="inlineStr">
        <is>
          <t>R4</t>
        </is>
      </c>
      <c r="D2499" s="33" t="n">
        <v>4</v>
      </c>
      <c r="E2499" s="33" t="inlineStr">
        <is>
          <t>Initial L11-batch rating per agent2 proposal (rationale+source in 11-robotics/research/rating-proposals-2026-08-02/); briefing per-stock/KGX.DE/context-2026-08-02.md</t>
        </is>
      </c>
      <c r="F2499" s="33" t="inlineStr">
        <is>
          <t>per-stock/KGX.DE/context-2026-08-02.md</t>
        </is>
      </c>
      <c r="G2499" s="33" t="inlineStr">
        <is>
          <t>Medium</t>
        </is>
      </c>
      <c r="H2499" s="33" t="inlineStr">
        <is>
          <t>Initial</t>
        </is>
      </c>
    </row>
    <row r="2500">
      <c r="A2500" s="33" t="inlineStr">
        <is>
          <t>2026-08-02</t>
        </is>
      </c>
      <c r="B2500" s="33" t="inlineStr">
        <is>
          <t>KGX.DE</t>
        </is>
      </c>
      <c r="C2500" s="33" t="inlineStr">
        <is>
          <t>R5</t>
        </is>
      </c>
      <c r="D2500" s="33" t="n">
        <v>5</v>
      </c>
      <c r="E2500" s="33" t="inlineStr">
        <is>
          <t>Initial L11-batch rating per agent2 proposal (rationale+source in 11-robotics/research/rating-proposals-2026-08-02/); briefing per-stock/KGX.DE/context-2026-08-02.md</t>
        </is>
      </c>
      <c r="F2500" s="33" t="inlineStr">
        <is>
          <t>per-stock/KGX.DE/context-2026-08-02.md</t>
        </is>
      </c>
      <c r="G2500" s="33" t="inlineStr">
        <is>
          <t>Medium</t>
        </is>
      </c>
      <c r="H2500" s="33" t="inlineStr">
        <is>
          <t>Initial</t>
        </is>
      </c>
    </row>
    <row r="2501">
      <c r="A2501" s="33" t="inlineStr">
        <is>
          <t>2026-08-02</t>
        </is>
      </c>
      <c r="B2501" s="33" t="inlineStr">
        <is>
          <t>2590.HK</t>
        </is>
      </c>
      <c r="C2501" s="33" t="inlineStr">
        <is>
          <t>D1</t>
        </is>
      </c>
      <c r="D2501" s="33" t="n">
        <v>5</v>
      </c>
      <c r="E2501" s="33" t="inlineStr">
        <is>
          <t>Initial L11-batch rating per agent2 proposal (rationale+source in 11-robotics/research/rating-proposals-2026-08-02/); briefing per-stock/2590.HK/context-2026-08-02.md</t>
        </is>
      </c>
      <c r="F2501" s="33" t="inlineStr">
        <is>
          <t>per-stock/2590.HK/context-2026-08-02.md</t>
        </is>
      </c>
      <c r="G2501" s="33" t="inlineStr">
        <is>
          <t>Medium</t>
        </is>
      </c>
      <c r="H2501" s="33" t="inlineStr">
        <is>
          <t>Initial</t>
        </is>
      </c>
    </row>
    <row r="2502">
      <c r="A2502" s="33" t="inlineStr">
        <is>
          <t>2026-08-02</t>
        </is>
      </c>
      <c r="B2502" s="33" t="inlineStr">
        <is>
          <t>2590.HK</t>
        </is>
      </c>
      <c r="C2502" s="33" t="inlineStr">
        <is>
          <t>D2</t>
        </is>
      </c>
      <c r="D2502" s="33" t="n">
        <v>3</v>
      </c>
      <c r="E2502" s="33" t="inlineStr">
        <is>
          <t>Initial L11-batch rating per agent2 proposal (rationale+source in 11-robotics/research/rating-proposals-2026-08-02/); briefing per-stock/2590.HK/context-2026-08-02.md</t>
        </is>
      </c>
      <c r="F2502" s="33" t="inlineStr">
        <is>
          <t>per-stock/2590.HK/context-2026-08-02.md</t>
        </is>
      </c>
      <c r="G2502" s="33" t="inlineStr">
        <is>
          <t>Medium</t>
        </is>
      </c>
      <c r="H2502" s="33" t="inlineStr">
        <is>
          <t>Initial</t>
        </is>
      </c>
    </row>
    <row r="2503">
      <c r="A2503" s="33" t="inlineStr">
        <is>
          <t>2026-08-02</t>
        </is>
      </c>
      <c r="B2503" s="33" t="inlineStr">
        <is>
          <t>2590.HK</t>
        </is>
      </c>
      <c r="C2503" s="33" t="inlineStr">
        <is>
          <t>D3</t>
        </is>
      </c>
      <c r="D2503" s="33" t="n">
        <v>3</v>
      </c>
      <c r="E2503" s="33" t="inlineStr">
        <is>
          <t>Initial L11-batch rating per agent2 proposal (rationale+source in 11-robotics/research/rating-proposals-2026-08-02/); briefing per-stock/2590.HK/context-2026-08-02.md</t>
        </is>
      </c>
      <c r="F2503" s="33" t="inlineStr">
        <is>
          <t>per-stock/2590.HK/context-2026-08-02.md</t>
        </is>
      </c>
      <c r="G2503" s="33" t="inlineStr">
        <is>
          <t>Medium</t>
        </is>
      </c>
      <c r="H2503" s="33" t="inlineStr">
        <is>
          <t>Initial</t>
        </is>
      </c>
    </row>
    <row r="2504">
      <c r="A2504" s="33" t="inlineStr">
        <is>
          <t>2026-08-02</t>
        </is>
      </c>
      <c r="B2504" s="33" t="inlineStr">
        <is>
          <t>2590.HK</t>
        </is>
      </c>
      <c r="C2504" s="33" t="inlineStr">
        <is>
          <t>D4</t>
        </is>
      </c>
      <c r="D2504" s="33" t="n">
        <v>4</v>
      </c>
      <c r="E2504" s="33" t="inlineStr">
        <is>
          <t>Initial L11-batch rating per agent2 proposal (rationale+source in 11-robotics/research/rating-proposals-2026-08-02/); briefing per-stock/2590.HK/context-2026-08-02.md</t>
        </is>
      </c>
      <c r="F2504" s="33" t="inlineStr">
        <is>
          <t>per-stock/2590.HK/context-2026-08-02.md</t>
        </is>
      </c>
      <c r="G2504" s="33" t="inlineStr">
        <is>
          <t>Medium</t>
        </is>
      </c>
      <c r="H2504" s="33" t="inlineStr">
        <is>
          <t>Initial</t>
        </is>
      </c>
    </row>
    <row r="2505">
      <c r="A2505" s="33" t="inlineStr">
        <is>
          <t>2026-08-02</t>
        </is>
      </c>
      <c r="B2505" s="33" t="inlineStr">
        <is>
          <t>2590.HK</t>
        </is>
      </c>
      <c r="C2505" s="33" t="inlineStr">
        <is>
          <t>D5</t>
        </is>
      </c>
      <c r="D2505" s="33" t="n">
        <v>3</v>
      </c>
      <c r="E2505" s="33" t="inlineStr">
        <is>
          <t>Initial L11-batch rating per agent2 proposal (rationale+source in 11-robotics/research/rating-proposals-2026-08-02/); briefing per-stock/2590.HK/context-2026-08-02.md</t>
        </is>
      </c>
      <c r="F2505" s="33" t="inlineStr">
        <is>
          <t>per-stock/2590.HK/context-2026-08-02.md</t>
        </is>
      </c>
      <c r="G2505" s="33" t="inlineStr">
        <is>
          <t>Medium</t>
        </is>
      </c>
      <c r="H2505" s="33" t="inlineStr">
        <is>
          <t>Initial</t>
        </is>
      </c>
    </row>
    <row r="2506">
      <c r="A2506" s="33" t="inlineStr">
        <is>
          <t>2026-08-02</t>
        </is>
      </c>
      <c r="B2506" s="33" t="inlineStr">
        <is>
          <t>2590.HK</t>
        </is>
      </c>
      <c r="C2506" s="33" t="inlineStr">
        <is>
          <t>M1</t>
        </is>
      </c>
      <c r="D2506" s="33" t="n">
        <v>3</v>
      </c>
      <c r="E2506" s="33" t="inlineStr">
        <is>
          <t>Initial L11-batch rating per agent2 proposal (rationale+source in 11-robotics/research/rating-proposals-2026-08-02/); briefing per-stock/2590.HK/context-2026-08-02.md</t>
        </is>
      </c>
      <c r="F2506" s="33" t="inlineStr">
        <is>
          <t>per-stock/2590.HK/context-2026-08-02.md</t>
        </is>
      </c>
      <c r="G2506" s="33" t="inlineStr">
        <is>
          <t>Medium</t>
        </is>
      </c>
      <c r="H2506" s="33" t="inlineStr">
        <is>
          <t>Initial</t>
        </is>
      </c>
    </row>
    <row r="2507">
      <c r="A2507" s="33" t="inlineStr">
        <is>
          <t>2026-08-02</t>
        </is>
      </c>
      <c r="B2507" s="33" t="inlineStr">
        <is>
          <t>2590.HK</t>
        </is>
      </c>
      <c r="C2507" s="33" t="inlineStr">
        <is>
          <t>M2</t>
        </is>
      </c>
      <c r="D2507" s="33" t="n">
        <v>1</v>
      </c>
      <c r="E2507" s="33" t="inlineStr">
        <is>
          <t>Initial L11-batch rating per agent2 proposal (rationale+source in 11-robotics/research/rating-proposals-2026-08-02/); briefing per-stock/2590.HK/context-2026-08-02.md</t>
        </is>
      </c>
      <c r="F2507" s="33" t="inlineStr">
        <is>
          <t>per-stock/2590.HK/context-2026-08-02.md</t>
        </is>
      </c>
      <c r="G2507" s="33" t="inlineStr">
        <is>
          <t>Medium</t>
        </is>
      </c>
      <c r="H2507" s="33" t="inlineStr">
        <is>
          <t>Initial</t>
        </is>
      </c>
    </row>
    <row r="2508">
      <c r="A2508" s="33" t="inlineStr">
        <is>
          <t>2026-08-02</t>
        </is>
      </c>
      <c r="B2508" s="33" t="inlineStr">
        <is>
          <t>2590.HK</t>
        </is>
      </c>
      <c r="C2508" s="33" t="inlineStr">
        <is>
          <t>M3</t>
        </is>
      </c>
      <c r="D2508" s="33" t="n">
        <v>3</v>
      </c>
      <c r="E2508" s="33" t="inlineStr">
        <is>
          <t>Initial L11-batch rating per agent2 proposal (rationale+source in 11-robotics/research/rating-proposals-2026-08-02/); briefing per-stock/2590.HK/context-2026-08-02.md</t>
        </is>
      </c>
      <c r="F2508" s="33" t="inlineStr">
        <is>
          <t>per-stock/2590.HK/context-2026-08-02.md</t>
        </is>
      </c>
      <c r="G2508" s="33" t="inlineStr">
        <is>
          <t>Medium</t>
        </is>
      </c>
      <c r="H2508" s="33" t="inlineStr">
        <is>
          <t>Initial</t>
        </is>
      </c>
    </row>
    <row r="2509">
      <c r="A2509" s="33" t="inlineStr">
        <is>
          <t>2026-08-02</t>
        </is>
      </c>
      <c r="B2509" s="33" t="inlineStr">
        <is>
          <t>2590.HK</t>
        </is>
      </c>
      <c r="C2509" s="33" t="inlineStr">
        <is>
          <t>R1</t>
        </is>
      </c>
      <c r="D2509" s="33" t="n">
        <v>4</v>
      </c>
      <c r="E2509" s="33" t="inlineStr">
        <is>
          <t>Initial L11-batch rating per agent2 proposal (rationale+source in 11-robotics/research/rating-proposals-2026-08-02/); briefing per-stock/2590.HK/context-2026-08-02.md</t>
        </is>
      </c>
      <c r="F2509" s="33" t="inlineStr">
        <is>
          <t>per-stock/2590.HK/context-2026-08-02.md</t>
        </is>
      </c>
      <c r="G2509" s="33" t="inlineStr">
        <is>
          <t>Medium</t>
        </is>
      </c>
      <c r="H2509" s="33" t="inlineStr">
        <is>
          <t>Initial</t>
        </is>
      </c>
    </row>
    <row r="2510">
      <c r="A2510" s="33" t="inlineStr">
        <is>
          <t>2026-08-02</t>
        </is>
      </c>
      <c r="B2510" s="33" t="inlineStr">
        <is>
          <t>2590.HK</t>
        </is>
      </c>
      <c r="C2510" s="33" t="inlineStr">
        <is>
          <t>R2</t>
        </is>
      </c>
      <c r="D2510" s="33" t="n">
        <v>2</v>
      </c>
      <c r="E2510" s="33" t="inlineStr">
        <is>
          <t>Initial L11-batch rating per agent2 proposal (rationale+source in 11-robotics/research/rating-proposals-2026-08-02/); briefing per-stock/2590.HK/context-2026-08-02.md</t>
        </is>
      </c>
      <c r="F2510" s="33" t="inlineStr">
        <is>
          <t>per-stock/2590.HK/context-2026-08-02.md</t>
        </is>
      </c>
      <c r="G2510" s="33" t="inlineStr">
        <is>
          <t>Medium</t>
        </is>
      </c>
      <c r="H2510" s="33" t="inlineStr">
        <is>
          <t>Initial</t>
        </is>
      </c>
    </row>
    <row r="2511">
      <c r="A2511" s="33" t="inlineStr">
        <is>
          <t>2026-08-02</t>
        </is>
      </c>
      <c r="B2511" s="33" t="inlineStr">
        <is>
          <t>2590.HK</t>
        </is>
      </c>
      <c r="C2511" s="33" t="inlineStr">
        <is>
          <t>R3</t>
        </is>
      </c>
      <c r="D2511" s="33" t="n">
        <v>4</v>
      </c>
      <c r="E2511" s="33" t="inlineStr">
        <is>
          <t>Initial L11-batch rating per agent2 proposal (rationale+source in 11-robotics/research/rating-proposals-2026-08-02/); briefing per-stock/2590.HK/context-2026-08-02.md</t>
        </is>
      </c>
      <c r="F2511" s="33" t="inlineStr">
        <is>
          <t>per-stock/2590.HK/context-2026-08-02.md</t>
        </is>
      </c>
      <c r="G2511" s="33" t="inlineStr">
        <is>
          <t>Medium</t>
        </is>
      </c>
      <c r="H2511" s="33" t="inlineStr">
        <is>
          <t>Initial</t>
        </is>
      </c>
    </row>
    <row r="2512">
      <c r="A2512" s="33" t="inlineStr">
        <is>
          <t>2026-08-02</t>
        </is>
      </c>
      <c r="B2512" s="33" t="inlineStr">
        <is>
          <t>2590.HK</t>
        </is>
      </c>
      <c r="C2512" s="33" t="inlineStr">
        <is>
          <t>R4</t>
        </is>
      </c>
      <c r="D2512" s="33" t="n">
        <v>3</v>
      </c>
      <c r="E2512" s="33" t="inlineStr">
        <is>
          <t>Initial L11-batch rating per agent2 proposal (rationale+source in 11-robotics/research/rating-proposals-2026-08-02/); briefing per-stock/2590.HK/context-2026-08-02.md</t>
        </is>
      </c>
      <c r="F2512" s="33" t="inlineStr">
        <is>
          <t>per-stock/2590.HK/context-2026-08-02.md</t>
        </is>
      </c>
      <c r="G2512" s="33" t="inlineStr">
        <is>
          <t>Medium</t>
        </is>
      </c>
      <c r="H2512" s="33" t="inlineStr">
        <is>
          <t>Initial</t>
        </is>
      </c>
    </row>
    <row r="2513">
      <c r="A2513" s="33" t="inlineStr">
        <is>
          <t>2026-08-02</t>
        </is>
      </c>
      <c r="B2513" s="33" t="inlineStr">
        <is>
          <t>2590.HK</t>
        </is>
      </c>
      <c r="C2513" s="33" t="inlineStr">
        <is>
          <t>R5</t>
        </is>
      </c>
      <c r="D2513" s="33" t="n">
        <v>5</v>
      </c>
      <c r="E2513" s="33" t="inlineStr">
        <is>
          <t>Initial L11-batch rating per agent2 proposal (rationale+source in 11-robotics/research/rating-proposals-2026-08-02/); briefing per-stock/2590.HK/context-2026-08-02.md</t>
        </is>
      </c>
      <c r="F2513" s="33" t="inlineStr">
        <is>
          <t>per-stock/2590.HK/context-2026-08-02.md</t>
        </is>
      </c>
      <c r="G2513" s="33" t="inlineStr">
        <is>
          <t>Medium</t>
        </is>
      </c>
      <c r="H2513" s="33" t="inlineStr">
        <is>
          <t>Initial</t>
        </is>
      </c>
    </row>
    <row r="2514">
      <c r="A2514" s="33" t="inlineStr">
        <is>
          <t>2026-08-02</t>
        </is>
      </c>
      <c r="B2514" s="33" t="inlineStr">
        <is>
          <t>ISRG</t>
        </is>
      </c>
      <c r="C2514" s="33" t="inlineStr">
        <is>
          <t>D1</t>
        </is>
      </c>
      <c r="D2514" s="33" t="n">
        <v>5</v>
      </c>
      <c r="E2514" s="33" t="inlineStr">
        <is>
          <t>Initial L11-batch rating per agent3 proposal (rationale+source in 11-robotics/research/rating-proposals-2026-08-02/); briefing per-stock/ISRG/context-2026-08-02.md</t>
        </is>
      </c>
      <c r="F2514" s="33" t="inlineStr">
        <is>
          <t>per-stock/ISRG/context-2026-08-02.md</t>
        </is>
      </c>
      <c r="G2514" s="33" t="inlineStr">
        <is>
          <t>Medium</t>
        </is>
      </c>
      <c r="H2514" s="33" t="inlineStr">
        <is>
          <t>Initial</t>
        </is>
      </c>
    </row>
    <row r="2515">
      <c r="A2515" s="33" t="inlineStr">
        <is>
          <t>2026-08-02</t>
        </is>
      </c>
      <c r="B2515" s="33" t="inlineStr">
        <is>
          <t>ISRG</t>
        </is>
      </c>
      <c r="C2515" s="33" t="inlineStr">
        <is>
          <t>D2</t>
        </is>
      </c>
      <c r="D2515" s="33" t="n">
        <v>4</v>
      </c>
      <c r="E2515" s="33" t="inlineStr">
        <is>
          <t>Initial L11-batch rating per agent3 proposal (rationale+source in 11-robotics/research/rating-proposals-2026-08-02/); briefing per-stock/ISRG/context-2026-08-02.md</t>
        </is>
      </c>
      <c r="F2515" s="33" t="inlineStr">
        <is>
          <t>per-stock/ISRG/context-2026-08-02.md</t>
        </is>
      </c>
      <c r="G2515" s="33" t="inlineStr">
        <is>
          <t>Medium</t>
        </is>
      </c>
      <c r="H2515" s="33" t="inlineStr">
        <is>
          <t>Initial</t>
        </is>
      </c>
    </row>
    <row r="2516">
      <c r="A2516" s="33" t="inlineStr">
        <is>
          <t>2026-08-02</t>
        </is>
      </c>
      <c r="B2516" s="33" t="inlineStr">
        <is>
          <t>ISRG</t>
        </is>
      </c>
      <c r="C2516" s="33" t="inlineStr">
        <is>
          <t>D3</t>
        </is>
      </c>
      <c r="D2516" s="33" t="n">
        <v>4</v>
      </c>
      <c r="E2516" s="33" t="inlineStr">
        <is>
          <t>Initial L11-batch rating per agent3 proposal (rationale+source in 11-robotics/research/rating-proposals-2026-08-02/); briefing per-stock/ISRG/context-2026-08-02.md</t>
        </is>
      </c>
      <c r="F2516" s="33" t="inlineStr">
        <is>
          <t>per-stock/ISRG/context-2026-08-02.md</t>
        </is>
      </c>
      <c r="G2516" s="33" t="inlineStr">
        <is>
          <t>Medium</t>
        </is>
      </c>
      <c r="H2516" s="33" t="inlineStr">
        <is>
          <t>Initial</t>
        </is>
      </c>
    </row>
    <row r="2517">
      <c r="A2517" s="33" t="inlineStr">
        <is>
          <t>2026-08-02</t>
        </is>
      </c>
      <c r="B2517" s="33" t="inlineStr">
        <is>
          <t>ISRG</t>
        </is>
      </c>
      <c r="C2517" s="33" t="inlineStr">
        <is>
          <t>D4</t>
        </is>
      </c>
      <c r="D2517" s="33" t="n">
        <v>4</v>
      </c>
      <c r="E2517" s="33" t="inlineStr">
        <is>
          <t>Initial L11-batch rating per agent3 proposal (rationale+source in 11-robotics/research/rating-proposals-2026-08-02/); briefing per-stock/ISRG/context-2026-08-02.md</t>
        </is>
      </c>
      <c r="F2517" s="33" t="inlineStr">
        <is>
          <t>per-stock/ISRG/context-2026-08-02.md</t>
        </is>
      </c>
      <c r="G2517" s="33" t="inlineStr">
        <is>
          <t>Medium</t>
        </is>
      </c>
      <c r="H2517" s="33" t="inlineStr">
        <is>
          <t>Initial</t>
        </is>
      </c>
    </row>
    <row r="2518">
      <c r="A2518" s="33" t="inlineStr">
        <is>
          <t>2026-08-02</t>
        </is>
      </c>
      <c r="B2518" s="33" t="inlineStr">
        <is>
          <t>ISRG</t>
        </is>
      </c>
      <c r="C2518" s="33" t="inlineStr">
        <is>
          <t>D5</t>
        </is>
      </c>
      <c r="D2518" s="33" t="n">
        <v>4</v>
      </c>
      <c r="E2518" s="33" t="inlineStr">
        <is>
          <t>Initial L11-batch rating per agent3 proposal (rationale+source in 11-robotics/research/rating-proposals-2026-08-02/); briefing per-stock/ISRG/context-2026-08-02.md</t>
        </is>
      </c>
      <c r="F2518" s="33" t="inlineStr">
        <is>
          <t>per-stock/ISRG/context-2026-08-02.md</t>
        </is>
      </c>
      <c r="G2518" s="33" t="inlineStr">
        <is>
          <t>Medium</t>
        </is>
      </c>
      <c r="H2518" s="33" t="inlineStr">
        <is>
          <t>Initial</t>
        </is>
      </c>
    </row>
    <row r="2519">
      <c r="A2519" s="33" t="inlineStr">
        <is>
          <t>2026-08-02</t>
        </is>
      </c>
      <c r="B2519" s="33" t="inlineStr">
        <is>
          <t>ISRG</t>
        </is>
      </c>
      <c r="C2519" s="33" t="inlineStr">
        <is>
          <t>M1</t>
        </is>
      </c>
      <c r="D2519" s="33" t="n">
        <v>3</v>
      </c>
      <c r="E2519" s="33" t="inlineStr">
        <is>
          <t>Initial L11-batch rating per agent3 proposal (rationale+source in 11-robotics/research/rating-proposals-2026-08-02/); briefing per-stock/ISRG/context-2026-08-02.md</t>
        </is>
      </c>
      <c r="F2519" s="33" t="inlineStr">
        <is>
          <t>per-stock/ISRG/context-2026-08-02.md</t>
        </is>
      </c>
      <c r="G2519" s="33" t="inlineStr">
        <is>
          <t>Medium</t>
        </is>
      </c>
      <c r="H2519" s="33" t="inlineStr">
        <is>
          <t>Initial</t>
        </is>
      </c>
    </row>
    <row r="2520">
      <c r="A2520" s="33" t="inlineStr">
        <is>
          <t>2026-08-02</t>
        </is>
      </c>
      <c r="B2520" s="33" t="inlineStr">
        <is>
          <t>ISRG</t>
        </is>
      </c>
      <c r="C2520" s="33" t="inlineStr">
        <is>
          <t>M2</t>
        </is>
      </c>
      <c r="D2520" s="33" t="n">
        <v>2</v>
      </c>
      <c r="E2520" s="33" t="inlineStr">
        <is>
          <t>Initial L11-batch rating per agent3 proposal (rationale+source in 11-robotics/research/rating-proposals-2026-08-02/); briefing per-stock/ISRG/context-2026-08-02.md</t>
        </is>
      </c>
      <c r="F2520" s="33" t="inlineStr">
        <is>
          <t>per-stock/ISRG/context-2026-08-02.md</t>
        </is>
      </c>
      <c r="G2520" s="33" t="inlineStr">
        <is>
          <t>Medium</t>
        </is>
      </c>
      <c r="H2520" s="33" t="inlineStr">
        <is>
          <t>Initial</t>
        </is>
      </c>
    </row>
    <row r="2521">
      <c r="A2521" s="33" t="inlineStr">
        <is>
          <t>2026-08-02</t>
        </is>
      </c>
      <c r="B2521" s="33" t="inlineStr">
        <is>
          <t>ISRG</t>
        </is>
      </c>
      <c r="C2521" s="33" t="inlineStr">
        <is>
          <t>M3</t>
        </is>
      </c>
      <c r="D2521" s="33" t="n">
        <v>3</v>
      </c>
      <c r="E2521" s="33" t="inlineStr">
        <is>
          <t>Initial L11-batch rating per agent3 proposal (rationale+source in 11-robotics/research/rating-proposals-2026-08-02/); briefing per-stock/ISRG/context-2026-08-02.md</t>
        </is>
      </c>
      <c r="F2521" s="33" t="inlineStr">
        <is>
          <t>per-stock/ISRG/context-2026-08-02.md</t>
        </is>
      </c>
      <c r="G2521" s="33" t="inlineStr">
        <is>
          <t>Medium</t>
        </is>
      </c>
      <c r="H2521" s="33" t="inlineStr">
        <is>
          <t>Initial</t>
        </is>
      </c>
    </row>
    <row r="2522">
      <c r="A2522" s="33" t="inlineStr">
        <is>
          <t>2026-08-02</t>
        </is>
      </c>
      <c r="B2522" s="33" t="inlineStr">
        <is>
          <t>ISRG</t>
        </is>
      </c>
      <c r="C2522" s="33" t="inlineStr">
        <is>
          <t>R1</t>
        </is>
      </c>
      <c r="D2522" s="33" t="n">
        <v>5</v>
      </c>
      <c r="E2522" s="33" t="inlineStr">
        <is>
          <t>Initial L11-batch rating per agent3 proposal (rationale+source in 11-robotics/research/rating-proposals-2026-08-02/); briefing per-stock/ISRG/context-2026-08-02.md</t>
        </is>
      </c>
      <c r="F2522" s="33" t="inlineStr">
        <is>
          <t>per-stock/ISRG/context-2026-08-02.md</t>
        </is>
      </c>
      <c r="G2522" s="33" t="inlineStr">
        <is>
          <t>Medium</t>
        </is>
      </c>
      <c r="H2522" s="33" t="inlineStr">
        <is>
          <t>Initial</t>
        </is>
      </c>
    </row>
    <row r="2523">
      <c r="A2523" s="33" t="inlineStr">
        <is>
          <t>2026-08-02</t>
        </is>
      </c>
      <c r="B2523" s="33" t="inlineStr">
        <is>
          <t>ISRG</t>
        </is>
      </c>
      <c r="C2523" s="33" t="inlineStr">
        <is>
          <t>R2</t>
        </is>
      </c>
      <c r="D2523" s="33" t="n">
        <v>3</v>
      </c>
      <c r="E2523" s="33" t="inlineStr">
        <is>
          <t>Initial L11-batch rating per agent3 proposal (rationale+source in 11-robotics/research/rating-proposals-2026-08-02/); briefing per-stock/ISRG/context-2026-08-02.md</t>
        </is>
      </c>
      <c r="F2523" s="33" t="inlineStr">
        <is>
          <t>per-stock/ISRG/context-2026-08-02.md</t>
        </is>
      </c>
      <c r="G2523" s="33" t="inlineStr">
        <is>
          <t>Medium</t>
        </is>
      </c>
      <c r="H2523" s="33" t="inlineStr">
        <is>
          <t>Initial</t>
        </is>
      </c>
    </row>
    <row r="2524">
      <c r="A2524" s="33" t="inlineStr">
        <is>
          <t>2026-08-02</t>
        </is>
      </c>
      <c r="B2524" s="33" t="inlineStr">
        <is>
          <t>ISRG</t>
        </is>
      </c>
      <c r="C2524" s="33" t="inlineStr">
        <is>
          <t>R3</t>
        </is>
      </c>
      <c r="D2524" s="33" t="n">
        <v>5</v>
      </c>
      <c r="E2524" s="33" t="inlineStr">
        <is>
          <t>Initial L11-batch rating per agent3 proposal (rationale+source in 11-robotics/research/rating-proposals-2026-08-02/); briefing per-stock/ISRG/context-2026-08-02.md</t>
        </is>
      </c>
      <c r="F2524" s="33" t="inlineStr">
        <is>
          <t>per-stock/ISRG/context-2026-08-02.md</t>
        </is>
      </c>
      <c r="G2524" s="33" t="inlineStr">
        <is>
          <t>Medium</t>
        </is>
      </c>
      <c r="H2524" s="33" t="inlineStr">
        <is>
          <t>Initial</t>
        </is>
      </c>
    </row>
    <row r="2525">
      <c r="A2525" s="33" t="inlineStr">
        <is>
          <t>2026-08-02</t>
        </is>
      </c>
      <c r="B2525" s="33" t="inlineStr">
        <is>
          <t>ISRG</t>
        </is>
      </c>
      <c r="C2525" s="33" t="inlineStr">
        <is>
          <t>R4</t>
        </is>
      </c>
      <c r="D2525" s="33" t="n">
        <v>2</v>
      </c>
      <c r="E2525" s="33" t="inlineStr">
        <is>
          <t>Certified antitrust class (da Vinci/EndoWrist), trial 9/14/2027, loss not estimable; court found monopoly power in aftermarket. ISRG has won prior related cases - band 2 on the certified class + trial date.</t>
        </is>
      </c>
      <c r="F2525" s="33" t="inlineStr">
        <is>
          <t>per-stock/ISRG/context-2026-08-02.md</t>
        </is>
      </c>
      <c r="G2525" s="33" t="inlineStr">
        <is>
          <t>Medium</t>
        </is>
      </c>
      <c r="H2525" s="33" t="inlineStr">
        <is>
          <t>Initial</t>
        </is>
      </c>
    </row>
    <row r="2526">
      <c r="A2526" s="33" t="inlineStr">
        <is>
          <t>2026-08-02</t>
        </is>
      </c>
      <c r="B2526" s="33" t="inlineStr">
        <is>
          <t>ISRG</t>
        </is>
      </c>
      <c r="C2526" s="33" t="inlineStr">
        <is>
          <t>R5</t>
        </is>
      </c>
      <c r="D2526" s="33" t="n">
        <v>5</v>
      </c>
      <c r="E2526" s="33" t="inlineStr">
        <is>
          <t>Initial L11-batch rating per agent3 proposal (rationale+source in 11-robotics/research/rating-proposals-2026-08-02/); briefing per-stock/ISRG/context-2026-08-02.md</t>
        </is>
      </c>
      <c r="F2526" s="33" t="inlineStr">
        <is>
          <t>per-stock/ISRG/context-2026-08-02.md</t>
        </is>
      </c>
      <c r="G2526" s="33" t="inlineStr">
        <is>
          <t>Medium</t>
        </is>
      </c>
      <c r="H2526" s="33" t="inlineStr">
        <is>
          <t>Initial</t>
        </is>
      </c>
    </row>
    <row r="2527">
      <c r="A2527" s="33" t="inlineStr">
        <is>
          <t>2026-08-02</t>
        </is>
      </c>
      <c r="B2527" s="33" t="inlineStr">
        <is>
          <t>PRCT</t>
        </is>
      </c>
      <c r="C2527" s="33" t="inlineStr">
        <is>
          <t>D1</t>
        </is>
      </c>
      <c r="D2527" s="33" t="n">
        <v>5</v>
      </c>
      <c r="E2527" s="33" t="inlineStr">
        <is>
          <t>Initial L11-batch rating per agent3 proposal (rationale+source in 11-robotics/research/rating-proposals-2026-08-02/); briefing per-stock/PRCT/context-2026-08-02.md</t>
        </is>
      </c>
      <c r="F2527" s="33" t="inlineStr">
        <is>
          <t>per-stock/PRCT/context-2026-08-02.md</t>
        </is>
      </c>
      <c r="G2527" s="33" t="inlineStr">
        <is>
          <t>Medium</t>
        </is>
      </c>
      <c r="H2527" s="33" t="inlineStr">
        <is>
          <t>Initial</t>
        </is>
      </c>
    </row>
    <row r="2528">
      <c r="A2528" s="33" t="inlineStr">
        <is>
          <t>2026-08-02</t>
        </is>
      </c>
      <c r="B2528" s="33" t="inlineStr">
        <is>
          <t>PRCT</t>
        </is>
      </c>
      <c r="C2528" s="33" t="inlineStr">
        <is>
          <t>D2</t>
        </is>
      </c>
      <c r="D2528" s="33" t="n">
        <v>3</v>
      </c>
      <c r="E2528" s="33" t="inlineStr">
        <is>
          <t>Initial L11-batch rating per agent3 proposal (rationale+source in 11-robotics/research/rating-proposals-2026-08-02/); briefing per-stock/PRCT/context-2026-08-02.md</t>
        </is>
      </c>
      <c r="F2528" s="33" t="inlineStr">
        <is>
          <t>per-stock/PRCT/context-2026-08-02.md</t>
        </is>
      </c>
      <c r="G2528" s="33" t="inlineStr">
        <is>
          <t>Medium</t>
        </is>
      </c>
      <c r="H2528" s="33" t="inlineStr">
        <is>
          <t>Initial</t>
        </is>
      </c>
    </row>
    <row r="2529">
      <c r="A2529" s="33" t="inlineStr">
        <is>
          <t>2026-08-02</t>
        </is>
      </c>
      <c r="B2529" s="33" t="inlineStr">
        <is>
          <t>PRCT</t>
        </is>
      </c>
      <c r="C2529" s="33" t="inlineStr">
        <is>
          <t>D3</t>
        </is>
      </c>
      <c r="D2529" s="33" t="n">
        <v>3</v>
      </c>
      <c r="E2529" s="33" t="inlineStr">
        <is>
          <t>Initial L11-batch rating per agent3 proposal (rationale+source in 11-robotics/research/rating-proposals-2026-08-02/); briefing per-stock/PRCT/context-2026-08-02.md</t>
        </is>
      </c>
      <c r="F2529" s="33" t="inlineStr">
        <is>
          <t>per-stock/PRCT/context-2026-08-02.md</t>
        </is>
      </c>
      <c r="G2529" s="33" t="inlineStr">
        <is>
          <t>Medium</t>
        </is>
      </c>
      <c r="H2529" s="33" t="inlineStr">
        <is>
          <t>Initial</t>
        </is>
      </c>
    </row>
    <row r="2530">
      <c r="A2530" s="33" t="inlineStr">
        <is>
          <t>2026-08-02</t>
        </is>
      </c>
      <c r="B2530" s="33" t="inlineStr">
        <is>
          <t>PRCT</t>
        </is>
      </c>
      <c r="C2530" s="33" t="inlineStr">
        <is>
          <t>D4</t>
        </is>
      </c>
      <c r="D2530" s="33" t="n">
        <v>4</v>
      </c>
      <c r="E2530" s="33" t="inlineStr">
        <is>
          <t>Initial L11-batch rating per agent3 proposal (rationale+source in 11-robotics/research/rating-proposals-2026-08-02/); briefing per-stock/PRCT/context-2026-08-02.md</t>
        </is>
      </c>
      <c r="F2530" s="33" t="inlineStr">
        <is>
          <t>per-stock/PRCT/context-2026-08-02.md</t>
        </is>
      </c>
      <c r="G2530" s="33" t="inlineStr">
        <is>
          <t>Medium</t>
        </is>
      </c>
      <c r="H2530" s="33" t="inlineStr">
        <is>
          <t>Initial</t>
        </is>
      </c>
    </row>
    <row r="2531">
      <c r="A2531" s="33" t="inlineStr">
        <is>
          <t>2026-08-02</t>
        </is>
      </c>
      <c r="B2531" s="33" t="inlineStr">
        <is>
          <t>PRCT</t>
        </is>
      </c>
      <c r="C2531" s="33" t="inlineStr">
        <is>
          <t>D5</t>
        </is>
      </c>
      <c r="D2531" s="33" t="n">
        <v>3</v>
      </c>
      <c r="E2531" s="33" t="inlineStr">
        <is>
          <t>Initial L11-batch rating per agent3 proposal (rationale+source in 11-robotics/research/rating-proposals-2026-08-02/); briefing per-stock/PRCT/context-2026-08-02.md</t>
        </is>
      </c>
      <c r="F2531" s="33" t="inlineStr">
        <is>
          <t>per-stock/PRCT/context-2026-08-02.md</t>
        </is>
      </c>
      <c r="G2531" s="33" t="inlineStr">
        <is>
          <t>Medium</t>
        </is>
      </c>
      <c r="H2531" s="33" t="inlineStr">
        <is>
          <t>Initial</t>
        </is>
      </c>
    </row>
    <row r="2532">
      <c r="A2532" s="33" t="inlineStr">
        <is>
          <t>2026-08-02</t>
        </is>
      </c>
      <c r="B2532" s="33" t="inlineStr">
        <is>
          <t>PRCT</t>
        </is>
      </c>
      <c r="C2532" s="33" t="inlineStr">
        <is>
          <t>M1</t>
        </is>
      </c>
      <c r="D2532" s="33" t="n">
        <v>3</v>
      </c>
      <c r="E2532" s="33" t="inlineStr">
        <is>
          <t>Initial L11-batch rating per agent3 proposal (rationale+source in 11-robotics/research/rating-proposals-2026-08-02/); briefing per-stock/PRCT/context-2026-08-02.md</t>
        </is>
      </c>
      <c r="F2532" s="33" t="inlineStr">
        <is>
          <t>per-stock/PRCT/context-2026-08-02.md</t>
        </is>
      </c>
      <c r="G2532" s="33" t="inlineStr">
        <is>
          <t>Medium</t>
        </is>
      </c>
      <c r="H2532" s="33" t="inlineStr">
        <is>
          <t>Initial</t>
        </is>
      </c>
    </row>
    <row r="2533">
      <c r="A2533" s="33" t="inlineStr">
        <is>
          <t>2026-08-02</t>
        </is>
      </c>
      <c r="B2533" s="33" t="inlineStr">
        <is>
          <t>PRCT</t>
        </is>
      </c>
      <c r="C2533" s="33" t="inlineStr">
        <is>
          <t>M2</t>
        </is>
      </c>
      <c r="D2533" s="33" t="n">
        <v>1</v>
      </c>
      <c r="E2533" s="33" t="inlineStr">
        <is>
          <t>Initial L11-batch rating per agent3 proposal (rationale+source in 11-robotics/research/rating-proposals-2026-08-02/); briefing per-stock/PRCT/context-2026-08-02.md</t>
        </is>
      </c>
      <c r="F2533" s="33" t="inlineStr">
        <is>
          <t>per-stock/PRCT/context-2026-08-02.md</t>
        </is>
      </c>
      <c r="G2533" s="33" t="inlineStr">
        <is>
          <t>Medium</t>
        </is>
      </c>
      <c r="H2533" s="33" t="inlineStr">
        <is>
          <t>Initial</t>
        </is>
      </c>
    </row>
    <row r="2534">
      <c r="A2534" s="33" t="inlineStr">
        <is>
          <t>2026-08-02</t>
        </is>
      </c>
      <c r="B2534" s="33" t="inlineStr">
        <is>
          <t>PRCT</t>
        </is>
      </c>
      <c r="C2534" s="33" t="inlineStr">
        <is>
          <t>M3</t>
        </is>
      </c>
      <c r="D2534" s="33" t="n">
        <v>5</v>
      </c>
      <c r="E2534" s="33" t="inlineStr">
        <is>
          <t>Initial L11-batch rating per agent3 proposal (rationale+source in 11-robotics/research/rating-proposals-2026-08-02/); briefing per-stock/PRCT/context-2026-08-02.md</t>
        </is>
      </c>
      <c r="F2534" s="33" t="inlineStr">
        <is>
          <t>per-stock/PRCT/context-2026-08-02.md</t>
        </is>
      </c>
      <c r="G2534" s="33" t="inlineStr">
        <is>
          <t>Medium</t>
        </is>
      </c>
      <c r="H2534" s="33" t="inlineStr">
        <is>
          <t>Initial</t>
        </is>
      </c>
    </row>
    <row r="2535">
      <c r="A2535" s="33" t="inlineStr">
        <is>
          <t>2026-08-02</t>
        </is>
      </c>
      <c r="B2535" s="33" t="inlineStr">
        <is>
          <t>PRCT</t>
        </is>
      </c>
      <c r="C2535" s="33" t="inlineStr">
        <is>
          <t>R1</t>
        </is>
      </c>
      <c r="D2535" s="33" t="n">
        <v>5</v>
      </c>
      <c r="E2535" s="33" t="inlineStr">
        <is>
          <t>Initial L11-batch rating per agent3 proposal (rationale+source in 11-robotics/research/rating-proposals-2026-08-02/); briefing per-stock/PRCT/context-2026-08-02.md</t>
        </is>
      </c>
      <c r="F2535" s="33" t="inlineStr">
        <is>
          <t>per-stock/PRCT/context-2026-08-02.md</t>
        </is>
      </c>
      <c r="G2535" s="33" t="inlineStr">
        <is>
          <t>Medium</t>
        </is>
      </c>
      <c r="H2535" s="33" t="inlineStr">
        <is>
          <t>Initial</t>
        </is>
      </c>
    </row>
    <row r="2536">
      <c r="A2536" s="33" t="inlineStr">
        <is>
          <t>2026-08-02</t>
        </is>
      </c>
      <c r="B2536" s="33" t="inlineStr">
        <is>
          <t>PRCT</t>
        </is>
      </c>
      <c r="C2536" s="33" t="inlineStr">
        <is>
          <t>R2</t>
        </is>
      </c>
      <c r="D2536" s="33" t="n">
        <v>5</v>
      </c>
      <c r="E2536" s="33" t="inlineStr">
        <is>
          <t>Initial L11-batch rating per agent3 proposal (rationale+source in 11-robotics/research/rating-proposals-2026-08-02/); briefing per-stock/PRCT/context-2026-08-02.md</t>
        </is>
      </c>
      <c r="F2536" s="33" t="inlineStr">
        <is>
          <t>per-stock/PRCT/context-2026-08-02.md</t>
        </is>
      </c>
      <c r="G2536" s="33" t="inlineStr">
        <is>
          <t>Medium</t>
        </is>
      </c>
      <c r="H2536" s="33" t="inlineStr">
        <is>
          <t>Initial</t>
        </is>
      </c>
    </row>
    <row r="2537">
      <c r="A2537" s="33" t="inlineStr">
        <is>
          <t>2026-08-02</t>
        </is>
      </c>
      <c r="B2537" s="33" t="inlineStr">
        <is>
          <t>PRCT</t>
        </is>
      </c>
      <c r="C2537" s="33" t="inlineStr">
        <is>
          <t>R3</t>
        </is>
      </c>
      <c r="D2537" s="33" t="n">
        <v>4</v>
      </c>
      <c r="E2537" s="33" t="inlineStr">
        <is>
          <t>Initial L11-batch rating per agent3 proposal (rationale+source in 11-robotics/research/rating-proposals-2026-08-02/); briefing per-stock/PRCT/context-2026-08-02.md</t>
        </is>
      </c>
      <c r="F2537" s="33" t="inlineStr">
        <is>
          <t>per-stock/PRCT/context-2026-08-02.md</t>
        </is>
      </c>
      <c r="G2537" s="33" t="inlineStr">
        <is>
          <t>Medium</t>
        </is>
      </c>
      <c r="H2537" s="33" t="inlineStr">
        <is>
          <t>Initial</t>
        </is>
      </c>
    </row>
    <row r="2538">
      <c r="A2538" s="33" t="inlineStr">
        <is>
          <t>2026-08-02</t>
        </is>
      </c>
      <c r="B2538" s="33" t="inlineStr">
        <is>
          <t>PRCT</t>
        </is>
      </c>
      <c r="C2538" s="33" t="inlineStr">
        <is>
          <t>R4</t>
        </is>
      </c>
      <c r="D2538" s="33" t="n">
        <v>2</v>
      </c>
      <c r="E2538" s="33" t="inlineStr">
        <is>
          <t>Securities class action filed (N.D. Cal. 26-cv-07691, class period 2/28/24-2/25/26); sourced from law-firm releases not docket - verify at Q2 10-Q.</t>
        </is>
      </c>
      <c r="F2538" s="33" t="inlineStr">
        <is>
          <t>per-stock/PRCT/context-2026-08-02.md</t>
        </is>
      </c>
      <c r="G2538" s="33" t="inlineStr">
        <is>
          <t>Medium</t>
        </is>
      </c>
      <c r="H2538" s="33" t="inlineStr">
        <is>
          <t>Initial</t>
        </is>
      </c>
    </row>
    <row r="2539">
      <c r="A2539" s="33" t="inlineStr">
        <is>
          <t>2026-08-02</t>
        </is>
      </c>
      <c r="B2539" s="33" t="inlineStr">
        <is>
          <t>PRCT</t>
        </is>
      </c>
      <c r="C2539" s="33" t="inlineStr">
        <is>
          <t>R5</t>
        </is>
      </c>
      <c r="D2539" s="33" t="n">
        <v>5</v>
      </c>
      <c r="E2539" s="33" t="inlineStr">
        <is>
          <t>Initial L11-batch rating per agent3 proposal (rationale+source in 11-robotics/research/rating-proposals-2026-08-02/); briefing per-stock/PRCT/context-2026-08-02.md</t>
        </is>
      </c>
      <c r="F2539" s="33" t="inlineStr">
        <is>
          <t>per-stock/PRCT/context-2026-08-02.md</t>
        </is>
      </c>
      <c r="G2539" s="33" t="inlineStr">
        <is>
          <t>Medium</t>
        </is>
      </c>
      <c r="H2539" s="33" t="inlineStr">
        <is>
          <t>Initial</t>
        </is>
      </c>
    </row>
    <row r="2540">
      <c r="A2540" s="33" t="inlineStr">
        <is>
          <t>2026-08-02</t>
        </is>
      </c>
      <c r="B2540" s="33" t="inlineStr">
        <is>
          <t>GMED</t>
        </is>
      </c>
      <c r="C2540" s="33" t="inlineStr">
        <is>
          <t>D1</t>
        </is>
      </c>
      <c r="D2540" s="33" t="n">
        <v>2</v>
      </c>
      <c r="E2540" s="33" t="inlineStr">
        <is>
          <t>Disclosed Enabling Tech = 3.5% of revenue (10-Q; roster said 10-15% - corrected). Band 2 not 1 on leasing-deferral + undisclosed robot-attached implant pull-through. GMED is the weakest L11 membership case - Dom review.</t>
        </is>
      </c>
      <c r="F2540" s="33" t="inlineStr">
        <is>
          <t>per-stock/GMED/context-2026-08-02.md</t>
        </is>
      </c>
      <c r="G2540" s="33" t="inlineStr">
        <is>
          <t>Medium</t>
        </is>
      </c>
      <c r="H2540" s="33" t="inlineStr">
        <is>
          <t>Initial</t>
        </is>
      </c>
    </row>
    <row r="2541">
      <c r="A2541" s="33" t="inlineStr">
        <is>
          <t>2026-08-02</t>
        </is>
      </c>
      <c r="B2541" s="33" t="inlineStr">
        <is>
          <t>GMED</t>
        </is>
      </c>
      <c r="C2541" s="33" t="inlineStr">
        <is>
          <t>D2</t>
        </is>
      </c>
      <c r="D2541" s="33" t="n">
        <v>2</v>
      </c>
      <c r="E2541" s="33" t="inlineStr">
        <is>
          <t>Initial L11-batch rating per agent3 proposal (rationale+source in 11-robotics/research/rating-proposals-2026-08-02/); briefing per-stock/GMED/context-2026-08-02.md</t>
        </is>
      </c>
      <c r="F2541" s="33" t="inlineStr">
        <is>
          <t>per-stock/GMED/context-2026-08-02.md</t>
        </is>
      </c>
      <c r="G2541" s="33" t="inlineStr">
        <is>
          <t>Medium</t>
        </is>
      </c>
      <c r="H2541" s="33" t="inlineStr">
        <is>
          <t>Initial</t>
        </is>
      </c>
    </row>
    <row r="2542">
      <c r="A2542" s="33" t="inlineStr">
        <is>
          <t>2026-08-02</t>
        </is>
      </c>
      <c r="B2542" s="33" t="inlineStr">
        <is>
          <t>GMED</t>
        </is>
      </c>
      <c r="C2542" s="33" t="inlineStr">
        <is>
          <t>D3</t>
        </is>
      </c>
      <c r="D2542" s="33" t="n">
        <v>3</v>
      </c>
      <c r="E2542" s="33" t="inlineStr">
        <is>
          <t>Initial L11-batch rating per agent3 proposal (rationale+source in 11-robotics/research/rating-proposals-2026-08-02/); briefing per-stock/GMED/context-2026-08-02.md</t>
        </is>
      </c>
      <c r="F2542" s="33" t="inlineStr">
        <is>
          <t>per-stock/GMED/context-2026-08-02.md</t>
        </is>
      </c>
      <c r="G2542" s="33" t="inlineStr">
        <is>
          <t>Medium</t>
        </is>
      </c>
      <c r="H2542" s="33" t="inlineStr">
        <is>
          <t>Initial</t>
        </is>
      </c>
    </row>
    <row r="2543">
      <c r="A2543" s="33" t="inlineStr">
        <is>
          <t>2026-08-02</t>
        </is>
      </c>
      <c r="B2543" s="33" t="inlineStr">
        <is>
          <t>GMED</t>
        </is>
      </c>
      <c r="C2543" s="33" t="inlineStr">
        <is>
          <t>D4</t>
        </is>
      </c>
      <c r="D2543" s="33" t="n">
        <v>4</v>
      </c>
      <c r="E2543" s="33" t="inlineStr">
        <is>
          <t>Initial L11-batch rating per agent3 proposal (rationale+source in 11-robotics/research/rating-proposals-2026-08-02/); briefing per-stock/GMED/context-2026-08-02.md</t>
        </is>
      </c>
      <c r="F2543" s="33" t="inlineStr">
        <is>
          <t>per-stock/GMED/context-2026-08-02.md</t>
        </is>
      </c>
      <c r="G2543" s="33" t="inlineStr">
        <is>
          <t>Medium</t>
        </is>
      </c>
      <c r="H2543" s="33" t="inlineStr">
        <is>
          <t>Initial</t>
        </is>
      </c>
    </row>
    <row r="2544">
      <c r="A2544" s="33" t="inlineStr">
        <is>
          <t>2026-08-02</t>
        </is>
      </c>
      <c r="B2544" s="33" t="inlineStr">
        <is>
          <t>GMED</t>
        </is>
      </c>
      <c r="C2544" s="33" t="inlineStr">
        <is>
          <t>D5</t>
        </is>
      </c>
      <c r="D2544" s="33" t="n">
        <v>2</v>
      </c>
      <c r="E2544" s="33" t="inlineStr">
        <is>
          <t>Initial L11-batch rating per agent3 proposal (rationale+source in 11-robotics/research/rating-proposals-2026-08-02/); briefing per-stock/GMED/context-2026-08-02.md</t>
        </is>
      </c>
      <c r="F2544" s="33" t="inlineStr">
        <is>
          <t>per-stock/GMED/context-2026-08-02.md</t>
        </is>
      </c>
      <c r="G2544" s="33" t="inlineStr">
        <is>
          <t>Medium</t>
        </is>
      </c>
      <c r="H2544" s="33" t="inlineStr">
        <is>
          <t>Initial</t>
        </is>
      </c>
    </row>
    <row r="2545">
      <c r="A2545" s="33" t="inlineStr">
        <is>
          <t>2026-08-02</t>
        </is>
      </c>
      <c r="B2545" s="33" t="inlineStr">
        <is>
          <t>GMED</t>
        </is>
      </c>
      <c r="C2545" s="33" t="inlineStr">
        <is>
          <t>M1</t>
        </is>
      </c>
      <c r="D2545" s="33" t="n">
        <v>4</v>
      </c>
      <c r="E2545" s="33" t="inlineStr">
        <is>
          <t>Initial L11-batch rating per agent3 proposal (rationale+source in 11-robotics/research/rating-proposals-2026-08-02/); briefing per-stock/GMED/context-2026-08-02.md</t>
        </is>
      </c>
      <c r="F2545" s="33" t="inlineStr">
        <is>
          <t>per-stock/GMED/context-2026-08-02.md</t>
        </is>
      </c>
      <c r="G2545" s="33" t="inlineStr">
        <is>
          <t>Medium</t>
        </is>
      </c>
      <c r="H2545" s="33" t="inlineStr">
        <is>
          <t>Initial</t>
        </is>
      </c>
    </row>
    <row r="2546">
      <c r="A2546" s="33" t="inlineStr">
        <is>
          <t>2026-08-02</t>
        </is>
      </c>
      <c r="B2546" s="33" t="inlineStr">
        <is>
          <t>GMED</t>
        </is>
      </c>
      <c r="C2546" s="33" t="inlineStr">
        <is>
          <t>M2</t>
        </is>
      </c>
      <c r="D2546" s="33" t="n">
        <v>3</v>
      </c>
      <c r="E2546" s="33" t="inlineStr">
        <is>
          <t>MAIN-LOOP OVERRIDE 5-&gt;3: agent used 12-mo window (+47% vs IHI); rubric 3-6mo window shows ~-20%, below 50/200DMA. Overridden for cross-cohort consistency (Yaskawa/Daifuku rated on rubric window).</t>
        </is>
      </c>
      <c r="F2546" s="33" t="inlineStr">
        <is>
          <t>per-stock/GMED/context-2026-08-02.md</t>
        </is>
      </c>
      <c r="G2546" s="33" t="inlineStr">
        <is>
          <t>Medium</t>
        </is>
      </c>
      <c r="H2546" s="33" t="inlineStr">
        <is>
          <t>Initial</t>
        </is>
      </c>
    </row>
    <row r="2547">
      <c r="A2547" s="33" t="inlineStr">
        <is>
          <t>2026-08-02</t>
        </is>
      </c>
      <c r="B2547" s="33" t="inlineStr">
        <is>
          <t>GMED</t>
        </is>
      </c>
      <c r="C2547" s="33" t="inlineStr">
        <is>
          <t>M3</t>
        </is>
      </c>
      <c r="D2547" s="33" t="n">
        <v>3</v>
      </c>
      <c r="E2547" s="33" t="inlineStr">
        <is>
          <t>Initial L11-batch rating per agent3 proposal (rationale+source in 11-robotics/research/rating-proposals-2026-08-02/); briefing per-stock/GMED/context-2026-08-02.md</t>
        </is>
      </c>
      <c r="F2547" s="33" t="inlineStr">
        <is>
          <t>per-stock/GMED/context-2026-08-02.md</t>
        </is>
      </c>
      <c r="G2547" s="33" t="inlineStr">
        <is>
          <t>Medium</t>
        </is>
      </c>
      <c r="H2547" s="33" t="inlineStr">
        <is>
          <t>Initial</t>
        </is>
      </c>
    </row>
    <row r="2548">
      <c r="A2548" s="33" t="inlineStr">
        <is>
          <t>2026-08-02</t>
        </is>
      </c>
      <c r="B2548" s="33" t="inlineStr">
        <is>
          <t>GMED</t>
        </is>
      </c>
      <c r="C2548" s="33" t="inlineStr">
        <is>
          <t>R1</t>
        </is>
      </c>
      <c r="D2548" s="33" t="n">
        <v>5</v>
      </c>
      <c r="E2548" s="33" t="inlineStr">
        <is>
          <t>Initial L11-batch rating per agent3 proposal (rationale+source in 11-robotics/research/rating-proposals-2026-08-02/); briefing per-stock/GMED/context-2026-08-02.md</t>
        </is>
      </c>
      <c r="F2548" s="33" t="inlineStr">
        <is>
          <t>per-stock/GMED/context-2026-08-02.md</t>
        </is>
      </c>
      <c r="G2548" s="33" t="inlineStr">
        <is>
          <t>Medium</t>
        </is>
      </c>
      <c r="H2548" s="33" t="inlineStr">
        <is>
          <t>Initial</t>
        </is>
      </c>
    </row>
    <row r="2549">
      <c r="A2549" s="33" t="inlineStr">
        <is>
          <t>2026-08-02</t>
        </is>
      </c>
      <c r="B2549" s="33" t="inlineStr">
        <is>
          <t>GMED</t>
        </is>
      </c>
      <c r="C2549" s="33" t="inlineStr">
        <is>
          <t>R2</t>
        </is>
      </c>
      <c r="D2549" s="33" t="n">
        <v>5</v>
      </c>
      <c r="E2549" s="33" t="inlineStr">
        <is>
          <t>Initial L11-batch rating per agent3 proposal (rationale+source in 11-robotics/research/rating-proposals-2026-08-02/); briefing per-stock/GMED/context-2026-08-02.md</t>
        </is>
      </c>
      <c r="F2549" s="33" t="inlineStr">
        <is>
          <t>per-stock/GMED/context-2026-08-02.md</t>
        </is>
      </c>
      <c r="G2549" s="33" t="inlineStr">
        <is>
          <t>Medium</t>
        </is>
      </c>
      <c r="H2549" s="33" t="inlineStr">
        <is>
          <t>Initial</t>
        </is>
      </c>
    </row>
    <row r="2550">
      <c r="A2550" s="33" t="inlineStr">
        <is>
          <t>2026-08-02</t>
        </is>
      </c>
      <c r="B2550" s="33" t="inlineStr">
        <is>
          <t>GMED</t>
        </is>
      </c>
      <c r="C2550" s="33" t="inlineStr">
        <is>
          <t>R3</t>
        </is>
      </c>
      <c r="D2550" s="33" t="n">
        <v>5</v>
      </c>
      <c r="E2550" s="33" t="inlineStr">
        <is>
          <t>Initial L11-batch rating per agent3 proposal (rationale+source in 11-robotics/research/rating-proposals-2026-08-02/); briefing per-stock/GMED/context-2026-08-02.md</t>
        </is>
      </c>
      <c r="F2550" s="33" t="inlineStr">
        <is>
          <t>per-stock/GMED/context-2026-08-02.md</t>
        </is>
      </c>
      <c r="G2550" s="33" t="inlineStr">
        <is>
          <t>Medium</t>
        </is>
      </c>
      <c r="H2550" s="33" t="inlineStr">
        <is>
          <t>Initial</t>
        </is>
      </c>
    </row>
    <row r="2551">
      <c r="A2551" s="33" t="inlineStr">
        <is>
          <t>2026-08-02</t>
        </is>
      </c>
      <c r="B2551" s="33" t="inlineStr">
        <is>
          <t>GMED</t>
        </is>
      </c>
      <c r="C2551" s="33" t="inlineStr">
        <is>
          <t>R4</t>
        </is>
      </c>
      <c r="D2551" s="33" t="n">
        <v>3</v>
      </c>
      <c r="E2551" s="33" t="inlineStr">
        <is>
          <t>Initial L11-batch rating per agent3 proposal (rationale+source in 11-robotics/research/rating-proposals-2026-08-02/); briefing per-stock/GMED/context-2026-08-02.md</t>
        </is>
      </c>
      <c r="F2551" s="33" t="inlineStr">
        <is>
          <t>per-stock/GMED/context-2026-08-02.md</t>
        </is>
      </c>
      <c r="G2551" s="33" t="inlineStr">
        <is>
          <t>Medium</t>
        </is>
      </c>
      <c r="H2551" s="33" t="inlineStr">
        <is>
          <t>Initial</t>
        </is>
      </c>
    </row>
    <row r="2552">
      <c r="A2552" s="33" t="inlineStr">
        <is>
          <t>2026-08-02</t>
        </is>
      </c>
      <c r="B2552" s="33" t="inlineStr">
        <is>
          <t>GMED</t>
        </is>
      </c>
      <c r="C2552" s="33" t="inlineStr">
        <is>
          <t>R5</t>
        </is>
      </c>
      <c r="D2552" s="33" t="n">
        <v>5</v>
      </c>
      <c r="E2552" s="33" t="inlineStr">
        <is>
          <t>Initial L11-batch rating per agent3 proposal (rationale+source in 11-robotics/research/rating-proposals-2026-08-02/); briefing per-stock/GMED/context-2026-08-02.md</t>
        </is>
      </c>
      <c r="F2552" s="33" t="inlineStr">
        <is>
          <t>per-stock/GMED/context-2026-08-02.md</t>
        </is>
      </c>
      <c r="G2552" s="33" t="inlineStr">
        <is>
          <t>Medium</t>
        </is>
      </c>
      <c r="H2552" s="33" t="inlineStr">
        <is>
          <t>Initial</t>
        </is>
      </c>
    </row>
    <row r="2553">
      <c r="A2553" s="33" t="inlineStr">
        <is>
          <t>2026-08-02</t>
        </is>
      </c>
      <c r="B2553" s="33" t="inlineStr">
        <is>
          <t>SSII</t>
        </is>
      </c>
      <c r="C2553" s="33" t="inlineStr">
        <is>
          <t>D1</t>
        </is>
      </c>
      <c r="D2553" s="33" t="n">
        <v>5</v>
      </c>
      <c r="E2553" s="33" t="inlineStr">
        <is>
          <t>Initial L11-batch rating per agent3 proposal (rationale+source in 11-robotics/research/rating-proposals-2026-08-02/); briefing per-stock/SSII/context-2026-08-02.md</t>
        </is>
      </c>
      <c r="F2553" s="33" t="inlineStr">
        <is>
          <t>per-stock/SSII/context-2026-08-02.md</t>
        </is>
      </c>
      <c r="G2553" s="33" t="inlineStr">
        <is>
          <t>Medium</t>
        </is>
      </c>
      <c r="H2553" s="33" t="inlineStr">
        <is>
          <t>Initial</t>
        </is>
      </c>
    </row>
    <row r="2554">
      <c r="A2554" s="33" t="inlineStr">
        <is>
          <t>2026-08-02</t>
        </is>
      </c>
      <c r="B2554" s="33" t="inlineStr">
        <is>
          <t>SSII</t>
        </is>
      </c>
      <c r="C2554" s="33" t="inlineStr">
        <is>
          <t>D2</t>
        </is>
      </c>
      <c r="D2554" s="33" t="n">
        <v>2</v>
      </c>
      <c r="E2554" s="33" t="inlineStr">
        <is>
          <t>Initial L11-batch rating per agent3 proposal (rationale+source in 11-robotics/research/rating-proposals-2026-08-02/); briefing per-stock/SSII/context-2026-08-02.md</t>
        </is>
      </c>
      <c r="F2554" s="33" t="inlineStr">
        <is>
          <t>per-stock/SSII/context-2026-08-02.md</t>
        </is>
      </c>
      <c r="G2554" s="33" t="inlineStr">
        <is>
          <t>Medium</t>
        </is>
      </c>
      <c r="H2554" s="33" t="inlineStr">
        <is>
          <t>Initial</t>
        </is>
      </c>
    </row>
    <row r="2555">
      <c r="A2555" s="33" t="inlineStr">
        <is>
          <t>2026-08-02</t>
        </is>
      </c>
      <c r="B2555" s="33" t="inlineStr">
        <is>
          <t>SSII</t>
        </is>
      </c>
      <c r="C2555" s="33" t="inlineStr">
        <is>
          <t>D3</t>
        </is>
      </c>
      <c r="D2555" s="33" t="n">
        <v>2</v>
      </c>
      <c r="E2555" s="33" t="inlineStr">
        <is>
          <t>Initial L11-batch rating per agent3 proposal (rationale+source in 11-robotics/research/rating-proposals-2026-08-02/); briefing per-stock/SSII/context-2026-08-02.md</t>
        </is>
      </c>
      <c r="F2555" s="33" t="inlineStr">
        <is>
          <t>per-stock/SSII/context-2026-08-02.md</t>
        </is>
      </c>
      <c r="G2555" s="33" t="inlineStr">
        <is>
          <t>Medium</t>
        </is>
      </c>
      <c r="H2555" s="33" t="inlineStr">
        <is>
          <t>Initial</t>
        </is>
      </c>
    </row>
    <row r="2556">
      <c r="A2556" s="33" t="inlineStr">
        <is>
          <t>2026-08-02</t>
        </is>
      </c>
      <c r="B2556" s="33" t="inlineStr">
        <is>
          <t>SSII</t>
        </is>
      </c>
      <c r="C2556" s="33" t="inlineStr">
        <is>
          <t>D4</t>
        </is>
      </c>
      <c r="D2556" s="33" t="n">
        <v>4</v>
      </c>
      <c r="E2556" s="33" t="inlineStr">
        <is>
          <t>Initial L11-batch rating per agent3 proposal (rationale+source in 11-robotics/research/rating-proposals-2026-08-02/); briefing per-stock/SSII/context-2026-08-02.md</t>
        </is>
      </c>
      <c r="F2556" s="33" t="inlineStr">
        <is>
          <t>per-stock/SSII/context-2026-08-02.md</t>
        </is>
      </c>
      <c r="G2556" s="33" t="inlineStr">
        <is>
          <t>Medium</t>
        </is>
      </c>
      <c r="H2556" s="33" t="inlineStr">
        <is>
          <t>Initial</t>
        </is>
      </c>
    </row>
    <row r="2557">
      <c r="A2557" s="33" t="inlineStr">
        <is>
          <t>2026-08-02</t>
        </is>
      </c>
      <c r="B2557" s="33" t="inlineStr">
        <is>
          <t>SSII</t>
        </is>
      </c>
      <c r="C2557" s="33" t="inlineStr">
        <is>
          <t>D5</t>
        </is>
      </c>
      <c r="D2557" s="33" t="n">
        <v>2</v>
      </c>
      <c r="E2557" s="33" t="inlineStr">
        <is>
          <t>Initial L11-batch rating per agent3 proposal (rationale+source in 11-robotics/research/rating-proposals-2026-08-02/); briefing per-stock/SSII/context-2026-08-02.md</t>
        </is>
      </c>
      <c r="F2557" s="33" t="inlineStr">
        <is>
          <t>per-stock/SSII/context-2026-08-02.md</t>
        </is>
      </c>
      <c r="G2557" s="33" t="inlineStr">
        <is>
          <t>Medium</t>
        </is>
      </c>
      <c r="H2557" s="33" t="inlineStr">
        <is>
          <t>Initial</t>
        </is>
      </c>
    </row>
    <row r="2558">
      <c r="A2558" s="33" t="inlineStr">
        <is>
          <t>2026-08-02</t>
        </is>
      </c>
      <c r="B2558" s="33" t="inlineStr">
        <is>
          <t>SSII</t>
        </is>
      </c>
      <c r="C2558" s="33" t="inlineStr">
        <is>
          <t>M1</t>
        </is>
      </c>
      <c r="D2558" s="33" t="n">
        <v>3</v>
      </c>
      <c r="E2558" s="33" t="inlineStr">
        <is>
          <t>Initial L11-batch rating per agent3 proposal (rationale+source in 11-robotics/research/rating-proposals-2026-08-02/); briefing per-stock/SSII/context-2026-08-02.md</t>
        </is>
      </c>
      <c r="F2558" s="33" t="inlineStr">
        <is>
          <t>per-stock/SSII/context-2026-08-02.md</t>
        </is>
      </c>
      <c r="G2558" s="33" t="inlineStr">
        <is>
          <t>Medium</t>
        </is>
      </c>
      <c r="H2558" s="33" t="inlineStr">
        <is>
          <t>Initial</t>
        </is>
      </c>
    </row>
    <row r="2559">
      <c r="A2559" s="33" t="inlineStr">
        <is>
          <t>2026-08-02</t>
        </is>
      </c>
      <c r="B2559" s="33" t="inlineStr">
        <is>
          <t>SSII</t>
        </is>
      </c>
      <c r="C2559" s="33" t="inlineStr">
        <is>
          <t>M2</t>
        </is>
      </c>
      <c r="D2559" s="33" t="n">
        <v>1</v>
      </c>
      <c r="E2559" s="33" t="inlineStr">
        <is>
          <t>Initial L11-batch rating per agent3 proposal (rationale+source in 11-robotics/research/rating-proposals-2026-08-02/); briefing per-stock/SSII/context-2026-08-02.md</t>
        </is>
      </c>
      <c r="F2559" s="33" t="inlineStr">
        <is>
          <t>per-stock/SSII/context-2026-08-02.md</t>
        </is>
      </c>
      <c r="G2559" s="33" t="inlineStr">
        <is>
          <t>Medium</t>
        </is>
      </c>
      <c r="H2559" s="33" t="inlineStr">
        <is>
          <t>Initial</t>
        </is>
      </c>
    </row>
    <row r="2560">
      <c r="A2560" s="33" t="inlineStr">
        <is>
          <t>2026-08-02</t>
        </is>
      </c>
      <c r="B2560" s="33" t="inlineStr">
        <is>
          <t>SSII</t>
        </is>
      </c>
      <c r="C2560" s="33" t="inlineStr">
        <is>
          <t>M3</t>
        </is>
      </c>
      <c r="D2560" s="33" t="n">
        <v>4</v>
      </c>
      <c r="E2560" s="33" t="inlineStr">
        <is>
          <t>EDGE CASE: 3 insiders bought $5.2M in a 3/6/26 PLACEMENT at ~33% premium to outside investors (incl. Fred Moll $2.0M). Not open-market so step-1 five not literal; 4 splits placement-vs-open-market. Dom review. NOTE: SSII DOES file Form 4s (roster corrected).</t>
        </is>
      </c>
      <c r="F2560" s="33" t="inlineStr">
        <is>
          <t>per-stock/SSII/context-2026-08-02.md</t>
        </is>
      </c>
      <c r="G2560" s="33" t="inlineStr">
        <is>
          <t>Medium</t>
        </is>
      </c>
      <c r="H2560" s="33" t="inlineStr">
        <is>
          <t>Initial</t>
        </is>
      </c>
    </row>
    <row r="2561">
      <c r="A2561" s="33" t="inlineStr">
        <is>
          <t>2026-08-02</t>
        </is>
      </c>
      <c r="B2561" s="33" t="inlineStr">
        <is>
          <t>SSII</t>
        </is>
      </c>
      <c r="C2561" s="33" t="inlineStr">
        <is>
          <t>R1</t>
        </is>
      </c>
      <c r="D2561" s="33" t="n">
        <v>4</v>
      </c>
      <c r="E2561" s="33" t="inlineStr">
        <is>
          <t>Initial L11-batch rating per agent3 proposal (rationale+source in 11-robotics/research/rating-proposals-2026-08-02/); briefing per-stock/SSII/context-2026-08-02.md</t>
        </is>
      </c>
      <c r="F2561" s="33" t="inlineStr">
        <is>
          <t>per-stock/SSII/context-2026-08-02.md</t>
        </is>
      </c>
      <c r="G2561" s="33" t="inlineStr">
        <is>
          <t>Medium</t>
        </is>
      </c>
      <c r="H2561" s="33" t="inlineStr">
        <is>
          <t>Initial</t>
        </is>
      </c>
    </row>
    <row r="2562">
      <c r="A2562" s="33" t="inlineStr">
        <is>
          <t>2026-08-02</t>
        </is>
      </c>
      <c r="B2562" s="33" t="inlineStr">
        <is>
          <t>SSII</t>
        </is>
      </c>
      <c r="C2562" s="33" t="inlineStr">
        <is>
          <t>R2</t>
        </is>
      </c>
      <c r="D2562" s="33" t="n">
        <v>2</v>
      </c>
      <c r="E2562" s="33" t="inlineStr">
        <is>
          <t>Initial L11-batch rating per agent3 proposal (rationale+source in 11-robotics/research/rating-proposals-2026-08-02/); briefing per-stock/SSII/context-2026-08-02.md</t>
        </is>
      </c>
      <c r="F2562" s="33" t="inlineStr">
        <is>
          <t>per-stock/SSII/context-2026-08-02.md</t>
        </is>
      </c>
      <c r="G2562" s="33" t="inlineStr">
        <is>
          <t>Medium</t>
        </is>
      </c>
      <c r="H2562" s="33" t="inlineStr">
        <is>
          <t>Initial</t>
        </is>
      </c>
    </row>
    <row r="2563">
      <c r="A2563" s="33" t="inlineStr">
        <is>
          <t>2026-08-02</t>
        </is>
      </c>
      <c r="B2563" s="33" t="inlineStr">
        <is>
          <t>SSII</t>
        </is>
      </c>
      <c r="C2563" s="33" t="inlineStr">
        <is>
          <t>R3</t>
        </is>
      </c>
      <c r="D2563" s="33" t="n">
        <v>1</v>
      </c>
      <c r="E2563" s="33" t="inlineStr">
        <is>
          <t>Band 1: explicit substantial-doubt going-concern language; dependent on related parties; $28M affiliate convert struck $1.38 vs $3.98 price; $50M ATM opened 6/18/26.</t>
        </is>
      </c>
      <c r="F2563" s="33" t="inlineStr">
        <is>
          <t>per-stock/SSII/context-2026-08-02.md</t>
        </is>
      </c>
      <c r="G2563" s="33" t="inlineStr">
        <is>
          <t>Medium</t>
        </is>
      </c>
      <c r="H2563" s="33" t="inlineStr">
        <is>
          <t>Initial</t>
        </is>
      </c>
    </row>
    <row r="2564">
      <c r="A2564" s="33" t="inlineStr">
        <is>
          <t>2026-08-02</t>
        </is>
      </c>
      <c r="B2564" s="33" t="inlineStr">
        <is>
          <t>SSII</t>
        </is>
      </c>
      <c r="C2564" s="33" t="inlineStr">
        <is>
          <t>R4</t>
        </is>
      </c>
      <c r="D2564" s="33" t="n">
        <v>3</v>
      </c>
      <c r="E2564" s="33" t="inlineStr">
        <is>
          <t>Initial L11-batch rating per agent3 proposal (rationale+source in 11-robotics/research/rating-proposals-2026-08-02/); briefing per-stock/SSII/context-2026-08-02.md</t>
        </is>
      </c>
      <c r="F2564" s="33" t="inlineStr">
        <is>
          <t>per-stock/SSII/context-2026-08-02.md</t>
        </is>
      </c>
      <c r="G2564" s="33" t="inlineStr">
        <is>
          <t>Medium</t>
        </is>
      </c>
      <c r="H2564" s="33" t="inlineStr">
        <is>
          <t>Initial</t>
        </is>
      </c>
    </row>
    <row r="2565">
      <c r="A2565" s="33" t="inlineStr">
        <is>
          <t>2026-08-02</t>
        </is>
      </c>
      <c r="B2565" s="33" t="inlineStr">
        <is>
          <t>SSII</t>
        </is>
      </c>
      <c r="C2565" s="33" t="inlineStr">
        <is>
          <t>R5</t>
        </is>
      </c>
      <c r="D2565" s="33" t="n">
        <v>5</v>
      </c>
      <c r="E2565" s="33" t="inlineStr">
        <is>
          <t>Initial L11-batch rating per agent3 proposal (rationale+source in 11-robotics/research/rating-proposals-2026-08-02/); briefing per-stock/SSII/context-2026-08-02.md</t>
        </is>
      </c>
      <c r="F2565" s="33" t="inlineStr">
        <is>
          <t>per-stock/SSII/context-2026-08-02.md</t>
        </is>
      </c>
      <c r="G2565" s="33" t="inlineStr">
        <is>
          <t>Medium</t>
        </is>
      </c>
      <c r="H2565" s="33" t="inlineStr">
        <is>
          <t>Initial</t>
        </is>
      </c>
    </row>
    <row r="2566">
      <c r="A2566" s="33" t="inlineStr">
        <is>
          <t>2026-08-02</t>
        </is>
      </c>
      <c r="B2566" s="33" t="inlineStr">
        <is>
          <t>2252.HK</t>
        </is>
      </c>
      <c r="C2566" s="33" t="inlineStr">
        <is>
          <t>D1</t>
        </is>
      </c>
      <c r="D2566" s="33" t="n">
        <v>5</v>
      </c>
      <c r="E2566" s="33" t="inlineStr">
        <is>
          <t>Initial L11-batch rating per agent3 proposal (rationale+source in 11-robotics/research/rating-proposals-2026-08-02/); briefing per-stock/2252.HK/context-2026-08-02.md</t>
        </is>
      </c>
      <c r="F2566" s="33" t="inlineStr">
        <is>
          <t>per-stock/2252.HK/context-2026-08-02.md</t>
        </is>
      </c>
      <c r="G2566" s="33" t="inlineStr">
        <is>
          <t>Medium</t>
        </is>
      </c>
      <c r="H2566" s="33" t="inlineStr">
        <is>
          <t>Initial</t>
        </is>
      </c>
    </row>
    <row r="2567">
      <c r="A2567" s="33" t="inlineStr">
        <is>
          <t>2026-08-02</t>
        </is>
      </c>
      <c r="B2567" s="33" t="inlineStr">
        <is>
          <t>2252.HK</t>
        </is>
      </c>
      <c r="C2567" s="33" t="inlineStr">
        <is>
          <t>D2</t>
        </is>
      </c>
      <c r="D2567" s="33" t="n">
        <v>3</v>
      </c>
      <c r="E2567" s="33" t="inlineStr">
        <is>
          <t>Initial L11-batch rating per agent3 proposal (rationale+source in 11-robotics/research/rating-proposals-2026-08-02/); briefing per-stock/2252.HK/context-2026-08-02.md</t>
        </is>
      </c>
      <c r="F2567" s="33" t="inlineStr">
        <is>
          <t>per-stock/2252.HK/context-2026-08-02.md</t>
        </is>
      </c>
      <c r="G2567" s="33" t="inlineStr">
        <is>
          <t>Medium</t>
        </is>
      </c>
      <c r="H2567" s="33" t="inlineStr">
        <is>
          <t>Initial</t>
        </is>
      </c>
    </row>
    <row r="2568">
      <c r="A2568" s="33" t="inlineStr">
        <is>
          <t>2026-08-02</t>
        </is>
      </c>
      <c r="B2568" s="33" t="inlineStr">
        <is>
          <t>2252.HK</t>
        </is>
      </c>
      <c r="C2568" s="33" t="inlineStr">
        <is>
          <t>D3</t>
        </is>
      </c>
      <c r="D2568" s="33" t="n">
        <v>3</v>
      </c>
      <c r="E2568" s="33" t="inlineStr">
        <is>
          <t>Initial L11-batch rating per agent3 proposal (rationale+source in 11-robotics/research/rating-proposals-2026-08-02/); briefing per-stock/2252.HK/context-2026-08-02.md</t>
        </is>
      </c>
      <c r="F2568" s="33" t="inlineStr">
        <is>
          <t>per-stock/2252.HK/context-2026-08-02.md</t>
        </is>
      </c>
      <c r="G2568" s="33" t="inlineStr">
        <is>
          <t>Medium</t>
        </is>
      </c>
      <c r="H2568" s="33" t="inlineStr">
        <is>
          <t>Initial</t>
        </is>
      </c>
    </row>
    <row r="2569">
      <c r="A2569" s="33" t="inlineStr">
        <is>
          <t>2026-08-02</t>
        </is>
      </c>
      <c r="B2569" s="33" t="inlineStr">
        <is>
          <t>2252.HK</t>
        </is>
      </c>
      <c r="C2569" s="33" t="inlineStr">
        <is>
          <t>D4</t>
        </is>
      </c>
      <c r="D2569" s="33" t="n">
        <v>5</v>
      </c>
      <c r="E2569" s="33" t="inlineStr">
        <is>
          <t>Initial L11-batch rating per agent3 proposal (rationale+source in 11-robotics/research/rating-proposals-2026-08-02/); briefing per-stock/2252.HK/context-2026-08-02.md</t>
        </is>
      </c>
      <c r="F2569" s="33" t="inlineStr">
        <is>
          <t>per-stock/2252.HK/context-2026-08-02.md</t>
        </is>
      </c>
      <c r="G2569" s="33" t="inlineStr">
        <is>
          <t>Medium</t>
        </is>
      </c>
      <c r="H2569" s="33" t="inlineStr">
        <is>
          <t>Initial</t>
        </is>
      </c>
    </row>
    <row r="2570">
      <c r="A2570" s="33" t="inlineStr">
        <is>
          <t>2026-08-02</t>
        </is>
      </c>
      <c r="B2570" s="33" t="inlineStr">
        <is>
          <t>2252.HK</t>
        </is>
      </c>
      <c r="C2570" s="33" t="inlineStr">
        <is>
          <t>D5</t>
        </is>
      </c>
      <c r="D2570" s="33" t="n">
        <v>3</v>
      </c>
      <c r="E2570" s="33" t="inlineStr">
        <is>
          <t>Initial L11-batch rating per agent3 proposal (rationale+source in 11-robotics/research/rating-proposals-2026-08-02/); briefing per-stock/2252.HK/context-2026-08-02.md</t>
        </is>
      </c>
      <c r="F2570" s="33" t="inlineStr">
        <is>
          <t>per-stock/2252.HK/context-2026-08-02.md</t>
        </is>
      </c>
      <c r="G2570" s="33" t="inlineStr">
        <is>
          <t>Medium</t>
        </is>
      </c>
      <c r="H2570" s="33" t="inlineStr">
        <is>
          <t>Initial</t>
        </is>
      </c>
    </row>
    <row r="2571">
      <c r="A2571" s="33" t="inlineStr">
        <is>
          <t>2026-08-02</t>
        </is>
      </c>
      <c r="B2571" s="33" t="inlineStr">
        <is>
          <t>2252.HK</t>
        </is>
      </c>
      <c r="C2571" s="33" t="inlineStr">
        <is>
          <t>M1</t>
        </is>
      </c>
      <c r="D2571" s="33" t="n">
        <v>4</v>
      </c>
      <c r="E2571" s="33" t="inlineStr">
        <is>
          <t>Initial L11-batch rating per agent3 proposal (rationale+source in 11-robotics/research/rating-proposals-2026-08-02/); briefing per-stock/2252.HK/context-2026-08-02.md</t>
        </is>
      </c>
      <c r="F2571" s="33" t="inlineStr">
        <is>
          <t>per-stock/2252.HK/context-2026-08-02.md</t>
        </is>
      </c>
      <c r="G2571" s="33" t="inlineStr">
        <is>
          <t>Medium</t>
        </is>
      </c>
      <c r="H2571" s="33" t="inlineStr">
        <is>
          <t>Initial</t>
        </is>
      </c>
    </row>
    <row r="2572">
      <c r="A2572" s="33" t="inlineStr">
        <is>
          <t>2026-08-02</t>
        </is>
      </c>
      <c r="B2572" s="33" t="inlineStr">
        <is>
          <t>2252.HK</t>
        </is>
      </c>
      <c r="C2572" s="33" t="inlineStr">
        <is>
          <t>M2</t>
        </is>
      </c>
      <c r="D2572" s="33" t="n">
        <v>3</v>
      </c>
      <c r="E2572" s="33" t="inlineStr">
        <is>
          <t>Initial L11-batch rating per agent3 proposal (rationale+source in 11-robotics/research/rating-proposals-2026-08-02/); briefing per-stock/2252.HK/context-2026-08-02.md</t>
        </is>
      </c>
      <c r="F2572" s="33" t="inlineStr">
        <is>
          <t>per-stock/2252.HK/context-2026-08-02.md</t>
        </is>
      </c>
      <c r="G2572" s="33" t="inlineStr">
        <is>
          <t>Medium</t>
        </is>
      </c>
      <c r="H2572" s="33" t="inlineStr">
        <is>
          <t>Initial</t>
        </is>
      </c>
    </row>
    <row r="2573">
      <c r="A2573" s="33" t="inlineStr">
        <is>
          <t>2026-08-02</t>
        </is>
      </c>
      <c r="B2573" s="33" t="inlineStr">
        <is>
          <t>2252.HK</t>
        </is>
      </c>
      <c r="C2573" s="33" t="inlineStr">
        <is>
          <t>M3</t>
        </is>
      </c>
      <c r="D2573" s="33" t="n">
        <v>3</v>
      </c>
      <c r="E2573" s="33" t="inlineStr">
        <is>
          <t>Initial L11-batch rating per agent3 proposal (rationale+source in 11-robotics/research/rating-proposals-2026-08-02/); briefing per-stock/2252.HK/context-2026-08-02.md</t>
        </is>
      </c>
      <c r="F2573" s="33" t="inlineStr">
        <is>
          <t>per-stock/2252.HK/context-2026-08-02.md</t>
        </is>
      </c>
      <c r="G2573" s="33" t="inlineStr">
        <is>
          <t>Medium</t>
        </is>
      </c>
      <c r="H2573" s="33" t="inlineStr">
        <is>
          <t>Initial</t>
        </is>
      </c>
    </row>
    <row r="2574">
      <c r="A2574" s="33" t="inlineStr">
        <is>
          <t>2026-08-02</t>
        </is>
      </c>
      <c r="B2574" s="33" t="inlineStr">
        <is>
          <t>2252.HK</t>
        </is>
      </c>
      <c r="C2574" s="33" t="inlineStr">
        <is>
          <t>R1</t>
        </is>
      </c>
      <c r="D2574" s="33" t="n">
        <v>4</v>
      </c>
      <c r="E2574" s="33" t="inlineStr">
        <is>
          <t>Initial L11-batch rating per agent3 proposal (rationale+source in 11-robotics/research/rating-proposals-2026-08-02/); briefing per-stock/2252.HK/context-2026-08-02.md</t>
        </is>
      </c>
      <c r="F2574" s="33" t="inlineStr">
        <is>
          <t>per-stock/2252.HK/context-2026-08-02.md</t>
        </is>
      </c>
      <c r="G2574" s="33" t="inlineStr">
        <is>
          <t>Medium</t>
        </is>
      </c>
      <c r="H2574" s="33" t="inlineStr">
        <is>
          <t>Initial</t>
        </is>
      </c>
    </row>
    <row r="2575">
      <c r="A2575" s="33" t="inlineStr">
        <is>
          <t>2026-08-02</t>
        </is>
      </c>
      <c r="B2575" s="33" t="inlineStr">
        <is>
          <t>2252.HK</t>
        </is>
      </c>
      <c r="C2575" s="33" t="inlineStr">
        <is>
          <t>R2</t>
        </is>
      </c>
      <c r="D2575" s="33" t="n">
        <v>2</v>
      </c>
      <c r="E2575" s="33" t="inlineStr">
        <is>
          <t>Initial L11-batch rating per agent3 proposal (rationale+source in 11-robotics/research/rating-proposals-2026-08-02/); briefing per-stock/2252.HK/context-2026-08-02.md</t>
        </is>
      </c>
      <c r="F2575" s="33" t="inlineStr">
        <is>
          <t>per-stock/2252.HK/context-2026-08-02.md</t>
        </is>
      </c>
      <c r="G2575" s="33" t="inlineStr">
        <is>
          <t>Medium</t>
        </is>
      </c>
      <c r="H2575" s="33" t="inlineStr">
        <is>
          <t>Initial</t>
        </is>
      </c>
    </row>
    <row r="2576">
      <c r="A2576" s="33" t="inlineStr">
        <is>
          <t>2026-08-02</t>
        </is>
      </c>
      <c r="B2576" s="33" t="inlineStr">
        <is>
          <t>2252.HK</t>
        </is>
      </c>
      <c r="C2576" s="33" t="inlineStr">
        <is>
          <t>R3</t>
        </is>
      </c>
      <c r="D2576" s="33" t="n">
        <v>2</v>
      </c>
      <c r="E2576" s="33" t="inlineStr">
        <is>
          <t>Initial L11-batch rating per agent3 proposal (rationale+source in 11-robotics/research/rating-proposals-2026-08-02/); briefing per-stock/2252.HK/context-2026-08-02.md</t>
        </is>
      </c>
      <c r="F2576" s="33" t="inlineStr">
        <is>
          <t>per-stock/2252.HK/context-2026-08-02.md</t>
        </is>
      </c>
      <c r="G2576" s="33" t="inlineStr">
        <is>
          <t>Medium</t>
        </is>
      </c>
      <c r="H2576" s="33" t="inlineStr">
        <is>
          <t>Initial</t>
        </is>
      </c>
    </row>
    <row r="2577">
      <c r="A2577" s="33" t="inlineStr">
        <is>
          <t>2026-08-02</t>
        </is>
      </c>
      <c r="B2577" s="33" t="inlineStr">
        <is>
          <t>2252.HK</t>
        </is>
      </c>
      <c r="C2577" s="33" t="inlineStr">
        <is>
          <t>R4</t>
        </is>
      </c>
      <c r="D2577" s="33" t="n">
        <v>3</v>
      </c>
      <c r="E2577" s="33" t="inlineStr">
        <is>
          <t>Initial L11-batch rating per agent3 proposal (rationale+source in 11-robotics/research/rating-proposals-2026-08-02/); briefing per-stock/2252.HK/context-2026-08-02.md</t>
        </is>
      </c>
      <c r="F2577" s="33" t="inlineStr">
        <is>
          <t>per-stock/2252.HK/context-2026-08-02.md</t>
        </is>
      </c>
      <c r="G2577" s="33" t="inlineStr">
        <is>
          <t>Medium</t>
        </is>
      </c>
      <c r="H2577" s="33" t="inlineStr">
        <is>
          <t>Initial</t>
        </is>
      </c>
    </row>
    <row r="2578">
      <c r="A2578" s="33" t="inlineStr">
        <is>
          <t>2026-08-02</t>
        </is>
      </c>
      <c r="B2578" s="33" t="inlineStr">
        <is>
          <t>2252.HK</t>
        </is>
      </c>
      <c r="C2578" s="33" t="inlineStr">
        <is>
          <t>R5</t>
        </is>
      </c>
      <c r="D2578" s="33" t="n">
        <v>5</v>
      </c>
      <c r="E2578" s="33" t="inlineStr">
        <is>
          <t>Initial L11-batch rating per agent3 proposal (rationale+source in 11-robotics/research/rating-proposals-2026-08-02/); briefing per-stock/2252.HK/context-2026-08-02.md</t>
        </is>
      </c>
      <c r="F2578" s="33" t="inlineStr">
        <is>
          <t>per-stock/2252.HK/context-2026-08-02.md</t>
        </is>
      </c>
      <c r="G2578" s="33" t="inlineStr">
        <is>
          <t>Medium</t>
        </is>
      </c>
      <c r="H2578" s="33" t="inlineStr">
        <is>
          <t>Initial</t>
        </is>
      </c>
    </row>
    <row r="2579">
      <c r="A2579" s="33" t="inlineStr">
        <is>
          <t>2026-08-02</t>
        </is>
      </c>
      <c r="B2579" s="33" t="inlineStr">
        <is>
          <t>6324.T</t>
        </is>
      </c>
      <c r="C2579" s="33" t="inlineStr">
        <is>
          <t>D1</t>
        </is>
      </c>
      <c r="D2579" s="33" t="n">
        <v>4</v>
      </c>
      <c r="E2579" s="33" t="inlineStr">
        <is>
          <t>Initial L11-batch rating per agent4 proposal (rationale+source in 11-robotics/research/rating-proposals-2026-08-02/); briefing per-stock/6324.T/context-2026-08-02.md</t>
        </is>
      </c>
      <c r="F2579" s="33" t="inlineStr">
        <is>
          <t>per-stock/6324.T/context-2026-08-02.md</t>
        </is>
      </c>
      <c r="G2579" s="33" t="inlineStr">
        <is>
          <t>Medium</t>
        </is>
      </c>
      <c r="H2579" s="33" t="inlineStr">
        <is>
          <t>Initial</t>
        </is>
      </c>
    </row>
    <row r="2580">
      <c r="A2580" s="33" t="inlineStr">
        <is>
          <t>2026-08-02</t>
        </is>
      </c>
      <c r="B2580" s="33" t="inlineStr">
        <is>
          <t>6324.T</t>
        </is>
      </c>
      <c r="C2580" s="33" t="inlineStr">
        <is>
          <t>D2</t>
        </is>
      </c>
      <c r="D2580" s="33" t="n">
        <v>4</v>
      </c>
      <c r="E2580" s="33" t="inlineStr">
        <is>
          <t>Initial L11-batch rating per agent4 proposal (rationale+source in 11-robotics/research/rating-proposals-2026-08-02/); briefing per-stock/6324.T/context-2026-08-02.md</t>
        </is>
      </c>
      <c r="F2580" s="33" t="inlineStr">
        <is>
          <t>per-stock/6324.T/context-2026-08-02.md</t>
        </is>
      </c>
      <c r="G2580" s="33" t="inlineStr">
        <is>
          <t>Medium</t>
        </is>
      </c>
      <c r="H2580" s="33" t="inlineStr">
        <is>
          <t>Initial</t>
        </is>
      </c>
    </row>
    <row r="2581">
      <c r="A2581" s="33" t="inlineStr">
        <is>
          <t>2026-08-02</t>
        </is>
      </c>
      <c r="B2581" s="33" t="inlineStr">
        <is>
          <t>6324.T</t>
        </is>
      </c>
      <c r="C2581" s="33" t="inlineStr">
        <is>
          <t>D3</t>
        </is>
      </c>
      <c r="D2581" s="33" t="n">
        <v>4</v>
      </c>
      <c r="E2581" s="33" t="inlineStr">
        <is>
          <t>Initial L11-batch rating per agent4 proposal (rationale+source in 11-robotics/research/rating-proposals-2026-08-02/); briefing per-stock/6324.T/context-2026-08-02.md</t>
        </is>
      </c>
      <c r="F2581" s="33" t="inlineStr">
        <is>
          <t>per-stock/6324.T/context-2026-08-02.md</t>
        </is>
      </c>
      <c r="G2581" s="33" t="inlineStr">
        <is>
          <t>Medium</t>
        </is>
      </c>
      <c r="H2581" s="33" t="inlineStr">
        <is>
          <t>Initial</t>
        </is>
      </c>
    </row>
    <row r="2582">
      <c r="A2582" s="33" t="inlineStr">
        <is>
          <t>2026-08-02</t>
        </is>
      </c>
      <c r="B2582" s="33" t="inlineStr">
        <is>
          <t>6324.T</t>
        </is>
      </c>
      <c r="C2582" s="33" t="inlineStr">
        <is>
          <t>D4</t>
        </is>
      </c>
      <c r="D2582" s="33" t="n">
        <v>3</v>
      </c>
      <c r="E2582" s="33" t="inlineStr">
        <is>
          <t>Initial L11-batch rating per agent4 proposal (rationale+source in 11-robotics/research/rating-proposals-2026-08-02/); briefing per-stock/6324.T/context-2026-08-02.md</t>
        </is>
      </c>
      <c r="F2582" s="33" t="inlineStr">
        <is>
          <t>per-stock/6324.T/context-2026-08-02.md</t>
        </is>
      </c>
      <c r="G2582" s="33" t="inlineStr">
        <is>
          <t>Medium</t>
        </is>
      </c>
      <c r="H2582" s="33" t="inlineStr">
        <is>
          <t>Initial</t>
        </is>
      </c>
    </row>
    <row r="2583">
      <c r="A2583" s="33" t="inlineStr">
        <is>
          <t>2026-08-02</t>
        </is>
      </c>
      <c r="B2583" s="33" t="inlineStr">
        <is>
          <t>6324.T</t>
        </is>
      </c>
      <c r="C2583" s="33" t="inlineStr">
        <is>
          <t>D5</t>
        </is>
      </c>
      <c r="D2583" s="33" t="n">
        <v>4</v>
      </c>
      <c r="E2583" s="33" t="inlineStr">
        <is>
          <t>Initial L11-batch rating per agent4 proposal (rationale+source in 11-robotics/research/rating-proposals-2026-08-02/); briefing per-stock/6324.T/context-2026-08-02.md</t>
        </is>
      </c>
      <c r="F2583" s="33" t="inlineStr">
        <is>
          <t>per-stock/6324.T/context-2026-08-02.md</t>
        </is>
      </c>
      <c r="G2583" s="33" t="inlineStr">
        <is>
          <t>Medium</t>
        </is>
      </c>
      <c r="H2583" s="33" t="inlineStr">
        <is>
          <t>Initial</t>
        </is>
      </c>
    </row>
    <row r="2584">
      <c r="A2584" s="33" t="inlineStr">
        <is>
          <t>2026-08-02</t>
        </is>
      </c>
      <c r="B2584" s="33" t="inlineStr">
        <is>
          <t>6324.T</t>
        </is>
      </c>
      <c r="C2584" s="33" t="inlineStr">
        <is>
          <t>M1</t>
        </is>
      </c>
      <c r="D2584" s="33" t="n">
        <v>3</v>
      </c>
      <c r="E2584" s="33" t="inlineStr">
        <is>
          <t>Initial L11-batch rating per agent4 proposal (rationale+source in 11-robotics/research/rating-proposals-2026-08-02/); briefing per-stock/6324.T/context-2026-08-02.md</t>
        </is>
      </c>
      <c r="F2584" s="33" t="inlineStr">
        <is>
          <t>per-stock/6324.T/context-2026-08-02.md</t>
        </is>
      </c>
      <c r="G2584" s="33" t="inlineStr">
        <is>
          <t>Medium</t>
        </is>
      </c>
      <c r="H2584" s="33" t="inlineStr">
        <is>
          <t>Initial</t>
        </is>
      </c>
    </row>
    <row r="2585">
      <c r="A2585" s="33" t="inlineStr">
        <is>
          <t>2026-08-02</t>
        </is>
      </c>
      <c r="B2585" s="33" t="inlineStr">
        <is>
          <t>6324.T</t>
        </is>
      </c>
      <c r="C2585" s="33" t="inlineStr">
        <is>
          <t>M2</t>
        </is>
      </c>
      <c r="D2585" s="33" t="n">
        <v>4</v>
      </c>
      <c r="E2585" s="33" t="inlineStr">
        <is>
          <t>Initial L11-batch rating per agent4 proposal (rationale+source in 11-robotics/research/rating-proposals-2026-08-02/); briefing per-stock/6324.T/context-2026-08-02.md</t>
        </is>
      </c>
      <c r="F2585" s="33" t="inlineStr">
        <is>
          <t>per-stock/6324.T/context-2026-08-02.md</t>
        </is>
      </c>
      <c r="G2585" s="33" t="inlineStr">
        <is>
          <t>Medium</t>
        </is>
      </c>
      <c r="H2585" s="33" t="inlineStr">
        <is>
          <t>Initial</t>
        </is>
      </c>
    </row>
    <row r="2586">
      <c r="A2586" s="33" t="inlineStr">
        <is>
          <t>2026-08-02</t>
        </is>
      </c>
      <c r="B2586" s="33" t="inlineStr">
        <is>
          <t>6324.T</t>
        </is>
      </c>
      <c r="C2586" s="33" t="inlineStr">
        <is>
          <t>M3</t>
        </is>
      </c>
      <c r="D2586" s="33" t="n">
        <v>3</v>
      </c>
      <c r="E2586" s="33" t="inlineStr">
        <is>
          <t>Initial L11-batch rating per agent4 proposal (rationale+source in 11-robotics/research/rating-proposals-2026-08-02/); briefing per-stock/6324.T/context-2026-08-02.md</t>
        </is>
      </c>
      <c r="F2586" s="33" t="inlineStr">
        <is>
          <t>per-stock/6324.T/context-2026-08-02.md</t>
        </is>
      </c>
      <c r="G2586" s="33" t="inlineStr">
        <is>
          <t>Medium</t>
        </is>
      </c>
      <c r="H2586" s="33" t="inlineStr">
        <is>
          <t>Initial</t>
        </is>
      </c>
    </row>
    <row r="2587">
      <c r="A2587" s="33" t="inlineStr">
        <is>
          <t>2026-08-02</t>
        </is>
      </c>
      <c r="B2587" s="33" t="inlineStr">
        <is>
          <t>6324.T</t>
        </is>
      </c>
      <c r="C2587" s="33" t="inlineStr">
        <is>
          <t>R1</t>
        </is>
      </c>
      <c r="D2587" s="33" t="n">
        <v>4</v>
      </c>
      <c r="E2587" s="33" t="inlineStr">
        <is>
          <t>Initial L11-batch rating per agent4 proposal (rationale+source in 11-robotics/research/rating-proposals-2026-08-02/); briefing per-stock/6324.T/context-2026-08-02.md</t>
        </is>
      </c>
      <c r="F2587" s="33" t="inlineStr">
        <is>
          <t>per-stock/6324.T/context-2026-08-02.md</t>
        </is>
      </c>
      <c r="G2587" s="33" t="inlineStr">
        <is>
          <t>Medium</t>
        </is>
      </c>
      <c r="H2587" s="33" t="inlineStr">
        <is>
          <t>Initial</t>
        </is>
      </c>
    </row>
    <row r="2588">
      <c r="A2588" s="33" t="inlineStr">
        <is>
          <t>2026-08-02</t>
        </is>
      </c>
      <c r="B2588" s="33" t="inlineStr">
        <is>
          <t>6324.T</t>
        </is>
      </c>
      <c r="C2588" s="33" t="inlineStr">
        <is>
          <t>R2</t>
        </is>
      </c>
      <c r="D2588" s="33" t="n">
        <v>4</v>
      </c>
      <c r="E2588" s="33" t="inlineStr">
        <is>
          <t>Initial L11-batch rating per agent4 proposal (rationale+source in 11-robotics/research/rating-proposals-2026-08-02/); briefing per-stock/6324.T/context-2026-08-02.md</t>
        </is>
      </c>
      <c r="F2588" s="33" t="inlineStr">
        <is>
          <t>per-stock/6324.T/context-2026-08-02.md</t>
        </is>
      </c>
      <c r="G2588" s="33" t="inlineStr">
        <is>
          <t>Medium</t>
        </is>
      </c>
      <c r="H2588" s="33" t="inlineStr">
        <is>
          <t>Initial</t>
        </is>
      </c>
    </row>
    <row r="2589">
      <c r="A2589" s="33" t="inlineStr">
        <is>
          <t>2026-08-02</t>
        </is>
      </c>
      <c r="B2589" s="33" t="inlineStr">
        <is>
          <t>6324.T</t>
        </is>
      </c>
      <c r="C2589" s="33" t="inlineStr">
        <is>
          <t>R3</t>
        </is>
      </c>
      <c r="D2589" s="33" t="n">
        <v>4</v>
      </c>
      <c r="E2589" s="33" t="inlineStr">
        <is>
          <t>Initial L11-batch rating per agent4 proposal (rationale+source in 11-robotics/research/rating-proposals-2026-08-02/); briefing per-stock/6324.T/context-2026-08-02.md</t>
        </is>
      </c>
      <c r="F2589" s="33" t="inlineStr">
        <is>
          <t>per-stock/6324.T/context-2026-08-02.md</t>
        </is>
      </c>
      <c r="G2589" s="33" t="inlineStr">
        <is>
          <t>Medium</t>
        </is>
      </c>
      <c r="H2589" s="33" t="inlineStr">
        <is>
          <t>Initial</t>
        </is>
      </c>
    </row>
    <row r="2590">
      <c r="A2590" s="33" t="inlineStr">
        <is>
          <t>2026-08-02</t>
        </is>
      </c>
      <c r="B2590" s="33" t="inlineStr">
        <is>
          <t>6324.T</t>
        </is>
      </c>
      <c r="C2590" s="33" t="inlineStr">
        <is>
          <t>R4</t>
        </is>
      </c>
      <c r="D2590" s="33" t="n">
        <v>4</v>
      </c>
      <c r="E2590" s="33" t="inlineStr">
        <is>
          <t>Initial L11-batch rating per agent4 proposal (rationale+source in 11-robotics/research/rating-proposals-2026-08-02/); briefing per-stock/6324.T/context-2026-08-02.md</t>
        </is>
      </c>
      <c r="F2590" s="33" t="inlineStr">
        <is>
          <t>per-stock/6324.T/context-2026-08-02.md</t>
        </is>
      </c>
      <c r="G2590" s="33" t="inlineStr">
        <is>
          <t>Medium</t>
        </is>
      </c>
      <c r="H2590" s="33" t="inlineStr">
        <is>
          <t>Initial</t>
        </is>
      </c>
    </row>
    <row r="2591">
      <c r="A2591" s="33" t="inlineStr">
        <is>
          <t>2026-08-02</t>
        </is>
      </c>
      <c r="B2591" s="33" t="inlineStr">
        <is>
          <t>6324.T</t>
        </is>
      </c>
      <c r="C2591" s="33" t="inlineStr">
        <is>
          <t>R5</t>
        </is>
      </c>
      <c r="D2591" s="33" t="n">
        <v>5</v>
      </c>
      <c r="E2591" s="33" t="inlineStr">
        <is>
          <t>Initial L11-batch rating per agent4 proposal (rationale+source in 11-robotics/research/rating-proposals-2026-08-02/); briefing per-stock/6324.T/context-2026-08-02.md</t>
        </is>
      </c>
      <c r="F2591" s="33" t="inlineStr">
        <is>
          <t>per-stock/6324.T/context-2026-08-02.md</t>
        </is>
      </c>
      <c r="G2591" s="33" t="inlineStr">
        <is>
          <t>Medium</t>
        </is>
      </c>
      <c r="H2591" s="33" t="inlineStr">
        <is>
          <t>Initial</t>
        </is>
      </c>
    </row>
    <row r="2592">
      <c r="A2592" s="33" t="inlineStr">
        <is>
          <t>2026-08-02</t>
        </is>
      </c>
      <c r="B2592" s="33" t="inlineStr">
        <is>
          <t>6268.T</t>
        </is>
      </c>
      <c r="C2592" s="33" t="inlineStr">
        <is>
          <t>D1</t>
        </is>
      </c>
      <c r="D2592" s="33" t="n">
        <v>4</v>
      </c>
      <c r="E2592" s="33" t="inlineStr">
        <is>
          <t>Initial L11-batch rating per agent4 proposal (rationale+source in 11-robotics/research/rating-proposals-2026-08-02/); briefing per-stock/6268.T/context-2026-08-02.md</t>
        </is>
      </c>
      <c r="F2592" s="33" t="inlineStr">
        <is>
          <t>per-stock/6268.T/context-2026-08-02.md</t>
        </is>
      </c>
      <c r="G2592" s="33" t="inlineStr">
        <is>
          <t>Medium</t>
        </is>
      </c>
      <c r="H2592" s="33" t="inlineStr">
        <is>
          <t>Initial</t>
        </is>
      </c>
    </row>
    <row r="2593">
      <c r="A2593" s="33" t="inlineStr">
        <is>
          <t>2026-08-02</t>
        </is>
      </c>
      <c r="B2593" s="33" t="inlineStr">
        <is>
          <t>6268.T</t>
        </is>
      </c>
      <c r="C2593" s="33" t="inlineStr">
        <is>
          <t>D2</t>
        </is>
      </c>
      <c r="D2593" s="33" t="n">
        <v>4</v>
      </c>
      <c r="E2593" s="33" t="inlineStr">
        <is>
          <t>Initial L11-batch rating per agent4 proposal (rationale+source in 11-robotics/research/rating-proposals-2026-08-02/); briefing per-stock/6268.T/context-2026-08-02.md</t>
        </is>
      </c>
      <c r="F2593" s="33" t="inlineStr">
        <is>
          <t>per-stock/6268.T/context-2026-08-02.md</t>
        </is>
      </c>
      <c r="G2593" s="33" t="inlineStr">
        <is>
          <t>Medium</t>
        </is>
      </c>
      <c r="H2593" s="33" t="inlineStr">
        <is>
          <t>Initial</t>
        </is>
      </c>
    </row>
    <row r="2594">
      <c r="A2594" s="33" t="inlineStr">
        <is>
          <t>2026-08-02</t>
        </is>
      </c>
      <c r="B2594" s="33" t="inlineStr">
        <is>
          <t>6268.T</t>
        </is>
      </c>
      <c r="C2594" s="33" t="inlineStr">
        <is>
          <t>D3</t>
        </is>
      </c>
      <c r="D2594" s="33" t="n">
        <v>4</v>
      </c>
      <c r="E2594" s="33" t="inlineStr">
        <is>
          <t>Initial L11-batch rating per agent4 proposal (rationale+source in 11-robotics/research/rating-proposals-2026-08-02/); briefing per-stock/6268.T/context-2026-08-02.md</t>
        </is>
      </c>
      <c r="F2594" s="33" t="inlineStr">
        <is>
          <t>per-stock/6268.T/context-2026-08-02.md</t>
        </is>
      </c>
      <c r="G2594" s="33" t="inlineStr">
        <is>
          <t>Medium</t>
        </is>
      </c>
      <c r="H2594" s="33" t="inlineStr">
        <is>
          <t>Initial</t>
        </is>
      </c>
    </row>
    <row r="2595">
      <c r="A2595" s="33" t="inlineStr">
        <is>
          <t>2026-08-02</t>
        </is>
      </c>
      <c r="B2595" s="33" t="inlineStr">
        <is>
          <t>6268.T</t>
        </is>
      </c>
      <c r="C2595" s="33" t="inlineStr">
        <is>
          <t>D4</t>
        </is>
      </c>
      <c r="D2595" s="33" t="n">
        <v>4</v>
      </c>
      <c r="E2595" s="33" t="inlineStr">
        <is>
          <t>Initial L11-batch rating per agent4 proposal (rationale+source in 11-robotics/research/rating-proposals-2026-08-02/); briefing per-stock/6268.T/context-2026-08-02.md</t>
        </is>
      </c>
      <c r="F2595" s="33" t="inlineStr">
        <is>
          <t>per-stock/6268.T/context-2026-08-02.md</t>
        </is>
      </c>
      <c r="G2595" s="33" t="inlineStr">
        <is>
          <t>Medium</t>
        </is>
      </c>
      <c r="H2595" s="33" t="inlineStr">
        <is>
          <t>Initial</t>
        </is>
      </c>
    </row>
    <row r="2596">
      <c r="A2596" s="33" t="inlineStr">
        <is>
          <t>2026-08-02</t>
        </is>
      </c>
      <c r="B2596" s="33" t="inlineStr">
        <is>
          <t>6268.T</t>
        </is>
      </c>
      <c r="C2596" s="33" t="inlineStr">
        <is>
          <t>D5</t>
        </is>
      </c>
      <c r="D2596" s="33" t="n">
        <v>2</v>
      </c>
      <c r="E2596" s="33" t="inlineStr">
        <is>
          <t>Initial L11-batch rating per agent4 proposal (rationale+source in 11-robotics/research/rating-proposals-2026-08-02/); briefing per-stock/6268.T/context-2026-08-02.md</t>
        </is>
      </c>
      <c r="F2596" s="33" t="inlineStr">
        <is>
          <t>per-stock/6268.T/context-2026-08-02.md</t>
        </is>
      </c>
      <c r="G2596" s="33" t="inlineStr">
        <is>
          <t>Medium</t>
        </is>
      </c>
      <c r="H2596" s="33" t="inlineStr">
        <is>
          <t>Initial</t>
        </is>
      </c>
    </row>
    <row r="2597">
      <c r="A2597" s="33" t="inlineStr">
        <is>
          <t>2026-08-02</t>
        </is>
      </c>
      <c r="B2597" s="33" t="inlineStr">
        <is>
          <t>6268.T</t>
        </is>
      </c>
      <c r="C2597" s="33" t="inlineStr">
        <is>
          <t>M1</t>
        </is>
      </c>
      <c r="D2597" s="33" t="n">
        <v>5</v>
      </c>
      <c r="E2597" s="33" t="inlineStr">
        <is>
          <t>Initial L11-batch rating per agent4 proposal (rationale+source in 11-robotics/research/rating-proposals-2026-08-02/); briefing per-stock/6268.T/context-2026-08-02.md</t>
        </is>
      </c>
      <c r="F2597" s="33" t="inlineStr">
        <is>
          <t>per-stock/6268.T/context-2026-08-02.md</t>
        </is>
      </c>
      <c r="G2597" s="33" t="inlineStr">
        <is>
          <t>Medium</t>
        </is>
      </c>
      <c r="H2597" s="33" t="inlineStr">
        <is>
          <t>Initial</t>
        </is>
      </c>
    </row>
    <row r="2598">
      <c r="A2598" s="33" t="inlineStr">
        <is>
          <t>2026-08-02</t>
        </is>
      </c>
      <c r="B2598" s="33" t="inlineStr">
        <is>
          <t>6268.T</t>
        </is>
      </c>
      <c r="C2598" s="33" t="inlineStr">
        <is>
          <t>M2</t>
        </is>
      </c>
      <c r="D2598" s="33" t="n">
        <v>5</v>
      </c>
      <c r="E2598" s="33" t="inlineStr">
        <is>
          <t>Initial L11-batch rating per agent4 proposal (rationale+source in 11-robotics/research/rating-proposals-2026-08-02/); briefing per-stock/6268.T/context-2026-08-02.md</t>
        </is>
      </c>
      <c r="F2598" s="33" t="inlineStr">
        <is>
          <t>per-stock/6268.T/context-2026-08-02.md</t>
        </is>
      </c>
      <c r="G2598" s="33" t="inlineStr">
        <is>
          <t>Medium</t>
        </is>
      </c>
      <c r="H2598" s="33" t="inlineStr">
        <is>
          <t>Initial</t>
        </is>
      </c>
    </row>
    <row r="2599">
      <c r="A2599" s="33" t="inlineStr">
        <is>
          <t>2026-08-02</t>
        </is>
      </c>
      <c r="B2599" s="33" t="inlineStr">
        <is>
          <t>6268.T</t>
        </is>
      </c>
      <c r="C2599" s="33" t="inlineStr">
        <is>
          <t>M3</t>
        </is>
      </c>
      <c r="D2599" s="33" t="n">
        <v>3</v>
      </c>
      <c r="E2599" s="33" t="inlineStr">
        <is>
          <t>Initial L11-batch rating per agent4 proposal (rationale+source in 11-robotics/research/rating-proposals-2026-08-02/); briefing per-stock/6268.T/context-2026-08-02.md</t>
        </is>
      </c>
      <c r="F2599" s="33" t="inlineStr">
        <is>
          <t>per-stock/6268.T/context-2026-08-02.md</t>
        </is>
      </c>
      <c r="G2599" s="33" t="inlineStr">
        <is>
          <t>Medium</t>
        </is>
      </c>
      <c r="H2599" s="33" t="inlineStr">
        <is>
          <t>Initial</t>
        </is>
      </c>
    </row>
    <row r="2600">
      <c r="A2600" s="33" t="inlineStr">
        <is>
          <t>2026-08-02</t>
        </is>
      </c>
      <c r="B2600" s="33" t="inlineStr">
        <is>
          <t>6268.T</t>
        </is>
      </c>
      <c r="C2600" s="33" t="inlineStr">
        <is>
          <t>R1</t>
        </is>
      </c>
      <c r="D2600" s="33" t="n">
        <v>5</v>
      </c>
      <c r="E2600" s="33" t="inlineStr">
        <is>
          <t>Initial L11-batch rating per agent4 proposal (rationale+source in 11-robotics/research/rating-proposals-2026-08-02/); briefing per-stock/6268.T/context-2026-08-02.md</t>
        </is>
      </c>
      <c r="F2600" s="33" t="inlineStr">
        <is>
          <t>per-stock/6268.T/context-2026-08-02.md</t>
        </is>
      </c>
      <c r="G2600" s="33" t="inlineStr">
        <is>
          <t>Medium</t>
        </is>
      </c>
      <c r="H2600" s="33" t="inlineStr">
        <is>
          <t>Initial</t>
        </is>
      </c>
    </row>
    <row r="2601">
      <c r="A2601" s="33" t="inlineStr">
        <is>
          <t>2026-08-02</t>
        </is>
      </c>
      <c r="B2601" s="33" t="inlineStr">
        <is>
          <t>6268.T</t>
        </is>
      </c>
      <c r="C2601" s="33" t="inlineStr">
        <is>
          <t>R2</t>
        </is>
      </c>
      <c r="D2601" s="33" t="n">
        <v>3</v>
      </c>
      <c r="E2601" s="33" t="inlineStr">
        <is>
          <t>Initial L11-batch rating per agent4 proposal (rationale+source in 11-robotics/research/rating-proposals-2026-08-02/); briefing per-stock/6268.T/context-2026-08-02.md</t>
        </is>
      </c>
      <c r="F2601" s="33" t="inlineStr">
        <is>
          <t>per-stock/6268.T/context-2026-08-02.md</t>
        </is>
      </c>
      <c r="G2601" s="33" t="inlineStr">
        <is>
          <t>Medium</t>
        </is>
      </c>
      <c r="H2601" s="33" t="inlineStr">
        <is>
          <t>Initial</t>
        </is>
      </c>
    </row>
    <row r="2602">
      <c r="A2602" s="33" t="inlineStr">
        <is>
          <t>2026-08-02</t>
        </is>
      </c>
      <c r="B2602" s="33" t="inlineStr">
        <is>
          <t>6268.T</t>
        </is>
      </c>
      <c r="C2602" s="33" t="inlineStr">
        <is>
          <t>R3</t>
        </is>
      </c>
      <c r="D2602" s="33" t="n">
        <v>5</v>
      </c>
      <c r="E2602" s="33" t="inlineStr">
        <is>
          <t>Initial L11-batch rating per agent4 proposal (rationale+source in 11-robotics/research/rating-proposals-2026-08-02/); briefing per-stock/6268.T/context-2026-08-02.md</t>
        </is>
      </c>
      <c r="F2602" s="33" t="inlineStr">
        <is>
          <t>per-stock/6268.T/context-2026-08-02.md</t>
        </is>
      </c>
      <c r="G2602" s="33" t="inlineStr">
        <is>
          <t>Medium</t>
        </is>
      </c>
      <c r="H2602" s="33" t="inlineStr">
        <is>
          <t>Initial</t>
        </is>
      </c>
    </row>
    <row r="2603">
      <c r="A2603" s="33" t="inlineStr">
        <is>
          <t>2026-08-02</t>
        </is>
      </c>
      <c r="B2603" s="33" t="inlineStr">
        <is>
          <t>6268.T</t>
        </is>
      </c>
      <c r="C2603" s="33" t="inlineStr">
        <is>
          <t>R4</t>
        </is>
      </c>
      <c r="D2603" s="33" t="n">
        <v>4</v>
      </c>
      <c r="E2603" s="33" t="inlineStr">
        <is>
          <t>Initial L11-batch rating per agent4 proposal (rationale+source in 11-robotics/research/rating-proposals-2026-08-02/); briefing per-stock/6268.T/context-2026-08-02.md</t>
        </is>
      </c>
      <c r="F2603" s="33" t="inlineStr">
        <is>
          <t>per-stock/6268.T/context-2026-08-02.md</t>
        </is>
      </c>
      <c r="G2603" s="33" t="inlineStr">
        <is>
          <t>Medium</t>
        </is>
      </c>
      <c r="H2603" s="33" t="inlineStr">
        <is>
          <t>Initial</t>
        </is>
      </c>
    </row>
    <row r="2604">
      <c r="A2604" s="33" t="inlineStr">
        <is>
          <t>2026-08-02</t>
        </is>
      </c>
      <c r="B2604" s="33" t="inlineStr">
        <is>
          <t>6268.T</t>
        </is>
      </c>
      <c r="C2604" s="33" t="inlineStr">
        <is>
          <t>R5</t>
        </is>
      </c>
      <c r="D2604" s="33" t="n">
        <v>5</v>
      </c>
      <c r="E2604" s="33" t="inlineStr">
        <is>
          <t>Initial L11-batch rating per agent4 proposal (rationale+source in 11-robotics/research/rating-proposals-2026-08-02/); briefing per-stock/6268.T/context-2026-08-02.md</t>
        </is>
      </c>
      <c r="F2604" s="33" t="inlineStr">
        <is>
          <t>per-stock/6268.T/context-2026-08-02.md</t>
        </is>
      </c>
      <c r="G2604" s="33" t="inlineStr">
        <is>
          <t>Medium</t>
        </is>
      </c>
      <c r="H2604" s="33" t="inlineStr">
        <is>
          <t>Initial</t>
        </is>
      </c>
    </row>
    <row r="2605">
      <c r="A2605" s="33" t="inlineStr">
        <is>
          <t>2026-08-02</t>
        </is>
      </c>
      <c r="B2605" s="33" t="inlineStr">
        <is>
          <t>6481.T</t>
        </is>
      </c>
      <c r="C2605" s="33" t="inlineStr">
        <is>
          <t>D1</t>
        </is>
      </c>
      <c r="D2605" s="33" t="n">
        <v>3</v>
      </c>
      <c r="E2605" s="33" t="inlineStr">
        <is>
          <t>No robotics split disclosed; 10-25% estimate. Weakest-sourced D1 in the motion block - refill from 8/5 tanshin.</t>
        </is>
      </c>
      <c r="F2605" s="33" t="inlineStr">
        <is>
          <t>per-stock/6481.T/context-2026-08-02.md</t>
        </is>
      </c>
      <c r="G2605" s="33" t="inlineStr">
        <is>
          <t>Medium</t>
        </is>
      </c>
      <c r="H2605" s="33" t="inlineStr">
        <is>
          <t>Initial</t>
        </is>
      </c>
    </row>
    <row r="2606">
      <c r="A2606" s="33" t="inlineStr">
        <is>
          <t>2026-08-02</t>
        </is>
      </c>
      <c r="B2606" s="33" t="inlineStr">
        <is>
          <t>6481.T</t>
        </is>
      </c>
      <c r="C2606" s="33" t="inlineStr">
        <is>
          <t>D2</t>
        </is>
      </c>
      <c r="D2606" s="33" t="n">
        <v>4</v>
      </c>
      <c r="E2606" s="33" t="inlineStr">
        <is>
          <t>Initial L11-batch rating per agent4 proposal (rationale+source in 11-robotics/research/rating-proposals-2026-08-02/); briefing per-stock/6481.T/context-2026-08-02.md</t>
        </is>
      </c>
      <c r="F2606" s="33" t="inlineStr">
        <is>
          <t>per-stock/6481.T/context-2026-08-02.md</t>
        </is>
      </c>
      <c r="G2606" s="33" t="inlineStr">
        <is>
          <t>Medium</t>
        </is>
      </c>
      <c r="H2606" s="33" t="inlineStr">
        <is>
          <t>Initial</t>
        </is>
      </c>
    </row>
    <row r="2607">
      <c r="A2607" s="33" t="inlineStr">
        <is>
          <t>2026-08-02</t>
        </is>
      </c>
      <c r="B2607" s="33" t="inlineStr">
        <is>
          <t>6481.T</t>
        </is>
      </c>
      <c r="C2607" s="33" t="inlineStr">
        <is>
          <t>D3</t>
        </is>
      </c>
      <c r="D2607" s="33" t="n">
        <v>3</v>
      </c>
      <c r="E2607" s="33" t="inlineStr">
        <is>
          <t>Initial L11-batch rating per agent4 proposal (rationale+source in 11-robotics/research/rating-proposals-2026-08-02/); briefing per-stock/6481.T/context-2026-08-02.md</t>
        </is>
      </c>
      <c r="F2607" s="33" t="inlineStr">
        <is>
          <t>per-stock/6481.T/context-2026-08-02.md</t>
        </is>
      </c>
      <c r="G2607" s="33" t="inlineStr">
        <is>
          <t>Medium</t>
        </is>
      </c>
      <c r="H2607" s="33" t="inlineStr">
        <is>
          <t>Initial</t>
        </is>
      </c>
    </row>
    <row r="2608">
      <c r="A2608" s="33" t="inlineStr">
        <is>
          <t>2026-08-02</t>
        </is>
      </c>
      <c r="B2608" s="33" t="inlineStr">
        <is>
          <t>6481.T</t>
        </is>
      </c>
      <c r="C2608" s="33" t="inlineStr">
        <is>
          <t>D4</t>
        </is>
      </c>
      <c r="D2608" s="33" t="n">
        <v>3</v>
      </c>
      <c r="E2608" s="33" t="inlineStr">
        <is>
          <t>Initial L11-batch rating per agent4 proposal (rationale+source in 11-robotics/research/rating-proposals-2026-08-02/); briefing per-stock/6481.T/context-2026-08-02.md</t>
        </is>
      </c>
      <c r="F2608" s="33" t="inlineStr">
        <is>
          <t>per-stock/6481.T/context-2026-08-02.md</t>
        </is>
      </c>
      <c r="G2608" s="33" t="inlineStr">
        <is>
          <t>Medium</t>
        </is>
      </c>
      <c r="H2608" s="33" t="inlineStr">
        <is>
          <t>Initial</t>
        </is>
      </c>
    </row>
    <row r="2609">
      <c r="A2609" s="33" t="inlineStr">
        <is>
          <t>2026-08-02</t>
        </is>
      </c>
      <c r="B2609" s="33" t="inlineStr">
        <is>
          <t>6481.T</t>
        </is>
      </c>
      <c r="C2609" s="33" t="inlineStr">
        <is>
          <t>D5</t>
        </is>
      </c>
      <c r="D2609" s="33" t="n">
        <v>2</v>
      </c>
      <c r="E2609" s="33" t="inlineStr">
        <is>
          <t>Initial L11-batch rating per agent4 proposal (rationale+source in 11-robotics/research/rating-proposals-2026-08-02/); briefing per-stock/6481.T/context-2026-08-02.md</t>
        </is>
      </c>
      <c r="F2609" s="33" t="inlineStr">
        <is>
          <t>per-stock/6481.T/context-2026-08-02.md</t>
        </is>
      </c>
      <c r="G2609" s="33" t="inlineStr">
        <is>
          <t>Medium</t>
        </is>
      </c>
      <c r="H2609" s="33" t="inlineStr">
        <is>
          <t>Initial</t>
        </is>
      </c>
    </row>
    <row r="2610">
      <c r="A2610" s="33" t="inlineStr">
        <is>
          <t>2026-08-02</t>
        </is>
      </c>
      <c r="B2610" s="33" t="inlineStr">
        <is>
          <t>6481.T</t>
        </is>
      </c>
      <c r="C2610" s="33" t="inlineStr">
        <is>
          <t>M1</t>
        </is>
      </c>
      <c r="D2610" s="33" t="n">
        <v>4</v>
      </c>
      <c r="E2610" s="33" t="inlineStr">
        <is>
          <t>Initial L11-batch rating per agent4 proposal (rationale+source in 11-robotics/research/rating-proposals-2026-08-02/); briefing per-stock/6481.T/context-2026-08-02.md</t>
        </is>
      </c>
      <c r="F2610" s="33" t="inlineStr">
        <is>
          <t>per-stock/6481.T/context-2026-08-02.md</t>
        </is>
      </c>
      <c r="G2610" s="33" t="inlineStr">
        <is>
          <t>Medium</t>
        </is>
      </c>
      <c r="H2610" s="33" t="inlineStr">
        <is>
          <t>Initial</t>
        </is>
      </c>
    </row>
    <row r="2611">
      <c r="A2611" s="33" t="inlineStr">
        <is>
          <t>2026-08-02</t>
        </is>
      </c>
      <c r="B2611" s="33" t="inlineStr">
        <is>
          <t>6481.T</t>
        </is>
      </c>
      <c r="C2611" s="33" t="inlineStr">
        <is>
          <t>M2</t>
        </is>
      </c>
      <c r="D2611" s="33" t="n">
        <v>5</v>
      </c>
      <c r="E2611" s="33" t="inlineStr">
        <is>
          <t>Initial L11-batch rating per agent4 proposal (rationale+source in 11-robotics/research/rating-proposals-2026-08-02/); briefing per-stock/6481.T/context-2026-08-02.md</t>
        </is>
      </c>
      <c r="F2611" s="33" t="inlineStr">
        <is>
          <t>per-stock/6481.T/context-2026-08-02.md</t>
        </is>
      </c>
      <c r="G2611" s="33" t="inlineStr">
        <is>
          <t>Medium</t>
        </is>
      </c>
      <c r="H2611" s="33" t="inlineStr">
        <is>
          <t>Initial</t>
        </is>
      </c>
    </row>
    <row r="2612">
      <c r="A2612" s="33" t="inlineStr">
        <is>
          <t>2026-08-02</t>
        </is>
      </c>
      <c r="B2612" s="33" t="inlineStr">
        <is>
          <t>6481.T</t>
        </is>
      </c>
      <c r="C2612" s="33" t="inlineStr">
        <is>
          <t>M3</t>
        </is>
      </c>
      <c r="D2612" s="33" t="n">
        <v>3</v>
      </c>
      <c r="E2612" s="33" t="inlineStr">
        <is>
          <t>Initial L11-batch rating per agent4 proposal (rationale+source in 11-robotics/research/rating-proposals-2026-08-02/); briefing per-stock/6481.T/context-2026-08-02.md</t>
        </is>
      </c>
      <c r="F2612" s="33" t="inlineStr">
        <is>
          <t>per-stock/6481.T/context-2026-08-02.md</t>
        </is>
      </c>
      <c r="G2612" s="33" t="inlineStr">
        <is>
          <t>Medium</t>
        </is>
      </c>
      <c r="H2612" s="33" t="inlineStr">
        <is>
          <t>Initial</t>
        </is>
      </c>
    </row>
    <row r="2613">
      <c r="A2613" s="33" t="inlineStr">
        <is>
          <t>2026-08-02</t>
        </is>
      </c>
      <c r="B2613" s="33" t="inlineStr">
        <is>
          <t>6481.T</t>
        </is>
      </c>
      <c r="C2613" s="33" t="inlineStr">
        <is>
          <t>R1</t>
        </is>
      </c>
      <c r="D2613" s="33" t="n">
        <v>5</v>
      </c>
      <c r="E2613" s="33" t="inlineStr">
        <is>
          <t>Initial L11-batch rating per agent4 proposal (rationale+source in 11-robotics/research/rating-proposals-2026-08-02/); briefing per-stock/6481.T/context-2026-08-02.md</t>
        </is>
      </c>
      <c r="F2613" s="33" t="inlineStr">
        <is>
          <t>per-stock/6481.T/context-2026-08-02.md</t>
        </is>
      </c>
      <c r="G2613" s="33" t="inlineStr">
        <is>
          <t>Medium</t>
        </is>
      </c>
      <c r="H2613" s="33" t="inlineStr">
        <is>
          <t>Initial</t>
        </is>
      </c>
    </row>
    <row r="2614">
      <c r="A2614" s="33" t="inlineStr">
        <is>
          <t>2026-08-02</t>
        </is>
      </c>
      <c r="B2614" s="33" t="inlineStr">
        <is>
          <t>6481.T</t>
        </is>
      </c>
      <c r="C2614" s="33" t="inlineStr">
        <is>
          <t>R2</t>
        </is>
      </c>
      <c r="D2614" s="33" t="n">
        <v>3</v>
      </c>
      <c r="E2614" s="33" t="inlineStr">
        <is>
          <t>Initial L11-batch rating per agent4 proposal (rationale+source in 11-robotics/research/rating-proposals-2026-08-02/); briefing per-stock/6481.T/context-2026-08-02.md</t>
        </is>
      </c>
      <c r="F2614" s="33" t="inlineStr">
        <is>
          <t>per-stock/6481.T/context-2026-08-02.md</t>
        </is>
      </c>
      <c r="G2614" s="33" t="inlineStr">
        <is>
          <t>Medium</t>
        </is>
      </c>
      <c r="H2614" s="33" t="inlineStr">
        <is>
          <t>Initial</t>
        </is>
      </c>
    </row>
    <row r="2615">
      <c r="A2615" s="33" t="inlineStr">
        <is>
          <t>2026-08-02</t>
        </is>
      </c>
      <c r="B2615" s="33" t="inlineStr">
        <is>
          <t>6481.T</t>
        </is>
      </c>
      <c r="C2615" s="33" t="inlineStr">
        <is>
          <t>R3</t>
        </is>
      </c>
      <c r="D2615" s="33" t="n">
        <v>4</v>
      </c>
      <c r="E2615" s="33" t="inlineStr">
        <is>
          <t>Initial L11-batch rating per agent4 proposal (rationale+source in 11-robotics/research/rating-proposals-2026-08-02/); briefing per-stock/6481.T/context-2026-08-02.md</t>
        </is>
      </c>
      <c r="F2615" s="33" t="inlineStr">
        <is>
          <t>per-stock/6481.T/context-2026-08-02.md</t>
        </is>
      </c>
      <c r="G2615" s="33" t="inlineStr">
        <is>
          <t>Medium</t>
        </is>
      </c>
      <c r="H2615" s="33" t="inlineStr">
        <is>
          <t>Initial</t>
        </is>
      </c>
    </row>
    <row r="2616">
      <c r="A2616" s="33" t="inlineStr">
        <is>
          <t>2026-08-02</t>
        </is>
      </c>
      <c r="B2616" s="33" t="inlineStr">
        <is>
          <t>6481.T</t>
        </is>
      </c>
      <c r="C2616" s="33" t="inlineStr">
        <is>
          <t>R4</t>
        </is>
      </c>
      <c r="D2616" s="33" t="n">
        <v>4</v>
      </c>
      <c r="E2616" s="33" t="inlineStr">
        <is>
          <t>Initial L11-batch rating per agent4 proposal (rationale+source in 11-robotics/research/rating-proposals-2026-08-02/); briefing per-stock/6481.T/context-2026-08-02.md</t>
        </is>
      </c>
      <c r="F2616" s="33" t="inlineStr">
        <is>
          <t>per-stock/6481.T/context-2026-08-02.md</t>
        </is>
      </c>
      <c r="G2616" s="33" t="inlineStr">
        <is>
          <t>Medium</t>
        </is>
      </c>
      <c r="H2616" s="33" t="inlineStr">
        <is>
          <t>Initial</t>
        </is>
      </c>
    </row>
    <row r="2617">
      <c r="A2617" s="33" t="inlineStr">
        <is>
          <t>2026-08-02</t>
        </is>
      </c>
      <c r="B2617" s="33" t="inlineStr">
        <is>
          <t>6481.T</t>
        </is>
      </c>
      <c r="C2617" s="33" t="inlineStr">
        <is>
          <t>R5</t>
        </is>
      </c>
      <c r="D2617" s="33" t="n">
        <v>5</v>
      </c>
      <c r="E2617" s="33" t="inlineStr">
        <is>
          <t>Initial L11-batch rating per agent4 proposal (rationale+source in 11-robotics/research/rating-proposals-2026-08-02/); briefing per-stock/6481.T/context-2026-08-02.md</t>
        </is>
      </c>
      <c r="F2617" s="33" t="inlineStr">
        <is>
          <t>per-stock/6481.T/context-2026-08-02.md</t>
        </is>
      </c>
      <c r="G2617" s="33" t="inlineStr">
        <is>
          <t>Medium</t>
        </is>
      </c>
      <c r="H2617" s="33" t="inlineStr">
        <is>
          <t>Initial</t>
        </is>
      </c>
    </row>
    <row r="2618">
      <c r="A2618" s="33" t="inlineStr">
        <is>
          <t>2026-08-02</t>
        </is>
      </c>
      <c r="B2618" s="33" t="inlineStr">
        <is>
          <t>2049.TW</t>
        </is>
      </c>
      <c r="C2618" s="33" t="inlineStr">
        <is>
          <t>D1</t>
        </is>
      </c>
      <c r="D2618" s="33" t="n">
        <v>3</v>
      </c>
      <c r="E2618" s="33" t="inlineStr">
        <is>
          <t>Initial L11-batch rating per agent4 proposal (rationale+source in 11-robotics/research/rating-proposals-2026-08-02/); briefing per-stock/2049.TW/context-2026-08-02.md</t>
        </is>
      </c>
      <c r="F2618" s="33" t="inlineStr">
        <is>
          <t>per-stock/2049.TW/context-2026-08-02.md</t>
        </is>
      </c>
      <c r="G2618" s="33" t="inlineStr">
        <is>
          <t>Medium</t>
        </is>
      </c>
      <c r="H2618" s="33" t="inlineStr">
        <is>
          <t>Initial</t>
        </is>
      </c>
    </row>
    <row r="2619">
      <c r="A2619" s="33" t="inlineStr">
        <is>
          <t>2026-08-02</t>
        </is>
      </c>
      <c r="B2619" s="33" t="inlineStr">
        <is>
          <t>2049.TW</t>
        </is>
      </c>
      <c r="C2619" s="33" t="inlineStr">
        <is>
          <t>D2</t>
        </is>
      </c>
      <c r="D2619" s="33" t="n">
        <v>4</v>
      </c>
      <c r="E2619" s="33" t="inlineStr">
        <is>
          <t>Initial L11-batch rating per agent4 proposal (rationale+source in 11-robotics/research/rating-proposals-2026-08-02/); briefing per-stock/2049.TW/context-2026-08-02.md</t>
        </is>
      </c>
      <c r="F2619" s="33" t="inlineStr">
        <is>
          <t>per-stock/2049.TW/context-2026-08-02.md</t>
        </is>
      </c>
      <c r="G2619" s="33" t="inlineStr">
        <is>
          <t>Medium</t>
        </is>
      </c>
      <c r="H2619" s="33" t="inlineStr">
        <is>
          <t>Initial</t>
        </is>
      </c>
    </row>
    <row r="2620">
      <c r="A2620" s="33" t="inlineStr">
        <is>
          <t>2026-08-02</t>
        </is>
      </c>
      <c r="B2620" s="33" t="inlineStr">
        <is>
          <t>2049.TW</t>
        </is>
      </c>
      <c r="C2620" s="33" t="inlineStr">
        <is>
          <t>D3</t>
        </is>
      </c>
      <c r="D2620" s="33" t="n">
        <v>3</v>
      </c>
      <c r="E2620" s="33" t="inlineStr">
        <is>
          <t>Initial L11-batch rating per agent4 proposal (rationale+source in 11-robotics/research/rating-proposals-2026-08-02/); briefing per-stock/2049.TW/context-2026-08-02.md</t>
        </is>
      </c>
      <c r="F2620" s="33" t="inlineStr">
        <is>
          <t>per-stock/2049.TW/context-2026-08-02.md</t>
        </is>
      </c>
      <c r="G2620" s="33" t="inlineStr">
        <is>
          <t>Medium</t>
        </is>
      </c>
      <c r="H2620" s="33" t="inlineStr">
        <is>
          <t>Initial</t>
        </is>
      </c>
    </row>
    <row r="2621">
      <c r="A2621" s="33" t="inlineStr">
        <is>
          <t>2026-08-02</t>
        </is>
      </c>
      <c r="B2621" s="33" t="inlineStr">
        <is>
          <t>2049.TW</t>
        </is>
      </c>
      <c r="C2621" s="33" t="inlineStr">
        <is>
          <t>D4</t>
        </is>
      </c>
      <c r="D2621" s="33" t="n">
        <v>3</v>
      </c>
      <c r="E2621" s="33" t="inlineStr">
        <is>
          <t>Initial L11-batch rating per agent4 proposal (rationale+source in 11-robotics/research/rating-proposals-2026-08-02/); briefing per-stock/2049.TW/context-2026-08-02.md</t>
        </is>
      </c>
      <c r="F2621" s="33" t="inlineStr">
        <is>
          <t>per-stock/2049.TW/context-2026-08-02.md</t>
        </is>
      </c>
      <c r="G2621" s="33" t="inlineStr">
        <is>
          <t>Medium</t>
        </is>
      </c>
      <c r="H2621" s="33" t="inlineStr">
        <is>
          <t>Initial</t>
        </is>
      </c>
    </row>
    <row r="2622">
      <c r="A2622" s="33" t="inlineStr">
        <is>
          <t>2026-08-02</t>
        </is>
      </c>
      <c r="B2622" s="33" t="inlineStr">
        <is>
          <t>2049.TW</t>
        </is>
      </c>
      <c r="C2622" s="33" t="inlineStr">
        <is>
          <t>D5</t>
        </is>
      </c>
      <c r="D2622" s="33" t="n">
        <v>3</v>
      </c>
      <c r="E2622" s="33" t="inlineStr">
        <is>
          <t>Initial L11-batch rating per agent4 proposal (rationale+source in 11-robotics/research/rating-proposals-2026-08-02/); briefing per-stock/2049.TW/context-2026-08-02.md</t>
        </is>
      </c>
      <c r="F2622" s="33" t="inlineStr">
        <is>
          <t>per-stock/2049.TW/context-2026-08-02.md</t>
        </is>
      </c>
      <c r="G2622" s="33" t="inlineStr">
        <is>
          <t>Medium</t>
        </is>
      </c>
      <c r="H2622" s="33" t="inlineStr">
        <is>
          <t>Initial</t>
        </is>
      </c>
    </row>
    <row r="2623">
      <c r="A2623" s="33" t="inlineStr">
        <is>
          <t>2026-08-02</t>
        </is>
      </c>
      <c r="B2623" s="33" t="inlineStr">
        <is>
          <t>2049.TW</t>
        </is>
      </c>
      <c r="C2623" s="33" t="inlineStr">
        <is>
          <t>M1</t>
        </is>
      </c>
      <c r="D2623" s="33" t="n">
        <v>5</v>
      </c>
      <c r="E2623" s="33" t="inlineStr">
        <is>
          <t>Initial L11-batch rating per agent4 proposal (rationale+source in 11-robotics/research/rating-proposals-2026-08-02/); briefing per-stock/2049.TW/context-2026-08-02.md</t>
        </is>
      </c>
      <c r="F2623" s="33" t="inlineStr">
        <is>
          <t>per-stock/2049.TW/context-2026-08-02.md</t>
        </is>
      </c>
      <c r="G2623" s="33" t="inlineStr">
        <is>
          <t>Medium</t>
        </is>
      </c>
      <c r="H2623" s="33" t="inlineStr">
        <is>
          <t>Initial</t>
        </is>
      </c>
    </row>
    <row r="2624">
      <c r="A2624" s="33" t="inlineStr">
        <is>
          <t>2026-08-02</t>
        </is>
      </c>
      <c r="B2624" s="33" t="inlineStr">
        <is>
          <t>2049.TW</t>
        </is>
      </c>
      <c r="C2624" s="33" t="inlineStr">
        <is>
          <t>M2</t>
        </is>
      </c>
      <c r="D2624" s="33" t="n">
        <v>4</v>
      </c>
      <c r="E2624" s="33" t="inlineStr">
        <is>
          <t>Initial L11-batch rating per agent4 proposal (rationale+source in 11-robotics/research/rating-proposals-2026-08-02/); briefing per-stock/2049.TW/context-2026-08-02.md</t>
        </is>
      </c>
      <c r="F2624" s="33" t="inlineStr">
        <is>
          <t>per-stock/2049.TW/context-2026-08-02.md</t>
        </is>
      </c>
      <c r="G2624" s="33" t="inlineStr">
        <is>
          <t>Medium</t>
        </is>
      </c>
      <c r="H2624" s="33" t="inlineStr">
        <is>
          <t>Initial</t>
        </is>
      </c>
    </row>
    <row r="2625">
      <c r="A2625" s="33" t="inlineStr">
        <is>
          <t>2026-08-02</t>
        </is>
      </c>
      <c r="B2625" s="33" t="inlineStr">
        <is>
          <t>2049.TW</t>
        </is>
      </c>
      <c r="C2625" s="33" t="inlineStr">
        <is>
          <t>M3</t>
        </is>
      </c>
      <c r="D2625" s="33" t="n">
        <v>3</v>
      </c>
      <c r="E2625" s="33" t="inlineStr">
        <is>
          <t>Initial L11-batch rating per agent4 proposal (rationale+source in 11-robotics/research/rating-proposals-2026-08-02/); briefing per-stock/2049.TW/context-2026-08-02.md</t>
        </is>
      </c>
      <c r="F2625" s="33" t="inlineStr">
        <is>
          <t>per-stock/2049.TW/context-2026-08-02.md</t>
        </is>
      </c>
      <c r="G2625" s="33" t="inlineStr">
        <is>
          <t>Medium</t>
        </is>
      </c>
      <c r="H2625" s="33" t="inlineStr">
        <is>
          <t>Initial</t>
        </is>
      </c>
    </row>
    <row r="2626">
      <c r="A2626" s="33" t="inlineStr">
        <is>
          <t>2026-08-02</t>
        </is>
      </c>
      <c r="B2626" s="33" t="inlineStr">
        <is>
          <t>2049.TW</t>
        </is>
      </c>
      <c r="C2626" s="33" t="inlineStr">
        <is>
          <t>R1</t>
        </is>
      </c>
      <c r="D2626" s="33" t="n">
        <v>4</v>
      </c>
      <c r="E2626" s="33" t="inlineStr">
        <is>
          <t>Initial L11-batch rating per agent4 proposal (rationale+source in 11-robotics/research/rating-proposals-2026-08-02/); briefing per-stock/2049.TW/context-2026-08-02.md</t>
        </is>
      </c>
      <c r="F2626" s="33" t="inlineStr">
        <is>
          <t>per-stock/2049.TW/context-2026-08-02.md</t>
        </is>
      </c>
      <c r="G2626" s="33" t="inlineStr">
        <is>
          <t>Medium</t>
        </is>
      </c>
      <c r="H2626" s="33" t="inlineStr">
        <is>
          <t>Initial</t>
        </is>
      </c>
    </row>
    <row r="2627">
      <c r="A2627" s="33" t="inlineStr">
        <is>
          <t>2026-08-02</t>
        </is>
      </c>
      <c r="B2627" s="33" t="inlineStr">
        <is>
          <t>2049.TW</t>
        </is>
      </c>
      <c r="C2627" s="33" t="inlineStr">
        <is>
          <t>R2</t>
        </is>
      </c>
      <c r="D2627" s="33" t="n">
        <v>2</v>
      </c>
      <c r="E2627" s="33" t="inlineStr">
        <is>
          <t>Asset leg, TSM anchor: ~4,500 of 6,400 employees + most capacity in Taichung - effectively ~100% of revenue exposed via asset base in a strait conflict.</t>
        </is>
      </c>
      <c r="F2627" s="33" t="inlineStr">
        <is>
          <t>per-stock/2049.TW/context-2026-08-02.md</t>
        </is>
      </c>
      <c r="G2627" s="33" t="inlineStr">
        <is>
          <t>Medium</t>
        </is>
      </c>
      <c r="H2627" s="33" t="inlineStr">
        <is>
          <t>Initial</t>
        </is>
      </c>
    </row>
    <row r="2628">
      <c r="A2628" s="33" t="inlineStr">
        <is>
          <t>2026-08-02</t>
        </is>
      </c>
      <c r="B2628" s="33" t="inlineStr">
        <is>
          <t>2049.TW</t>
        </is>
      </c>
      <c r="C2628" s="33" t="inlineStr">
        <is>
          <t>R3</t>
        </is>
      </c>
      <c r="D2628" s="33" t="n">
        <v>4</v>
      </c>
      <c r="E2628" s="33" t="inlineStr">
        <is>
          <t>Initial L11-batch rating per agent4 proposal (rationale+source in 11-robotics/research/rating-proposals-2026-08-02/); briefing per-stock/2049.TW/context-2026-08-02.md</t>
        </is>
      </c>
      <c r="F2628" s="33" t="inlineStr">
        <is>
          <t>per-stock/2049.TW/context-2026-08-02.md</t>
        </is>
      </c>
      <c r="G2628" s="33" t="inlineStr">
        <is>
          <t>Medium</t>
        </is>
      </c>
      <c r="H2628" s="33" t="inlineStr">
        <is>
          <t>Initial</t>
        </is>
      </c>
    </row>
    <row r="2629">
      <c r="A2629" s="33" t="inlineStr">
        <is>
          <t>2026-08-02</t>
        </is>
      </c>
      <c r="B2629" s="33" t="inlineStr">
        <is>
          <t>2049.TW</t>
        </is>
      </c>
      <c r="C2629" s="33" t="inlineStr">
        <is>
          <t>R4</t>
        </is>
      </c>
      <c r="D2629" s="33" t="n">
        <v>4</v>
      </c>
      <c r="E2629" s="33" t="inlineStr">
        <is>
          <t>Initial L11-batch rating per agent4 proposal (rationale+source in 11-robotics/research/rating-proposals-2026-08-02/); briefing per-stock/2049.TW/context-2026-08-02.md</t>
        </is>
      </c>
      <c r="F2629" s="33" t="inlineStr">
        <is>
          <t>per-stock/2049.TW/context-2026-08-02.md</t>
        </is>
      </c>
      <c r="G2629" s="33" t="inlineStr">
        <is>
          <t>Medium</t>
        </is>
      </c>
      <c r="H2629" s="33" t="inlineStr">
        <is>
          <t>Initial</t>
        </is>
      </c>
    </row>
    <row r="2630">
      <c r="A2630" s="33" t="inlineStr">
        <is>
          <t>2026-08-02</t>
        </is>
      </c>
      <c r="B2630" s="33" t="inlineStr">
        <is>
          <t>2049.TW</t>
        </is>
      </c>
      <c r="C2630" s="33" t="inlineStr">
        <is>
          <t>R5</t>
        </is>
      </c>
      <c r="D2630" s="33" t="n">
        <v>5</v>
      </c>
      <c r="E2630" s="33" t="inlineStr">
        <is>
          <t>Initial L11-batch rating per agent4 proposal (rationale+source in 11-robotics/research/rating-proposals-2026-08-02/); briefing per-stock/2049.TW/context-2026-08-02.md</t>
        </is>
      </c>
      <c r="F2630" s="33" t="inlineStr">
        <is>
          <t>per-stock/2049.TW/context-2026-08-02.md</t>
        </is>
      </c>
      <c r="G2630" s="33" t="inlineStr">
        <is>
          <t>Medium</t>
        </is>
      </c>
      <c r="H2630" s="33" t="inlineStr">
        <is>
          <t>Initial</t>
        </is>
      </c>
    </row>
    <row r="2631">
      <c r="A2631" s="33" t="inlineStr">
        <is>
          <t>2026-08-02</t>
        </is>
      </c>
      <c r="B2631" s="33" t="inlineStr">
        <is>
          <t>TKR</t>
        </is>
      </c>
      <c r="C2631" s="33" t="inlineStr">
        <is>
          <t>D1</t>
        </is>
      </c>
      <c r="D2631" s="33" t="n">
        <v>2</v>
      </c>
      <c r="E2631" s="33" t="inlineStr">
        <is>
          <t>Initial L11-batch rating per agent4 proposal (rationale+source in 11-robotics/research/rating-proposals-2026-08-02/); briefing per-stock/TKR/context-2026-08-02.md</t>
        </is>
      </c>
      <c r="F2631" s="33" t="inlineStr">
        <is>
          <t>per-stock/TKR/context-2026-08-02.md</t>
        </is>
      </c>
      <c r="G2631" s="33" t="inlineStr">
        <is>
          <t>Medium</t>
        </is>
      </c>
      <c r="H2631" s="33" t="inlineStr">
        <is>
          <t>Initial</t>
        </is>
      </c>
    </row>
    <row r="2632">
      <c r="A2632" s="33" t="inlineStr">
        <is>
          <t>2026-08-02</t>
        </is>
      </c>
      <c r="B2632" s="33" t="inlineStr">
        <is>
          <t>TKR</t>
        </is>
      </c>
      <c r="C2632" s="33" t="inlineStr">
        <is>
          <t>D2</t>
        </is>
      </c>
      <c r="D2632" s="33" t="n">
        <v>3</v>
      </c>
      <c r="E2632" s="33" t="inlineStr">
        <is>
          <t>Initial L11-batch rating per agent4 proposal (rationale+source in 11-robotics/research/rating-proposals-2026-08-02/); briefing per-stock/TKR/context-2026-08-02.md</t>
        </is>
      </c>
      <c r="F2632" s="33" t="inlineStr">
        <is>
          <t>per-stock/TKR/context-2026-08-02.md</t>
        </is>
      </c>
      <c r="G2632" s="33" t="inlineStr">
        <is>
          <t>Medium</t>
        </is>
      </c>
      <c r="H2632" s="33" t="inlineStr">
        <is>
          <t>Initial</t>
        </is>
      </c>
    </row>
    <row r="2633">
      <c r="A2633" s="33" t="inlineStr">
        <is>
          <t>2026-08-02</t>
        </is>
      </c>
      <c r="B2633" s="33" t="inlineStr">
        <is>
          <t>TKR</t>
        </is>
      </c>
      <c r="C2633" s="33" t="inlineStr">
        <is>
          <t>D3</t>
        </is>
      </c>
      <c r="D2633" s="33" t="n">
        <v>3</v>
      </c>
      <c r="E2633" s="33" t="inlineStr">
        <is>
          <t>Initial L11-batch rating per agent4 proposal (rationale+source in 11-robotics/research/rating-proposals-2026-08-02/); briefing per-stock/TKR/context-2026-08-02.md</t>
        </is>
      </c>
      <c r="F2633" s="33" t="inlineStr">
        <is>
          <t>per-stock/TKR/context-2026-08-02.md</t>
        </is>
      </c>
      <c r="G2633" s="33" t="inlineStr">
        <is>
          <t>Medium</t>
        </is>
      </c>
      <c r="H2633" s="33" t="inlineStr">
        <is>
          <t>Initial</t>
        </is>
      </c>
    </row>
    <row r="2634">
      <c r="A2634" s="33" t="inlineStr">
        <is>
          <t>2026-08-02</t>
        </is>
      </c>
      <c r="B2634" s="33" t="inlineStr">
        <is>
          <t>TKR</t>
        </is>
      </c>
      <c r="C2634" s="33" t="inlineStr">
        <is>
          <t>D4</t>
        </is>
      </c>
      <c r="D2634" s="33" t="n">
        <v>3</v>
      </c>
      <c r="E2634" s="33" t="inlineStr">
        <is>
          <t>Initial L11-batch rating per agent4 proposal (rationale+source in 11-robotics/research/rating-proposals-2026-08-02/); briefing per-stock/TKR/context-2026-08-02.md</t>
        </is>
      </c>
      <c r="F2634" s="33" t="inlineStr">
        <is>
          <t>per-stock/TKR/context-2026-08-02.md</t>
        </is>
      </c>
      <c r="G2634" s="33" t="inlineStr">
        <is>
          <t>Medium</t>
        </is>
      </c>
      <c r="H2634" s="33" t="inlineStr">
        <is>
          <t>Initial</t>
        </is>
      </c>
    </row>
    <row r="2635">
      <c r="A2635" s="33" t="inlineStr">
        <is>
          <t>2026-08-02</t>
        </is>
      </c>
      <c r="B2635" s="33" t="inlineStr">
        <is>
          <t>TKR</t>
        </is>
      </c>
      <c r="C2635" s="33" t="inlineStr">
        <is>
          <t>D5</t>
        </is>
      </c>
      <c r="D2635" s="33" t="n">
        <v>2</v>
      </c>
      <c r="E2635" s="33" t="inlineStr">
        <is>
          <t>Initial L11-batch rating per agent4 proposal (rationale+source in 11-robotics/research/rating-proposals-2026-08-02/); briefing per-stock/TKR/context-2026-08-02.md</t>
        </is>
      </c>
      <c r="F2635" s="33" t="inlineStr">
        <is>
          <t>per-stock/TKR/context-2026-08-02.md</t>
        </is>
      </c>
      <c r="G2635" s="33" t="inlineStr">
        <is>
          <t>Medium</t>
        </is>
      </c>
      <c r="H2635" s="33" t="inlineStr">
        <is>
          <t>Initial</t>
        </is>
      </c>
    </row>
    <row r="2636">
      <c r="A2636" s="33" t="inlineStr">
        <is>
          <t>2026-08-02</t>
        </is>
      </c>
      <c r="B2636" s="33" t="inlineStr">
        <is>
          <t>TKR</t>
        </is>
      </c>
      <c r="C2636" s="33" t="inlineStr">
        <is>
          <t>M1</t>
        </is>
      </c>
      <c r="D2636" s="33" t="n">
        <v>5</v>
      </c>
      <c r="E2636" s="33" t="inlineStr">
        <is>
          <t>Initial L11-batch rating per agent4 proposal (rationale+source in 11-robotics/research/rating-proposals-2026-08-02/); briefing per-stock/TKR/context-2026-08-02.md</t>
        </is>
      </c>
      <c r="F2636" s="33" t="inlineStr">
        <is>
          <t>per-stock/TKR/context-2026-08-02.md</t>
        </is>
      </c>
      <c r="G2636" s="33" t="inlineStr">
        <is>
          <t>Medium</t>
        </is>
      </c>
      <c r="H2636" s="33" t="inlineStr">
        <is>
          <t>Initial</t>
        </is>
      </c>
    </row>
    <row r="2637">
      <c r="A2637" s="33" t="inlineStr">
        <is>
          <t>2026-08-02</t>
        </is>
      </c>
      <c r="B2637" s="33" t="inlineStr">
        <is>
          <t>TKR</t>
        </is>
      </c>
      <c r="C2637" s="33" t="inlineStr">
        <is>
          <t>M2</t>
        </is>
      </c>
      <c r="D2637" s="33" t="n">
        <v>4</v>
      </c>
      <c r="E2637" s="33" t="inlineStr">
        <is>
          <t>Initial L11-batch rating per agent4 proposal (rationale+source in 11-robotics/research/rating-proposals-2026-08-02/); briefing per-stock/TKR/context-2026-08-02.md</t>
        </is>
      </c>
      <c r="F2637" s="33" t="inlineStr">
        <is>
          <t>per-stock/TKR/context-2026-08-02.md</t>
        </is>
      </c>
      <c r="G2637" s="33" t="inlineStr">
        <is>
          <t>Medium</t>
        </is>
      </c>
      <c r="H2637" s="33" t="inlineStr">
        <is>
          <t>Initial</t>
        </is>
      </c>
    </row>
    <row r="2638">
      <c r="A2638" s="33" t="inlineStr">
        <is>
          <t>2026-08-02</t>
        </is>
      </c>
      <c r="B2638" s="33" t="inlineStr">
        <is>
          <t>TKR</t>
        </is>
      </c>
      <c r="C2638" s="33" t="inlineStr">
        <is>
          <t>M3</t>
        </is>
      </c>
      <c r="D2638" s="33" t="n">
        <v>2</v>
      </c>
      <c r="E2638" s="33" t="inlineStr">
        <is>
          <t>Initial L11-batch rating per agent4 proposal (rationale+source in 11-robotics/research/rating-proposals-2026-08-02/); briefing per-stock/TKR/context-2026-08-02.md</t>
        </is>
      </c>
      <c r="F2638" s="33" t="inlineStr">
        <is>
          <t>per-stock/TKR/context-2026-08-02.md</t>
        </is>
      </c>
      <c r="G2638" s="33" t="inlineStr">
        <is>
          <t>Medium</t>
        </is>
      </c>
      <c r="H2638" s="33" t="inlineStr">
        <is>
          <t>Initial</t>
        </is>
      </c>
    </row>
    <row r="2639">
      <c r="A2639" s="33" t="inlineStr">
        <is>
          <t>2026-08-02</t>
        </is>
      </c>
      <c r="B2639" s="33" t="inlineStr">
        <is>
          <t>TKR</t>
        </is>
      </c>
      <c r="C2639" s="33" t="inlineStr">
        <is>
          <t>R1</t>
        </is>
      </c>
      <c r="D2639" s="33" t="n">
        <v>5</v>
      </c>
      <c r="E2639" s="33" t="inlineStr">
        <is>
          <t>Initial L11-batch rating per agent4 proposal (rationale+source in 11-robotics/research/rating-proposals-2026-08-02/); briefing per-stock/TKR/context-2026-08-02.md</t>
        </is>
      </c>
      <c r="F2639" s="33" t="inlineStr">
        <is>
          <t>per-stock/TKR/context-2026-08-02.md</t>
        </is>
      </c>
      <c r="G2639" s="33" t="inlineStr">
        <is>
          <t>Medium</t>
        </is>
      </c>
      <c r="H2639" s="33" t="inlineStr">
        <is>
          <t>Initial</t>
        </is>
      </c>
    </row>
    <row r="2640">
      <c r="A2640" s="33" t="inlineStr">
        <is>
          <t>2026-08-02</t>
        </is>
      </c>
      <c r="B2640" s="33" t="inlineStr">
        <is>
          <t>TKR</t>
        </is>
      </c>
      <c r="C2640" s="33" t="inlineStr">
        <is>
          <t>R2</t>
        </is>
      </c>
      <c r="D2640" s="33" t="n">
        <v>3</v>
      </c>
      <c r="E2640" s="33" t="inlineStr">
        <is>
          <t>Initial L11-batch rating per agent4 proposal (rationale+source in 11-robotics/research/rating-proposals-2026-08-02/); briefing per-stock/TKR/context-2026-08-02.md</t>
        </is>
      </c>
      <c r="F2640" s="33" t="inlineStr">
        <is>
          <t>per-stock/TKR/context-2026-08-02.md</t>
        </is>
      </c>
      <c r="G2640" s="33" t="inlineStr">
        <is>
          <t>Medium</t>
        </is>
      </c>
      <c r="H2640" s="33" t="inlineStr">
        <is>
          <t>Initial</t>
        </is>
      </c>
    </row>
    <row r="2641">
      <c r="A2641" s="33" t="inlineStr">
        <is>
          <t>2026-08-02</t>
        </is>
      </c>
      <c r="B2641" s="33" t="inlineStr">
        <is>
          <t>TKR</t>
        </is>
      </c>
      <c r="C2641" s="33" t="inlineStr">
        <is>
          <t>R3</t>
        </is>
      </c>
      <c r="D2641" s="33" t="n">
        <v>3</v>
      </c>
      <c r="E2641" s="33" t="inlineStr">
        <is>
          <t>Initial L11-batch rating per agent4 proposal (rationale+source in 11-robotics/research/rating-proposals-2026-08-02/); briefing per-stock/TKR/context-2026-08-02.md</t>
        </is>
      </c>
      <c r="F2641" s="33" t="inlineStr">
        <is>
          <t>per-stock/TKR/context-2026-08-02.md</t>
        </is>
      </c>
      <c r="G2641" s="33" t="inlineStr">
        <is>
          <t>Medium</t>
        </is>
      </c>
      <c r="H2641" s="33" t="inlineStr">
        <is>
          <t>Initial</t>
        </is>
      </c>
    </row>
    <row r="2642">
      <c r="A2642" s="33" t="inlineStr">
        <is>
          <t>2026-08-02</t>
        </is>
      </c>
      <c r="B2642" s="33" t="inlineStr">
        <is>
          <t>TKR</t>
        </is>
      </c>
      <c r="C2642" s="33" t="inlineStr">
        <is>
          <t>R4</t>
        </is>
      </c>
      <c r="D2642" s="33" t="n">
        <v>4</v>
      </c>
      <c r="E2642" s="33" t="inlineStr">
        <is>
          <t>Initial L11-batch rating per agent4 proposal (rationale+source in 11-robotics/research/rating-proposals-2026-08-02/); briefing per-stock/TKR/context-2026-08-02.md</t>
        </is>
      </c>
      <c r="F2642" s="33" t="inlineStr">
        <is>
          <t>per-stock/TKR/context-2026-08-02.md</t>
        </is>
      </c>
      <c r="G2642" s="33" t="inlineStr">
        <is>
          <t>Medium</t>
        </is>
      </c>
      <c r="H2642" s="33" t="inlineStr">
        <is>
          <t>Initial</t>
        </is>
      </c>
    </row>
    <row r="2643">
      <c r="A2643" s="33" t="inlineStr">
        <is>
          <t>2026-08-02</t>
        </is>
      </c>
      <c r="B2643" s="33" t="inlineStr">
        <is>
          <t>TKR</t>
        </is>
      </c>
      <c r="C2643" s="33" t="inlineStr">
        <is>
          <t>R5</t>
        </is>
      </c>
      <c r="D2643" s="33" t="n">
        <v>5</v>
      </c>
      <c r="E2643" s="33" t="inlineStr">
        <is>
          <t>Initial L11-batch rating per agent4 proposal (rationale+source in 11-robotics/research/rating-proposals-2026-08-02/); briefing per-stock/TKR/context-2026-08-02.md</t>
        </is>
      </c>
      <c r="F2643" s="33" t="inlineStr">
        <is>
          <t>per-stock/TKR/context-2026-08-02.md</t>
        </is>
      </c>
      <c r="G2643" s="33" t="inlineStr">
        <is>
          <t>Medium</t>
        </is>
      </c>
      <c r="H2643" s="33" t="inlineStr">
        <is>
          <t>Initial</t>
        </is>
      </c>
    </row>
    <row r="2644">
      <c r="A2644" s="33" t="inlineStr">
        <is>
          <t>2026-08-02</t>
        </is>
      </c>
      <c r="B2644" s="33" t="inlineStr">
        <is>
          <t>RRX</t>
        </is>
      </c>
      <c r="C2644" s="33" t="inlineStr">
        <is>
          <t>D1</t>
        </is>
      </c>
      <c r="D2644" s="33" t="n">
        <v>2</v>
      </c>
      <c r="E2644" s="33" t="inlineStr">
        <is>
          <t>Initial L11-batch rating per agent5 proposal (rationale+source in 11-robotics/research/rating-proposals-2026-08-02/); briefing per-stock/RRX/context-2026-08-02.md</t>
        </is>
      </c>
      <c r="F2644" s="33" t="inlineStr">
        <is>
          <t>per-stock/RRX/context-2026-08-02.md</t>
        </is>
      </c>
      <c r="G2644" s="33" t="inlineStr">
        <is>
          <t>Medium</t>
        </is>
      </c>
      <c r="H2644" s="33" t="inlineStr">
        <is>
          <t>Initial</t>
        </is>
      </c>
    </row>
    <row r="2645">
      <c r="A2645" s="33" t="inlineStr">
        <is>
          <t>2026-08-02</t>
        </is>
      </c>
      <c r="B2645" s="33" t="inlineStr">
        <is>
          <t>RRX</t>
        </is>
      </c>
      <c r="C2645" s="33" t="inlineStr">
        <is>
          <t>D2</t>
        </is>
      </c>
      <c r="D2645" s="33" t="n">
        <v>3</v>
      </c>
      <c r="E2645" s="33" t="inlineStr">
        <is>
          <t>Initial L11-batch rating per agent5 proposal (rationale+source in 11-robotics/research/rating-proposals-2026-08-02/); briefing per-stock/RRX/context-2026-08-02.md</t>
        </is>
      </c>
      <c r="F2645" s="33" t="inlineStr">
        <is>
          <t>per-stock/RRX/context-2026-08-02.md</t>
        </is>
      </c>
      <c r="G2645" s="33" t="inlineStr">
        <is>
          <t>Medium</t>
        </is>
      </c>
      <c r="H2645" s="33" t="inlineStr">
        <is>
          <t>Initial</t>
        </is>
      </c>
    </row>
    <row r="2646">
      <c r="A2646" s="33" t="inlineStr">
        <is>
          <t>2026-08-02</t>
        </is>
      </c>
      <c r="B2646" s="33" t="inlineStr">
        <is>
          <t>RRX</t>
        </is>
      </c>
      <c r="C2646" s="33" t="inlineStr">
        <is>
          <t>D3</t>
        </is>
      </c>
      <c r="D2646" s="33" t="n">
        <v>3</v>
      </c>
      <c r="E2646" s="33" t="inlineStr">
        <is>
          <t>Initial L11-batch rating per agent5 proposal (rationale+source in 11-robotics/research/rating-proposals-2026-08-02/); briefing per-stock/RRX/context-2026-08-02.md</t>
        </is>
      </c>
      <c r="F2646" s="33" t="inlineStr">
        <is>
          <t>per-stock/RRX/context-2026-08-02.md</t>
        </is>
      </c>
      <c r="G2646" s="33" t="inlineStr">
        <is>
          <t>Medium</t>
        </is>
      </c>
      <c r="H2646" s="33" t="inlineStr">
        <is>
          <t>Initial</t>
        </is>
      </c>
    </row>
    <row r="2647">
      <c r="A2647" s="33" t="inlineStr">
        <is>
          <t>2026-08-02</t>
        </is>
      </c>
      <c r="B2647" s="33" t="inlineStr">
        <is>
          <t>RRX</t>
        </is>
      </c>
      <c r="C2647" s="33" t="inlineStr">
        <is>
          <t>D4</t>
        </is>
      </c>
      <c r="D2647" s="33" t="n">
        <v>3</v>
      </c>
      <c r="E2647" s="33" t="inlineStr">
        <is>
          <t>Initial L11-batch rating per agent5 proposal (rationale+source in 11-robotics/research/rating-proposals-2026-08-02/); briefing per-stock/RRX/context-2026-08-02.md</t>
        </is>
      </c>
      <c r="F2647" s="33" t="inlineStr">
        <is>
          <t>per-stock/RRX/context-2026-08-02.md</t>
        </is>
      </c>
      <c r="G2647" s="33" t="inlineStr">
        <is>
          <t>Medium</t>
        </is>
      </c>
      <c r="H2647" s="33" t="inlineStr">
        <is>
          <t>Initial</t>
        </is>
      </c>
    </row>
    <row r="2648">
      <c r="A2648" s="33" t="inlineStr">
        <is>
          <t>2026-08-02</t>
        </is>
      </c>
      <c r="B2648" s="33" t="inlineStr">
        <is>
          <t>RRX</t>
        </is>
      </c>
      <c r="C2648" s="33" t="inlineStr">
        <is>
          <t>D5</t>
        </is>
      </c>
      <c r="D2648" s="33" t="n">
        <v>4</v>
      </c>
      <c r="E2648" s="33" t="inlineStr">
        <is>
          <t>Initial L11-batch rating per agent5 proposal (rationale+source in 11-robotics/research/rating-proposals-2026-08-02/); briefing per-stock/RRX/context-2026-08-02.md</t>
        </is>
      </c>
      <c r="F2648" s="33" t="inlineStr">
        <is>
          <t>per-stock/RRX/context-2026-08-02.md</t>
        </is>
      </c>
      <c r="G2648" s="33" t="inlineStr">
        <is>
          <t>Medium</t>
        </is>
      </c>
      <c r="H2648" s="33" t="inlineStr">
        <is>
          <t>Initial</t>
        </is>
      </c>
    </row>
    <row r="2649">
      <c r="A2649" s="33" t="inlineStr">
        <is>
          <t>2026-08-02</t>
        </is>
      </c>
      <c r="B2649" s="33" t="inlineStr">
        <is>
          <t>RRX</t>
        </is>
      </c>
      <c r="C2649" s="33" t="inlineStr">
        <is>
          <t>M1</t>
        </is>
      </c>
      <c r="D2649" s="33" t="n">
        <v>4</v>
      </c>
      <c r="E2649" s="33" t="inlineStr">
        <is>
          <t>Initial L11-batch rating per agent5 proposal (rationale+source in 11-robotics/research/rating-proposals-2026-08-02/); briefing per-stock/RRX/context-2026-08-02.md</t>
        </is>
      </c>
      <c r="F2649" s="33" t="inlineStr">
        <is>
          <t>per-stock/RRX/context-2026-08-02.md</t>
        </is>
      </c>
      <c r="G2649" s="33" t="inlineStr">
        <is>
          <t>Medium</t>
        </is>
      </c>
      <c r="H2649" s="33" t="inlineStr">
        <is>
          <t>Initial</t>
        </is>
      </c>
    </row>
    <row r="2650">
      <c r="A2650" s="33" t="inlineStr">
        <is>
          <t>2026-08-02</t>
        </is>
      </c>
      <c r="B2650" s="33" t="inlineStr">
        <is>
          <t>RRX</t>
        </is>
      </c>
      <c r="C2650" s="33" t="inlineStr">
        <is>
          <t>M2</t>
        </is>
      </c>
      <c r="D2650" s="33" t="n">
        <v>4</v>
      </c>
      <c r="E2650" s="33" t="inlineStr">
        <is>
          <t>Initial L11-batch rating per agent5 proposal (rationale+source in 11-robotics/research/rating-proposals-2026-08-02/); briefing per-stock/RRX/context-2026-08-02.md</t>
        </is>
      </c>
      <c r="F2650" s="33" t="inlineStr">
        <is>
          <t>per-stock/RRX/context-2026-08-02.md</t>
        </is>
      </c>
      <c r="G2650" s="33" t="inlineStr">
        <is>
          <t>Medium</t>
        </is>
      </c>
      <c r="H2650" s="33" t="inlineStr">
        <is>
          <t>Initial</t>
        </is>
      </c>
    </row>
    <row r="2651">
      <c r="A2651" s="33" t="inlineStr">
        <is>
          <t>2026-08-02</t>
        </is>
      </c>
      <c r="B2651" s="33" t="inlineStr">
        <is>
          <t>RRX</t>
        </is>
      </c>
      <c r="C2651" s="33" t="inlineStr">
        <is>
          <t>M3</t>
        </is>
      </c>
      <c r="D2651" s="33" t="n">
        <v>1</v>
      </c>
      <c r="E2651" s="33" t="inlineStr">
        <is>
          <t>Initial L11-batch rating per agent5 proposal (rationale+source in 11-robotics/research/rating-proposals-2026-08-02/); briefing per-stock/RRX/context-2026-08-02.md</t>
        </is>
      </c>
      <c r="F2651" s="33" t="inlineStr">
        <is>
          <t>per-stock/RRX/context-2026-08-02.md</t>
        </is>
      </c>
      <c r="G2651" s="33" t="inlineStr">
        <is>
          <t>Medium</t>
        </is>
      </c>
      <c r="H2651" s="33" t="inlineStr">
        <is>
          <t>Initial</t>
        </is>
      </c>
    </row>
    <row r="2652">
      <c r="A2652" s="33" t="inlineStr">
        <is>
          <t>2026-08-02</t>
        </is>
      </c>
      <c r="B2652" s="33" t="inlineStr">
        <is>
          <t>RRX</t>
        </is>
      </c>
      <c r="C2652" s="33" t="inlineStr">
        <is>
          <t>R1</t>
        </is>
      </c>
      <c r="D2652" s="33" t="n">
        <v>5</v>
      </c>
      <c r="E2652" s="33" t="inlineStr">
        <is>
          <t>Initial L11-batch rating per agent5 proposal (rationale+source in 11-robotics/research/rating-proposals-2026-08-02/); briefing per-stock/RRX/context-2026-08-02.md</t>
        </is>
      </c>
      <c r="F2652" s="33" t="inlineStr">
        <is>
          <t>per-stock/RRX/context-2026-08-02.md</t>
        </is>
      </c>
      <c r="G2652" s="33" t="inlineStr">
        <is>
          <t>Medium</t>
        </is>
      </c>
      <c r="H2652" s="33" t="inlineStr">
        <is>
          <t>Initial</t>
        </is>
      </c>
    </row>
    <row r="2653">
      <c r="A2653" s="33" t="inlineStr">
        <is>
          <t>2026-08-02</t>
        </is>
      </c>
      <c r="B2653" s="33" t="inlineStr">
        <is>
          <t>RRX</t>
        </is>
      </c>
      <c r="C2653" s="33" t="inlineStr">
        <is>
          <t>R2</t>
        </is>
      </c>
      <c r="D2653" s="33" t="n">
        <v>4</v>
      </c>
      <c r="E2653" s="33" t="inlineStr">
        <is>
          <t>Initial L11-batch rating per agent5 proposal (rationale+source in 11-robotics/research/rating-proposals-2026-08-02/); briefing per-stock/RRX/context-2026-08-02.md</t>
        </is>
      </c>
      <c r="F2653" s="33" t="inlineStr">
        <is>
          <t>per-stock/RRX/context-2026-08-02.md</t>
        </is>
      </c>
      <c r="G2653" s="33" t="inlineStr">
        <is>
          <t>Medium</t>
        </is>
      </c>
      <c r="H2653" s="33" t="inlineStr">
        <is>
          <t>Initial</t>
        </is>
      </c>
    </row>
    <row r="2654">
      <c r="A2654" s="33" t="inlineStr">
        <is>
          <t>2026-08-02</t>
        </is>
      </c>
      <c r="B2654" s="33" t="inlineStr">
        <is>
          <t>RRX</t>
        </is>
      </c>
      <c r="C2654" s="33" t="inlineStr">
        <is>
          <t>R3</t>
        </is>
      </c>
      <c r="D2654" s="33" t="n">
        <v>3</v>
      </c>
      <c r="E2654" s="33" t="inlineStr">
        <is>
          <t>Initial L11-batch rating per agent5 proposal (rationale+source in 11-robotics/research/rating-proposals-2026-08-02/); briefing per-stock/RRX/context-2026-08-02.md</t>
        </is>
      </c>
      <c r="F2654" s="33" t="inlineStr">
        <is>
          <t>per-stock/RRX/context-2026-08-02.md</t>
        </is>
      </c>
      <c r="G2654" s="33" t="inlineStr">
        <is>
          <t>Medium</t>
        </is>
      </c>
      <c r="H2654" s="33" t="inlineStr">
        <is>
          <t>Initial</t>
        </is>
      </c>
    </row>
    <row r="2655">
      <c r="A2655" s="33" t="inlineStr">
        <is>
          <t>2026-08-02</t>
        </is>
      </c>
      <c r="B2655" s="33" t="inlineStr">
        <is>
          <t>RRX</t>
        </is>
      </c>
      <c r="C2655" s="33" t="inlineStr">
        <is>
          <t>R4</t>
        </is>
      </c>
      <c r="D2655" s="33" t="n">
        <v>3</v>
      </c>
      <c r="E2655" s="33" t="inlineStr">
        <is>
          <t>Initial L11-batch rating per agent5 proposal (rationale+source in 11-robotics/research/rating-proposals-2026-08-02/); briefing per-stock/RRX/context-2026-08-02.md</t>
        </is>
      </c>
      <c r="F2655" s="33" t="inlineStr">
        <is>
          <t>per-stock/RRX/context-2026-08-02.md</t>
        </is>
      </c>
      <c r="G2655" s="33" t="inlineStr">
        <is>
          <t>Medium</t>
        </is>
      </c>
      <c r="H2655" s="33" t="inlineStr">
        <is>
          <t>Initial</t>
        </is>
      </c>
    </row>
    <row r="2656">
      <c r="A2656" s="33" t="inlineStr">
        <is>
          <t>2026-08-02</t>
        </is>
      </c>
      <c r="B2656" s="33" t="inlineStr">
        <is>
          <t>RRX</t>
        </is>
      </c>
      <c r="C2656" s="33" t="inlineStr">
        <is>
          <t>R5</t>
        </is>
      </c>
      <c r="D2656" s="33" t="n">
        <v>5</v>
      </c>
      <c r="E2656" s="33" t="inlineStr">
        <is>
          <t>Initial L11-batch rating per agent5 proposal (rationale+source in 11-robotics/research/rating-proposals-2026-08-02/); briefing per-stock/RRX/context-2026-08-02.md</t>
        </is>
      </c>
      <c r="F2656" s="33" t="inlineStr">
        <is>
          <t>per-stock/RRX/context-2026-08-02.md</t>
        </is>
      </c>
      <c r="G2656" s="33" t="inlineStr">
        <is>
          <t>Medium</t>
        </is>
      </c>
      <c r="H2656" s="33" t="inlineStr">
        <is>
          <t>Initial</t>
        </is>
      </c>
    </row>
    <row r="2657">
      <c r="A2657" s="33" t="inlineStr">
        <is>
          <t>2026-08-02</t>
        </is>
      </c>
      <c r="B2657" s="33" t="inlineStr">
        <is>
          <t>NOVT</t>
        </is>
      </c>
      <c r="C2657" s="33" t="inlineStr">
        <is>
          <t>D1</t>
        </is>
      </c>
      <c r="D2657" s="33" t="n">
        <v>4</v>
      </c>
      <c r="E2657" s="33" t="inlineStr">
        <is>
          <t>Initial L11-batch rating per agent5 proposal (rationale+source in 11-robotics/research/rating-proposals-2026-08-02/); briefing per-stock/NOVT/context-2026-08-02.md</t>
        </is>
      </c>
      <c r="F2657" s="33" t="inlineStr">
        <is>
          <t>per-stock/NOVT/context-2026-08-02.md</t>
        </is>
      </c>
      <c r="G2657" s="33" t="inlineStr">
        <is>
          <t>Medium</t>
        </is>
      </c>
      <c r="H2657" s="33" t="inlineStr">
        <is>
          <t>Initial</t>
        </is>
      </c>
    </row>
    <row r="2658">
      <c r="A2658" s="33" t="inlineStr">
        <is>
          <t>2026-08-02</t>
        </is>
      </c>
      <c r="B2658" s="33" t="inlineStr">
        <is>
          <t>NOVT</t>
        </is>
      </c>
      <c r="C2658" s="33" t="inlineStr">
        <is>
          <t>D2</t>
        </is>
      </c>
      <c r="D2658" s="33" t="n">
        <v>4</v>
      </c>
      <c r="E2658" s="33" t="inlineStr">
        <is>
          <t>Initial L11-batch rating per agent5 proposal (rationale+source in 11-robotics/research/rating-proposals-2026-08-02/); briefing per-stock/NOVT/context-2026-08-02.md</t>
        </is>
      </c>
      <c r="F2658" s="33" t="inlineStr">
        <is>
          <t>per-stock/NOVT/context-2026-08-02.md</t>
        </is>
      </c>
      <c r="G2658" s="33" t="inlineStr">
        <is>
          <t>Medium</t>
        </is>
      </c>
      <c r="H2658" s="33" t="inlineStr">
        <is>
          <t>Initial</t>
        </is>
      </c>
    </row>
    <row r="2659">
      <c r="A2659" s="33" t="inlineStr">
        <is>
          <t>2026-08-02</t>
        </is>
      </c>
      <c r="B2659" s="33" t="inlineStr">
        <is>
          <t>NOVT</t>
        </is>
      </c>
      <c r="C2659" s="33" t="inlineStr">
        <is>
          <t>D3</t>
        </is>
      </c>
      <c r="D2659" s="33" t="n">
        <v>4</v>
      </c>
      <c r="E2659" s="33" t="inlineStr">
        <is>
          <t>Initial L11-batch rating per agent5 proposal (rationale+source in 11-robotics/research/rating-proposals-2026-08-02/); briefing per-stock/NOVT/context-2026-08-02.md</t>
        </is>
      </c>
      <c r="F2659" s="33" t="inlineStr">
        <is>
          <t>per-stock/NOVT/context-2026-08-02.md</t>
        </is>
      </c>
      <c r="G2659" s="33" t="inlineStr">
        <is>
          <t>Medium</t>
        </is>
      </c>
      <c r="H2659" s="33" t="inlineStr">
        <is>
          <t>Initial</t>
        </is>
      </c>
    </row>
    <row r="2660">
      <c r="A2660" s="33" t="inlineStr">
        <is>
          <t>2026-08-02</t>
        </is>
      </c>
      <c r="B2660" s="33" t="inlineStr">
        <is>
          <t>NOVT</t>
        </is>
      </c>
      <c r="C2660" s="33" t="inlineStr">
        <is>
          <t>D4</t>
        </is>
      </c>
      <c r="D2660" s="33" t="n">
        <v>4</v>
      </c>
      <c r="E2660" s="33" t="inlineStr">
        <is>
          <t>Initial L11-batch rating per agent5 proposal (rationale+source in 11-robotics/research/rating-proposals-2026-08-02/); briefing per-stock/NOVT/context-2026-08-02.md</t>
        </is>
      </c>
      <c r="F2660" s="33" t="inlineStr">
        <is>
          <t>per-stock/NOVT/context-2026-08-02.md</t>
        </is>
      </c>
      <c r="G2660" s="33" t="inlineStr">
        <is>
          <t>Medium</t>
        </is>
      </c>
      <c r="H2660" s="33" t="inlineStr">
        <is>
          <t>Initial</t>
        </is>
      </c>
    </row>
    <row r="2661">
      <c r="A2661" s="33" t="inlineStr">
        <is>
          <t>2026-08-02</t>
        </is>
      </c>
      <c r="B2661" s="33" t="inlineStr">
        <is>
          <t>NOVT</t>
        </is>
      </c>
      <c r="C2661" s="33" t="inlineStr">
        <is>
          <t>D5</t>
        </is>
      </c>
      <c r="D2661" s="33" t="n">
        <v>4</v>
      </c>
      <c r="E2661" s="33" t="inlineStr">
        <is>
          <t>Initial L11-batch rating per agent5 proposal (rationale+source in 11-robotics/research/rating-proposals-2026-08-02/); briefing per-stock/NOVT/context-2026-08-02.md</t>
        </is>
      </c>
      <c r="F2661" s="33" t="inlineStr">
        <is>
          <t>per-stock/NOVT/context-2026-08-02.md</t>
        </is>
      </c>
      <c r="G2661" s="33" t="inlineStr">
        <is>
          <t>Medium</t>
        </is>
      </c>
      <c r="H2661" s="33" t="inlineStr">
        <is>
          <t>Initial</t>
        </is>
      </c>
    </row>
    <row r="2662">
      <c r="A2662" s="33" t="inlineStr">
        <is>
          <t>2026-08-02</t>
        </is>
      </c>
      <c r="B2662" s="33" t="inlineStr">
        <is>
          <t>NOVT</t>
        </is>
      </c>
      <c r="C2662" s="33" t="inlineStr">
        <is>
          <t>M1</t>
        </is>
      </c>
      <c r="D2662" s="33" t="n">
        <v>3</v>
      </c>
      <c r="E2662" s="33" t="inlineStr">
        <is>
          <t>Initial L11-batch rating per agent5 proposal (rationale+source in 11-robotics/research/rating-proposals-2026-08-02/); briefing per-stock/NOVT/context-2026-08-02.md</t>
        </is>
      </c>
      <c r="F2662" s="33" t="inlineStr">
        <is>
          <t>per-stock/NOVT/context-2026-08-02.md</t>
        </is>
      </c>
      <c r="G2662" s="33" t="inlineStr">
        <is>
          <t>Medium</t>
        </is>
      </c>
      <c r="H2662" s="33" t="inlineStr">
        <is>
          <t>Initial</t>
        </is>
      </c>
    </row>
    <row r="2663">
      <c r="A2663" s="33" t="inlineStr">
        <is>
          <t>2026-08-02</t>
        </is>
      </c>
      <c r="B2663" s="33" t="inlineStr">
        <is>
          <t>NOVT</t>
        </is>
      </c>
      <c r="C2663" s="33" t="inlineStr">
        <is>
          <t>M2</t>
        </is>
      </c>
      <c r="D2663" s="33" t="n">
        <v>3</v>
      </c>
      <c r="E2663" s="33" t="inlineStr">
        <is>
          <t>Initial L11-batch rating per agent5 proposal (rationale+source in 11-robotics/research/rating-proposals-2026-08-02/); briefing per-stock/NOVT/context-2026-08-02.md</t>
        </is>
      </c>
      <c r="F2663" s="33" t="inlineStr">
        <is>
          <t>per-stock/NOVT/context-2026-08-02.md</t>
        </is>
      </c>
      <c r="G2663" s="33" t="inlineStr">
        <is>
          <t>Medium</t>
        </is>
      </c>
      <c r="H2663" s="33" t="inlineStr">
        <is>
          <t>Initial</t>
        </is>
      </c>
    </row>
    <row r="2664">
      <c r="A2664" s="33" t="inlineStr">
        <is>
          <t>2026-08-02</t>
        </is>
      </c>
      <c r="B2664" s="33" t="inlineStr">
        <is>
          <t>NOVT</t>
        </is>
      </c>
      <c r="C2664" s="33" t="inlineStr">
        <is>
          <t>M3</t>
        </is>
      </c>
      <c r="D2664" s="33" t="n">
        <v>3</v>
      </c>
      <c r="E2664" s="33" t="inlineStr">
        <is>
          <t>Initial L11-batch rating per agent5 proposal (rationale+source in 11-robotics/research/rating-proposals-2026-08-02/); briefing per-stock/NOVT/context-2026-08-02.md</t>
        </is>
      </c>
      <c r="F2664" s="33" t="inlineStr">
        <is>
          <t>per-stock/NOVT/context-2026-08-02.md</t>
        </is>
      </c>
      <c r="G2664" s="33" t="inlineStr">
        <is>
          <t>Medium</t>
        </is>
      </c>
      <c r="H2664" s="33" t="inlineStr">
        <is>
          <t>Initial</t>
        </is>
      </c>
    </row>
    <row r="2665">
      <c r="A2665" s="33" t="inlineStr">
        <is>
          <t>2026-08-02</t>
        </is>
      </c>
      <c r="B2665" s="33" t="inlineStr">
        <is>
          <t>NOVT</t>
        </is>
      </c>
      <c r="C2665" s="33" t="inlineStr">
        <is>
          <t>R1</t>
        </is>
      </c>
      <c r="D2665" s="33" t="n">
        <v>5</v>
      </c>
      <c r="E2665" s="33" t="inlineStr">
        <is>
          <t>Initial L11-batch rating per agent5 proposal (rationale+source in 11-robotics/research/rating-proposals-2026-08-02/); briefing per-stock/NOVT/context-2026-08-02.md</t>
        </is>
      </c>
      <c r="F2665" s="33" t="inlineStr">
        <is>
          <t>per-stock/NOVT/context-2026-08-02.md</t>
        </is>
      </c>
      <c r="G2665" s="33" t="inlineStr">
        <is>
          <t>Medium</t>
        </is>
      </c>
      <c r="H2665" s="33" t="inlineStr">
        <is>
          <t>Initial</t>
        </is>
      </c>
    </row>
    <row r="2666">
      <c r="A2666" s="33" t="inlineStr">
        <is>
          <t>2026-08-02</t>
        </is>
      </c>
      <c r="B2666" s="33" t="inlineStr">
        <is>
          <t>NOVT</t>
        </is>
      </c>
      <c r="C2666" s="33" t="inlineStr">
        <is>
          <t>R2</t>
        </is>
      </c>
      <c r="D2666" s="33" t="n">
        <v>5</v>
      </c>
      <c r="E2666" s="33" t="inlineStr">
        <is>
          <t>Initial L11-batch rating per agent5 proposal (rationale+source in 11-robotics/research/rating-proposals-2026-08-02/); briefing per-stock/NOVT/context-2026-08-02.md</t>
        </is>
      </c>
      <c r="F2666" s="33" t="inlineStr">
        <is>
          <t>per-stock/NOVT/context-2026-08-02.md</t>
        </is>
      </c>
      <c r="G2666" s="33" t="inlineStr">
        <is>
          <t>Medium</t>
        </is>
      </c>
      <c r="H2666" s="33" t="inlineStr">
        <is>
          <t>Initial</t>
        </is>
      </c>
    </row>
    <row r="2667">
      <c r="A2667" s="33" t="inlineStr">
        <is>
          <t>2026-08-02</t>
        </is>
      </c>
      <c r="B2667" s="33" t="inlineStr">
        <is>
          <t>NOVT</t>
        </is>
      </c>
      <c r="C2667" s="33" t="inlineStr">
        <is>
          <t>R3</t>
        </is>
      </c>
      <c r="D2667" s="33" t="n">
        <v>3</v>
      </c>
      <c r="E2667" s="33" t="inlineStr">
        <is>
          <t>Initial L11-batch rating per agent5 proposal (rationale+source in 11-robotics/research/rating-proposals-2026-08-02/); briefing per-stock/NOVT/context-2026-08-02.md</t>
        </is>
      </c>
      <c r="F2667" s="33" t="inlineStr">
        <is>
          <t>per-stock/NOVT/context-2026-08-02.md</t>
        </is>
      </c>
      <c r="G2667" s="33" t="inlineStr">
        <is>
          <t>Medium</t>
        </is>
      </c>
      <c r="H2667" s="33" t="inlineStr">
        <is>
          <t>Initial</t>
        </is>
      </c>
    </row>
    <row r="2668">
      <c r="A2668" s="33" t="inlineStr">
        <is>
          <t>2026-08-02</t>
        </is>
      </c>
      <c r="B2668" s="33" t="inlineStr">
        <is>
          <t>NOVT</t>
        </is>
      </c>
      <c r="C2668" s="33" t="inlineStr">
        <is>
          <t>R4</t>
        </is>
      </c>
      <c r="D2668" s="33" t="n">
        <v>4</v>
      </c>
      <c r="E2668" s="33" t="inlineStr">
        <is>
          <t>Initial L11-batch rating per agent5 proposal (rationale+source in 11-robotics/research/rating-proposals-2026-08-02/); briefing per-stock/NOVT/context-2026-08-02.md</t>
        </is>
      </c>
      <c r="F2668" s="33" t="inlineStr">
        <is>
          <t>per-stock/NOVT/context-2026-08-02.md</t>
        </is>
      </c>
      <c r="G2668" s="33" t="inlineStr">
        <is>
          <t>Medium</t>
        </is>
      </c>
      <c r="H2668" s="33" t="inlineStr">
        <is>
          <t>Initial</t>
        </is>
      </c>
    </row>
    <row r="2669">
      <c r="A2669" s="33" t="inlineStr">
        <is>
          <t>2026-08-02</t>
        </is>
      </c>
      <c r="B2669" s="33" t="inlineStr">
        <is>
          <t>NOVT</t>
        </is>
      </c>
      <c r="C2669" s="33" t="inlineStr">
        <is>
          <t>R5</t>
        </is>
      </c>
      <c r="D2669" s="33" t="n">
        <v>5</v>
      </c>
      <c r="E2669" s="33" t="inlineStr">
        <is>
          <t>Initial L11-batch rating per agent5 proposal (rationale+source in 11-robotics/research/rating-proposals-2026-08-02/); briefing per-stock/NOVT/context-2026-08-02.md</t>
        </is>
      </c>
      <c r="F2669" s="33" t="inlineStr">
        <is>
          <t>per-stock/NOVT/context-2026-08-02.md</t>
        </is>
      </c>
      <c r="G2669" s="33" t="inlineStr">
        <is>
          <t>Medium</t>
        </is>
      </c>
      <c r="H2669" s="33" t="inlineStr">
        <is>
          <t>Initial</t>
        </is>
      </c>
    </row>
    <row r="2670">
      <c r="A2670" s="33" t="inlineStr">
        <is>
          <t>2026-08-02</t>
        </is>
      </c>
      <c r="B2670" s="33" t="inlineStr">
        <is>
          <t>ALNT</t>
        </is>
      </c>
      <c r="C2670" s="33" t="inlineStr">
        <is>
          <t>D1</t>
        </is>
      </c>
      <c r="D2670" s="33" t="n">
        <v>2</v>
      </c>
      <c r="E2670" s="33" t="inlineStr">
        <is>
          <t>Initial L11-batch rating per agent5 proposal (rationale+source in 11-robotics/research/rating-proposals-2026-08-02/); briefing per-stock/ALNT/context-2026-08-02.md</t>
        </is>
      </c>
      <c r="F2670" s="33" t="inlineStr">
        <is>
          <t>per-stock/ALNT/context-2026-08-02.md</t>
        </is>
      </c>
      <c r="G2670" s="33" t="inlineStr">
        <is>
          <t>Medium</t>
        </is>
      </c>
      <c r="H2670" s="33" t="inlineStr">
        <is>
          <t>Initial</t>
        </is>
      </c>
    </row>
    <row r="2671">
      <c r="A2671" s="33" t="inlineStr">
        <is>
          <t>2026-08-02</t>
        </is>
      </c>
      <c r="B2671" s="33" t="inlineStr">
        <is>
          <t>ALNT</t>
        </is>
      </c>
      <c r="C2671" s="33" t="inlineStr">
        <is>
          <t>D2</t>
        </is>
      </c>
      <c r="D2671" s="33" t="n">
        <v>3</v>
      </c>
      <c r="E2671" s="33" t="inlineStr">
        <is>
          <t>Initial L11-batch rating per agent5 proposal (rationale+source in 11-robotics/research/rating-proposals-2026-08-02/); briefing per-stock/ALNT/context-2026-08-02.md</t>
        </is>
      </c>
      <c r="F2671" s="33" t="inlineStr">
        <is>
          <t>per-stock/ALNT/context-2026-08-02.md</t>
        </is>
      </c>
      <c r="G2671" s="33" t="inlineStr">
        <is>
          <t>Medium</t>
        </is>
      </c>
      <c r="H2671" s="33" t="inlineStr">
        <is>
          <t>Initial</t>
        </is>
      </c>
    </row>
    <row r="2672">
      <c r="A2672" s="33" t="inlineStr">
        <is>
          <t>2026-08-02</t>
        </is>
      </c>
      <c r="B2672" s="33" t="inlineStr">
        <is>
          <t>ALNT</t>
        </is>
      </c>
      <c r="C2672" s="33" t="inlineStr">
        <is>
          <t>D3</t>
        </is>
      </c>
      <c r="D2672" s="33" t="n">
        <v>3</v>
      </c>
      <c r="E2672" s="33" t="inlineStr">
        <is>
          <t>Initial L11-batch rating per agent5 proposal (rationale+source in 11-robotics/research/rating-proposals-2026-08-02/); briefing per-stock/ALNT/context-2026-08-02.md</t>
        </is>
      </c>
      <c r="F2672" s="33" t="inlineStr">
        <is>
          <t>per-stock/ALNT/context-2026-08-02.md</t>
        </is>
      </c>
      <c r="G2672" s="33" t="inlineStr">
        <is>
          <t>Medium</t>
        </is>
      </c>
      <c r="H2672" s="33" t="inlineStr">
        <is>
          <t>Initial</t>
        </is>
      </c>
    </row>
    <row r="2673">
      <c r="A2673" s="33" t="inlineStr">
        <is>
          <t>2026-08-02</t>
        </is>
      </c>
      <c r="B2673" s="33" t="inlineStr">
        <is>
          <t>ALNT</t>
        </is>
      </c>
      <c r="C2673" s="33" t="inlineStr">
        <is>
          <t>D4</t>
        </is>
      </c>
      <c r="D2673" s="33" t="n">
        <v>3</v>
      </c>
      <c r="E2673" s="33" t="inlineStr">
        <is>
          <t>Initial L11-batch rating per agent5 proposal (rationale+source in 11-robotics/research/rating-proposals-2026-08-02/); briefing per-stock/ALNT/context-2026-08-02.md</t>
        </is>
      </c>
      <c r="F2673" s="33" t="inlineStr">
        <is>
          <t>per-stock/ALNT/context-2026-08-02.md</t>
        </is>
      </c>
      <c r="G2673" s="33" t="inlineStr">
        <is>
          <t>Medium</t>
        </is>
      </c>
      <c r="H2673" s="33" t="inlineStr">
        <is>
          <t>Initial</t>
        </is>
      </c>
    </row>
    <row r="2674">
      <c r="A2674" s="33" t="inlineStr">
        <is>
          <t>2026-08-02</t>
        </is>
      </c>
      <c r="B2674" s="33" t="inlineStr">
        <is>
          <t>ALNT</t>
        </is>
      </c>
      <c r="C2674" s="33" t="inlineStr">
        <is>
          <t>D5</t>
        </is>
      </c>
      <c r="D2674" s="33" t="n">
        <v>2</v>
      </c>
      <c r="E2674" s="33" t="inlineStr">
        <is>
          <t>Initial L11-batch rating per agent5 proposal (rationale+source in 11-robotics/research/rating-proposals-2026-08-02/); briefing per-stock/ALNT/context-2026-08-02.md</t>
        </is>
      </c>
      <c r="F2674" s="33" t="inlineStr">
        <is>
          <t>per-stock/ALNT/context-2026-08-02.md</t>
        </is>
      </c>
      <c r="G2674" s="33" t="inlineStr">
        <is>
          <t>Medium</t>
        </is>
      </c>
      <c r="H2674" s="33" t="inlineStr">
        <is>
          <t>Initial</t>
        </is>
      </c>
    </row>
    <row r="2675">
      <c r="A2675" s="33" t="inlineStr">
        <is>
          <t>2026-08-02</t>
        </is>
      </c>
      <c r="B2675" s="33" t="inlineStr">
        <is>
          <t>ALNT</t>
        </is>
      </c>
      <c r="C2675" s="33" t="inlineStr">
        <is>
          <t>M1</t>
        </is>
      </c>
      <c r="D2675" s="33" t="n">
        <v>4</v>
      </c>
      <c r="E2675" s="33" t="inlineStr">
        <is>
          <t>Initial L11-batch rating per agent5 proposal (rationale+source in 11-robotics/research/rating-proposals-2026-08-02/); briefing per-stock/ALNT/context-2026-08-02.md</t>
        </is>
      </c>
      <c r="F2675" s="33" t="inlineStr">
        <is>
          <t>per-stock/ALNT/context-2026-08-02.md</t>
        </is>
      </c>
      <c r="G2675" s="33" t="inlineStr">
        <is>
          <t>Medium</t>
        </is>
      </c>
      <c r="H2675" s="33" t="inlineStr">
        <is>
          <t>Initial</t>
        </is>
      </c>
    </row>
    <row r="2676">
      <c r="A2676" s="33" t="inlineStr">
        <is>
          <t>2026-08-02</t>
        </is>
      </c>
      <c r="B2676" s="33" t="inlineStr">
        <is>
          <t>ALNT</t>
        </is>
      </c>
      <c r="C2676" s="33" t="inlineStr">
        <is>
          <t>M2</t>
        </is>
      </c>
      <c r="D2676" s="33" t="n">
        <v>5</v>
      </c>
      <c r="E2676" s="33" t="inlineStr">
        <is>
          <t>Initial L11-batch rating per agent5 proposal (rationale+source in 11-robotics/research/rating-proposals-2026-08-02/); briefing per-stock/ALNT/context-2026-08-02.md</t>
        </is>
      </c>
      <c r="F2676" s="33" t="inlineStr">
        <is>
          <t>per-stock/ALNT/context-2026-08-02.md</t>
        </is>
      </c>
      <c r="G2676" s="33" t="inlineStr">
        <is>
          <t>Medium</t>
        </is>
      </c>
      <c r="H2676" s="33" t="inlineStr">
        <is>
          <t>Initial</t>
        </is>
      </c>
    </row>
    <row r="2677">
      <c r="A2677" s="33" t="inlineStr">
        <is>
          <t>2026-08-02</t>
        </is>
      </c>
      <c r="B2677" s="33" t="inlineStr">
        <is>
          <t>ALNT</t>
        </is>
      </c>
      <c r="C2677" s="33" t="inlineStr">
        <is>
          <t>M3</t>
        </is>
      </c>
      <c r="D2677" s="33" t="n">
        <v>3</v>
      </c>
      <c r="E2677" s="33" t="inlineStr">
        <is>
          <t>Initial L11-batch rating per agent5 proposal (rationale+source in 11-robotics/research/rating-proposals-2026-08-02/); briefing per-stock/ALNT/context-2026-08-02.md</t>
        </is>
      </c>
      <c r="F2677" s="33" t="inlineStr">
        <is>
          <t>per-stock/ALNT/context-2026-08-02.md</t>
        </is>
      </c>
      <c r="G2677" s="33" t="inlineStr">
        <is>
          <t>Medium</t>
        </is>
      </c>
      <c r="H2677" s="33" t="inlineStr">
        <is>
          <t>Initial</t>
        </is>
      </c>
    </row>
    <row r="2678">
      <c r="A2678" s="33" t="inlineStr">
        <is>
          <t>2026-08-02</t>
        </is>
      </c>
      <c r="B2678" s="33" t="inlineStr">
        <is>
          <t>ALNT</t>
        </is>
      </c>
      <c r="C2678" s="33" t="inlineStr">
        <is>
          <t>R1</t>
        </is>
      </c>
      <c r="D2678" s="33" t="n">
        <v>5</v>
      </c>
      <c r="E2678" s="33" t="inlineStr">
        <is>
          <t>Initial L11-batch rating per agent5 proposal (rationale+source in 11-robotics/research/rating-proposals-2026-08-02/); briefing per-stock/ALNT/context-2026-08-02.md</t>
        </is>
      </c>
      <c r="F2678" s="33" t="inlineStr">
        <is>
          <t>per-stock/ALNT/context-2026-08-02.md</t>
        </is>
      </c>
      <c r="G2678" s="33" t="inlineStr">
        <is>
          <t>Medium</t>
        </is>
      </c>
      <c r="H2678" s="33" t="inlineStr">
        <is>
          <t>Initial</t>
        </is>
      </c>
    </row>
    <row r="2679">
      <c r="A2679" s="33" t="inlineStr">
        <is>
          <t>2026-08-02</t>
        </is>
      </c>
      <c r="B2679" s="33" t="inlineStr">
        <is>
          <t>ALNT</t>
        </is>
      </c>
      <c r="C2679" s="33" t="inlineStr">
        <is>
          <t>R2</t>
        </is>
      </c>
      <c r="D2679" s="33" t="n">
        <v>4</v>
      </c>
      <c r="E2679" s="33" t="inlineStr">
        <is>
          <t>Initial L11-batch rating per agent5 proposal (rationale+source in 11-robotics/research/rating-proposals-2026-08-02/); briefing per-stock/ALNT/context-2026-08-02.md</t>
        </is>
      </c>
      <c r="F2679" s="33" t="inlineStr">
        <is>
          <t>per-stock/ALNT/context-2026-08-02.md</t>
        </is>
      </c>
      <c r="G2679" s="33" t="inlineStr">
        <is>
          <t>Medium</t>
        </is>
      </c>
      <c r="H2679" s="33" t="inlineStr">
        <is>
          <t>Initial</t>
        </is>
      </c>
    </row>
    <row r="2680">
      <c r="A2680" s="33" t="inlineStr">
        <is>
          <t>2026-08-02</t>
        </is>
      </c>
      <c r="B2680" s="33" t="inlineStr">
        <is>
          <t>ALNT</t>
        </is>
      </c>
      <c r="C2680" s="33" t="inlineStr">
        <is>
          <t>R3</t>
        </is>
      </c>
      <c r="D2680" s="33" t="n">
        <v>3</v>
      </c>
      <c r="E2680" s="33" t="inlineStr">
        <is>
          <t>Initial L11-batch rating per agent5 proposal (rationale+source in 11-robotics/research/rating-proposals-2026-08-02/); briefing per-stock/ALNT/context-2026-08-02.md</t>
        </is>
      </c>
      <c r="F2680" s="33" t="inlineStr">
        <is>
          <t>per-stock/ALNT/context-2026-08-02.md</t>
        </is>
      </c>
      <c r="G2680" s="33" t="inlineStr">
        <is>
          <t>Medium</t>
        </is>
      </c>
      <c r="H2680" s="33" t="inlineStr">
        <is>
          <t>Initial</t>
        </is>
      </c>
    </row>
    <row r="2681">
      <c r="A2681" s="33" t="inlineStr">
        <is>
          <t>2026-08-02</t>
        </is>
      </c>
      <c r="B2681" s="33" t="inlineStr">
        <is>
          <t>ALNT</t>
        </is>
      </c>
      <c r="C2681" s="33" t="inlineStr">
        <is>
          <t>R4</t>
        </is>
      </c>
      <c r="D2681" s="33" t="n">
        <v>4</v>
      </c>
      <c r="E2681" s="33" t="inlineStr">
        <is>
          <t>Initial L11-batch rating per agent5 proposal (rationale+source in 11-robotics/research/rating-proposals-2026-08-02/); briefing per-stock/ALNT/context-2026-08-02.md</t>
        </is>
      </c>
      <c r="F2681" s="33" t="inlineStr">
        <is>
          <t>per-stock/ALNT/context-2026-08-02.md</t>
        </is>
      </c>
      <c r="G2681" s="33" t="inlineStr">
        <is>
          <t>Medium</t>
        </is>
      </c>
      <c r="H2681" s="33" t="inlineStr">
        <is>
          <t>Initial</t>
        </is>
      </c>
    </row>
    <row r="2682">
      <c r="A2682" s="33" t="inlineStr">
        <is>
          <t>2026-08-02</t>
        </is>
      </c>
      <c r="B2682" s="33" t="inlineStr">
        <is>
          <t>ALNT</t>
        </is>
      </c>
      <c r="C2682" s="33" t="inlineStr">
        <is>
          <t>R5</t>
        </is>
      </c>
      <c r="D2682" s="33" t="n">
        <v>5</v>
      </c>
      <c r="E2682" s="33" t="inlineStr">
        <is>
          <t>Initial L11-batch rating per agent5 proposal (rationale+source in 11-robotics/research/rating-proposals-2026-08-02/); briefing per-stock/ALNT/context-2026-08-02.md</t>
        </is>
      </c>
      <c r="F2682" s="33" t="inlineStr">
        <is>
          <t>per-stock/ALNT/context-2026-08-02.md</t>
        </is>
      </c>
      <c r="G2682" s="33" t="inlineStr">
        <is>
          <t>Medium</t>
        </is>
      </c>
      <c r="H2682" s="33" t="inlineStr">
        <is>
          <t>Initial</t>
        </is>
      </c>
    </row>
    <row r="2683">
      <c r="A2683" s="33" t="inlineStr">
        <is>
          <t>2026-08-02</t>
        </is>
      </c>
      <c r="B2683" s="33" t="inlineStr">
        <is>
          <t>VPG</t>
        </is>
      </c>
      <c r="C2683" s="33" t="inlineStr">
        <is>
          <t>D1</t>
        </is>
      </c>
      <c r="D2683" s="33" t="n">
        <v>1</v>
      </c>
      <c r="E2683" s="33" t="inlineStr">
        <is>
          <t>Initial L11-batch rating per agent5 proposal (rationale+source in 11-robotics/research/rating-proposals-2026-08-02/); briefing per-stock/VPG/context-2026-08-02.md</t>
        </is>
      </c>
      <c r="F2683" s="33" t="inlineStr">
        <is>
          <t>per-stock/VPG/context-2026-08-02.md</t>
        </is>
      </c>
      <c r="G2683" s="33" t="inlineStr">
        <is>
          <t>Medium</t>
        </is>
      </c>
      <c r="H2683" s="33" t="inlineStr">
        <is>
          <t>Initial</t>
        </is>
      </c>
    </row>
    <row r="2684">
      <c r="A2684" s="33" t="inlineStr">
        <is>
          <t>2026-08-02</t>
        </is>
      </c>
      <c r="B2684" s="33" t="inlineStr">
        <is>
          <t>VPG</t>
        </is>
      </c>
      <c r="C2684" s="33" t="inlineStr">
        <is>
          <t>D2</t>
        </is>
      </c>
      <c r="D2684" s="33" t="n">
        <v>4</v>
      </c>
      <c r="E2684" s="33" t="inlineStr">
        <is>
          <t>Initial L11-batch rating per agent5 proposal (rationale+source in 11-robotics/research/rating-proposals-2026-08-02/); briefing per-stock/VPG/context-2026-08-02.md</t>
        </is>
      </c>
      <c r="F2684" s="33" t="inlineStr">
        <is>
          <t>per-stock/VPG/context-2026-08-02.md</t>
        </is>
      </c>
      <c r="G2684" s="33" t="inlineStr">
        <is>
          <t>Medium</t>
        </is>
      </c>
      <c r="H2684" s="33" t="inlineStr">
        <is>
          <t>Initial</t>
        </is>
      </c>
    </row>
    <row r="2685">
      <c r="A2685" s="33" t="inlineStr">
        <is>
          <t>2026-08-02</t>
        </is>
      </c>
      <c r="B2685" s="33" t="inlineStr">
        <is>
          <t>VPG</t>
        </is>
      </c>
      <c r="C2685" s="33" t="inlineStr">
        <is>
          <t>D3</t>
        </is>
      </c>
      <c r="D2685" s="33" t="n">
        <v>3</v>
      </c>
      <c r="E2685" s="33" t="inlineStr">
        <is>
          <t>Initial L11-batch rating per agent5 proposal (rationale+source in 11-robotics/research/rating-proposals-2026-08-02/); briefing per-stock/VPG/context-2026-08-02.md</t>
        </is>
      </c>
      <c r="F2685" s="33" t="inlineStr">
        <is>
          <t>per-stock/VPG/context-2026-08-02.md</t>
        </is>
      </c>
      <c r="G2685" s="33" t="inlineStr">
        <is>
          <t>Medium</t>
        </is>
      </c>
      <c r="H2685" s="33" t="inlineStr">
        <is>
          <t>Initial</t>
        </is>
      </c>
    </row>
    <row r="2686">
      <c r="A2686" s="33" t="inlineStr">
        <is>
          <t>2026-08-02</t>
        </is>
      </c>
      <c r="B2686" s="33" t="inlineStr">
        <is>
          <t>VPG</t>
        </is>
      </c>
      <c r="C2686" s="33" t="inlineStr">
        <is>
          <t>D4</t>
        </is>
      </c>
      <c r="D2686" s="33" t="n">
        <v>3</v>
      </c>
      <c r="E2686" s="33" t="inlineStr">
        <is>
          <t>Initial L11-batch rating per agent5 proposal (rationale+source in 11-robotics/research/rating-proposals-2026-08-02/); briefing per-stock/VPG/context-2026-08-02.md</t>
        </is>
      </c>
      <c r="F2686" s="33" t="inlineStr">
        <is>
          <t>per-stock/VPG/context-2026-08-02.md</t>
        </is>
      </c>
      <c r="G2686" s="33" t="inlineStr">
        <is>
          <t>Medium</t>
        </is>
      </c>
      <c r="H2686" s="33" t="inlineStr">
        <is>
          <t>Initial</t>
        </is>
      </c>
    </row>
    <row r="2687">
      <c r="A2687" s="33" t="inlineStr">
        <is>
          <t>2026-08-02</t>
        </is>
      </c>
      <c r="B2687" s="33" t="inlineStr">
        <is>
          <t>VPG</t>
        </is>
      </c>
      <c r="C2687" s="33" t="inlineStr">
        <is>
          <t>D5</t>
        </is>
      </c>
      <c r="D2687" s="33" t="n">
        <v>3</v>
      </c>
      <c r="E2687" s="33" t="inlineStr">
        <is>
          <t>Initial L11-batch rating per agent5 proposal (rationale+source in 11-robotics/research/rating-proposals-2026-08-02/); briefing per-stock/VPG/context-2026-08-02.md</t>
        </is>
      </c>
      <c r="F2687" s="33" t="inlineStr">
        <is>
          <t>per-stock/VPG/context-2026-08-02.md</t>
        </is>
      </c>
      <c r="G2687" s="33" t="inlineStr">
        <is>
          <t>Medium</t>
        </is>
      </c>
      <c r="H2687" s="33" t="inlineStr">
        <is>
          <t>Initial</t>
        </is>
      </c>
    </row>
    <row r="2688">
      <c r="A2688" s="33" t="inlineStr">
        <is>
          <t>2026-08-02</t>
        </is>
      </c>
      <c r="B2688" s="33" t="inlineStr">
        <is>
          <t>VPG</t>
        </is>
      </c>
      <c r="C2688" s="33" t="inlineStr">
        <is>
          <t>M1</t>
        </is>
      </c>
      <c r="D2688" s="33" t="n">
        <v>4</v>
      </c>
      <c r="E2688" s="33" t="inlineStr">
        <is>
          <t>Initial L11-batch rating per agent5 proposal (rationale+source in 11-robotics/research/rating-proposals-2026-08-02/); briefing per-stock/VPG/context-2026-08-02.md</t>
        </is>
      </c>
      <c r="F2688" s="33" t="inlineStr">
        <is>
          <t>per-stock/VPG/context-2026-08-02.md</t>
        </is>
      </c>
      <c r="G2688" s="33" t="inlineStr">
        <is>
          <t>Medium</t>
        </is>
      </c>
      <c r="H2688" s="33" t="inlineStr">
        <is>
          <t>Initial</t>
        </is>
      </c>
    </row>
    <row r="2689">
      <c r="A2689" s="33" t="inlineStr">
        <is>
          <t>2026-08-02</t>
        </is>
      </c>
      <c r="B2689" s="33" t="inlineStr">
        <is>
          <t>VPG</t>
        </is>
      </c>
      <c r="C2689" s="33" t="inlineStr">
        <is>
          <t>M2</t>
        </is>
      </c>
      <c r="D2689" s="33" t="n">
        <v>5</v>
      </c>
      <c r="E2689" s="33" t="inlineStr">
        <is>
          <t>Initial L11-batch rating per agent5 proposal (rationale+source in 11-robotics/research/rating-proposals-2026-08-02/); briefing per-stock/VPG/context-2026-08-02.md</t>
        </is>
      </c>
      <c r="F2689" s="33" t="inlineStr">
        <is>
          <t>per-stock/VPG/context-2026-08-02.md</t>
        </is>
      </c>
      <c r="G2689" s="33" t="inlineStr">
        <is>
          <t>Medium</t>
        </is>
      </c>
      <c r="H2689" s="33" t="inlineStr">
        <is>
          <t>Initial</t>
        </is>
      </c>
    </row>
    <row r="2690">
      <c r="A2690" s="33" t="inlineStr">
        <is>
          <t>2026-08-02</t>
        </is>
      </c>
      <c r="B2690" s="33" t="inlineStr">
        <is>
          <t>VPG</t>
        </is>
      </c>
      <c r="C2690" s="33" t="inlineStr">
        <is>
          <t>M3</t>
        </is>
      </c>
      <c r="D2690" s="33" t="n">
        <v>3</v>
      </c>
      <c r="E2690" s="33" t="inlineStr">
        <is>
          <t>Initial L11-batch rating per agent5 proposal (rationale+source in 11-robotics/research/rating-proposals-2026-08-02/); briefing per-stock/VPG/context-2026-08-02.md</t>
        </is>
      </c>
      <c r="F2690" s="33" t="inlineStr">
        <is>
          <t>per-stock/VPG/context-2026-08-02.md</t>
        </is>
      </c>
      <c r="G2690" s="33" t="inlineStr">
        <is>
          <t>Medium</t>
        </is>
      </c>
      <c r="H2690" s="33" t="inlineStr">
        <is>
          <t>Initial</t>
        </is>
      </c>
    </row>
    <row r="2691">
      <c r="A2691" s="33" t="inlineStr">
        <is>
          <t>2026-08-02</t>
        </is>
      </c>
      <c r="B2691" s="33" t="inlineStr">
        <is>
          <t>VPG</t>
        </is>
      </c>
      <c r="C2691" s="33" t="inlineStr">
        <is>
          <t>R1</t>
        </is>
      </c>
      <c r="D2691" s="33" t="n">
        <v>5</v>
      </c>
      <c r="E2691" s="33" t="inlineStr">
        <is>
          <t>Initial L11-batch rating per agent5 proposal (rationale+source in 11-robotics/research/rating-proposals-2026-08-02/); briefing per-stock/VPG/context-2026-08-02.md</t>
        </is>
      </c>
      <c r="F2691" s="33" t="inlineStr">
        <is>
          <t>per-stock/VPG/context-2026-08-02.md</t>
        </is>
      </c>
      <c r="G2691" s="33" t="inlineStr">
        <is>
          <t>Medium</t>
        </is>
      </c>
      <c r="H2691" s="33" t="inlineStr">
        <is>
          <t>Initial</t>
        </is>
      </c>
    </row>
    <row r="2692">
      <c r="A2692" s="33" t="inlineStr">
        <is>
          <t>2026-08-02</t>
        </is>
      </c>
      <c r="B2692" s="33" t="inlineStr">
        <is>
          <t>VPG</t>
        </is>
      </c>
      <c r="C2692" s="33" t="inlineStr">
        <is>
          <t>R2</t>
        </is>
      </c>
      <c r="D2692" s="33" t="n">
        <v>2</v>
      </c>
      <c r="E2692" s="33" t="inlineStr">
        <is>
          <t>NEW FINDING: Israel = 49.8% of net PP&amp;E ($37.9M/$76.1M) + 31% of cash while only 4.8% of revenue - asset leg on the exact strain-gage base carrying the humanoid thesis (FY2025 10-K Notes 11/13).</t>
        </is>
      </c>
      <c r="F2692" s="33" t="inlineStr">
        <is>
          <t>per-stock/VPG/context-2026-08-02.md</t>
        </is>
      </c>
      <c r="G2692" s="33" t="inlineStr">
        <is>
          <t>Medium</t>
        </is>
      </c>
      <c r="H2692" s="33" t="inlineStr">
        <is>
          <t>Initial</t>
        </is>
      </c>
    </row>
    <row r="2693">
      <c r="A2693" s="33" t="inlineStr">
        <is>
          <t>2026-08-02</t>
        </is>
      </c>
      <c r="B2693" s="33" t="inlineStr">
        <is>
          <t>VPG</t>
        </is>
      </c>
      <c r="C2693" s="33" t="inlineStr">
        <is>
          <t>R3</t>
        </is>
      </c>
      <c r="D2693" s="33" t="n">
        <v>5</v>
      </c>
      <c r="E2693" s="33" t="inlineStr">
        <is>
          <t>Initial L11-batch rating per agent5 proposal (rationale+source in 11-robotics/research/rating-proposals-2026-08-02/); briefing per-stock/VPG/context-2026-08-02.md</t>
        </is>
      </c>
      <c r="F2693" s="33" t="inlineStr">
        <is>
          <t>per-stock/VPG/context-2026-08-02.md</t>
        </is>
      </c>
      <c r="G2693" s="33" t="inlineStr">
        <is>
          <t>Medium</t>
        </is>
      </c>
      <c r="H2693" s="33" t="inlineStr">
        <is>
          <t>Initial</t>
        </is>
      </c>
    </row>
    <row r="2694">
      <c r="A2694" s="33" t="inlineStr">
        <is>
          <t>2026-08-02</t>
        </is>
      </c>
      <c r="B2694" s="33" t="inlineStr">
        <is>
          <t>VPG</t>
        </is>
      </c>
      <c r="C2694" s="33" t="inlineStr">
        <is>
          <t>R4</t>
        </is>
      </c>
      <c r="D2694" s="33" t="n">
        <v>4</v>
      </c>
      <c r="E2694" s="33" t="inlineStr">
        <is>
          <t>Initial L11-batch rating per agent5 proposal (rationale+source in 11-robotics/research/rating-proposals-2026-08-02/); briefing per-stock/VPG/context-2026-08-02.md</t>
        </is>
      </c>
      <c r="F2694" s="33" t="inlineStr">
        <is>
          <t>per-stock/VPG/context-2026-08-02.md</t>
        </is>
      </c>
      <c r="G2694" s="33" t="inlineStr">
        <is>
          <t>Medium</t>
        </is>
      </c>
      <c r="H2694" s="33" t="inlineStr">
        <is>
          <t>Initial</t>
        </is>
      </c>
    </row>
    <row r="2695">
      <c r="A2695" s="33" t="inlineStr">
        <is>
          <t>2026-08-02</t>
        </is>
      </c>
      <c r="B2695" s="33" t="inlineStr">
        <is>
          <t>VPG</t>
        </is>
      </c>
      <c r="C2695" s="33" t="inlineStr">
        <is>
          <t>R5</t>
        </is>
      </c>
      <c r="D2695" s="33" t="n">
        <v>5</v>
      </c>
      <c r="E2695" s="33" t="inlineStr">
        <is>
          <t>Initial L11-batch rating per agent5 proposal (rationale+source in 11-robotics/research/rating-proposals-2026-08-02/); briefing per-stock/VPG/context-2026-08-02.md</t>
        </is>
      </c>
      <c r="F2695" s="33" t="inlineStr">
        <is>
          <t>per-stock/VPG/context-2026-08-02.md</t>
        </is>
      </c>
      <c r="G2695" s="33" t="inlineStr">
        <is>
          <t>Medium</t>
        </is>
      </c>
      <c r="H2695" s="33" t="inlineStr">
        <is>
          <t>Initial</t>
        </is>
      </c>
    </row>
    <row r="2696">
      <c r="A2696" s="33" t="inlineStr">
        <is>
          <t>2026-08-02</t>
        </is>
      </c>
      <c r="B2696" s="33" t="inlineStr">
        <is>
          <t>ALGM</t>
        </is>
      </c>
      <c r="C2696" s="33" t="inlineStr">
        <is>
          <t>D1</t>
        </is>
      </c>
      <c r="D2696" s="33" t="n">
        <v>3</v>
      </c>
      <c r="E2696" s="33" t="inlineStr">
        <is>
          <t>Initial L11-batch rating per agent5 proposal (rationale+source in 11-robotics/research/rating-proposals-2026-08-02/); briefing per-stock/ALGM/context-2026-08-02.md</t>
        </is>
      </c>
      <c r="F2696" s="33" t="inlineStr">
        <is>
          <t>per-stock/ALGM/context-2026-08-02.md</t>
        </is>
      </c>
      <c r="G2696" s="33" t="inlineStr">
        <is>
          <t>Medium</t>
        </is>
      </c>
      <c r="H2696" s="33" t="inlineStr">
        <is>
          <t>Initial</t>
        </is>
      </c>
    </row>
    <row r="2697">
      <c r="A2697" s="33" t="inlineStr">
        <is>
          <t>2026-08-02</t>
        </is>
      </c>
      <c r="B2697" s="33" t="inlineStr">
        <is>
          <t>ALGM</t>
        </is>
      </c>
      <c r="C2697" s="33" t="inlineStr">
        <is>
          <t>D2</t>
        </is>
      </c>
      <c r="D2697" s="33" t="n">
        <v>4</v>
      </c>
      <c r="E2697" s="33" t="inlineStr">
        <is>
          <t>Initial L11-batch rating per agent5 proposal (rationale+source in 11-robotics/research/rating-proposals-2026-08-02/); briefing per-stock/ALGM/context-2026-08-02.md</t>
        </is>
      </c>
      <c r="F2697" s="33" t="inlineStr">
        <is>
          <t>per-stock/ALGM/context-2026-08-02.md</t>
        </is>
      </c>
      <c r="G2697" s="33" t="inlineStr">
        <is>
          <t>Medium</t>
        </is>
      </c>
      <c r="H2697" s="33" t="inlineStr">
        <is>
          <t>Initial</t>
        </is>
      </c>
    </row>
    <row r="2698">
      <c r="A2698" s="33" t="inlineStr">
        <is>
          <t>2026-08-02</t>
        </is>
      </c>
      <c r="B2698" s="33" t="inlineStr">
        <is>
          <t>ALGM</t>
        </is>
      </c>
      <c r="C2698" s="33" t="inlineStr">
        <is>
          <t>D3</t>
        </is>
      </c>
      <c r="D2698" s="33" t="n">
        <v>4</v>
      </c>
      <c r="E2698" s="33" t="inlineStr">
        <is>
          <t>Initial L11-batch rating per agent5 proposal (rationale+source in 11-robotics/research/rating-proposals-2026-08-02/); briefing per-stock/ALGM/context-2026-08-02.md</t>
        </is>
      </c>
      <c r="F2698" s="33" t="inlineStr">
        <is>
          <t>per-stock/ALGM/context-2026-08-02.md</t>
        </is>
      </c>
      <c r="G2698" s="33" t="inlineStr">
        <is>
          <t>Medium</t>
        </is>
      </c>
      <c r="H2698" s="33" t="inlineStr">
        <is>
          <t>Initial</t>
        </is>
      </c>
    </row>
    <row r="2699">
      <c r="A2699" s="33" t="inlineStr">
        <is>
          <t>2026-08-02</t>
        </is>
      </c>
      <c r="B2699" s="33" t="inlineStr">
        <is>
          <t>ALGM</t>
        </is>
      </c>
      <c r="C2699" s="33" t="inlineStr">
        <is>
          <t>D4</t>
        </is>
      </c>
      <c r="D2699" s="33" t="n">
        <v>3</v>
      </c>
      <c r="E2699" s="33" t="inlineStr">
        <is>
          <t>Initial L11-batch rating per agent5 proposal (rationale+source in 11-robotics/research/rating-proposals-2026-08-02/); briefing per-stock/ALGM/context-2026-08-02.md</t>
        </is>
      </c>
      <c r="F2699" s="33" t="inlineStr">
        <is>
          <t>per-stock/ALGM/context-2026-08-02.md</t>
        </is>
      </c>
      <c r="G2699" s="33" t="inlineStr">
        <is>
          <t>Medium</t>
        </is>
      </c>
      <c r="H2699" s="33" t="inlineStr">
        <is>
          <t>Initial</t>
        </is>
      </c>
    </row>
    <row r="2700">
      <c r="A2700" s="33" t="inlineStr">
        <is>
          <t>2026-08-02</t>
        </is>
      </c>
      <c r="B2700" s="33" t="inlineStr">
        <is>
          <t>ALGM</t>
        </is>
      </c>
      <c r="C2700" s="33" t="inlineStr">
        <is>
          <t>D5</t>
        </is>
      </c>
      <c r="D2700" s="33" t="n">
        <v>3</v>
      </c>
      <c r="E2700" s="33" t="inlineStr">
        <is>
          <t>Initial L11-batch rating per agent5 proposal (rationale+source in 11-robotics/research/rating-proposals-2026-08-02/); briefing per-stock/ALGM/context-2026-08-02.md</t>
        </is>
      </c>
      <c r="F2700" s="33" t="inlineStr">
        <is>
          <t>per-stock/ALGM/context-2026-08-02.md</t>
        </is>
      </c>
      <c r="G2700" s="33" t="inlineStr">
        <is>
          <t>Medium</t>
        </is>
      </c>
      <c r="H2700" s="33" t="inlineStr">
        <is>
          <t>Initial</t>
        </is>
      </c>
    </row>
    <row r="2701">
      <c r="A2701" s="33" t="inlineStr">
        <is>
          <t>2026-08-02</t>
        </is>
      </c>
      <c r="B2701" s="33" t="inlineStr">
        <is>
          <t>ALGM</t>
        </is>
      </c>
      <c r="C2701" s="33" t="inlineStr">
        <is>
          <t>M1</t>
        </is>
      </c>
      <c r="D2701" s="33" t="n">
        <v>4</v>
      </c>
      <c r="E2701" s="33" t="inlineStr">
        <is>
          <t>Initial L11-batch rating per agent5 proposal (rationale+source in 11-robotics/research/rating-proposals-2026-08-02/); briefing per-stock/ALGM/context-2026-08-02.md</t>
        </is>
      </c>
      <c r="F2701" s="33" t="inlineStr">
        <is>
          <t>per-stock/ALGM/context-2026-08-02.md</t>
        </is>
      </c>
      <c r="G2701" s="33" t="inlineStr">
        <is>
          <t>Medium</t>
        </is>
      </c>
      <c r="H2701" s="33" t="inlineStr">
        <is>
          <t>Initial</t>
        </is>
      </c>
    </row>
    <row r="2702">
      <c r="A2702" s="33" t="inlineStr">
        <is>
          <t>2026-08-02</t>
        </is>
      </c>
      <c r="B2702" s="33" t="inlineStr">
        <is>
          <t>ALGM</t>
        </is>
      </c>
      <c r="C2702" s="33" t="inlineStr">
        <is>
          <t>M2</t>
        </is>
      </c>
      <c r="D2702" s="33" t="n">
        <v>1</v>
      </c>
      <c r="E2702" s="33" t="inlineStr">
        <is>
          <t>Initial L11-batch rating per agent5 proposal (rationale+source in 11-robotics/research/rating-proposals-2026-08-02/); briefing per-stock/ALGM/context-2026-08-02.md</t>
        </is>
      </c>
      <c r="F2702" s="33" t="inlineStr">
        <is>
          <t>per-stock/ALGM/context-2026-08-02.md</t>
        </is>
      </c>
      <c r="G2702" s="33" t="inlineStr">
        <is>
          <t>Medium</t>
        </is>
      </c>
      <c r="H2702" s="33" t="inlineStr">
        <is>
          <t>Initial</t>
        </is>
      </c>
    </row>
    <row r="2703">
      <c r="A2703" s="33" t="inlineStr">
        <is>
          <t>2026-08-02</t>
        </is>
      </c>
      <c r="B2703" s="33" t="inlineStr">
        <is>
          <t>ALGM</t>
        </is>
      </c>
      <c r="C2703" s="33" t="inlineStr">
        <is>
          <t>M3</t>
        </is>
      </c>
      <c r="D2703" s="33" t="n">
        <v>2</v>
      </c>
      <c r="E2703" s="33" t="inlineStr">
        <is>
          <t>Initial L11-batch rating per agent5 proposal (rationale+source in 11-robotics/research/rating-proposals-2026-08-02/); briefing per-stock/ALGM/context-2026-08-02.md</t>
        </is>
      </c>
      <c r="F2703" s="33" t="inlineStr">
        <is>
          <t>per-stock/ALGM/context-2026-08-02.md</t>
        </is>
      </c>
      <c r="G2703" s="33" t="inlineStr">
        <is>
          <t>Medium</t>
        </is>
      </c>
      <c r="H2703" s="33" t="inlineStr">
        <is>
          <t>Initial</t>
        </is>
      </c>
    </row>
    <row r="2704">
      <c r="A2704" s="33" t="inlineStr">
        <is>
          <t>2026-08-02</t>
        </is>
      </c>
      <c r="B2704" s="33" t="inlineStr">
        <is>
          <t>ALGM</t>
        </is>
      </c>
      <c r="C2704" s="33" t="inlineStr">
        <is>
          <t>R1</t>
        </is>
      </c>
      <c r="D2704" s="33" t="n">
        <v>5</v>
      </c>
      <c r="E2704" s="33" t="inlineStr">
        <is>
          <t>Initial L11-batch rating per agent5 proposal (rationale+source in 11-robotics/research/rating-proposals-2026-08-02/); briefing per-stock/ALGM/context-2026-08-02.md</t>
        </is>
      </c>
      <c r="F2704" s="33" t="inlineStr">
        <is>
          <t>per-stock/ALGM/context-2026-08-02.md</t>
        </is>
      </c>
      <c r="G2704" s="33" t="inlineStr">
        <is>
          <t>Medium</t>
        </is>
      </c>
      <c r="H2704" s="33" t="inlineStr">
        <is>
          <t>Initial</t>
        </is>
      </c>
    </row>
    <row r="2705">
      <c r="A2705" s="33" t="inlineStr">
        <is>
          <t>2026-08-02</t>
        </is>
      </c>
      <c r="B2705" s="33" t="inlineStr">
        <is>
          <t>ALGM</t>
        </is>
      </c>
      <c r="C2705" s="33" t="inlineStr">
        <is>
          <t>R2</t>
        </is>
      </c>
      <c r="D2705" s="33" t="n">
        <v>3</v>
      </c>
      <c r="E2705" s="33" t="inlineStr">
        <is>
          <t>Initial L11-batch rating per agent5 proposal (rationale+source in 11-robotics/research/rating-proposals-2026-08-02/); briefing per-stock/ALGM/context-2026-08-02.md</t>
        </is>
      </c>
      <c r="F2705" s="33" t="inlineStr">
        <is>
          <t>per-stock/ALGM/context-2026-08-02.md</t>
        </is>
      </c>
      <c r="G2705" s="33" t="inlineStr">
        <is>
          <t>Medium</t>
        </is>
      </c>
      <c r="H2705" s="33" t="inlineStr">
        <is>
          <t>Initial</t>
        </is>
      </c>
    </row>
    <row r="2706">
      <c r="A2706" s="33" t="inlineStr">
        <is>
          <t>2026-08-02</t>
        </is>
      </c>
      <c r="B2706" s="33" t="inlineStr">
        <is>
          <t>ALGM</t>
        </is>
      </c>
      <c r="C2706" s="33" t="inlineStr">
        <is>
          <t>R3</t>
        </is>
      </c>
      <c r="D2706" s="33" t="n">
        <v>4</v>
      </c>
      <c r="E2706" s="33" t="inlineStr">
        <is>
          <t>Initial L11-batch rating per agent5 proposal (rationale+source in 11-robotics/research/rating-proposals-2026-08-02/); briefing per-stock/ALGM/context-2026-08-02.md</t>
        </is>
      </c>
      <c r="F2706" s="33" t="inlineStr">
        <is>
          <t>per-stock/ALGM/context-2026-08-02.md</t>
        </is>
      </c>
      <c r="G2706" s="33" t="inlineStr">
        <is>
          <t>Medium</t>
        </is>
      </c>
      <c r="H2706" s="33" t="inlineStr">
        <is>
          <t>Initial</t>
        </is>
      </c>
    </row>
    <row r="2707">
      <c r="A2707" s="33" t="inlineStr">
        <is>
          <t>2026-08-02</t>
        </is>
      </c>
      <c r="B2707" s="33" t="inlineStr">
        <is>
          <t>ALGM</t>
        </is>
      </c>
      <c r="C2707" s="33" t="inlineStr">
        <is>
          <t>R4</t>
        </is>
      </c>
      <c r="D2707" s="33" t="n">
        <v>4</v>
      </c>
      <c r="E2707" s="33" t="inlineStr">
        <is>
          <t>Initial L11-batch rating per agent5 proposal (rationale+source in 11-robotics/research/rating-proposals-2026-08-02/); briefing per-stock/ALGM/context-2026-08-02.md</t>
        </is>
      </c>
      <c r="F2707" s="33" t="inlineStr">
        <is>
          <t>per-stock/ALGM/context-2026-08-02.md</t>
        </is>
      </c>
      <c r="G2707" s="33" t="inlineStr">
        <is>
          <t>Medium</t>
        </is>
      </c>
      <c r="H2707" s="33" t="inlineStr">
        <is>
          <t>Initial</t>
        </is>
      </c>
    </row>
    <row r="2708">
      <c r="A2708" s="33" t="inlineStr">
        <is>
          <t>2026-08-02</t>
        </is>
      </c>
      <c r="B2708" s="33" t="inlineStr">
        <is>
          <t>ALGM</t>
        </is>
      </c>
      <c r="C2708" s="33" t="inlineStr">
        <is>
          <t>R5</t>
        </is>
      </c>
      <c r="D2708" s="33" t="n">
        <v>5</v>
      </c>
      <c r="E2708" s="33" t="inlineStr">
        <is>
          <t>Initial L11-batch rating per agent5 proposal (rationale+source in 11-robotics/research/rating-proposals-2026-08-02/); briefing per-stock/ALGM/context-2026-08-02.md</t>
        </is>
      </c>
      <c r="F2708" s="33" t="inlineStr">
        <is>
          <t>per-stock/ALGM/context-2026-08-02.md</t>
        </is>
      </c>
      <c r="G2708" s="33" t="inlineStr">
        <is>
          <t>Medium</t>
        </is>
      </c>
      <c r="H2708" s="33" t="inlineStr">
        <is>
          <t>Initial</t>
        </is>
      </c>
    </row>
    <row r="2709">
      <c r="A2709" s="33" t="inlineStr">
        <is>
          <t>2026-08-02</t>
        </is>
      </c>
      <c r="B2709" s="33" t="inlineStr">
        <is>
          <t>MELE.BR</t>
        </is>
      </c>
      <c r="C2709" s="33" t="inlineStr">
        <is>
          <t>D1</t>
        </is>
      </c>
      <c r="D2709" s="33" t="n">
        <v>1</v>
      </c>
      <c r="E2709" s="33" t="inlineStr">
        <is>
          <t>Initial L11-batch rating per agent5 proposal (rationale+source in 11-robotics/research/rating-proposals-2026-08-02/); briefing per-stock/MELE.BR/context-2026-08-02.md</t>
        </is>
      </c>
      <c r="F2709" s="33" t="inlineStr">
        <is>
          <t>per-stock/MELE.BR/context-2026-08-02.md</t>
        </is>
      </c>
      <c r="G2709" s="33" t="inlineStr">
        <is>
          <t>Medium</t>
        </is>
      </c>
      <c r="H2709" s="33" t="inlineStr">
        <is>
          <t>Initial</t>
        </is>
      </c>
    </row>
    <row r="2710">
      <c r="A2710" s="33" t="inlineStr">
        <is>
          <t>2026-08-02</t>
        </is>
      </c>
      <c r="B2710" s="33" t="inlineStr">
        <is>
          <t>MELE.BR</t>
        </is>
      </c>
      <c r="C2710" s="33" t="inlineStr">
        <is>
          <t>D2</t>
        </is>
      </c>
      <c r="D2710" s="33" t="n">
        <v>4</v>
      </c>
      <c r="E2710" s="33" t="inlineStr">
        <is>
          <t>Initial L11-batch rating per agent5 proposal (rationale+source in 11-robotics/research/rating-proposals-2026-08-02/); briefing per-stock/MELE.BR/context-2026-08-02.md</t>
        </is>
      </c>
      <c r="F2710" s="33" t="inlineStr">
        <is>
          <t>per-stock/MELE.BR/context-2026-08-02.md</t>
        </is>
      </c>
      <c r="G2710" s="33" t="inlineStr">
        <is>
          <t>Medium</t>
        </is>
      </c>
      <c r="H2710" s="33" t="inlineStr">
        <is>
          <t>Initial</t>
        </is>
      </c>
    </row>
    <row r="2711">
      <c r="A2711" s="33" t="inlineStr">
        <is>
          <t>2026-08-02</t>
        </is>
      </c>
      <c r="B2711" s="33" t="inlineStr">
        <is>
          <t>MELE.BR</t>
        </is>
      </c>
      <c r="C2711" s="33" t="inlineStr">
        <is>
          <t>D3</t>
        </is>
      </c>
      <c r="D2711" s="33" t="n">
        <v>4</v>
      </c>
      <c r="E2711" s="33" t="inlineStr">
        <is>
          <t>Initial L11-batch rating per agent5 proposal (rationale+source in 11-robotics/research/rating-proposals-2026-08-02/); briefing per-stock/MELE.BR/context-2026-08-02.md</t>
        </is>
      </c>
      <c r="F2711" s="33" t="inlineStr">
        <is>
          <t>per-stock/MELE.BR/context-2026-08-02.md</t>
        </is>
      </c>
      <c r="G2711" s="33" t="inlineStr">
        <is>
          <t>Medium</t>
        </is>
      </c>
      <c r="H2711" s="33" t="inlineStr">
        <is>
          <t>Initial</t>
        </is>
      </c>
    </row>
    <row r="2712">
      <c r="A2712" s="33" t="inlineStr">
        <is>
          <t>2026-08-02</t>
        </is>
      </c>
      <c r="B2712" s="33" t="inlineStr">
        <is>
          <t>MELE.BR</t>
        </is>
      </c>
      <c r="C2712" s="33" t="inlineStr">
        <is>
          <t>D4</t>
        </is>
      </c>
      <c r="D2712" s="33" t="n">
        <v>3</v>
      </c>
      <c r="E2712" s="33" t="inlineStr">
        <is>
          <t>Initial L11-batch rating per agent5 proposal (rationale+source in 11-robotics/research/rating-proposals-2026-08-02/); briefing per-stock/MELE.BR/context-2026-08-02.md</t>
        </is>
      </c>
      <c r="F2712" s="33" t="inlineStr">
        <is>
          <t>per-stock/MELE.BR/context-2026-08-02.md</t>
        </is>
      </c>
      <c r="G2712" s="33" t="inlineStr">
        <is>
          <t>Medium</t>
        </is>
      </c>
      <c r="H2712" s="33" t="inlineStr">
        <is>
          <t>Initial</t>
        </is>
      </c>
    </row>
    <row r="2713">
      <c r="A2713" s="33" t="inlineStr">
        <is>
          <t>2026-08-02</t>
        </is>
      </c>
      <c r="B2713" s="33" t="inlineStr">
        <is>
          <t>MELE.BR</t>
        </is>
      </c>
      <c r="C2713" s="33" t="inlineStr">
        <is>
          <t>D5</t>
        </is>
      </c>
      <c r="D2713" s="33" t="n">
        <v>2</v>
      </c>
      <c r="E2713" s="33" t="inlineStr">
        <is>
          <t>Initial L11-batch rating per agent5 proposal (rationale+source in 11-robotics/research/rating-proposals-2026-08-02/); briefing per-stock/MELE.BR/context-2026-08-02.md</t>
        </is>
      </c>
      <c r="F2713" s="33" t="inlineStr">
        <is>
          <t>per-stock/MELE.BR/context-2026-08-02.md</t>
        </is>
      </c>
      <c r="G2713" s="33" t="inlineStr">
        <is>
          <t>Medium</t>
        </is>
      </c>
      <c r="H2713" s="33" t="inlineStr">
        <is>
          <t>Initial</t>
        </is>
      </c>
    </row>
    <row r="2714">
      <c r="A2714" s="33" t="inlineStr">
        <is>
          <t>2026-08-02</t>
        </is>
      </c>
      <c r="B2714" s="33" t="inlineStr">
        <is>
          <t>MELE.BR</t>
        </is>
      </c>
      <c r="C2714" s="33" t="inlineStr">
        <is>
          <t>M1</t>
        </is>
      </c>
      <c r="D2714" s="33" t="n">
        <v>3</v>
      </c>
      <c r="E2714" s="33" t="inlineStr">
        <is>
          <t>Initial L11-batch rating per agent5 proposal (rationale+source in 11-robotics/research/rating-proposals-2026-08-02/); briefing per-stock/MELE.BR/context-2026-08-02.md</t>
        </is>
      </c>
      <c r="F2714" s="33" t="inlineStr">
        <is>
          <t>per-stock/MELE.BR/context-2026-08-02.md</t>
        </is>
      </c>
      <c r="G2714" s="33" t="inlineStr">
        <is>
          <t>Medium</t>
        </is>
      </c>
      <c r="H2714" s="33" t="inlineStr">
        <is>
          <t>Initial</t>
        </is>
      </c>
    </row>
    <row r="2715">
      <c r="A2715" s="33" t="inlineStr">
        <is>
          <t>2026-08-02</t>
        </is>
      </c>
      <c r="B2715" s="33" t="inlineStr">
        <is>
          <t>MELE.BR</t>
        </is>
      </c>
      <c r="C2715" s="33" t="inlineStr">
        <is>
          <t>M2</t>
        </is>
      </c>
      <c r="D2715" s="33" t="n">
        <v>1</v>
      </c>
      <c r="E2715" s="33" t="inlineStr">
        <is>
          <t>Initial L11-batch rating per agent5 proposal (rationale+source in 11-robotics/research/rating-proposals-2026-08-02/); briefing per-stock/MELE.BR/context-2026-08-02.md</t>
        </is>
      </c>
      <c r="F2715" s="33" t="inlineStr">
        <is>
          <t>per-stock/MELE.BR/context-2026-08-02.md</t>
        </is>
      </c>
      <c r="G2715" s="33" t="inlineStr">
        <is>
          <t>Medium</t>
        </is>
      </c>
      <c r="H2715" s="33" t="inlineStr">
        <is>
          <t>Initial</t>
        </is>
      </c>
    </row>
    <row r="2716">
      <c r="A2716" s="33" t="inlineStr">
        <is>
          <t>2026-08-02</t>
        </is>
      </c>
      <c r="B2716" s="33" t="inlineStr">
        <is>
          <t>MELE.BR</t>
        </is>
      </c>
      <c r="C2716" s="33" t="inlineStr">
        <is>
          <t>M3</t>
        </is>
      </c>
      <c r="D2716" s="33" t="n">
        <v>3</v>
      </c>
      <c r="E2716" s="33" t="inlineStr">
        <is>
          <t>Initial L11-batch rating per agent5 proposal (rationale+source in 11-robotics/research/rating-proposals-2026-08-02/); briefing per-stock/MELE.BR/context-2026-08-02.md</t>
        </is>
      </c>
      <c r="F2716" s="33" t="inlineStr">
        <is>
          <t>per-stock/MELE.BR/context-2026-08-02.md</t>
        </is>
      </c>
      <c r="G2716" s="33" t="inlineStr">
        <is>
          <t>Medium</t>
        </is>
      </c>
      <c r="H2716" s="33" t="inlineStr">
        <is>
          <t>Initial</t>
        </is>
      </c>
    </row>
    <row r="2717">
      <c r="A2717" s="33" t="inlineStr">
        <is>
          <t>2026-08-02</t>
        </is>
      </c>
      <c r="B2717" s="33" t="inlineStr">
        <is>
          <t>MELE.BR</t>
        </is>
      </c>
      <c r="C2717" s="33" t="inlineStr">
        <is>
          <t>R1</t>
        </is>
      </c>
      <c r="D2717" s="33" t="n">
        <v>4</v>
      </c>
      <c r="E2717" s="33" t="inlineStr">
        <is>
          <t>LOW CONFIDENCE structural prior - no filing retrieved (IR/Euronext 403/404). Re-rate from H1 2026 report.</t>
        </is>
      </c>
      <c r="F2717" s="33" t="inlineStr">
        <is>
          <t>per-stock/MELE.BR/context-2026-08-02.md</t>
        </is>
      </c>
      <c r="G2717" s="33" t="inlineStr">
        <is>
          <t>Medium</t>
        </is>
      </c>
      <c r="H2717" s="33" t="inlineStr">
        <is>
          <t>Initial</t>
        </is>
      </c>
    </row>
    <row r="2718">
      <c r="A2718" s="33" t="inlineStr">
        <is>
          <t>2026-08-02</t>
        </is>
      </c>
      <c r="B2718" s="33" t="inlineStr">
        <is>
          <t>MELE.BR</t>
        </is>
      </c>
      <c r="C2718" s="33" t="inlineStr">
        <is>
          <t>R2</t>
        </is>
      </c>
      <c r="D2718" s="33" t="n">
        <v>3</v>
      </c>
      <c r="E2718" s="33" t="inlineStr">
        <is>
          <t>LOW CONFIDENCE - China named Q2 growth driver; no geographic table retrieved.</t>
        </is>
      </c>
      <c r="F2718" s="33" t="inlineStr">
        <is>
          <t>per-stock/MELE.BR/context-2026-08-02.md</t>
        </is>
      </c>
      <c r="G2718" s="33" t="inlineStr">
        <is>
          <t>Medium</t>
        </is>
      </c>
      <c r="H2718" s="33" t="inlineStr">
        <is>
          <t>Initial</t>
        </is>
      </c>
    </row>
    <row r="2719">
      <c r="A2719" s="33" t="inlineStr">
        <is>
          <t>2026-08-02</t>
        </is>
      </c>
      <c r="B2719" s="33" t="inlineStr">
        <is>
          <t>MELE.BR</t>
        </is>
      </c>
      <c r="C2719" s="33" t="inlineStr">
        <is>
          <t>R3</t>
        </is>
      </c>
      <c r="D2719" s="33" t="n">
        <v>5</v>
      </c>
      <c r="E2719" s="33" t="inlineStr">
        <is>
          <t>LOW CONFIDENCE structural prior (historically net cash, 5.4% yield); not verified this pass.</t>
        </is>
      </c>
      <c r="F2719" s="33" t="inlineStr">
        <is>
          <t>per-stock/MELE.BR/context-2026-08-02.md</t>
        </is>
      </c>
      <c r="G2719" s="33" t="inlineStr">
        <is>
          <t>Medium</t>
        </is>
      </c>
      <c r="H2719" s="33" t="inlineStr">
        <is>
          <t>Initial</t>
        </is>
      </c>
    </row>
    <row r="2720">
      <c r="A2720" s="33" t="inlineStr">
        <is>
          <t>2026-08-02</t>
        </is>
      </c>
      <c r="B2720" s="33" t="inlineStr">
        <is>
          <t>MELE.BR</t>
        </is>
      </c>
      <c r="C2720" s="33" t="inlineStr">
        <is>
          <t>R4</t>
        </is>
      </c>
      <c r="D2720" s="33" t="n">
        <v>4</v>
      </c>
      <c r="E2720" s="33" t="inlineStr">
        <is>
          <t>LOW CONFIDENCE - not verified this pass.</t>
        </is>
      </c>
      <c r="F2720" s="33" t="inlineStr">
        <is>
          <t>per-stock/MELE.BR/context-2026-08-02.md</t>
        </is>
      </c>
      <c r="G2720" s="33" t="inlineStr">
        <is>
          <t>Medium</t>
        </is>
      </c>
      <c r="H2720" s="33" t="inlineStr">
        <is>
          <t>Initial</t>
        </is>
      </c>
    </row>
    <row r="2721">
      <c r="A2721" s="33" t="inlineStr">
        <is>
          <t>2026-08-02</t>
        </is>
      </c>
      <c r="B2721" s="33" t="inlineStr">
        <is>
          <t>MELE.BR</t>
        </is>
      </c>
      <c r="C2721" s="33" t="inlineStr">
        <is>
          <t>R5</t>
        </is>
      </c>
      <c r="D2721" s="33" t="n">
        <v>5</v>
      </c>
      <c r="E2721" s="33" t="inlineStr">
        <is>
          <t>Initial L11-batch rating per agent5 proposal (rationale+source in 11-robotics/research/rating-proposals-2026-08-02/); briefing per-stock/MELE.BR/context-2026-08-02.md</t>
        </is>
      </c>
      <c r="F2721" s="33" t="inlineStr">
        <is>
          <t>per-stock/MELE.BR/context-2026-08-02.md</t>
        </is>
      </c>
      <c r="G2721" s="33" t="inlineStr">
        <is>
          <t>Medium</t>
        </is>
      </c>
      <c r="H2721" s="33" t="inlineStr">
        <is>
          <t>Initial</t>
        </is>
      </c>
    </row>
    <row r="2722">
      <c r="A2722" s="33" t="inlineStr">
        <is>
          <t>2026-08-02</t>
        </is>
      </c>
      <c r="B2722" s="33" t="inlineStr">
        <is>
          <t>CGNX</t>
        </is>
      </c>
      <c r="C2722" s="33" t="inlineStr">
        <is>
          <t>D1</t>
        </is>
      </c>
      <c r="D2722" s="33" t="n">
        <v>2</v>
      </c>
      <c r="E2722" s="33" t="inlineStr">
        <is>
          <t>Initial L11-batch rating per agent6 proposal (rationale+source in 11-robotics/research/rating-proposals-2026-08-02/); briefing per-stock/CGNX/context-2026-08-02.md</t>
        </is>
      </c>
      <c r="F2722" s="33" t="inlineStr">
        <is>
          <t>per-stock/CGNX/context-2026-08-02.md</t>
        </is>
      </c>
      <c r="G2722" s="33" t="inlineStr">
        <is>
          <t>Medium</t>
        </is>
      </c>
      <c r="H2722" s="33" t="inlineStr">
        <is>
          <t>Initial</t>
        </is>
      </c>
    </row>
    <row r="2723">
      <c r="A2723" s="33" t="inlineStr">
        <is>
          <t>2026-08-02</t>
        </is>
      </c>
      <c r="B2723" s="33" t="inlineStr">
        <is>
          <t>CGNX</t>
        </is>
      </c>
      <c r="C2723" s="33" t="inlineStr">
        <is>
          <t>D2</t>
        </is>
      </c>
      <c r="D2723" s="33" t="n">
        <v>4</v>
      </c>
      <c r="E2723" s="33" t="inlineStr">
        <is>
          <t>Initial L11-batch rating per agent6 proposal (rationale+source in 11-robotics/research/rating-proposals-2026-08-02/); briefing per-stock/CGNX/context-2026-08-02.md</t>
        </is>
      </c>
      <c r="F2723" s="33" t="inlineStr">
        <is>
          <t>per-stock/CGNX/context-2026-08-02.md</t>
        </is>
      </c>
      <c r="G2723" s="33" t="inlineStr">
        <is>
          <t>Medium</t>
        </is>
      </c>
      <c r="H2723" s="33" t="inlineStr">
        <is>
          <t>Initial</t>
        </is>
      </c>
    </row>
    <row r="2724">
      <c r="A2724" s="33" t="inlineStr">
        <is>
          <t>2026-08-02</t>
        </is>
      </c>
      <c r="B2724" s="33" t="inlineStr">
        <is>
          <t>CGNX</t>
        </is>
      </c>
      <c r="C2724" s="33" t="inlineStr">
        <is>
          <t>D3</t>
        </is>
      </c>
      <c r="D2724" s="33" t="n">
        <v>4</v>
      </c>
      <c r="E2724" s="33" t="inlineStr">
        <is>
          <t>Initial L11-batch rating per agent6 proposal (rationale+source in 11-robotics/research/rating-proposals-2026-08-02/); briefing per-stock/CGNX/context-2026-08-02.md</t>
        </is>
      </c>
      <c r="F2724" s="33" t="inlineStr">
        <is>
          <t>per-stock/CGNX/context-2026-08-02.md</t>
        </is>
      </c>
      <c r="G2724" s="33" t="inlineStr">
        <is>
          <t>Medium</t>
        </is>
      </c>
      <c r="H2724" s="33" t="inlineStr">
        <is>
          <t>Initial</t>
        </is>
      </c>
    </row>
    <row r="2725">
      <c r="A2725" s="33" t="inlineStr">
        <is>
          <t>2026-08-02</t>
        </is>
      </c>
      <c r="B2725" s="33" t="inlineStr">
        <is>
          <t>CGNX</t>
        </is>
      </c>
      <c r="C2725" s="33" t="inlineStr">
        <is>
          <t>D4</t>
        </is>
      </c>
      <c r="D2725" s="33" t="n">
        <v>3</v>
      </c>
      <c r="E2725" s="33" t="inlineStr">
        <is>
          <t>Initial L11-batch rating per agent6 proposal (rationale+source in 11-robotics/research/rating-proposals-2026-08-02/); briefing per-stock/CGNX/context-2026-08-02.md</t>
        </is>
      </c>
      <c r="F2725" s="33" t="inlineStr">
        <is>
          <t>per-stock/CGNX/context-2026-08-02.md</t>
        </is>
      </c>
      <c r="G2725" s="33" t="inlineStr">
        <is>
          <t>Medium</t>
        </is>
      </c>
      <c r="H2725" s="33" t="inlineStr">
        <is>
          <t>Initial</t>
        </is>
      </c>
    </row>
    <row r="2726">
      <c r="A2726" s="33" t="inlineStr">
        <is>
          <t>2026-08-02</t>
        </is>
      </c>
      <c r="B2726" s="33" t="inlineStr">
        <is>
          <t>CGNX</t>
        </is>
      </c>
      <c r="C2726" s="33" t="inlineStr">
        <is>
          <t>D5</t>
        </is>
      </c>
      <c r="D2726" s="33" t="n">
        <v>3</v>
      </c>
      <c r="E2726" s="33" t="inlineStr">
        <is>
          <t>Initial L11-batch rating per agent6 proposal (rationale+source in 11-robotics/research/rating-proposals-2026-08-02/); briefing per-stock/CGNX/context-2026-08-02.md</t>
        </is>
      </c>
      <c r="F2726" s="33" t="inlineStr">
        <is>
          <t>per-stock/CGNX/context-2026-08-02.md</t>
        </is>
      </c>
      <c r="G2726" s="33" t="inlineStr">
        <is>
          <t>Medium</t>
        </is>
      </c>
      <c r="H2726" s="33" t="inlineStr">
        <is>
          <t>Initial</t>
        </is>
      </c>
    </row>
    <row r="2727">
      <c r="A2727" s="33" t="inlineStr">
        <is>
          <t>2026-08-02</t>
        </is>
      </c>
      <c r="B2727" s="33" t="inlineStr">
        <is>
          <t>CGNX</t>
        </is>
      </c>
      <c r="C2727" s="33" t="inlineStr">
        <is>
          <t>M1</t>
        </is>
      </c>
      <c r="D2727" s="33" t="n">
        <v>5</v>
      </c>
      <c r="E2727" s="33" t="inlineStr">
        <is>
          <t>Initial L11-batch rating per agent6 proposal (rationale+source in 11-robotics/research/rating-proposals-2026-08-02/); briefing per-stock/CGNX/context-2026-08-02.md</t>
        </is>
      </c>
      <c r="F2727" s="33" t="inlineStr">
        <is>
          <t>per-stock/CGNX/context-2026-08-02.md</t>
        </is>
      </c>
      <c r="G2727" s="33" t="inlineStr">
        <is>
          <t>Medium</t>
        </is>
      </c>
      <c r="H2727" s="33" t="inlineStr">
        <is>
          <t>Initial</t>
        </is>
      </c>
    </row>
    <row r="2728">
      <c r="A2728" s="33" t="inlineStr">
        <is>
          <t>2026-08-02</t>
        </is>
      </c>
      <c r="B2728" s="33" t="inlineStr">
        <is>
          <t>CGNX</t>
        </is>
      </c>
      <c r="C2728" s="33" t="inlineStr">
        <is>
          <t>M2</t>
        </is>
      </c>
      <c r="D2728" s="33" t="n">
        <v>5</v>
      </c>
      <c r="E2728" s="33" t="inlineStr">
        <is>
          <t>Initial L11-batch rating per agent6 proposal (rationale+source in 11-robotics/research/rating-proposals-2026-08-02/); briefing per-stock/CGNX/context-2026-08-02.md</t>
        </is>
      </c>
      <c r="F2728" s="33" t="inlineStr">
        <is>
          <t>per-stock/CGNX/context-2026-08-02.md</t>
        </is>
      </c>
      <c r="G2728" s="33" t="inlineStr">
        <is>
          <t>Medium</t>
        </is>
      </c>
      <c r="H2728" s="33" t="inlineStr">
        <is>
          <t>Initial</t>
        </is>
      </c>
    </row>
    <row r="2729">
      <c r="A2729" s="33" t="inlineStr">
        <is>
          <t>2026-08-02</t>
        </is>
      </c>
      <c r="B2729" s="33" t="inlineStr">
        <is>
          <t>CGNX</t>
        </is>
      </c>
      <c r="C2729" s="33" t="inlineStr">
        <is>
          <t>M3</t>
        </is>
      </c>
      <c r="D2729" s="33" t="n">
        <v>3</v>
      </c>
      <c r="E2729" s="33" t="inlineStr">
        <is>
          <t>Initial L11-batch rating per agent6 proposal (rationale+source in 11-robotics/research/rating-proposals-2026-08-02/); briefing per-stock/CGNX/context-2026-08-02.md</t>
        </is>
      </c>
      <c r="F2729" s="33" t="inlineStr">
        <is>
          <t>per-stock/CGNX/context-2026-08-02.md</t>
        </is>
      </c>
      <c r="G2729" s="33" t="inlineStr">
        <is>
          <t>Medium</t>
        </is>
      </c>
      <c r="H2729" s="33" t="inlineStr">
        <is>
          <t>Initial</t>
        </is>
      </c>
    </row>
    <row r="2730">
      <c r="A2730" s="33" t="inlineStr">
        <is>
          <t>2026-08-02</t>
        </is>
      </c>
      <c r="B2730" s="33" t="inlineStr">
        <is>
          <t>CGNX</t>
        </is>
      </c>
      <c r="C2730" s="33" t="inlineStr">
        <is>
          <t>R1</t>
        </is>
      </c>
      <c r="D2730" s="33" t="n">
        <v>4</v>
      </c>
      <c r="E2730" s="33" t="inlineStr">
        <is>
          <t>Initial L11-batch rating per agent6 proposal (rationale+source in 11-robotics/research/rating-proposals-2026-08-02/); briefing per-stock/CGNX/context-2026-08-02.md</t>
        </is>
      </c>
      <c r="F2730" s="33" t="inlineStr">
        <is>
          <t>per-stock/CGNX/context-2026-08-02.md</t>
        </is>
      </c>
      <c r="G2730" s="33" t="inlineStr">
        <is>
          <t>Medium</t>
        </is>
      </c>
      <c r="H2730" s="33" t="inlineStr">
        <is>
          <t>Initial</t>
        </is>
      </c>
    </row>
    <row r="2731">
      <c r="A2731" s="33" t="inlineStr">
        <is>
          <t>2026-08-02</t>
        </is>
      </c>
      <c r="B2731" s="33" t="inlineStr">
        <is>
          <t>CGNX</t>
        </is>
      </c>
      <c r="C2731" s="33" t="inlineStr">
        <is>
          <t>R2</t>
        </is>
      </c>
      <c r="D2731" s="33" t="n">
        <v>4</v>
      </c>
      <c r="E2731" s="33" t="inlineStr">
        <is>
          <t>Initial L11-batch rating per agent6 proposal (rationale+source in 11-robotics/research/rating-proposals-2026-08-02/); briefing per-stock/CGNX/context-2026-08-02.md</t>
        </is>
      </c>
      <c r="F2731" s="33" t="inlineStr">
        <is>
          <t>per-stock/CGNX/context-2026-08-02.md</t>
        </is>
      </c>
      <c r="G2731" s="33" t="inlineStr">
        <is>
          <t>Medium</t>
        </is>
      </c>
      <c r="H2731" s="33" t="inlineStr">
        <is>
          <t>Initial</t>
        </is>
      </c>
    </row>
    <row r="2732">
      <c r="A2732" s="33" t="inlineStr">
        <is>
          <t>2026-08-02</t>
        </is>
      </c>
      <c r="B2732" s="33" t="inlineStr">
        <is>
          <t>CGNX</t>
        </is>
      </c>
      <c r="C2732" s="33" t="inlineStr">
        <is>
          <t>R3</t>
        </is>
      </c>
      <c r="D2732" s="33" t="n">
        <v>5</v>
      </c>
      <c r="E2732" s="33" t="inlineStr">
        <is>
          <t>Initial L11-batch rating per agent6 proposal (rationale+source in 11-robotics/research/rating-proposals-2026-08-02/); briefing per-stock/CGNX/context-2026-08-02.md</t>
        </is>
      </c>
      <c r="F2732" s="33" t="inlineStr">
        <is>
          <t>per-stock/CGNX/context-2026-08-02.md</t>
        </is>
      </c>
      <c r="G2732" s="33" t="inlineStr">
        <is>
          <t>Medium</t>
        </is>
      </c>
      <c r="H2732" s="33" t="inlineStr">
        <is>
          <t>Initial</t>
        </is>
      </c>
    </row>
    <row r="2733">
      <c r="A2733" s="33" t="inlineStr">
        <is>
          <t>2026-08-02</t>
        </is>
      </c>
      <c r="B2733" s="33" t="inlineStr">
        <is>
          <t>CGNX</t>
        </is>
      </c>
      <c r="C2733" s="33" t="inlineStr">
        <is>
          <t>R4</t>
        </is>
      </c>
      <c r="D2733" s="33" t="n">
        <v>5</v>
      </c>
      <c r="E2733" s="33" t="inlineStr">
        <is>
          <t>Initial L11-batch rating per agent6 proposal (rationale+source in 11-robotics/research/rating-proposals-2026-08-02/); briefing per-stock/CGNX/context-2026-08-02.md</t>
        </is>
      </c>
      <c r="F2733" s="33" t="inlineStr">
        <is>
          <t>per-stock/CGNX/context-2026-08-02.md</t>
        </is>
      </c>
      <c r="G2733" s="33" t="inlineStr">
        <is>
          <t>Medium</t>
        </is>
      </c>
      <c r="H2733" s="33" t="inlineStr">
        <is>
          <t>Initial</t>
        </is>
      </c>
    </row>
    <row r="2734">
      <c r="A2734" s="33" t="inlineStr">
        <is>
          <t>2026-08-02</t>
        </is>
      </c>
      <c r="B2734" s="33" t="inlineStr">
        <is>
          <t>CGNX</t>
        </is>
      </c>
      <c r="C2734" s="33" t="inlineStr">
        <is>
          <t>R5</t>
        </is>
      </c>
      <c r="D2734" s="33" t="n">
        <v>5</v>
      </c>
      <c r="E2734" s="33" t="inlineStr">
        <is>
          <t>Initial L11-batch rating per agent6 proposal (rationale+source in 11-robotics/research/rating-proposals-2026-08-02/); briefing per-stock/CGNX/context-2026-08-02.md</t>
        </is>
      </c>
      <c r="F2734" s="33" t="inlineStr">
        <is>
          <t>per-stock/CGNX/context-2026-08-02.md</t>
        </is>
      </c>
      <c r="G2734" s="33" t="inlineStr">
        <is>
          <t>Medium</t>
        </is>
      </c>
      <c r="H2734" s="33" t="inlineStr">
        <is>
          <t>Initial</t>
        </is>
      </c>
    </row>
    <row r="2735">
      <c r="A2735" s="33" t="inlineStr">
        <is>
          <t>2026-08-02</t>
        </is>
      </c>
      <c r="B2735" s="33" t="inlineStr">
        <is>
          <t>6861.T</t>
        </is>
      </c>
      <c r="C2735" s="33" t="inlineStr">
        <is>
          <t>D1</t>
        </is>
      </c>
      <c r="D2735" s="33" t="n">
        <v>2</v>
      </c>
      <c r="E2735" s="33" t="inlineStr">
        <is>
          <t>Initial L11-batch rating per agent6 proposal (rationale+source in 11-robotics/research/rating-proposals-2026-08-02/); briefing per-stock/6861.T/context-2026-08-02.md</t>
        </is>
      </c>
      <c r="F2735" s="33" t="inlineStr">
        <is>
          <t>per-stock/6861.T/context-2026-08-02.md</t>
        </is>
      </c>
      <c r="G2735" s="33" t="inlineStr">
        <is>
          <t>Medium</t>
        </is>
      </c>
      <c r="H2735" s="33" t="inlineStr">
        <is>
          <t>Initial</t>
        </is>
      </c>
    </row>
    <row r="2736">
      <c r="A2736" s="33" t="inlineStr">
        <is>
          <t>2026-08-02</t>
        </is>
      </c>
      <c r="B2736" s="33" t="inlineStr">
        <is>
          <t>6861.T</t>
        </is>
      </c>
      <c r="C2736" s="33" t="inlineStr">
        <is>
          <t>D2</t>
        </is>
      </c>
      <c r="D2736" s="33" t="n">
        <v>5</v>
      </c>
      <c r="E2736" s="33" t="inlineStr">
        <is>
          <t>Initial L11-batch rating per agent6 proposal (rationale+source in 11-robotics/research/rating-proposals-2026-08-02/); briefing per-stock/6861.T/context-2026-08-02.md</t>
        </is>
      </c>
      <c r="F2736" s="33" t="inlineStr">
        <is>
          <t>per-stock/6861.T/context-2026-08-02.md</t>
        </is>
      </c>
      <c r="G2736" s="33" t="inlineStr">
        <is>
          <t>Medium</t>
        </is>
      </c>
      <c r="H2736" s="33" t="inlineStr">
        <is>
          <t>Initial</t>
        </is>
      </c>
    </row>
    <row r="2737">
      <c r="A2737" s="33" t="inlineStr">
        <is>
          <t>2026-08-02</t>
        </is>
      </c>
      <c r="B2737" s="33" t="inlineStr">
        <is>
          <t>6861.T</t>
        </is>
      </c>
      <c r="C2737" s="33" t="inlineStr">
        <is>
          <t>D3</t>
        </is>
      </c>
      <c r="D2737" s="33" t="n">
        <v>5</v>
      </c>
      <c r="E2737" s="33" t="inlineStr">
        <is>
          <t>Initial L11-batch rating per agent6 proposal (rationale+source in 11-robotics/research/rating-proposals-2026-08-02/); briefing per-stock/6861.T/context-2026-08-02.md</t>
        </is>
      </c>
      <c r="F2737" s="33" t="inlineStr">
        <is>
          <t>per-stock/6861.T/context-2026-08-02.md</t>
        </is>
      </c>
      <c r="G2737" s="33" t="inlineStr">
        <is>
          <t>Medium</t>
        </is>
      </c>
      <c r="H2737" s="33" t="inlineStr">
        <is>
          <t>Initial</t>
        </is>
      </c>
    </row>
    <row r="2738">
      <c r="A2738" s="33" t="inlineStr">
        <is>
          <t>2026-08-02</t>
        </is>
      </c>
      <c r="B2738" s="33" t="inlineStr">
        <is>
          <t>6861.T</t>
        </is>
      </c>
      <c r="C2738" s="33" t="inlineStr">
        <is>
          <t>D4</t>
        </is>
      </c>
      <c r="D2738" s="33" t="n">
        <v>3</v>
      </c>
      <c r="E2738" s="33" t="inlineStr">
        <is>
          <t>Initial L11-batch rating per agent6 proposal (rationale+source in 11-robotics/research/rating-proposals-2026-08-02/); briefing per-stock/6861.T/context-2026-08-02.md</t>
        </is>
      </c>
      <c r="F2738" s="33" t="inlineStr">
        <is>
          <t>per-stock/6861.T/context-2026-08-02.md</t>
        </is>
      </c>
      <c r="G2738" s="33" t="inlineStr">
        <is>
          <t>Medium</t>
        </is>
      </c>
      <c r="H2738" s="33" t="inlineStr">
        <is>
          <t>Initial</t>
        </is>
      </c>
    </row>
    <row r="2739">
      <c r="A2739" s="33" t="inlineStr">
        <is>
          <t>2026-08-02</t>
        </is>
      </c>
      <c r="B2739" s="33" t="inlineStr">
        <is>
          <t>6861.T</t>
        </is>
      </c>
      <c r="C2739" s="33" t="inlineStr">
        <is>
          <t>D5</t>
        </is>
      </c>
      <c r="D2739" s="33" t="n">
        <v>3</v>
      </c>
      <c r="E2739" s="33" t="inlineStr">
        <is>
          <t>Initial L11-batch rating per agent6 proposal (rationale+source in 11-robotics/research/rating-proposals-2026-08-02/); briefing per-stock/6861.T/context-2026-08-02.md</t>
        </is>
      </c>
      <c r="F2739" s="33" t="inlineStr">
        <is>
          <t>per-stock/6861.T/context-2026-08-02.md</t>
        </is>
      </c>
      <c r="G2739" s="33" t="inlineStr">
        <is>
          <t>Medium</t>
        </is>
      </c>
      <c r="H2739" s="33" t="inlineStr">
        <is>
          <t>Initial</t>
        </is>
      </c>
    </row>
    <row r="2740">
      <c r="A2740" s="33" t="inlineStr">
        <is>
          <t>2026-08-02</t>
        </is>
      </c>
      <c r="B2740" s="33" t="inlineStr">
        <is>
          <t>6861.T</t>
        </is>
      </c>
      <c r="C2740" s="33" t="inlineStr">
        <is>
          <t>M1</t>
        </is>
      </c>
      <c r="D2740" s="33" t="n">
        <v>5</v>
      </c>
      <c r="E2740" s="33" t="inlineStr">
        <is>
          <t>Initial L11-batch rating per agent6 proposal (rationale+source in 11-robotics/research/rating-proposals-2026-08-02/); briefing per-stock/6861.T/context-2026-08-02.md</t>
        </is>
      </c>
      <c r="F2740" s="33" t="inlineStr">
        <is>
          <t>per-stock/6861.T/context-2026-08-02.md</t>
        </is>
      </c>
      <c r="G2740" s="33" t="inlineStr">
        <is>
          <t>Medium</t>
        </is>
      </c>
      <c r="H2740" s="33" t="inlineStr">
        <is>
          <t>Initial</t>
        </is>
      </c>
    </row>
    <row r="2741">
      <c r="A2741" s="33" t="inlineStr">
        <is>
          <t>2026-08-02</t>
        </is>
      </c>
      <c r="B2741" s="33" t="inlineStr">
        <is>
          <t>6861.T</t>
        </is>
      </c>
      <c r="C2741" s="33" t="inlineStr">
        <is>
          <t>M2</t>
        </is>
      </c>
      <c r="D2741" s="33" t="n">
        <v>5</v>
      </c>
      <c r="E2741" s="33" t="inlineStr">
        <is>
          <t>Initial L11-batch rating per agent6 proposal (rationale+source in 11-robotics/research/rating-proposals-2026-08-02/); briefing per-stock/6861.T/context-2026-08-02.md</t>
        </is>
      </c>
      <c r="F2741" s="33" t="inlineStr">
        <is>
          <t>per-stock/6861.T/context-2026-08-02.md</t>
        </is>
      </c>
      <c r="G2741" s="33" t="inlineStr">
        <is>
          <t>Medium</t>
        </is>
      </c>
      <c r="H2741" s="33" t="inlineStr">
        <is>
          <t>Initial</t>
        </is>
      </c>
    </row>
    <row r="2742">
      <c r="A2742" s="33" t="inlineStr">
        <is>
          <t>2026-08-02</t>
        </is>
      </c>
      <c r="B2742" s="33" t="inlineStr">
        <is>
          <t>6861.T</t>
        </is>
      </c>
      <c r="C2742" s="33" t="inlineStr">
        <is>
          <t>M3</t>
        </is>
      </c>
      <c r="D2742" s="33" t="n">
        <v>3</v>
      </c>
      <c r="E2742" s="33" t="inlineStr">
        <is>
          <t>Initial L11-batch rating per agent6 proposal (rationale+source in 11-robotics/research/rating-proposals-2026-08-02/); briefing per-stock/6861.T/context-2026-08-02.md</t>
        </is>
      </c>
      <c r="F2742" s="33" t="inlineStr">
        <is>
          <t>per-stock/6861.T/context-2026-08-02.md</t>
        </is>
      </c>
      <c r="G2742" s="33" t="inlineStr">
        <is>
          <t>Medium</t>
        </is>
      </c>
      <c r="H2742" s="33" t="inlineStr">
        <is>
          <t>Initial</t>
        </is>
      </c>
    </row>
    <row r="2743">
      <c r="A2743" s="33" t="inlineStr">
        <is>
          <t>2026-08-02</t>
        </is>
      </c>
      <c r="B2743" s="33" t="inlineStr">
        <is>
          <t>6861.T</t>
        </is>
      </c>
      <c r="C2743" s="33" t="inlineStr">
        <is>
          <t>R1</t>
        </is>
      </c>
      <c r="D2743" s="33" t="n">
        <v>5</v>
      </c>
      <c r="E2743" s="33" t="inlineStr">
        <is>
          <t>Initial L11-batch rating per agent6 proposal (rationale+source in 11-robotics/research/rating-proposals-2026-08-02/); briefing per-stock/6861.T/context-2026-08-02.md</t>
        </is>
      </c>
      <c r="F2743" s="33" t="inlineStr">
        <is>
          <t>per-stock/6861.T/context-2026-08-02.md</t>
        </is>
      </c>
      <c r="G2743" s="33" t="inlineStr">
        <is>
          <t>Medium</t>
        </is>
      </c>
      <c r="H2743" s="33" t="inlineStr">
        <is>
          <t>Initial</t>
        </is>
      </c>
    </row>
    <row r="2744">
      <c r="A2744" s="33" t="inlineStr">
        <is>
          <t>2026-08-02</t>
        </is>
      </c>
      <c r="B2744" s="33" t="inlineStr">
        <is>
          <t>6861.T</t>
        </is>
      </c>
      <c r="C2744" s="33" t="inlineStr">
        <is>
          <t>R2</t>
        </is>
      </c>
      <c r="D2744" s="33" t="n">
        <v>3</v>
      </c>
      <c r="E2744" s="33" t="inlineStr">
        <is>
          <t>Initial L11-batch rating per agent6 proposal (rationale+source in 11-robotics/research/rating-proposals-2026-08-02/); briefing per-stock/6861.T/context-2026-08-02.md</t>
        </is>
      </c>
      <c r="F2744" s="33" t="inlineStr">
        <is>
          <t>per-stock/6861.T/context-2026-08-02.md</t>
        </is>
      </c>
      <c r="G2744" s="33" t="inlineStr">
        <is>
          <t>Medium</t>
        </is>
      </c>
      <c r="H2744" s="33" t="inlineStr">
        <is>
          <t>Initial</t>
        </is>
      </c>
    </row>
    <row r="2745">
      <c r="A2745" s="33" t="inlineStr">
        <is>
          <t>2026-08-02</t>
        </is>
      </c>
      <c r="B2745" s="33" t="inlineStr">
        <is>
          <t>6861.T</t>
        </is>
      </c>
      <c r="C2745" s="33" t="inlineStr">
        <is>
          <t>R3</t>
        </is>
      </c>
      <c r="D2745" s="33" t="n">
        <v>5</v>
      </c>
      <c r="E2745" s="33" t="inlineStr">
        <is>
          <t>Initial L11-batch rating per agent6 proposal (rationale+source in 11-robotics/research/rating-proposals-2026-08-02/); briefing per-stock/6861.T/context-2026-08-02.md</t>
        </is>
      </c>
      <c r="F2745" s="33" t="inlineStr">
        <is>
          <t>per-stock/6861.T/context-2026-08-02.md</t>
        </is>
      </c>
      <c r="G2745" s="33" t="inlineStr">
        <is>
          <t>Medium</t>
        </is>
      </c>
      <c r="H2745" s="33" t="inlineStr">
        <is>
          <t>Initial</t>
        </is>
      </c>
    </row>
    <row r="2746">
      <c r="A2746" s="33" t="inlineStr">
        <is>
          <t>2026-08-02</t>
        </is>
      </c>
      <c r="B2746" s="33" t="inlineStr">
        <is>
          <t>6861.T</t>
        </is>
      </c>
      <c r="C2746" s="33" t="inlineStr">
        <is>
          <t>R4</t>
        </is>
      </c>
      <c r="D2746" s="33" t="n">
        <v>5</v>
      </c>
      <c r="E2746" s="33" t="inlineStr">
        <is>
          <t>Initial L11-batch rating per agent6 proposal (rationale+source in 11-robotics/research/rating-proposals-2026-08-02/); briefing per-stock/6861.T/context-2026-08-02.md</t>
        </is>
      </c>
      <c r="F2746" s="33" t="inlineStr">
        <is>
          <t>per-stock/6861.T/context-2026-08-02.md</t>
        </is>
      </c>
      <c r="G2746" s="33" t="inlineStr">
        <is>
          <t>Medium</t>
        </is>
      </c>
      <c r="H2746" s="33" t="inlineStr">
        <is>
          <t>Initial</t>
        </is>
      </c>
    </row>
    <row r="2747">
      <c r="A2747" s="33" t="inlineStr">
        <is>
          <t>2026-08-02</t>
        </is>
      </c>
      <c r="B2747" s="33" t="inlineStr">
        <is>
          <t>6861.T</t>
        </is>
      </c>
      <c r="C2747" s="33" t="inlineStr">
        <is>
          <t>R5</t>
        </is>
      </c>
      <c r="D2747" s="33" t="n">
        <v>5</v>
      </c>
      <c r="E2747" s="33" t="inlineStr">
        <is>
          <t>Initial L11-batch rating per agent6 proposal (rationale+source in 11-robotics/research/rating-proposals-2026-08-02/); briefing per-stock/6861.T/context-2026-08-02.md</t>
        </is>
      </c>
      <c r="F2747" s="33" t="inlineStr">
        <is>
          <t>per-stock/6861.T/context-2026-08-02.md</t>
        </is>
      </c>
      <c r="G2747" s="33" t="inlineStr">
        <is>
          <t>Medium</t>
        </is>
      </c>
      <c r="H2747" s="33" t="inlineStr">
        <is>
          <t>Initial</t>
        </is>
      </c>
    </row>
    <row r="2748">
      <c r="A2748" s="33" t="inlineStr">
        <is>
          <t>2026-08-02</t>
        </is>
      </c>
      <c r="B2748" s="33" t="inlineStr">
        <is>
          <t>OUST</t>
        </is>
      </c>
      <c r="C2748" s="33" t="inlineStr">
        <is>
          <t>D1</t>
        </is>
      </c>
      <c r="D2748" s="33" t="n">
        <v>5</v>
      </c>
      <c r="E2748" s="33" t="inlineStr">
        <is>
          <t>Initial L11-batch rating per agent6 proposal (rationale+source in 11-robotics/research/rating-proposals-2026-08-02/); briefing per-stock/OUST/context-2026-08-02.md</t>
        </is>
      </c>
      <c r="F2748" s="33" t="inlineStr">
        <is>
          <t>per-stock/OUST/context-2026-08-02.md</t>
        </is>
      </c>
      <c r="G2748" s="33" t="inlineStr">
        <is>
          <t>Medium</t>
        </is>
      </c>
      <c r="H2748" s="33" t="inlineStr">
        <is>
          <t>Initial</t>
        </is>
      </c>
    </row>
    <row r="2749">
      <c r="A2749" s="33" t="inlineStr">
        <is>
          <t>2026-08-02</t>
        </is>
      </c>
      <c r="B2749" s="33" t="inlineStr">
        <is>
          <t>OUST</t>
        </is>
      </c>
      <c r="C2749" s="33" t="inlineStr">
        <is>
          <t>D2</t>
        </is>
      </c>
      <c r="D2749" s="33" t="n">
        <v>3</v>
      </c>
      <c r="E2749" s="33" t="inlineStr">
        <is>
          <t>Initial L11-batch rating per agent6 proposal (rationale+source in 11-robotics/research/rating-proposals-2026-08-02/); briefing per-stock/OUST/context-2026-08-02.md</t>
        </is>
      </c>
      <c r="F2749" s="33" t="inlineStr">
        <is>
          <t>per-stock/OUST/context-2026-08-02.md</t>
        </is>
      </c>
      <c r="G2749" s="33" t="inlineStr">
        <is>
          <t>Medium</t>
        </is>
      </c>
      <c r="H2749" s="33" t="inlineStr">
        <is>
          <t>Initial</t>
        </is>
      </c>
    </row>
    <row r="2750">
      <c r="A2750" s="33" t="inlineStr">
        <is>
          <t>2026-08-02</t>
        </is>
      </c>
      <c r="B2750" s="33" t="inlineStr">
        <is>
          <t>OUST</t>
        </is>
      </c>
      <c r="C2750" s="33" t="inlineStr">
        <is>
          <t>D3</t>
        </is>
      </c>
      <c r="D2750" s="33" t="n">
        <v>3</v>
      </c>
      <c r="E2750" s="33" t="inlineStr">
        <is>
          <t>Initial L11-batch rating per agent6 proposal (rationale+source in 11-robotics/research/rating-proposals-2026-08-02/); briefing per-stock/OUST/context-2026-08-02.md</t>
        </is>
      </c>
      <c r="F2750" s="33" t="inlineStr">
        <is>
          <t>per-stock/OUST/context-2026-08-02.md</t>
        </is>
      </c>
      <c r="G2750" s="33" t="inlineStr">
        <is>
          <t>Medium</t>
        </is>
      </c>
      <c r="H2750" s="33" t="inlineStr">
        <is>
          <t>Initial</t>
        </is>
      </c>
    </row>
    <row r="2751">
      <c r="A2751" s="33" t="inlineStr">
        <is>
          <t>2026-08-02</t>
        </is>
      </c>
      <c r="B2751" s="33" t="inlineStr">
        <is>
          <t>OUST</t>
        </is>
      </c>
      <c r="C2751" s="33" t="inlineStr">
        <is>
          <t>D4</t>
        </is>
      </c>
      <c r="D2751" s="33" t="n">
        <v>5</v>
      </c>
      <c r="E2751" s="33" t="inlineStr">
        <is>
          <t>Initial L11-batch rating per agent6 proposal (rationale+source in 11-robotics/research/rating-proposals-2026-08-02/); briefing per-stock/OUST/context-2026-08-02.md</t>
        </is>
      </c>
      <c r="F2751" s="33" t="inlineStr">
        <is>
          <t>per-stock/OUST/context-2026-08-02.md</t>
        </is>
      </c>
      <c r="G2751" s="33" t="inlineStr">
        <is>
          <t>Medium</t>
        </is>
      </c>
      <c r="H2751" s="33" t="inlineStr">
        <is>
          <t>Initial</t>
        </is>
      </c>
    </row>
    <row r="2752">
      <c r="A2752" s="33" t="inlineStr">
        <is>
          <t>2026-08-02</t>
        </is>
      </c>
      <c r="B2752" s="33" t="inlineStr">
        <is>
          <t>OUST</t>
        </is>
      </c>
      <c r="C2752" s="33" t="inlineStr">
        <is>
          <t>D5</t>
        </is>
      </c>
      <c r="D2752" s="33" t="n">
        <v>4</v>
      </c>
      <c r="E2752" s="33" t="inlineStr">
        <is>
          <t>Initial L11-batch rating per agent6 proposal (rationale+source in 11-robotics/research/rating-proposals-2026-08-02/); briefing per-stock/OUST/context-2026-08-02.md</t>
        </is>
      </c>
      <c r="F2752" s="33" t="inlineStr">
        <is>
          <t>per-stock/OUST/context-2026-08-02.md</t>
        </is>
      </c>
      <c r="G2752" s="33" t="inlineStr">
        <is>
          <t>Medium</t>
        </is>
      </c>
      <c r="H2752" s="33" t="inlineStr">
        <is>
          <t>Initial</t>
        </is>
      </c>
    </row>
    <row r="2753">
      <c r="A2753" s="33" t="inlineStr">
        <is>
          <t>2026-08-02</t>
        </is>
      </c>
      <c r="B2753" s="33" t="inlineStr">
        <is>
          <t>OUST</t>
        </is>
      </c>
      <c r="C2753" s="33" t="inlineStr">
        <is>
          <t>M1</t>
        </is>
      </c>
      <c r="D2753" s="33" t="n">
        <v>4</v>
      </c>
      <c r="E2753" s="33" t="inlineStr">
        <is>
          <t>Initial L11-batch rating per agent6 proposal (rationale+source in 11-robotics/research/rating-proposals-2026-08-02/); briefing per-stock/OUST/context-2026-08-02.md</t>
        </is>
      </c>
      <c r="F2753" s="33" t="inlineStr">
        <is>
          <t>per-stock/OUST/context-2026-08-02.md</t>
        </is>
      </c>
      <c r="G2753" s="33" t="inlineStr">
        <is>
          <t>Medium</t>
        </is>
      </c>
      <c r="H2753" s="33" t="inlineStr">
        <is>
          <t>Initial</t>
        </is>
      </c>
    </row>
    <row r="2754">
      <c r="A2754" s="33" t="inlineStr">
        <is>
          <t>2026-08-02</t>
        </is>
      </c>
      <c r="B2754" s="33" t="inlineStr">
        <is>
          <t>OUST</t>
        </is>
      </c>
      <c r="C2754" s="33" t="inlineStr">
        <is>
          <t>M2</t>
        </is>
      </c>
      <c r="D2754" s="33" t="n">
        <v>5</v>
      </c>
      <c r="E2754" s="33" t="inlineStr">
        <is>
          <t>Initial L11-batch rating per agent6 proposal (rationale+source in 11-robotics/research/rating-proposals-2026-08-02/); briefing per-stock/OUST/context-2026-08-02.md</t>
        </is>
      </c>
      <c r="F2754" s="33" t="inlineStr">
        <is>
          <t>per-stock/OUST/context-2026-08-02.md</t>
        </is>
      </c>
      <c r="G2754" s="33" t="inlineStr">
        <is>
          <t>Medium</t>
        </is>
      </c>
      <c r="H2754" s="33" t="inlineStr">
        <is>
          <t>Initial</t>
        </is>
      </c>
    </row>
    <row r="2755">
      <c r="A2755" s="33" t="inlineStr">
        <is>
          <t>2026-08-02</t>
        </is>
      </c>
      <c r="B2755" s="33" t="inlineStr">
        <is>
          <t>OUST</t>
        </is>
      </c>
      <c r="C2755" s="33" t="inlineStr">
        <is>
          <t>M3</t>
        </is>
      </c>
      <c r="D2755" s="33" t="n">
        <v>4</v>
      </c>
      <c r="E2755" s="33" t="inlineStr">
        <is>
          <t>Initial L11-batch rating per agent6 proposal (rationale+source in 11-robotics/research/rating-proposals-2026-08-02/); briefing per-stock/OUST/context-2026-08-02.md</t>
        </is>
      </c>
      <c r="F2755" s="33" t="inlineStr">
        <is>
          <t>per-stock/OUST/context-2026-08-02.md</t>
        </is>
      </c>
      <c r="G2755" s="33" t="inlineStr">
        <is>
          <t>Medium</t>
        </is>
      </c>
      <c r="H2755" s="33" t="inlineStr">
        <is>
          <t>Initial</t>
        </is>
      </c>
    </row>
    <row r="2756">
      <c r="A2756" s="33" t="inlineStr">
        <is>
          <t>2026-08-02</t>
        </is>
      </c>
      <c r="B2756" s="33" t="inlineStr">
        <is>
          <t>OUST</t>
        </is>
      </c>
      <c r="C2756" s="33" t="inlineStr">
        <is>
          <t>R1</t>
        </is>
      </c>
      <c r="D2756" s="33" t="n">
        <v>3</v>
      </c>
      <c r="E2756" s="33" t="inlineStr">
        <is>
          <t>Initial L11-batch rating per agent6 proposal (rationale+source in 11-robotics/research/rating-proposals-2026-08-02/); briefing per-stock/OUST/context-2026-08-02.md</t>
        </is>
      </c>
      <c r="F2756" s="33" t="inlineStr">
        <is>
          <t>per-stock/OUST/context-2026-08-02.md</t>
        </is>
      </c>
      <c r="G2756" s="33" t="inlineStr">
        <is>
          <t>Medium</t>
        </is>
      </c>
      <c r="H2756" s="33" t="inlineStr">
        <is>
          <t>Initial</t>
        </is>
      </c>
    </row>
    <row r="2757">
      <c r="A2757" s="33" t="inlineStr">
        <is>
          <t>2026-08-02</t>
        </is>
      </c>
      <c r="B2757" s="33" t="inlineStr">
        <is>
          <t>OUST</t>
        </is>
      </c>
      <c r="C2757" s="33" t="inlineStr">
        <is>
          <t>R2</t>
        </is>
      </c>
      <c r="D2757" s="33" t="n">
        <v>4</v>
      </c>
      <c r="E2757" s="33" t="inlineStr">
        <is>
          <t>Initial L11-batch rating per agent6 proposal (rationale+source in 11-robotics/research/rating-proposals-2026-08-02/); briefing per-stock/OUST/context-2026-08-02.md</t>
        </is>
      </c>
      <c r="F2757" s="33" t="inlineStr">
        <is>
          <t>per-stock/OUST/context-2026-08-02.md</t>
        </is>
      </c>
      <c r="G2757" s="33" t="inlineStr">
        <is>
          <t>Medium</t>
        </is>
      </c>
      <c r="H2757" s="33" t="inlineStr">
        <is>
          <t>Initial</t>
        </is>
      </c>
    </row>
    <row r="2758">
      <c r="A2758" s="33" t="inlineStr">
        <is>
          <t>2026-08-02</t>
        </is>
      </c>
      <c r="B2758" s="33" t="inlineStr">
        <is>
          <t>OUST</t>
        </is>
      </c>
      <c r="C2758" s="33" t="inlineStr">
        <is>
          <t>R3</t>
        </is>
      </c>
      <c r="D2758" s="33" t="n">
        <v>4</v>
      </c>
      <c r="E2758" s="33" t="inlineStr">
        <is>
          <t>Initial L11-batch rating per agent6 proposal (rationale+source in 11-robotics/research/rating-proposals-2026-08-02/); briefing per-stock/OUST/context-2026-08-02.md</t>
        </is>
      </c>
      <c r="F2758" s="33" t="inlineStr">
        <is>
          <t>per-stock/OUST/context-2026-08-02.md</t>
        </is>
      </c>
      <c r="G2758" s="33" t="inlineStr">
        <is>
          <t>Medium</t>
        </is>
      </c>
      <c r="H2758" s="33" t="inlineStr">
        <is>
          <t>Initial</t>
        </is>
      </c>
    </row>
    <row r="2759">
      <c r="A2759" s="33" t="inlineStr">
        <is>
          <t>2026-08-02</t>
        </is>
      </c>
      <c r="B2759" s="33" t="inlineStr">
        <is>
          <t>OUST</t>
        </is>
      </c>
      <c r="C2759" s="33" t="inlineStr">
        <is>
          <t>R4</t>
        </is>
      </c>
      <c r="D2759" s="33" t="n">
        <v>4</v>
      </c>
      <c r="E2759" s="33" t="inlineStr">
        <is>
          <t>Initial L11-batch rating per agent6 proposal (rationale+source in 11-robotics/research/rating-proposals-2026-08-02/); briefing per-stock/OUST/context-2026-08-02.md</t>
        </is>
      </c>
      <c r="F2759" s="33" t="inlineStr">
        <is>
          <t>per-stock/OUST/context-2026-08-02.md</t>
        </is>
      </c>
      <c r="G2759" s="33" t="inlineStr">
        <is>
          <t>Medium</t>
        </is>
      </c>
      <c r="H2759" s="33" t="inlineStr">
        <is>
          <t>Initial</t>
        </is>
      </c>
    </row>
    <row r="2760">
      <c r="A2760" s="33" t="inlineStr">
        <is>
          <t>2026-08-02</t>
        </is>
      </c>
      <c r="B2760" s="33" t="inlineStr">
        <is>
          <t>OUST</t>
        </is>
      </c>
      <c r="C2760" s="33" t="inlineStr">
        <is>
          <t>R5</t>
        </is>
      </c>
      <c r="D2760" s="33" t="n">
        <v>5</v>
      </c>
      <c r="E2760" s="33" t="inlineStr">
        <is>
          <t>Initial L11-batch rating per agent6 proposal (rationale+source in 11-robotics/research/rating-proposals-2026-08-02/); briefing per-stock/OUST/context-2026-08-02.md</t>
        </is>
      </c>
      <c r="F2760" s="33" t="inlineStr">
        <is>
          <t>per-stock/OUST/context-2026-08-02.md</t>
        </is>
      </c>
      <c r="G2760" s="33" t="inlineStr">
        <is>
          <t>Medium</t>
        </is>
      </c>
      <c r="H2760" s="33" t="inlineStr">
        <is>
          <t>Initial</t>
        </is>
      </c>
    </row>
    <row r="2761">
      <c r="A2761" s="33" t="inlineStr">
        <is>
          <t>2026-08-02</t>
        </is>
      </c>
      <c r="B2761" s="33" t="inlineStr">
        <is>
          <t>AEVA</t>
        </is>
      </c>
      <c r="C2761" s="33" t="inlineStr">
        <is>
          <t>D1</t>
        </is>
      </c>
      <c r="D2761" s="33" t="n">
        <v>5</v>
      </c>
      <c r="E2761" s="33" t="inlineStr">
        <is>
          <t>Mix purity not scale: Q1 product revenue DOWN 2% YoY ($2,427k vs $2,481k); all growth was NRE (61% of revenue). "Robotics units exceed auto" is a unit claim, not revenue.</t>
        </is>
      </c>
      <c r="F2761" s="33" t="inlineStr">
        <is>
          <t>per-stock/AEVA/context-2026-08-02.md</t>
        </is>
      </c>
      <c r="G2761" s="33" t="inlineStr">
        <is>
          <t>Medium</t>
        </is>
      </c>
      <c r="H2761" s="33" t="inlineStr">
        <is>
          <t>Initial</t>
        </is>
      </c>
    </row>
    <row r="2762">
      <c r="A2762" s="33" t="inlineStr">
        <is>
          <t>2026-08-02</t>
        </is>
      </c>
      <c r="B2762" s="33" t="inlineStr">
        <is>
          <t>AEVA</t>
        </is>
      </c>
      <c r="C2762" s="33" t="inlineStr">
        <is>
          <t>D2</t>
        </is>
      </c>
      <c r="D2762" s="33" t="n">
        <v>2</v>
      </c>
      <c r="E2762" s="33" t="inlineStr">
        <is>
          <t>Initial L11-batch rating per agent6 proposal (rationale+source in 11-robotics/research/rating-proposals-2026-08-02/); briefing per-stock/AEVA/context-2026-08-02.md</t>
        </is>
      </c>
      <c r="F2762" s="33" t="inlineStr">
        <is>
          <t>per-stock/AEVA/context-2026-08-02.md</t>
        </is>
      </c>
      <c r="G2762" s="33" t="inlineStr">
        <is>
          <t>Medium</t>
        </is>
      </c>
      <c r="H2762" s="33" t="inlineStr">
        <is>
          <t>Initial</t>
        </is>
      </c>
    </row>
    <row r="2763">
      <c r="A2763" s="33" t="inlineStr">
        <is>
          <t>2026-08-02</t>
        </is>
      </c>
      <c r="B2763" s="33" t="inlineStr">
        <is>
          <t>AEVA</t>
        </is>
      </c>
      <c r="C2763" s="33" t="inlineStr">
        <is>
          <t>D3</t>
        </is>
      </c>
      <c r="D2763" s="33" t="n">
        <v>3</v>
      </c>
      <c r="E2763" s="33" t="inlineStr">
        <is>
          <t>Initial L11-batch rating per agent6 proposal (rationale+source in 11-robotics/research/rating-proposals-2026-08-02/); briefing per-stock/AEVA/context-2026-08-02.md</t>
        </is>
      </c>
      <c r="F2763" s="33" t="inlineStr">
        <is>
          <t>per-stock/AEVA/context-2026-08-02.md</t>
        </is>
      </c>
      <c r="G2763" s="33" t="inlineStr">
        <is>
          <t>Medium</t>
        </is>
      </c>
      <c r="H2763" s="33" t="inlineStr">
        <is>
          <t>Initial</t>
        </is>
      </c>
    </row>
    <row r="2764">
      <c r="A2764" s="33" t="inlineStr">
        <is>
          <t>2026-08-02</t>
        </is>
      </c>
      <c r="B2764" s="33" t="inlineStr">
        <is>
          <t>AEVA</t>
        </is>
      </c>
      <c r="C2764" s="33" t="inlineStr">
        <is>
          <t>D4</t>
        </is>
      </c>
      <c r="D2764" s="33" t="n">
        <v>4</v>
      </c>
      <c r="E2764" s="33" t="inlineStr">
        <is>
          <t>Initial L11-batch rating per agent6 proposal (rationale+source in 11-robotics/research/rating-proposals-2026-08-02/); briefing per-stock/AEVA/context-2026-08-02.md</t>
        </is>
      </c>
      <c r="F2764" s="33" t="inlineStr">
        <is>
          <t>per-stock/AEVA/context-2026-08-02.md</t>
        </is>
      </c>
      <c r="G2764" s="33" t="inlineStr">
        <is>
          <t>Medium</t>
        </is>
      </c>
      <c r="H2764" s="33" t="inlineStr">
        <is>
          <t>Initial</t>
        </is>
      </c>
    </row>
    <row r="2765">
      <c r="A2765" s="33" t="inlineStr">
        <is>
          <t>2026-08-02</t>
        </is>
      </c>
      <c r="B2765" s="33" t="inlineStr">
        <is>
          <t>AEVA</t>
        </is>
      </c>
      <c r="C2765" s="33" t="inlineStr">
        <is>
          <t>D5</t>
        </is>
      </c>
      <c r="D2765" s="33" t="n">
        <v>3</v>
      </c>
      <c r="E2765" s="33" t="inlineStr">
        <is>
          <t>Initial L11-batch rating per agent6 proposal (rationale+source in 11-robotics/research/rating-proposals-2026-08-02/); briefing per-stock/AEVA/context-2026-08-02.md</t>
        </is>
      </c>
      <c r="F2765" s="33" t="inlineStr">
        <is>
          <t>per-stock/AEVA/context-2026-08-02.md</t>
        </is>
      </c>
      <c r="G2765" s="33" t="inlineStr">
        <is>
          <t>Medium</t>
        </is>
      </c>
      <c r="H2765" s="33" t="inlineStr">
        <is>
          <t>Initial</t>
        </is>
      </c>
    </row>
    <row r="2766">
      <c r="A2766" s="33" t="inlineStr">
        <is>
          <t>2026-08-02</t>
        </is>
      </c>
      <c r="B2766" s="33" t="inlineStr">
        <is>
          <t>AEVA</t>
        </is>
      </c>
      <c r="C2766" s="33" t="inlineStr">
        <is>
          <t>M1</t>
        </is>
      </c>
      <c r="D2766" s="33" t="n">
        <v>3</v>
      </c>
      <c r="E2766" s="33" t="inlineStr">
        <is>
          <t>Initial L11-batch rating per agent6 proposal (rationale+source in 11-robotics/research/rating-proposals-2026-08-02/); briefing per-stock/AEVA/context-2026-08-02.md</t>
        </is>
      </c>
      <c r="F2766" s="33" t="inlineStr">
        <is>
          <t>per-stock/AEVA/context-2026-08-02.md</t>
        </is>
      </c>
      <c r="G2766" s="33" t="inlineStr">
        <is>
          <t>Medium</t>
        </is>
      </c>
      <c r="H2766" s="33" t="inlineStr">
        <is>
          <t>Initial</t>
        </is>
      </c>
    </row>
    <row r="2767">
      <c r="A2767" s="33" t="inlineStr">
        <is>
          <t>2026-08-02</t>
        </is>
      </c>
      <c r="B2767" s="33" t="inlineStr">
        <is>
          <t>AEVA</t>
        </is>
      </c>
      <c r="C2767" s="33" t="inlineStr">
        <is>
          <t>M2</t>
        </is>
      </c>
      <c r="D2767" s="33" t="n">
        <v>1</v>
      </c>
      <c r="E2767" s="33" t="inlineStr">
        <is>
          <t>Initial L11-batch rating per agent6 proposal (rationale+source in 11-robotics/research/rating-proposals-2026-08-02/); briefing per-stock/AEVA/context-2026-08-02.md</t>
        </is>
      </c>
      <c r="F2767" s="33" t="inlineStr">
        <is>
          <t>per-stock/AEVA/context-2026-08-02.md</t>
        </is>
      </c>
      <c r="G2767" s="33" t="inlineStr">
        <is>
          <t>Medium</t>
        </is>
      </c>
      <c r="H2767" s="33" t="inlineStr">
        <is>
          <t>Initial</t>
        </is>
      </c>
    </row>
    <row r="2768">
      <c r="A2768" s="33" t="inlineStr">
        <is>
          <t>2026-08-02</t>
        </is>
      </c>
      <c r="B2768" s="33" t="inlineStr">
        <is>
          <t>AEVA</t>
        </is>
      </c>
      <c r="C2768" s="33" t="inlineStr">
        <is>
          <t>M3</t>
        </is>
      </c>
      <c r="D2768" s="33" t="n">
        <v>3</v>
      </c>
      <c r="E2768" s="33" t="inlineStr">
        <is>
          <t>Initial L11-batch rating per agent6 proposal (rationale+source in 11-robotics/research/rating-proposals-2026-08-02/); briefing per-stock/AEVA/context-2026-08-02.md</t>
        </is>
      </c>
      <c r="F2768" s="33" t="inlineStr">
        <is>
          <t>per-stock/AEVA/context-2026-08-02.md</t>
        </is>
      </c>
      <c r="G2768" s="33" t="inlineStr">
        <is>
          <t>Medium</t>
        </is>
      </c>
      <c r="H2768" s="33" t="inlineStr">
        <is>
          <t>Initial</t>
        </is>
      </c>
    </row>
    <row r="2769">
      <c r="A2769" s="33" t="inlineStr">
        <is>
          <t>2026-08-02</t>
        </is>
      </c>
      <c r="B2769" s="33" t="inlineStr">
        <is>
          <t>AEVA</t>
        </is>
      </c>
      <c r="C2769" s="33" t="inlineStr">
        <is>
          <t>R1</t>
        </is>
      </c>
      <c r="D2769" s="33" t="n">
        <v>2</v>
      </c>
      <c r="E2769" s="33" t="inlineStr">
        <is>
          <t>Initial L11-batch rating per agent6 proposal (rationale+source in 11-robotics/research/rating-proposals-2026-08-02/); briefing per-stock/AEVA/context-2026-08-02.md</t>
        </is>
      </c>
      <c r="F2769" s="33" t="inlineStr">
        <is>
          <t>per-stock/AEVA/context-2026-08-02.md</t>
        </is>
      </c>
      <c r="G2769" s="33" t="inlineStr">
        <is>
          <t>Medium</t>
        </is>
      </c>
      <c r="H2769" s="33" t="inlineStr">
        <is>
          <t>Initial</t>
        </is>
      </c>
    </row>
    <row r="2770">
      <c r="A2770" s="33" t="inlineStr">
        <is>
          <t>2026-08-02</t>
        </is>
      </c>
      <c r="B2770" s="33" t="inlineStr">
        <is>
          <t>AEVA</t>
        </is>
      </c>
      <c r="C2770" s="33" t="inlineStr">
        <is>
          <t>R2</t>
        </is>
      </c>
      <c r="D2770" s="33" t="n">
        <v>3</v>
      </c>
      <c r="E2770" s="33" t="inlineStr">
        <is>
          <t>Initial L11-batch rating per agent6 proposal (rationale+source in 11-robotics/research/rating-proposals-2026-08-02/); briefing per-stock/AEVA/context-2026-08-02.md</t>
        </is>
      </c>
      <c r="F2770" s="33" t="inlineStr">
        <is>
          <t>per-stock/AEVA/context-2026-08-02.md</t>
        </is>
      </c>
      <c r="G2770" s="33" t="inlineStr">
        <is>
          <t>Medium</t>
        </is>
      </c>
      <c r="H2770" s="33" t="inlineStr">
        <is>
          <t>Initial</t>
        </is>
      </c>
    </row>
    <row r="2771">
      <c r="A2771" s="33" t="inlineStr">
        <is>
          <t>2026-08-02</t>
        </is>
      </c>
      <c r="B2771" s="33" t="inlineStr">
        <is>
          <t>AEVA</t>
        </is>
      </c>
      <c r="C2771" s="33" t="inlineStr">
        <is>
          <t>R3</t>
        </is>
      </c>
      <c r="D2771" s="33" t="n">
        <v>2</v>
      </c>
      <c r="E2771" s="33" t="inlineStr">
        <is>
          <t>Initial L11-batch rating per agent6 proposal (rationale+source in 11-robotics/research/rating-proposals-2026-08-02/); briefing per-stock/AEVA/context-2026-08-02.md</t>
        </is>
      </c>
      <c r="F2771" s="33" t="inlineStr">
        <is>
          <t>per-stock/AEVA/context-2026-08-02.md</t>
        </is>
      </c>
      <c r="G2771" s="33" t="inlineStr">
        <is>
          <t>Medium</t>
        </is>
      </c>
      <c r="H2771" s="33" t="inlineStr">
        <is>
          <t>Initial</t>
        </is>
      </c>
    </row>
    <row r="2772">
      <c r="A2772" s="33" t="inlineStr">
        <is>
          <t>2026-08-02</t>
        </is>
      </c>
      <c r="B2772" s="33" t="inlineStr">
        <is>
          <t>AEVA</t>
        </is>
      </c>
      <c r="C2772" s="33" t="inlineStr">
        <is>
          <t>R4</t>
        </is>
      </c>
      <c r="D2772" s="33" t="n">
        <v>4</v>
      </c>
      <c r="E2772" s="33" t="inlineStr">
        <is>
          <t>Initial L11-batch rating per agent6 proposal (rationale+source in 11-robotics/research/rating-proposals-2026-08-02/); briefing per-stock/AEVA/context-2026-08-02.md</t>
        </is>
      </c>
      <c r="F2772" s="33" t="inlineStr">
        <is>
          <t>per-stock/AEVA/context-2026-08-02.md</t>
        </is>
      </c>
      <c r="G2772" s="33" t="inlineStr">
        <is>
          <t>Medium</t>
        </is>
      </c>
      <c r="H2772" s="33" t="inlineStr">
        <is>
          <t>Initial</t>
        </is>
      </c>
    </row>
    <row r="2773">
      <c r="A2773" s="33" t="inlineStr">
        <is>
          <t>2026-08-02</t>
        </is>
      </c>
      <c r="B2773" s="33" t="inlineStr">
        <is>
          <t>AEVA</t>
        </is>
      </c>
      <c r="C2773" s="33" t="inlineStr">
        <is>
          <t>R5</t>
        </is>
      </c>
      <c r="D2773" s="33" t="n">
        <v>5</v>
      </c>
      <c r="E2773" s="33" t="inlineStr">
        <is>
          <t>Initial L11-batch rating per agent6 proposal (rationale+source in 11-robotics/research/rating-proposals-2026-08-02/); briefing per-stock/AEVA/context-2026-08-02.md</t>
        </is>
      </c>
      <c r="F2773" s="33" t="inlineStr">
        <is>
          <t>per-stock/AEVA/context-2026-08-02.md</t>
        </is>
      </c>
      <c r="G2773" s="33" t="inlineStr">
        <is>
          <t>Medium</t>
        </is>
      </c>
      <c r="H2773" s="33" t="inlineStr">
        <is>
          <t>Initial</t>
        </is>
      </c>
    </row>
    <row r="2774">
      <c r="A2774" s="33" t="inlineStr">
        <is>
          <t>2026-08-02</t>
        </is>
      </c>
      <c r="B2774" s="33" t="inlineStr">
        <is>
          <t>BSL.DE</t>
        </is>
      </c>
      <c r="C2774" s="33" t="inlineStr">
        <is>
          <t>D1</t>
        </is>
      </c>
      <c r="D2774" s="33" t="n">
        <v>2</v>
      </c>
      <c r="E2774" s="33" t="inlineStr">
        <is>
          <t>Initial L11-batch rating per agent6 proposal (rationale+source in 11-robotics/research/rating-proposals-2026-08-02/); briefing per-stock/BSL.DE/context-2026-08-02.md</t>
        </is>
      </c>
      <c r="F2774" s="33" t="inlineStr">
        <is>
          <t>per-stock/BSL.DE/context-2026-08-02.md</t>
        </is>
      </c>
      <c r="G2774" s="33" t="inlineStr">
        <is>
          <t>Medium</t>
        </is>
      </c>
      <c r="H2774" s="33" t="inlineStr">
        <is>
          <t>Initial</t>
        </is>
      </c>
    </row>
    <row r="2775">
      <c r="A2775" s="33" t="inlineStr">
        <is>
          <t>2026-08-02</t>
        </is>
      </c>
      <c r="B2775" s="33" t="inlineStr">
        <is>
          <t>BSL.DE</t>
        </is>
      </c>
      <c r="C2775" s="33" t="inlineStr">
        <is>
          <t>D2</t>
        </is>
      </c>
      <c r="D2775" s="33" t="n">
        <v>3</v>
      </c>
      <c r="E2775" s="33" t="inlineStr">
        <is>
          <t>Initial L11-batch rating per agent6 proposal (rationale+source in 11-robotics/research/rating-proposals-2026-08-02/); briefing per-stock/BSL.DE/context-2026-08-02.md</t>
        </is>
      </c>
      <c r="F2775" s="33" t="inlineStr">
        <is>
          <t>per-stock/BSL.DE/context-2026-08-02.md</t>
        </is>
      </c>
      <c r="G2775" s="33" t="inlineStr">
        <is>
          <t>Medium</t>
        </is>
      </c>
      <c r="H2775" s="33" t="inlineStr">
        <is>
          <t>Initial</t>
        </is>
      </c>
    </row>
    <row r="2776">
      <c r="A2776" s="33" t="inlineStr">
        <is>
          <t>2026-08-02</t>
        </is>
      </c>
      <c r="B2776" s="33" t="inlineStr">
        <is>
          <t>BSL.DE</t>
        </is>
      </c>
      <c r="C2776" s="33" t="inlineStr">
        <is>
          <t>D3</t>
        </is>
      </c>
      <c r="D2776" s="33" t="n">
        <v>3</v>
      </c>
      <c r="E2776" s="33" t="inlineStr">
        <is>
          <t>Initial L11-batch rating per agent6 proposal (rationale+source in 11-robotics/research/rating-proposals-2026-08-02/); briefing per-stock/BSL.DE/context-2026-08-02.md</t>
        </is>
      </c>
      <c r="F2776" s="33" t="inlineStr">
        <is>
          <t>per-stock/BSL.DE/context-2026-08-02.md</t>
        </is>
      </c>
      <c r="G2776" s="33" t="inlineStr">
        <is>
          <t>Medium</t>
        </is>
      </c>
      <c r="H2776" s="33" t="inlineStr">
        <is>
          <t>Initial</t>
        </is>
      </c>
    </row>
    <row r="2777">
      <c r="A2777" s="33" t="inlineStr">
        <is>
          <t>2026-08-02</t>
        </is>
      </c>
      <c r="B2777" s="33" t="inlineStr">
        <is>
          <t>BSL.DE</t>
        </is>
      </c>
      <c r="C2777" s="33" t="inlineStr">
        <is>
          <t>D4</t>
        </is>
      </c>
      <c r="D2777" s="33" t="n">
        <v>5</v>
      </c>
      <c r="E2777" s="33" t="inlineStr">
        <is>
          <t>Initial L11-batch rating per agent6 proposal (rationale+source in 11-robotics/research/rating-proposals-2026-08-02/); briefing per-stock/BSL.DE/context-2026-08-02.md</t>
        </is>
      </c>
      <c r="F2777" s="33" t="inlineStr">
        <is>
          <t>per-stock/BSL.DE/context-2026-08-02.md</t>
        </is>
      </c>
      <c r="G2777" s="33" t="inlineStr">
        <is>
          <t>Medium</t>
        </is>
      </c>
      <c r="H2777" s="33" t="inlineStr">
        <is>
          <t>Initial</t>
        </is>
      </c>
    </row>
    <row r="2778">
      <c r="A2778" s="33" t="inlineStr">
        <is>
          <t>2026-08-02</t>
        </is>
      </c>
      <c r="B2778" s="33" t="inlineStr">
        <is>
          <t>BSL.DE</t>
        </is>
      </c>
      <c r="C2778" s="33" t="inlineStr">
        <is>
          <t>D5</t>
        </is>
      </c>
      <c r="D2778" s="33" t="n">
        <v>2</v>
      </c>
      <c r="E2778" s="33" t="inlineStr">
        <is>
          <t>Initial L11-batch rating per agent6 proposal (rationale+source in 11-robotics/research/rating-proposals-2026-08-02/); briefing per-stock/BSL.DE/context-2026-08-02.md</t>
        </is>
      </c>
      <c r="F2778" s="33" t="inlineStr">
        <is>
          <t>per-stock/BSL.DE/context-2026-08-02.md</t>
        </is>
      </c>
      <c r="G2778" s="33" t="inlineStr">
        <is>
          <t>Medium</t>
        </is>
      </c>
      <c r="H2778" s="33" t="inlineStr">
        <is>
          <t>Initial</t>
        </is>
      </c>
    </row>
    <row r="2779">
      <c r="A2779" s="33" t="inlineStr">
        <is>
          <t>2026-08-02</t>
        </is>
      </c>
      <c r="B2779" s="33" t="inlineStr">
        <is>
          <t>BSL.DE</t>
        </is>
      </c>
      <c r="C2779" s="33" t="inlineStr">
        <is>
          <t>M1</t>
        </is>
      </c>
      <c r="D2779" s="33" t="n">
        <v>5</v>
      </c>
      <c r="E2779" s="33" t="inlineStr">
        <is>
          <t>Initial L11-batch rating per agent6 proposal (rationale+source in 11-robotics/research/rating-proposals-2026-08-02/); briefing per-stock/BSL.DE/context-2026-08-02.md</t>
        </is>
      </c>
      <c r="F2779" s="33" t="inlineStr">
        <is>
          <t>per-stock/BSL.DE/context-2026-08-02.md</t>
        </is>
      </c>
      <c r="G2779" s="33" t="inlineStr">
        <is>
          <t>Medium</t>
        </is>
      </c>
      <c r="H2779" s="33" t="inlineStr">
        <is>
          <t>Initial</t>
        </is>
      </c>
    </row>
    <row r="2780">
      <c r="A2780" s="33" t="inlineStr">
        <is>
          <t>2026-08-02</t>
        </is>
      </c>
      <c r="B2780" s="33" t="inlineStr">
        <is>
          <t>BSL.DE</t>
        </is>
      </c>
      <c r="C2780" s="33" t="inlineStr">
        <is>
          <t>M2</t>
        </is>
      </c>
      <c r="D2780" s="33" t="n">
        <v>5</v>
      </c>
      <c r="E2780" s="33" t="inlineStr">
        <is>
          <t>Initial L11-batch rating per agent6 proposal (rationale+source in 11-robotics/research/rating-proposals-2026-08-02/); briefing per-stock/BSL.DE/context-2026-08-02.md</t>
        </is>
      </c>
      <c r="F2780" s="33" t="inlineStr">
        <is>
          <t>per-stock/BSL.DE/context-2026-08-02.md</t>
        </is>
      </c>
      <c r="G2780" s="33" t="inlineStr">
        <is>
          <t>Medium</t>
        </is>
      </c>
      <c r="H2780" s="33" t="inlineStr">
        <is>
          <t>Initial</t>
        </is>
      </c>
    </row>
    <row r="2781">
      <c r="A2781" s="33" t="inlineStr">
        <is>
          <t>2026-08-02</t>
        </is>
      </c>
      <c r="B2781" s="33" t="inlineStr">
        <is>
          <t>BSL.DE</t>
        </is>
      </c>
      <c r="C2781" s="33" t="inlineStr">
        <is>
          <t>M3</t>
        </is>
      </c>
      <c r="D2781" s="33" t="n">
        <v>3</v>
      </c>
      <c r="E2781" s="33" t="inlineStr">
        <is>
          <t>Initial L11-batch rating per agent6 proposal (rationale+source in 11-robotics/research/rating-proposals-2026-08-02/); briefing per-stock/BSL.DE/context-2026-08-02.md</t>
        </is>
      </c>
      <c r="F2781" s="33" t="inlineStr">
        <is>
          <t>per-stock/BSL.DE/context-2026-08-02.md</t>
        </is>
      </c>
      <c r="G2781" s="33" t="inlineStr">
        <is>
          <t>Medium</t>
        </is>
      </c>
      <c r="H2781" s="33" t="inlineStr">
        <is>
          <t>Initial</t>
        </is>
      </c>
    </row>
    <row r="2782">
      <c r="A2782" s="33" t="inlineStr">
        <is>
          <t>2026-08-02</t>
        </is>
      </c>
      <c r="B2782" s="33" t="inlineStr">
        <is>
          <t>BSL.DE</t>
        </is>
      </c>
      <c r="C2782" s="33" t="inlineStr">
        <is>
          <t>R1</t>
        </is>
      </c>
      <c r="D2782" s="33" t="n">
        <v>5</v>
      </c>
      <c r="E2782" s="33" t="inlineStr">
        <is>
          <t>Initial L11-batch rating per agent6 proposal (rationale+source in 11-robotics/research/rating-proposals-2026-08-02/); briefing per-stock/BSL.DE/context-2026-08-02.md</t>
        </is>
      </c>
      <c r="F2782" s="33" t="inlineStr">
        <is>
          <t>per-stock/BSL.DE/context-2026-08-02.md</t>
        </is>
      </c>
      <c r="G2782" s="33" t="inlineStr">
        <is>
          <t>Medium</t>
        </is>
      </c>
      <c r="H2782" s="33" t="inlineStr">
        <is>
          <t>Initial</t>
        </is>
      </c>
    </row>
    <row r="2783">
      <c r="A2783" s="33" t="inlineStr">
        <is>
          <t>2026-08-02</t>
        </is>
      </c>
      <c r="B2783" s="33" t="inlineStr">
        <is>
          <t>BSL.DE</t>
        </is>
      </c>
      <c r="C2783" s="33" t="inlineStr">
        <is>
          <t>R2</t>
        </is>
      </c>
      <c r="D2783" s="33" t="n">
        <v>3</v>
      </c>
      <c r="E2783" s="33" t="inlineStr">
        <is>
          <t>Initial L11-batch rating per agent6 proposal (rationale+source in 11-robotics/research/rating-proposals-2026-08-02/); briefing per-stock/BSL.DE/context-2026-08-02.md</t>
        </is>
      </c>
      <c r="F2783" s="33" t="inlineStr">
        <is>
          <t>per-stock/BSL.DE/context-2026-08-02.md</t>
        </is>
      </c>
      <c r="G2783" s="33" t="inlineStr">
        <is>
          <t>Medium</t>
        </is>
      </c>
      <c r="H2783" s="33" t="inlineStr">
        <is>
          <t>Initial</t>
        </is>
      </c>
    </row>
    <row r="2784">
      <c r="A2784" s="33" t="inlineStr">
        <is>
          <t>2026-08-02</t>
        </is>
      </c>
      <c r="B2784" s="33" t="inlineStr">
        <is>
          <t>BSL.DE</t>
        </is>
      </c>
      <c r="C2784" s="33" t="inlineStr">
        <is>
          <t>R3</t>
        </is>
      </c>
      <c r="D2784" s="33" t="n">
        <v>4</v>
      </c>
      <c r="E2784" s="33" t="inlineStr">
        <is>
          <t>Initial L11-batch rating per agent6 proposal (rationale+source in 11-robotics/research/rating-proposals-2026-08-02/); briefing per-stock/BSL.DE/context-2026-08-02.md</t>
        </is>
      </c>
      <c r="F2784" s="33" t="inlineStr">
        <is>
          <t>per-stock/BSL.DE/context-2026-08-02.md</t>
        </is>
      </c>
      <c r="G2784" s="33" t="inlineStr">
        <is>
          <t>Medium</t>
        </is>
      </c>
      <c r="H2784" s="33" t="inlineStr">
        <is>
          <t>Initial</t>
        </is>
      </c>
    </row>
    <row r="2785">
      <c r="A2785" s="33" t="inlineStr">
        <is>
          <t>2026-08-02</t>
        </is>
      </c>
      <c r="B2785" s="33" t="inlineStr">
        <is>
          <t>BSL.DE</t>
        </is>
      </c>
      <c r="C2785" s="33" t="inlineStr">
        <is>
          <t>R4</t>
        </is>
      </c>
      <c r="D2785" s="33" t="n">
        <v>5</v>
      </c>
      <c r="E2785" s="33" t="inlineStr">
        <is>
          <t>Initial L11-batch rating per agent6 proposal (rationale+source in 11-robotics/research/rating-proposals-2026-08-02/); briefing per-stock/BSL.DE/context-2026-08-02.md</t>
        </is>
      </c>
      <c r="F2785" s="33" t="inlineStr">
        <is>
          <t>per-stock/BSL.DE/context-2026-08-02.md</t>
        </is>
      </c>
      <c r="G2785" s="33" t="inlineStr">
        <is>
          <t>Medium</t>
        </is>
      </c>
      <c r="H2785" s="33" t="inlineStr">
        <is>
          <t>Initial</t>
        </is>
      </c>
    </row>
    <row r="2786">
      <c r="A2786" s="33" t="inlineStr">
        <is>
          <t>2026-08-02</t>
        </is>
      </c>
      <c r="B2786" s="33" t="inlineStr">
        <is>
          <t>BSL.DE</t>
        </is>
      </c>
      <c r="C2786" s="33" t="inlineStr">
        <is>
          <t>R5</t>
        </is>
      </c>
      <c r="D2786" s="33" t="n">
        <v>5</v>
      </c>
      <c r="E2786" s="33" t="inlineStr">
        <is>
          <t>Initial L11-batch rating per agent6 proposal (rationale+source in 11-robotics/research/rating-proposals-2026-08-02/); briefing per-stock/BSL.DE/context-2026-08-02.md</t>
        </is>
      </c>
      <c r="F2786" s="33" t="inlineStr">
        <is>
          <t>per-stock/BSL.DE/context-2026-08-02.md</t>
        </is>
      </c>
      <c r="G2786" s="33" t="inlineStr">
        <is>
          <t>Medium</t>
        </is>
      </c>
      <c r="H2786" s="33" t="inlineStr">
        <is>
          <t>Initial</t>
        </is>
      </c>
    </row>
    <row r="2787">
      <c r="A2787" s="33" t="inlineStr">
        <is>
          <t>2026-08-02</t>
        </is>
      </c>
      <c r="B2787" s="33" t="inlineStr">
        <is>
          <t>HSAI</t>
        </is>
      </c>
      <c r="C2787" s="33" t="inlineStr">
        <is>
          <t>D1</t>
        </is>
      </c>
      <c r="D2787" s="33" t="n">
        <v>4</v>
      </c>
      <c r="E2787" s="33" t="inlineStr">
        <is>
          <t>Initial L11-batch rating per agent7 proposal (rationale+source in 11-robotics/research/rating-proposals-2026-08-02/); briefing per-stock/HSAI/context-2026-08-02.md</t>
        </is>
      </c>
      <c r="F2787" s="33" t="inlineStr">
        <is>
          <t>per-stock/HSAI/context-2026-08-02.md</t>
        </is>
      </c>
      <c r="G2787" s="33" t="inlineStr">
        <is>
          <t>Medium</t>
        </is>
      </c>
      <c r="H2787" s="33" t="inlineStr">
        <is>
          <t>Initial</t>
        </is>
      </c>
    </row>
    <row r="2788">
      <c r="A2788" s="33" t="inlineStr">
        <is>
          <t>2026-08-02</t>
        </is>
      </c>
      <c r="B2788" s="33" t="inlineStr">
        <is>
          <t>HSAI</t>
        </is>
      </c>
      <c r="C2788" s="33" t="inlineStr">
        <is>
          <t>D2</t>
        </is>
      </c>
      <c r="D2788" s="33" t="n">
        <v>3</v>
      </c>
      <c r="E2788" s="33" t="inlineStr">
        <is>
          <t>Initial L11-batch rating per agent7 proposal (rationale+source in 11-robotics/research/rating-proposals-2026-08-02/); briefing per-stock/HSAI/context-2026-08-02.md</t>
        </is>
      </c>
      <c r="F2788" s="33" t="inlineStr">
        <is>
          <t>per-stock/HSAI/context-2026-08-02.md</t>
        </is>
      </c>
      <c r="G2788" s="33" t="inlineStr">
        <is>
          <t>Medium</t>
        </is>
      </c>
      <c r="H2788" s="33" t="inlineStr">
        <is>
          <t>Initial</t>
        </is>
      </c>
    </row>
    <row r="2789">
      <c r="A2789" s="33" t="inlineStr">
        <is>
          <t>2026-08-02</t>
        </is>
      </c>
      <c r="B2789" s="33" t="inlineStr">
        <is>
          <t>HSAI</t>
        </is>
      </c>
      <c r="C2789" s="33" t="inlineStr">
        <is>
          <t>D3</t>
        </is>
      </c>
      <c r="D2789" s="33" t="n">
        <v>3</v>
      </c>
      <c r="E2789" s="33" t="inlineStr">
        <is>
          <t>Initial L11-batch rating per agent7 proposal (rationale+source in 11-robotics/research/rating-proposals-2026-08-02/); briefing per-stock/HSAI/context-2026-08-02.md</t>
        </is>
      </c>
      <c r="F2789" s="33" t="inlineStr">
        <is>
          <t>per-stock/HSAI/context-2026-08-02.md</t>
        </is>
      </c>
      <c r="G2789" s="33" t="inlineStr">
        <is>
          <t>Medium</t>
        </is>
      </c>
      <c r="H2789" s="33" t="inlineStr">
        <is>
          <t>Initial</t>
        </is>
      </c>
    </row>
    <row r="2790">
      <c r="A2790" s="33" t="inlineStr">
        <is>
          <t>2026-08-02</t>
        </is>
      </c>
      <c r="B2790" s="33" t="inlineStr">
        <is>
          <t>HSAI</t>
        </is>
      </c>
      <c r="C2790" s="33" t="inlineStr">
        <is>
          <t>D4</t>
        </is>
      </c>
      <c r="D2790" s="33" t="n">
        <v>5</v>
      </c>
      <c r="E2790" s="33" t="inlineStr">
        <is>
          <t>Initial L11-batch rating per agent7 proposal (rationale+source in 11-robotics/research/rating-proposals-2026-08-02/); briefing per-stock/HSAI/context-2026-08-02.md</t>
        </is>
      </c>
      <c r="F2790" s="33" t="inlineStr">
        <is>
          <t>per-stock/HSAI/context-2026-08-02.md</t>
        </is>
      </c>
      <c r="G2790" s="33" t="inlineStr">
        <is>
          <t>Medium</t>
        </is>
      </c>
      <c r="H2790" s="33" t="inlineStr">
        <is>
          <t>Initial</t>
        </is>
      </c>
    </row>
    <row r="2791">
      <c r="A2791" s="33" t="inlineStr">
        <is>
          <t>2026-08-02</t>
        </is>
      </c>
      <c r="B2791" s="33" t="inlineStr">
        <is>
          <t>HSAI</t>
        </is>
      </c>
      <c r="C2791" s="33" t="inlineStr">
        <is>
          <t>D5</t>
        </is>
      </c>
      <c r="D2791" s="33" t="n">
        <v>4</v>
      </c>
      <c r="E2791" s="33" t="inlineStr">
        <is>
          <t>Initial L11-batch rating per agent7 proposal (rationale+source in 11-robotics/research/rating-proposals-2026-08-02/); briefing per-stock/HSAI/context-2026-08-02.md</t>
        </is>
      </c>
      <c r="F2791" s="33" t="inlineStr">
        <is>
          <t>per-stock/HSAI/context-2026-08-02.md</t>
        </is>
      </c>
      <c r="G2791" s="33" t="inlineStr">
        <is>
          <t>Medium</t>
        </is>
      </c>
      <c r="H2791" s="33" t="inlineStr">
        <is>
          <t>Initial</t>
        </is>
      </c>
    </row>
    <row r="2792">
      <c r="A2792" s="33" t="inlineStr">
        <is>
          <t>2026-08-02</t>
        </is>
      </c>
      <c r="B2792" s="33" t="inlineStr">
        <is>
          <t>HSAI</t>
        </is>
      </c>
      <c r="C2792" s="33" t="inlineStr">
        <is>
          <t>M1</t>
        </is>
      </c>
      <c r="D2792" s="33" t="n">
        <v>3</v>
      </c>
      <c r="E2792" s="33" t="inlineStr">
        <is>
          <t>Initial L11-batch rating per agent7 proposal (rationale+source in 11-robotics/research/rating-proposals-2026-08-02/); briefing per-stock/HSAI/context-2026-08-02.md</t>
        </is>
      </c>
      <c r="F2792" s="33" t="inlineStr">
        <is>
          <t>per-stock/HSAI/context-2026-08-02.md</t>
        </is>
      </c>
      <c r="G2792" s="33" t="inlineStr">
        <is>
          <t>Medium</t>
        </is>
      </c>
      <c r="H2792" s="33" t="inlineStr">
        <is>
          <t>Initial</t>
        </is>
      </c>
    </row>
    <row r="2793">
      <c r="A2793" s="33" t="inlineStr">
        <is>
          <t>2026-08-02</t>
        </is>
      </c>
      <c r="B2793" s="33" t="inlineStr">
        <is>
          <t>HSAI</t>
        </is>
      </c>
      <c r="C2793" s="33" t="inlineStr">
        <is>
          <t>M2</t>
        </is>
      </c>
      <c r="D2793" s="33" t="n">
        <v>1</v>
      </c>
      <c r="E2793" s="33" t="inlineStr">
        <is>
          <t>Initial L11-batch rating per agent7 proposal (rationale+source in 11-robotics/research/rating-proposals-2026-08-02/); briefing per-stock/HSAI/context-2026-08-02.md</t>
        </is>
      </c>
      <c r="F2793" s="33" t="inlineStr">
        <is>
          <t>per-stock/HSAI/context-2026-08-02.md</t>
        </is>
      </c>
      <c r="G2793" s="33" t="inlineStr">
        <is>
          <t>Medium</t>
        </is>
      </c>
      <c r="H2793" s="33" t="inlineStr">
        <is>
          <t>Initial</t>
        </is>
      </c>
    </row>
    <row r="2794">
      <c r="A2794" s="33" t="inlineStr">
        <is>
          <t>2026-08-02</t>
        </is>
      </c>
      <c r="B2794" s="33" t="inlineStr">
        <is>
          <t>HSAI</t>
        </is>
      </c>
      <c r="C2794" s="33" t="inlineStr">
        <is>
          <t>M3</t>
        </is>
      </c>
      <c r="D2794" s="33" t="n">
        <v>3</v>
      </c>
      <c r="E2794" s="33" t="inlineStr">
        <is>
          <t>Initial L11-batch rating per agent7 proposal (rationale+source in 11-robotics/research/rating-proposals-2026-08-02/); briefing per-stock/HSAI/context-2026-08-02.md</t>
        </is>
      </c>
      <c r="F2794" s="33" t="inlineStr">
        <is>
          <t>per-stock/HSAI/context-2026-08-02.md</t>
        </is>
      </c>
      <c r="G2794" s="33" t="inlineStr">
        <is>
          <t>Medium</t>
        </is>
      </c>
      <c r="H2794" s="33" t="inlineStr">
        <is>
          <t>Initial</t>
        </is>
      </c>
    </row>
    <row r="2795">
      <c r="A2795" s="33" t="inlineStr">
        <is>
          <t>2026-08-02</t>
        </is>
      </c>
      <c r="B2795" s="33" t="inlineStr">
        <is>
          <t>HSAI</t>
        </is>
      </c>
      <c r="C2795" s="33" t="inlineStr">
        <is>
          <t>R1</t>
        </is>
      </c>
      <c r="D2795" s="33" t="n">
        <v>4</v>
      </c>
      <c r="E2795" s="33" t="inlineStr">
        <is>
          <t>Initial L11-batch rating per agent7 proposal (rationale+source in 11-robotics/research/rating-proposals-2026-08-02/); briefing per-stock/HSAI/context-2026-08-02.md</t>
        </is>
      </c>
      <c r="F2795" s="33" t="inlineStr">
        <is>
          <t>per-stock/HSAI/context-2026-08-02.md</t>
        </is>
      </c>
      <c r="G2795" s="33" t="inlineStr">
        <is>
          <t>Medium</t>
        </is>
      </c>
      <c r="H2795" s="33" t="inlineStr">
        <is>
          <t>Initial</t>
        </is>
      </c>
    </row>
    <row r="2796">
      <c r="A2796" s="33" t="inlineStr">
        <is>
          <t>2026-08-02</t>
        </is>
      </c>
      <c r="B2796" s="33" t="inlineStr">
        <is>
          <t>HSAI</t>
        </is>
      </c>
      <c r="C2796" s="33" t="inlineStr">
        <is>
          <t>R2</t>
        </is>
      </c>
      <c r="D2796" s="33" t="n">
        <v>2</v>
      </c>
      <c r="E2796" s="33" t="inlineStr">
        <is>
          <t>DoD 1260H listing + contracting ban effective 6/30/26 (live policy impairment); 91.8% of long-lived assets in China; intl revenue already 47.2%-&gt;22.2%. NO VIE (20-F verified - roster corrected).</t>
        </is>
      </c>
      <c r="F2796" s="33" t="inlineStr">
        <is>
          <t>per-stock/HSAI/context-2026-08-02.md</t>
        </is>
      </c>
      <c r="G2796" s="33" t="inlineStr">
        <is>
          <t>Medium</t>
        </is>
      </c>
      <c r="H2796" s="33" t="inlineStr">
        <is>
          <t>Initial</t>
        </is>
      </c>
    </row>
    <row r="2797">
      <c r="A2797" s="33" t="inlineStr">
        <is>
          <t>2026-08-02</t>
        </is>
      </c>
      <c r="B2797" s="33" t="inlineStr">
        <is>
          <t>HSAI</t>
        </is>
      </c>
      <c r="C2797" s="33" t="inlineStr">
        <is>
          <t>R3</t>
        </is>
      </c>
      <c r="D2797" s="33" t="n">
        <v>5</v>
      </c>
      <c r="E2797" s="33" t="inlineStr">
        <is>
          <t>Initial L11-batch rating per agent7 proposal (rationale+source in 11-robotics/research/rating-proposals-2026-08-02/); briefing per-stock/HSAI/context-2026-08-02.md</t>
        </is>
      </c>
      <c r="F2797" s="33" t="inlineStr">
        <is>
          <t>per-stock/HSAI/context-2026-08-02.md</t>
        </is>
      </c>
      <c r="G2797" s="33" t="inlineStr">
        <is>
          <t>Medium</t>
        </is>
      </c>
      <c r="H2797" s="33" t="inlineStr">
        <is>
          <t>Initial</t>
        </is>
      </c>
    </row>
    <row r="2798">
      <c r="A2798" s="33" t="inlineStr">
        <is>
          <t>2026-08-02</t>
        </is>
      </c>
      <c r="B2798" s="33" t="inlineStr">
        <is>
          <t>HSAI</t>
        </is>
      </c>
      <c r="C2798" s="33" t="inlineStr">
        <is>
          <t>R4</t>
        </is>
      </c>
      <c r="D2798" s="33" t="n">
        <v>2</v>
      </c>
      <c r="E2798" s="33" t="inlineStr">
        <is>
          <t>Initial L11-batch rating per agent7 proposal (rationale+source in 11-robotics/research/rating-proposals-2026-08-02/); briefing per-stock/HSAI/context-2026-08-02.md</t>
        </is>
      </c>
      <c r="F2798" s="33" t="inlineStr">
        <is>
          <t>per-stock/HSAI/context-2026-08-02.md</t>
        </is>
      </c>
      <c r="G2798" s="33" t="inlineStr">
        <is>
          <t>Medium</t>
        </is>
      </c>
      <c r="H2798" s="33" t="inlineStr">
        <is>
          <t>Initial</t>
        </is>
      </c>
    </row>
    <row r="2799">
      <c r="A2799" s="33" t="inlineStr">
        <is>
          <t>2026-08-02</t>
        </is>
      </c>
      <c r="B2799" s="33" t="inlineStr">
        <is>
          <t>HSAI</t>
        </is>
      </c>
      <c r="C2799" s="33" t="inlineStr">
        <is>
          <t>R5</t>
        </is>
      </c>
      <c r="D2799" s="33" t="n">
        <v>5</v>
      </c>
      <c r="E2799" s="33" t="inlineStr">
        <is>
          <t>Initial L11-batch rating per agent7 proposal (rationale+source in 11-robotics/research/rating-proposals-2026-08-02/); briefing per-stock/HSAI/context-2026-08-02.md</t>
        </is>
      </c>
      <c r="F2799" s="33" t="inlineStr">
        <is>
          <t>per-stock/HSAI/context-2026-08-02.md</t>
        </is>
      </c>
      <c r="G2799" s="33" t="inlineStr">
        <is>
          <t>Medium</t>
        </is>
      </c>
      <c r="H2799" s="33" t="inlineStr">
        <is>
          <t>Initial</t>
        </is>
      </c>
    </row>
    <row r="2800">
      <c r="A2800" s="33" t="inlineStr">
        <is>
          <t>2026-08-02</t>
        </is>
      </c>
      <c r="B2800" s="33" t="inlineStr">
        <is>
          <t>2498.HK</t>
        </is>
      </c>
      <c r="C2800" s="33" t="inlineStr">
        <is>
          <t>D1</t>
        </is>
      </c>
      <c r="D2800" s="33" t="n">
        <v>4</v>
      </c>
      <c r="E2800" s="33" t="inlineStr">
        <is>
          <t>Initial L11-batch rating per agent7 proposal (rationale+source in 11-robotics/research/rating-proposals-2026-08-02/); briefing per-stock/2498.HK/context-2026-08-02.md</t>
        </is>
      </c>
      <c r="F2800" s="33" t="inlineStr">
        <is>
          <t>per-stock/2498.HK/context-2026-08-02.md</t>
        </is>
      </c>
      <c r="G2800" s="33" t="inlineStr">
        <is>
          <t>Medium</t>
        </is>
      </c>
      <c r="H2800" s="33" t="inlineStr">
        <is>
          <t>Initial</t>
        </is>
      </c>
    </row>
    <row r="2801">
      <c r="A2801" s="33" t="inlineStr">
        <is>
          <t>2026-08-02</t>
        </is>
      </c>
      <c r="B2801" s="33" t="inlineStr">
        <is>
          <t>2498.HK</t>
        </is>
      </c>
      <c r="C2801" s="33" t="inlineStr">
        <is>
          <t>D2</t>
        </is>
      </c>
      <c r="D2801" s="33" t="n">
        <v>2</v>
      </c>
      <c r="E2801" s="33" t="inlineStr">
        <is>
          <t>Initial L11-batch rating per agent7 proposal (rationale+source in 11-robotics/research/rating-proposals-2026-08-02/); briefing per-stock/2498.HK/context-2026-08-02.md</t>
        </is>
      </c>
      <c r="F2801" s="33" t="inlineStr">
        <is>
          <t>per-stock/2498.HK/context-2026-08-02.md</t>
        </is>
      </c>
      <c r="G2801" s="33" t="inlineStr">
        <is>
          <t>Medium</t>
        </is>
      </c>
      <c r="H2801" s="33" t="inlineStr">
        <is>
          <t>Initial</t>
        </is>
      </c>
    </row>
    <row r="2802">
      <c r="A2802" s="33" t="inlineStr">
        <is>
          <t>2026-08-02</t>
        </is>
      </c>
      <c r="B2802" s="33" t="inlineStr">
        <is>
          <t>2498.HK</t>
        </is>
      </c>
      <c r="C2802" s="33" t="inlineStr">
        <is>
          <t>D3</t>
        </is>
      </c>
      <c r="D2802" s="33" t="n">
        <v>2</v>
      </c>
      <c r="E2802" s="33" t="inlineStr">
        <is>
          <t>Initial L11-batch rating per agent7 proposal (rationale+source in 11-robotics/research/rating-proposals-2026-08-02/); briefing per-stock/2498.HK/context-2026-08-02.md</t>
        </is>
      </c>
      <c r="F2802" s="33" t="inlineStr">
        <is>
          <t>per-stock/2498.HK/context-2026-08-02.md</t>
        </is>
      </c>
      <c r="G2802" s="33" t="inlineStr">
        <is>
          <t>Medium</t>
        </is>
      </c>
      <c r="H2802" s="33" t="inlineStr">
        <is>
          <t>Initial</t>
        </is>
      </c>
    </row>
    <row r="2803">
      <c r="A2803" s="33" t="inlineStr">
        <is>
          <t>2026-08-02</t>
        </is>
      </c>
      <c r="B2803" s="33" t="inlineStr">
        <is>
          <t>2498.HK</t>
        </is>
      </c>
      <c r="C2803" s="33" t="inlineStr">
        <is>
          <t>D4</t>
        </is>
      </c>
      <c r="D2803" s="33" t="n">
        <v>4</v>
      </c>
      <c r="E2803" s="33" t="inlineStr">
        <is>
          <t>Initial L11-batch rating per agent7 proposal (rationale+source in 11-robotics/research/rating-proposals-2026-08-02/); briefing per-stock/2498.HK/context-2026-08-02.md</t>
        </is>
      </c>
      <c r="F2803" s="33" t="inlineStr">
        <is>
          <t>per-stock/2498.HK/context-2026-08-02.md</t>
        </is>
      </c>
      <c r="G2803" s="33" t="inlineStr">
        <is>
          <t>Medium</t>
        </is>
      </c>
      <c r="H2803" s="33" t="inlineStr">
        <is>
          <t>Initial</t>
        </is>
      </c>
    </row>
    <row r="2804">
      <c r="A2804" s="33" t="inlineStr">
        <is>
          <t>2026-08-02</t>
        </is>
      </c>
      <c r="B2804" s="33" t="inlineStr">
        <is>
          <t>2498.HK</t>
        </is>
      </c>
      <c r="C2804" s="33" t="inlineStr">
        <is>
          <t>D5</t>
        </is>
      </c>
      <c r="D2804" s="33" t="n">
        <v>5</v>
      </c>
      <c r="E2804" s="33" t="inlineStr">
        <is>
          <t>Initial L11-batch rating per agent7 proposal (rationale+source in 11-robotics/research/rating-proposals-2026-08-02/); briefing per-stock/2498.HK/context-2026-08-02.md</t>
        </is>
      </c>
      <c r="F2804" s="33" t="inlineStr">
        <is>
          <t>per-stock/2498.HK/context-2026-08-02.md</t>
        </is>
      </c>
      <c r="G2804" s="33" t="inlineStr">
        <is>
          <t>Medium</t>
        </is>
      </c>
      <c r="H2804" s="33" t="inlineStr">
        <is>
          <t>Initial</t>
        </is>
      </c>
    </row>
    <row r="2805">
      <c r="A2805" s="33" t="inlineStr">
        <is>
          <t>2026-08-02</t>
        </is>
      </c>
      <c r="B2805" s="33" t="inlineStr">
        <is>
          <t>2498.HK</t>
        </is>
      </c>
      <c r="C2805" s="33" t="inlineStr">
        <is>
          <t>M1</t>
        </is>
      </c>
      <c r="D2805" s="33" t="n">
        <v>3</v>
      </c>
      <c r="E2805" s="33" t="inlineStr">
        <is>
          <t>Initial L11-batch rating per agent7 proposal (rationale+source in 11-robotics/research/rating-proposals-2026-08-02/); briefing per-stock/2498.HK/context-2026-08-02.md</t>
        </is>
      </c>
      <c r="F2805" s="33" t="inlineStr">
        <is>
          <t>per-stock/2498.HK/context-2026-08-02.md</t>
        </is>
      </c>
      <c r="G2805" s="33" t="inlineStr">
        <is>
          <t>Medium</t>
        </is>
      </c>
      <c r="H2805" s="33" t="inlineStr">
        <is>
          <t>Initial</t>
        </is>
      </c>
    </row>
    <row r="2806">
      <c r="A2806" s="33" t="inlineStr">
        <is>
          <t>2026-08-02</t>
        </is>
      </c>
      <c r="B2806" s="33" t="inlineStr">
        <is>
          <t>2498.HK</t>
        </is>
      </c>
      <c r="C2806" s="33" t="inlineStr">
        <is>
          <t>M2</t>
        </is>
      </c>
      <c r="D2806" s="33" t="n">
        <v>1</v>
      </c>
      <c r="E2806" s="33" t="inlineStr">
        <is>
          <t>Initial L11-batch rating per agent7 proposal (rationale+source in 11-robotics/research/rating-proposals-2026-08-02/); briefing per-stock/2498.HK/context-2026-08-02.md</t>
        </is>
      </c>
      <c r="F2806" s="33" t="inlineStr">
        <is>
          <t>per-stock/2498.HK/context-2026-08-02.md</t>
        </is>
      </c>
      <c r="G2806" s="33" t="inlineStr">
        <is>
          <t>Medium</t>
        </is>
      </c>
      <c r="H2806" s="33" t="inlineStr">
        <is>
          <t>Initial</t>
        </is>
      </c>
    </row>
    <row r="2807">
      <c r="A2807" s="33" t="inlineStr">
        <is>
          <t>2026-08-02</t>
        </is>
      </c>
      <c r="B2807" s="33" t="inlineStr">
        <is>
          <t>2498.HK</t>
        </is>
      </c>
      <c r="C2807" s="33" t="inlineStr">
        <is>
          <t>M3</t>
        </is>
      </c>
      <c r="D2807" s="33" t="n">
        <v>3</v>
      </c>
      <c r="E2807" s="33" t="inlineStr">
        <is>
          <t>Initial L11-batch rating per agent7 proposal (rationale+source in 11-robotics/research/rating-proposals-2026-08-02/); briefing per-stock/2498.HK/context-2026-08-02.md</t>
        </is>
      </c>
      <c r="F2807" s="33" t="inlineStr">
        <is>
          <t>per-stock/2498.HK/context-2026-08-02.md</t>
        </is>
      </c>
      <c r="G2807" s="33" t="inlineStr">
        <is>
          <t>Medium</t>
        </is>
      </c>
      <c r="H2807" s="33" t="inlineStr">
        <is>
          <t>Initial</t>
        </is>
      </c>
    </row>
    <row r="2808">
      <c r="A2808" s="33" t="inlineStr">
        <is>
          <t>2026-08-02</t>
        </is>
      </c>
      <c r="B2808" s="33" t="inlineStr">
        <is>
          <t>2498.HK</t>
        </is>
      </c>
      <c r="C2808" s="33" t="inlineStr">
        <is>
          <t>R1</t>
        </is>
      </c>
      <c r="D2808" s="33" t="n">
        <v>3</v>
      </c>
      <c r="E2808" s="33" t="inlineStr">
        <is>
          <t>Initial L11-batch rating per agent7 proposal (rationale+source in 11-robotics/research/rating-proposals-2026-08-02/); briefing per-stock/2498.HK/context-2026-08-02.md</t>
        </is>
      </c>
      <c r="F2808" s="33" t="inlineStr">
        <is>
          <t>per-stock/2498.HK/context-2026-08-02.md</t>
        </is>
      </c>
      <c r="G2808" s="33" t="inlineStr">
        <is>
          <t>Medium</t>
        </is>
      </c>
      <c r="H2808" s="33" t="inlineStr">
        <is>
          <t>Initial</t>
        </is>
      </c>
    </row>
    <row r="2809">
      <c r="A2809" s="33" t="inlineStr">
        <is>
          <t>2026-08-02</t>
        </is>
      </c>
      <c r="B2809" s="33" t="inlineStr">
        <is>
          <t>2498.HK</t>
        </is>
      </c>
      <c r="C2809" s="33" t="inlineStr">
        <is>
          <t>R2</t>
        </is>
      </c>
      <c r="D2809" s="33" t="n">
        <v>2</v>
      </c>
      <c r="E2809" s="33" t="inlineStr">
        <is>
          <t>Initial L11-batch rating per agent7 proposal (rationale+source in 11-robotics/research/rating-proposals-2026-08-02/); briefing per-stock/2498.HK/context-2026-08-02.md</t>
        </is>
      </c>
      <c r="F2809" s="33" t="inlineStr">
        <is>
          <t>per-stock/2498.HK/context-2026-08-02.md</t>
        </is>
      </c>
      <c r="G2809" s="33" t="inlineStr">
        <is>
          <t>Medium</t>
        </is>
      </c>
      <c r="H2809" s="33" t="inlineStr">
        <is>
          <t>Initial</t>
        </is>
      </c>
    </row>
    <row r="2810">
      <c r="A2810" s="33" t="inlineStr">
        <is>
          <t>2026-08-02</t>
        </is>
      </c>
      <c r="B2810" s="33" t="inlineStr">
        <is>
          <t>2498.HK</t>
        </is>
      </c>
      <c r="C2810" s="33" t="inlineStr">
        <is>
          <t>R3</t>
        </is>
      </c>
      <c r="D2810" s="33" t="n">
        <v>4</v>
      </c>
      <c r="E2810" s="33" t="inlineStr">
        <is>
          <t>Initial L11-batch rating per agent7 proposal (rationale+source in 11-robotics/research/rating-proposals-2026-08-02/); briefing per-stock/2498.HK/context-2026-08-02.md</t>
        </is>
      </c>
      <c r="F2810" s="33" t="inlineStr">
        <is>
          <t>per-stock/2498.HK/context-2026-08-02.md</t>
        </is>
      </c>
      <c r="G2810" s="33" t="inlineStr">
        <is>
          <t>Medium</t>
        </is>
      </c>
      <c r="H2810" s="33" t="inlineStr">
        <is>
          <t>Initial</t>
        </is>
      </c>
    </row>
    <row r="2811">
      <c r="A2811" s="33" t="inlineStr">
        <is>
          <t>2026-08-02</t>
        </is>
      </c>
      <c r="B2811" s="33" t="inlineStr">
        <is>
          <t>2498.HK</t>
        </is>
      </c>
      <c r="C2811" s="33" t="inlineStr">
        <is>
          <t>R4</t>
        </is>
      </c>
      <c r="D2811" s="33" t="n">
        <v>3</v>
      </c>
      <c r="E2811" s="33" t="inlineStr">
        <is>
          <t>Initial L11-batch rating per agent7 proposal (rationale+source in 11-robotics/research/rating-proposals-2026-08-02/); briefing per-stock/2498.HK/context-2026-08-02.md</t>
        </is>
      </c>
      <c r="F2811" s="33" t="inlineStr">
        <is>
          <t>per-stock/2498.HK/context-2026-08-02.md</t>
        </is>
      </c>
      <c r="G2811" s="33" t="inlineStr">
        <is>
          <t>Medium</t>
        </is>
      </c>
      <c r="H2811" s="33" t="inlineStr">
        <is>
          <t>Initial</t>
        </is>
      </c>
    </row>
    <row r="2812">
      <c r="A2812" s="33" t="inlineStr">
        <is>
          <t>2026-08-02</t>
        </is>
      </c>
      <c r="B2812" s="33" t="inlineStr">
        <is>
          <t>2498.HK</t>
        </is>
      </c>
      <c r="C2812" s="33" t="inlineStr">
        <is>
          <t>R5</t>
        </is>
      </c>
      <c r="D2812" s="33" t="n">
        <v>5</v>
      </c>
      <c r="E2812" s="33" t="inlineStr">
        <is>
          <t>Initial L11-batch rating per agent7 proposal (rationale+source in 11-robotics/research/rating-proposals-2026-08-02/); briefing per-stock/2498.HK/context-2026-08-02.md</t>
        </is>
      </c>
      <c r="F2812" s="33" t="inlineStr">
        <is>
          <t>per-stock/2498.HK/context-2026-08-02.md</t>
        </is>
      </c>
      <c r="G2812" s="33" t="inlineStr">
        <is>
          <t>Medium</t>
        </is>
      </c>
      <c r="H2812" s="33" t="inlineStr">
        <is>
          <t>Initial</t>
        </is>
      </c>
    </row>
    <row r="2813">
      <c r="A2813" s="33" t="inlineStr">
        <is>
          <t>2026-08-02</t>
        </is>
      </c>
      <c r="B2813" s="33" t="inlineStr">
        <is>
          <t>MBLY</t>
        </is>
      </c>
      <c r="C2813" s="33" t="inlineStr">
        <is>
          <t>D1</t>
        </is>
      </c>
      <c r="D2813" s="33" t="n">
        <v>5</v>
      </c>
      <c r="E2813" s="33" t="inlineStr">
        <is>
          <t>Initial L11-batch rating per agent7 proposal (rationale+source in 11-robotics/research/rating-proposals-2026-08-02/); briefing per-stock/MBLY/context-2026-08-02.md</t>
        </is>
      </c>
      <c r="F2813" s="33" t="inlineStr">
        <is>
          <t>per-stock/MBLY/context-2026-08-02.md</t>
        </is>
      </c>
      <c r="G2813" s="33" t="inlineStr">
        <is>
          <t>Medium</t>
        </is>
      </c>
      <c r="H2813" s="33" t="inlineStr">
        <is>
          <t>Initial</t>
        </is>
      </c>
    </row>
    <row r="2814">
      <c r="A2814" s="33" t="inlineStr">
        <is>
          <t>2026-08-02</t>
        </is>
      </c>
      <c r="B2814" s="33" t="inlineStr">
        <is>
          <t>MBLY</t>
        </is>
      </c>
      <c r="C2814" s="33" t="inlineStr">
        <is>
          <t>D2</t>
        </is>
      </c>
      <c r="D2814" s="33" t="n">
        <v>3</v>
      </c>
      <c r="E2814" s="33" t="inlineStr">
        <is>
          <t>Initial L11-batch rating per agent7 proposal (rationale+source in 11-robotics/research/rating-proposals-2026-08-02/); briefing per-stock/MBLY/context-2026-08-02.md</t>
        </is>
      </c>
      <c r="F2814" s="33" t="inlineStr">
        <is>
          <t>per-stock/MBLY/context-2026-08-02.md</t>
        </is>
      </c>
      <c r="G2814" s="33" t="inlineStr">
        <is>
          <t>Medium</t>
        </is>
      </c>
      <c r="H2814" s="33" t="inlineStr">
        <is>
          <t>Initial</t>
        </is>
      </c>
    </row>
    <row r="2815">
      <c r="A2815" s="33" t="inlineStr">
        <is>
          <t>2026-08-02</t>
        </is>
      </c>
      <c r="B2815" s="33" t="inlineStr">
        <is>
          <t>MBLY</t>
        </is>
      </c>
      <c r="C2815" s="33" t="inlineStr">
        <is>
          <t>D3</t>
        </is>
      </c>
      <c r="D2815" s="33" t="n">
        <v>3</v>
      </c>
      <c r="E2815" s="33" t="inlineStr">
        <is>
          <t>Initial L11-batch rating per agent7 proposal (rationale+source in 11-robotics/research/rating-proposals-2026-08-02/); briefing per-stock/MBLY/context-2026-08-02.md</t>
        </is>
      </c>
      <c r="F2815" s="33" t="inlineStr">
        <is>
          <t>per-stock/MBLY/context-2026-08-02.md</t>
        </is>
      </c>
      <c r="G2815" s="33" t="inlineStr">
        <is>
          <t>Medium</t>
        </is>
      </c>
      <c r="H2815" s="33" t="inlineStr">
        <is>
          <t>Initial</t>
        </is>
      </c>
    </row>
    <row r="2816">
      <c r="A2816" s="33" t="inlineStr">
        <is>
          <t>2026-08-02</t>
        </is>
      </c>
      <c r="B2816" s="33" t="inlineStr">
        <is>
          <t>MBLY</t>
        </is>
      </c>
      <c r="C2816" s="33" t="inlineStr">
        <is>
          <t>D4</t>
        </is>
      </c>
      <c r="D2816" s="33" t="n">
        <v>3</v>
      </c>
      <c r="E2816" s="33" t="inlineStr">
        <is>
          <t>Initial L11-batch rating per agent7 proposal (rationale+source in 11-robotics/research/rating-proposals-2026-08-02/); briefing per-stock/MBLY/context-2026-08-02.md</t>
        </is>
      </c>
      <c r="F2816" s="33" t="inlineStr">
        <is>
          <t>per-stock/MBLY/context-2026-08-02.md</t>
        </is>
      </c>
      <c r="G2816" s="33" t="inlineStr">
        <is>
          <t>Medium</t>
        </is>
      </c>
      <c r="H2816" s="33" t="inlineStr">
        <is>
          <t>Initial</t>
        </is>
      </c>
    </row>
    <row r="2817">
      <c r="A2817" s="33" t="inlineStr">
        <is>
          <t>2026-08-02</t>
        </is>
      </c>
      <c r="B2817" s="33" t="inlineStr">
        <is>
          <t>MBLY</t>
        </is>
      </c>
      <c r="C2817" s="33" t="inlineStr">
        <is>
          <t>D5</t>
        </is>
      </c>
      <c r="D2817" s="33" t="n">
        <v>4</v>
      </c>
      <c r="E2817" s="33" t="inlineStr">
        <is>
          <t>Initial L11-batch rating per agent7 proposal (rationale+source in 11-robotics/research/rating-proposals-2026-08-02/); briefing per-stock/MBLY/context-2026-08-02.md</t>
        </is>
      </c>
      <c r="F2817" s="33" t="inlineStr">
        <is>
          <t>per-stock/MBLY/context-2026-08-02.md</t>
        </is>
      </c>
      <c r="G2817" s="33" t="inlineStr">
        <is>
          <t>Medium</t>
        </is>
      </c>
      <c r="H2817" s="33" t="inlineStr">
        <is>
          <t>Initial</t>
        </is>
      </c>
    </row>
    <row r="2818">
      <c r="A2818" s="33" t="inlineStr">
        <is>
          <t>2026-08-02</t>
        </is>
      </c>
      <c r="B2818" s="33" t="inlineStr">
        <is>
          <t>MBLY</t>
        </is>
      </c>
      <c r="C2818" s="33" t="inlineStr">
        <is>
          <t>M1</t>
        </is>
      </c>
      <c r="D2818" s="33" t="n">
        <v>4</v>
      </c>
      <c r="E2818" s="33" t="inlineStr">
        <is>
          <t>Initial L11-batch rating per agent7 proposal (rationale+source in 11-robotics/research/rating-proposals-2026-08-02/); briefing per-stock/MBLY/context-2026-08-02.md</t>
        </is>
      </c>
      <c r="F2818" s="33" t="inlineStr">
        <is>
          <t>per-stock/MBLY/context-2026-08-02.md</t>
        </is>
      </c>
      <c r="G2818" s="33" t="inlineStr">
        <is>
          <t>Medium</t>
        </is>
      </c>
      <c r="H2818" s="33" t="inlineStr">
        <is>
          <t>Initial</t>
        </is>
      </c>
    </row>
    <row r="2819">
      <c r="A2819" s="33" t="inlineStr">
        <is>
          <t>2026-08-02</t>
        </is>
      </c>
      <c r="B2819" s="33" t="inlineStr">
        <is>
          <t>MBLY</t>
        </is>
      </c>
      <c r="C2819" s="33" t="inlineStr">
        <is>
          <t>M2</t>
        </is>
      </c>
      <c r="D2819" s="33" t="n">
        <v>1</v>
      </c>
      <c r="E2819" s="33" t="inlineStr">
        <is>
          <t>Initial L11-batch rating per agent7 proposal (rationale+source in 11-robotics/research/rating-proposals-2026-08-02/); briefing per-stock/MBLY/context-2026-08-02.md</t>
        </is>
      </c>
      <c r="F2819" s="33" t="inlineStr">
        <is>
          <t>per-stock/MBLY/context-2026-08-02.md</t>
        </is>
      </c>
      <c r="G2819" s="33" t="inlineStr">
        <is>
          <t>Medium</t>
        </is>
      </c>
      <c r="H2819" s="33" t="inlineStr">
        <is>
          <t>Initial</t>
        </is>
      </c>
    </row>
    <row r="2820">
      <c r="A2820" s="33" t="inlineStr">
        <is>
          <t>2026-08-02</t>
        </is>
      </c>
      <c r="B2820" s="33" t="inlineStr">
        <is>
          <t>MBLY</t>
        </is>
      </c>
      <c r="C2820" s="33" t="inlineStr">
        <is>
          <t>M3</t>
        </is>
      </c>
      <c r="D2820" s="33" t="n">
        <v>3</v>
      </c>
      <c r="E2820" s="33" t="inlineStr">
        <is>
          <t>Initial L11-batch rating per agent7 proposal (rationale+source in 11-robotics/research/rating-proposals-2026-08-02/); briefing per-stock/MBLY/context-2026-08-02.md</t>
        </is>
      </c>
      <c r="F2820" s="33" t="inlineStr">
        <is>
          <t>per-stock/MBLY/context-2026-08-02.md</t>
        </is>
      </c>
      <c r="G2820" s="33" t="inlineStr">
        <is>
          <t>Medium</t>
        </is>
      </c>
      <c r="H2820" s="33" t="inlineStr">
        <is>
          <t>Initial</t>
        </is>
      </c>
    </row>
    <row r="2821">
      <c r="A2821" s="33" t="inlineStr">
        <is>
          <t>2026-08-02</t>
        </is>
      </c>
      <c r="B2821" s="33" t="inlineStr">
        <is>
          <t>MBLY</t>
        </is>
      </c>
      <c r="C2821" s="33" t="inlineStr">
        <is>
          <t>R1</t>
        </is>
      </c>
      <c r="D2821" s="33" t="n">
        <v>3</v>
      </c>
      <c r="E2821" s="33" t="inlineStr">
        <is>
          <t>Initial L11-batch rating per agent7 proposal (rationale+source in 11-robotics/research/rating-proposals-2026-08-02/); briefing per-stock/MBLY/context-2026-08-02.md</t>
        </is>
      </c>
      <c r="F2821" s="33" t="inlineStr">
        <is>
          <t>per-stock/MBLY/context-2026-08-02.md</t>
        </is>
      </c>
      <c r="G2821" s="33" t="inlineStr">
        <is>
          <t>Medium</t>
        </is>
      </c>
      <c r="H2821" s="33" t="inlineStr">
        <is>
          <t>Initial</t>
        </is>
      </c>
    </row>
    <row r="2822">
      <c r="A2822" s="33" t="inlineStr">
        <is>
          <t>2026-08-02</t>
        </is>
      </c>
      <c r="B2822" s="33" t="inlineStr">
        <is>
          <t>MBLY</t>
        </is>
      </c>
      <c r="C2822" s="33" t="inlineStr">
        <is>
          <t>R2</t>
        </is>
      </c>
      <c r="D2822" s="33" t="n">
        <v>2</v>
      </c>
      <c r="E2822" s="33" t="inlineStr">
        <is>
          <t>Initial L11-batch rating per agent7 proposal (rationale+source in 11-robotics/research/rating-proposals-2026-08-02/); briefing per-stock/MBLY/context-2026-08-02.md</t>
        </is>
      </c>
      <c r="F2822" s="33" t="inlineStr">
        <is>
          <t>per-stock/MBLY/context-2026-08-02.md</t>
        </is>
      </c>
      <c r="G2822" s="33" t="inlineStr">
        <is>
          <t>Medium</t>
        </is>
      </c>
      <c r="H2822" s="33" t="inlineStr">
        <is>
          <t>Initial</t>
        </is>
      </c>
    </row>
    <row r="2823">
      <c r="A2823" s="33" t="inlineStr">
        <is>
          <t>2026-08-02</t>
        </is>
      </c>
      <c r="B2823" s="33" t="inlineStr">
        <is>
          <t>MBLY</t>
        </is>
      </c>
      <c r="C2823" s="33" t="inlineStr">
        <is>
          <t>R3</t>
        </is>
      </c>
      <c r="D2823" s="33" t="n">
        <v>5</v>
      </c>
      <c r="E2823" s="33" t="inlineStr">
        <is>
          <t>Initial L11-batch rating per agent7 proposal (rationale+source in 11-robotics/research/rating-proposals-2026-08-02/); briefing per-stock/MBLY/context-2026-08-02.md</t>
        </is>
      </c>
      <c r="F2823" s="33" t="inlineStr">
        <is>
          <t>per-stock/MBLY/context-2026-08-02.md</t>
        </is>
      </c>
      <c r="G2823" s="33" t="inlineStr">
        <is>
          <t>Medium</t>
        </is>
      </c>
      <c r="H2823" s="33" t="inlineStr">
        <is>
          <t>Initial</t>
        </is>
      </c>
    </row>
    <row r="2824">
      <c r="A2824" s="33" t="inlineStr">
        <is>
          <t>2026-08-02</t>
        </is>
      </c>
      <c r="B2824" s="33" t="inlineStr">
        <is>
          <t>MBLY</t>
        </is>
      </c>
      <c r="C2824" s="33" t="inlineStr">
        <is>
          <t>R4</t>
        </is>
      </c>
      <c r="D2824" s="33" t="n">
        <v>3</v>
      </c>
      <c r="E2824" s="33" t="inlineStr">
        <is>
          <t>Litigation clear (2d Cir. affirmed dismissal) but governance: Intel 96.9% voting power; $900M Mentee purchase was related-party (CEO received ~59% of equity consideration) 5 months before announcing exit.</t>
        </is>
      </c>
      <c r="F2824" s="33" t="inlineStr">
        <is>
          <t>per-stock/MBLY/context-2026-08-02.md</t>
        </is>
      </c>
      <c r="G2824" s="33" t="inlineStr">
        <is>
          <t>Medium</t>
        </is>
      </c>
      <c r="H2824" s="33" t="inlineStr">
        <is>
          <t>Initial</t>
        </is>
      </c>
    </row>
    <row r="2825">
      <c r="A2825" s="33" t="inlineStr">
        <is>
          <t>2026-08-02</t>
        </is>
      </c>
      <c r="B2825" s="33" t="inlineStr">
        <is>
          <t>MBLY</t>
        </is>
      </c>
      <c r="C2825" s="33" t="inlineStr">
        <is>
          <t>R5</t>
        </is>
      </c>
      <c r="D2825" s="33" t="n">
        <v>5</v>
      </c>
      <c r="E2825" s="33" t="inlineStr">
        <is>
          <t>Initial L11-batch rating per agent7 proposal (rationale+source in 11-robotics/research/rating-proposals-2026-08-02/); briefing per-stock/MBLY/context-2026-08-02.md</t>
        </is>
      </c>
      <c r="F2825" s="33" t="inlineStr">
        <is>
          <t>per-stock/MBLY/context-2026-08-02.md</t>
        </is>
      </c>
      <c r="G2825" s="33" t="inlineStr">
        <is>
          <t>Medium</t>
        </is>
      </c>
      <c r="H2825" s="33" t="inlineStr">
        <is>
          <t>Initial</t>
        </is>
      </c>
    </row>
    <row r="2826">
      <c r="A2826" s="33" t="inlineStr">
        <is>
          <t>2026-08-02</t>
        </is>
      </c>
      <c r="B2826" s="33" t="inlineStr">
        <is>
          <t>PDYN</t>
        </is>
      </c>
      <c r="C2826" s="33" t="inlineStr">
        <is>
          <t>D1</t>
        </is>
      </c>
      <c r="D2826" s="33" t="n">
        <v>4</v>
      </c>
      <c r="E2826" s="33" t="inlineStr">
        <is>
          <t>Initial L11-batch rating per agent7 proposal (rationale+source in 11-robotics/research/rating-proposals-2026-08-02/); briefing per-stock/PDYN/context-2026-08-02.md</t>
        </is>
      </c>
      <c r="F2826" s="33" t="inlineStr">
        <is>
          <t>per-stock/PDYN/context-2026-08-02.md</t>
        </is>
      </c>
      <c r="G2826" s="33" t="inlineStr">
        <is>
          <t>Medium</t>
        </is>
      </c>
      <c r="H2826" s="33" t="inlineStr">
        <is>
          <t>Initial</t>
        </is>
      </c>
    </row>
    <row r="2827">
      <c r="A2827" s="33" t="inlineStr">
        <is>
          <t>2026-08-02</t>
        </is>
      </c>
      <c r="B2827" s="33" t="inlineStr">
        <is>
          <t>PDYN</t>
        </is>
      </c>
      <c r="C2827" s="33" t="inlineStr">
        <is>
          <t>D2</t>
        </is>
      </c>
      <c r="D2827" s="33" t="n">
        <v>2</v>
      </c>
      <c r="E2827" s="33" t="inlineStr">
        <is>
          <t>Initial L11-batch rating per agent7 proposal (rationale+source in 11-robotics/research/rating-proposals-2026-08-02/); briefing per-stock/PDYN/context-2026-08-02.md</t>
        </is>
      </c>
      <c r="F2827" s="33" t="inlineStr">
        <is>
          <t>per-stock/PDYN/context-2026-08-02.md</t>
        </is>
      </c>
      <c r="G2827" s="33" t="inlineStr">
        <is>
          <t>Medium</t>
        </is>
      </c>
      <c r="H2827" s="33" t="inlineStr">
        <is>
          <t>Initial</t>
        </is>
      </c>
    </row>
    <row r="2828">
      <c r="A2828" s="33" t="inlineStr">
        <is>
          <t>2026-08-02</t>
        </is>
      </c>
      <c r="B2828" s="33" t="inlineStr">
        <is>
          <t>PDYN</t>
        </is>
      </c>
      <c r="C2828" s="33" t="inlineStr">
        <is>
          <t>D3</t>
        </is>
      </c>
      <c r="D2828" s="33" t="n">
        <v>2</v>
      </c>
      <c r="E2828" s="33" t="inlineStr">
        <is>
          <t>Initial L11-batch rating per agent7 proposal (rationale+source in 11-robotics/research/rating-proposals-2026-08-02/); briefing per-stock/PDYN/context-2026-08-02.md</t>
        </is>
      </c>
      <c r="F2828" s="33" t="inlineStr">
        <is>
          <t>per-stock/PDYN/context-2026-08-02.md</t>
        </is>
      </c>
      <c r="G2828" s="33" t="inlineStr">
        <is>
          <t>Medium</t>
        </is>
      </c>
      <c r="H2828" s="33" t="inlineStr">
        <is>
          <t>Initial</t>
        </is>
      </c>
    </row>
    <row r="2829">
      <c r="A2829" s="33" t="inlineStr">
        <is>
          <t>2026-08-02</t>
        </is>
      </c>
      <c r="B2829" s="33" t="inlineStr">
        <is>
          <t>PDYN</t>
        </is>
      </c>
      <c r="C2829" s="33" t="inlineStr">
        <is>
          <t>D4</t>
        </is>
      </c>
      <c r="D2829" s="33" t="n">
        <v>4</v>
      </c>
      <c r="E2829" s="33" t="inlineStr">
        <is>
          <t>Initial L11-batch rating per agent7 proposal (rationale+source in 11-robotics/research/rating-proposals-2026-08-02/); briefing per-stock/PDYN/context-2026-08-02.md</t>
        </is>
      </c>
      <c r="F2829" s="33" t="inlineStr">
        <is>
          <t>per-stock/PDYN/context-2026-08-02.md</t>
        </is>
      </c>
      <c r="G2829" s="33" t="inlineStr">
        <is>
          <t>Medium</t>
        </is>
      </c>
      <c r="H2829" s="33" t="inlineStr">
        <is>
          <t>Initial</t>
        </is>
      </c>
    </row>
    <row r="2830">
      <c r="A2830" s="33" t="inlineStr">
        <is>
          <t>2026-08-02</t>
        </is>
      </c>
      <c r="B2830" s="33" t="inlineStr">
        <is>
          <t>PDYN</t>
        </is>
      </c>
      <c r="C2830" s="33" t="inlineStr">
        <is>
          <t>D5</t>
        </is>
      </c>
      <c r="D2830" s="33" t="n">
        <v>4</v>
      </c>
      <c r="E2830" s="33" t="inlineStr">
        <is>
          <t>Initial L11-batch rating per agent7 proposal (rationale+source in 11-robotics/research/rating-proposals-2026-08-02/); briefing per-stock/PDYN/context-2026-08-02.md</t>
        </is>
      </c>
      <c r="F2830" s="33" t="inlineStr">
        <is>
          <t>per-stock/PDYN/context-2026-08-02.md</t>
        </is>
      </c>
      <c r="G2830" s="33" t="inlineStr">
        <is>
          <t>Medium</t>
        </is>
      </c>
      <c r="H2830" s="33" t="inlineStr">
        <is>
          <t>Initial</t>
        </is>
      </c>
    </row>
    <row r="2831">
      <c r="A2831" s="33" t="inlineStr">
        <is>
          <t>2026-08-02</t>
        </is>
      </c>
      <c r="B2831" s="33" t="inlineStr">
        <is>
          <t>PDYN</t>
        </is>
      </c>
      <c r="C2831" s="33" t="inlineStr">
        <is>
          <t>M1</t>
        </is>
      </c>
      <c r="D2831" s="33" t="n">
        <v>3</v>
      </c>
      <c r="E2831" s="33" t="inlineStr">
        <is>
          <t>Initial L11-batch rating per agent7 proposal (rationale+source in 11-robotics/research/rating-proposals-2026-08-02/); briefing per-stock/PDYN/context-2026-08-02.md</t>
        </is>
      </c>
      <c r="F2831" s="33" t="inlineStr">
        <is>
          <t>per-stock/PDYN/context-2026-08-02.md</t>
        </is>
      </c>
      <c r="G2831" s="33" t="inlineStr">
        <is>
          <t>Medium</t>
        </is>
      </c>
      <c r="H2831" s="33" t="inlineStr">
        <is>
          <t>Initial</t>
        </is>
      </c>
    </row>
    <row r="2832">
      <c r="A2832" s="33" t="inlineStr">
        <is>
          <t>2026-08-02</t>
        </is>
      </c>
      <c r="B2832" s="33" t="inlineStr">
        <is>
          <t>PDYN</t>
        </is>
      </c>
      <c r="C2832" s="33" t="inlineStr">
        <is>
          <t>M2</t>
        </is>
      </c>
      <c r="D2832" s="33" t="n">
        <v>1</v>
      </c>
      <c r="E2832" s="33" t="inlineStr">
        <is>
          <t>Initial L11-batch rating per agent7 proposal (rationale+source in 11-robotics/research/rating-proposals-2026-08-02/); briefing per-stock/PDYN/context-2026-08-02.md</t>
        </is>
      </c>
      <c r="F2832" s="33" t="inlineStr">
        <is>
          <t>per-stock/PDYN/context-2026-08-02.md</t>
        </is>
      </c>
      <c r="G2832" s="33" t="inlineStr">
        <is>
          <t>Medium</t>
        </is>
      </c>
      <c r="H2832" s="33" t="inlineStr">
        <is>
          <t>Initial</t>
        </is>
      </c>
    </row>
    <row r="2833">
      <c r="A2833" s="33" t="inlineStr">
        <is>
          <t>2026-08-02</t>
        </is>
      </c>
      <c r="B2833" s="33" t="inlineStr">
        <is>
          <t>PDYN</t>
        </is>
      </c>
      <c r="C2833" s="33" t="inlineStr">
        <is>
          <t>M3</t>
        </is>
      </c>
      <c r="D2833" s="33" t="n">
        <v>5</v>
      </c>
      <c r="E2833" s="33" t="inlineStr">
        <is>
          <t>Mechanical 5 per step 1 (CEO 2 P-code buys + director 1). Flag: ~$37k total vs ~5.2M RSUs granted 6/8/26 - possible de-minimis-floor rubric gap. CEVA precedent forbids size-downgrade.</t>
        </is>
      </c>
      <c r="F2833" s="33" t="inlineStr">
        <is>
          <t>per-stock/PDYN/context-2026-08-02.md</t>
        </is>
      </c>
      <c r="G2833" s="33" t="inlineStr">
        <is>
          <t>Medium</t>
        </is>
      </c>
      <c r="H2833" s="33" t="inlineStr">
        <is>
          <t>Initial</t>
        </is>
      </c>
    </row>
    <row r="2834">
      <c r="A2834" s="33" t="inlineStr">
        <is>
          <t>2026-08-02</t>
        </is>
      </c>
      <c r="B2834" s="33" t="inlineStr">
        <is>
          <t>PDYN</t>
        </is>
      </c>
      <c r="C2834" s="33" t="inlineStr">
        <is>
          <t>R1</t>
        </is>
      </c>
      <c r="D2834" s="33" t="n">
        <v>2</v>
      </c>
      <c r="E2834" s="33" t="inlineStr">
        <is>
          <t>Initial L11-batch rating per agent7 proposal (rationale+source in 11-robotics/research/rating-proposals-2026-08-02/); briefing per-stock/PDYN/context-2026-08-02.md</t>
        </is>
      </c>
      <c r="F2834" s="33" t="inlineStr">
        <is>
          <t>per-stock/PDYN/context-2026-08-02.md</t>
        </is>
      </c>
      <c r="G2834" s="33" t="inlineStr">
        <is>
          <t>Medium</t>
        </is>
      </c>
      <c r="H2834" s="33" t="inlineStr">
        <is>
          <t>Initial</t>
        </is>
      </c>
    </row>
    <row r="2835">
      <c r="A2835" s="33" t="inlineStr">
        <is>
          <t>2026-08-02</t>
        </is>
      </c>
      <c r="B2835" s="33" t="inlineStr">
        <is>
          <t>PDYN</t>
        </is>
      </c>
      <c r="C2835" s="33" t="inlineStr">
        <is>
          <t>R2</t>
        </is>
      </c>
      <c r="D2835" s="33" t="n">
        <v>5</v>
      </c>
      <c r="E2835" s="33" t="inlineStr">
        <is>
          <t>Initial L11-batch rating per agent7 proposal (rationale+source in 11-robotics/research/rating-proposals-2026-08-02/); briefing per-stock/PDYN/context-2026-08-02.md</t>
        </is>
      </c>
      <c r="F2835" s="33" t="inlineStr">
        <is>
          <t>per-stock/PDYN/context-2026-08-02.md</t>
        </is>
      </c>
      <c r="G2835" s="33" t="inlineStr">
        <is>
          <t>Medium</t>
        </is>
      </c>
      <c r="H2835" s="33" t="inlineStr">
        <is>
          <t>Initial</t>
        </is>
      </c>
    </row>
    <row r="2836">
      <c r="A2836" s="33" t="inlineStr">
        <is>
          <t>2026-08-02</t>
        </is>
      </c>
      <c r="B2836" s="33" t="inlineStr">
        <is>
          <t>PDYN</t>
        </is>
      </c>
      <c r="C2836" s="33" t="inlineStr">
        <is>
          <t>R3</t>
        </is>
      </c>
      <c r="D2836" s="33" t="n">
        <v>3</v>
      </c>
      <c r="E2836" s="33" t="inlineStr">
        <is>
          <t>Initial L11-batch rating per agent7 proposal (rationale+source in 11-robotics/research/rating-proposals-2026-08-02/); briefing per-stock/PDYN/context-2026-08-02.md</t>
        </is>
      </c>
      <c r="F2836" s="33" t="inlineStr">
        <is>
          <t>per-stock/PDYN/context-2026-08-02.md</t>
        </is>
      </c>
      <c r="G2836" s="33" t="inlineStr">
        <is>
          <t>Medium</t>
        </is>
      </c>
      <c r="H2836" s="33" t="inlineStr">
        <is>
          <t>Initial</t>
        </is>
      </c>
    </row>
    <row r="2837">
      <c r="A2837" s="33" t="inlineStr">
        <is>
          <t>2026-08-02</t>
        </is>
      </c>
      <c r="B2837" s="33" t="inlineStr">
        <is>
          <t>PDYN</t>
        </is>
      </c>
      <c r="C2837" s="33" t="inlineStr">
        <is>
          <t>R4</t>
        </is>
      </c>
      <c r="D2837" s="33" t="n">
        <v>4</v>
      </c>
      <c r="E2837" s="33" t="inlineStr">
        <is>
          <t>Initial L11-batch rating per agent7 proposal (rationale+source in 11-robotics/research/rating-proposals-2026-08-02/); briefing per-stock/PDYN/context-2026-08-02.md</t>
        </is>
      </c>
      <c r="F2837" s="33" t="inlineStr">
        <is>
          <t>per-stock/PDYN/context-2026-08-02.md</t>
        </is>
      </c>
      <c r="G2837" s="33" t="inlineStr">
        <is>
          <t>Medium</t>
        </is>
      </c>
      <c r="H2837" s="33" t="inlineStr">
        <is>
          <t>Initial</t>
        </is>
      </c>
    </row>
    <row r="2838">
      <c r="A2838" s="33" t="inlineStr">
        <is>
          <t>2026-08-02</t>
        </is>
      </c>
      <c r="B2838" s="33" t="inlineStr">
        <is>
          <t>PDYN</t>
        </is>
      </c>
      <c r="C2838" s="33" t="inlineStr">
        <is>
          <t>R5</t>
        </is>
      </c>
      <c r="D2838" s="33" t="n">
        <v>5</v>
      </c>
      <c r="E2838" s="33" t="inlineStr">
        <is>
          <t>Initial L11-batch rating per agent7 proposal (rationale+source in 11-robotics/research/rating-proposals-2026-08-02/); briefing per-stock/PDYN/context-2026-08-02.md</t>
        </is>
      </c>
      <c r="F2838" s="33" t="inlineStr">
        <is>
          <t>per-stock/PDYN/context-2026-08-02.md</t>
        </is>
      </c>
      <c r="G2838" s="33" t="inlineStr">
        <is>
          <t>Medium</t>
        </is>
      </c>
      <c r="H2838" s="33" t="inlineStr">
        <is>
          <t>Initial</t>
        </is>
      </c>
    </row>
    <row r="2839">
      <c r="A2839" s="33" t="inlineStr">
        <is>
          <t>2026-08-02</t>
        </is>
      </c>
      <c r="B2839" s="33" t="inlineStr">
        <is>
          <t>KTOS</t>
        </is>
      </c>
      <c r="C2839" s="33" t="inlineStr">
        <is>
          <t>D1</t>
        </is>
      </c>
      <c r="D2839" s="33" t="n">
        <v>4</v>
      </c>
      <c r="E2839" s="33" t="inlineStr">
        <is>
          <t>Segment disclosure: Unmanned Systems 22.3% of Q1 revenue + undisclosed drone-engine line -&gt; est 25-35% (roster said 55-65% - corrected).</t>
        </is>
      </c>
      <c r="F2839" s="33" t="inlineStr">
        <is>
          <t>per-stock/KTOS/context-2026-08-02.md</t>
        </is>
      </c>
      <c r="G2839" s="33" t="inlineStr">
        <is>
          <t>Medium</t>
        </is>
      </c>
      <c r="H2839" s="33" t="inlineStr">
        <is>
          <t>Initial</t>
        </is>
      </c>
    </row>
    <row r="2840">
      <c r="A2840" s="33" t="inlineStr">
        <is>
          <t>2026-08-02</t>
        </is>
      </c>
      <c r="B2840" s="33" t="inlineStr">
        <is>
          <t>KTOS</t>
        </is>
      </c>
      <c r="C2840" s="33" t="inlineStr">
        <is>
          <t>D2</t>
        </is>
      </c>
      <c r="D2840" s="33" t="n">
        <v>4</v>
      </c>
      <c r="E2840" s="33" t="inlineStr">
        <is>
          <t>Initial L11-batch rating per agent8 proposal (rationale+source in 11-robotics/research/rating-proposals-2026-08-02/); briefing per-stock/KTOS/context-2026-08-02.md</t>
        </is>
      </c>
      <c r="F2840" s="33" t="inlineStr">
        <is>
          <t>per-stock/KTOS/context-2026-08-02.md</t>
        </is>
      </c>
      <c r="G2840" s="33" t="inlineStr">
        <is>
          <t>Medium</t>
        </is>
      </c>
      <c r="H2840" s="33" t="inlineStr">
        <is>
          <t>Initial</t>
        </is>
      </c>
    </row>
    <row r="2841">
      <c r="A2841" s="33" t="inlineStr">
        <is>
          <t>2026-08-02</t>
        </is>
      </c>
      <c r="B2841" s="33" t="inlineStr">
        <is>
          <t>KTOS</t>
        </is>
      </c>
      <c r="C2841" s="33" t="inlineStr">
        <is>
          <t>D3</t>
        </is>
      </c>
      <c r="D2841" s="33" t="n">
        <v>4</v>
      </c>
      <c r="E2841" s="33" t="inlineStr">
        <is>
          <t>Initial L11-batch rating per agent8 proposal (rationale+source in 11-robotics/research/rating-proposals-2026-08-02/); briefing per-stock/KTOS/context-2026-08-02.md</t>
        </is>
      </c>
      <c r="F2841" s="33" t="inlineStr">
        <is>
          <t>per-stock/KTOS/context-2026-08-02.md</t>
        </is>
      </c>
      <c r="G2841" s="33" t="inlineStr">
        <is>
          <t>Medium</t>
        </is>
      </c>
      <c r="H2841" s="33" t="inlineStr">
        <is>
          <t>Initial</t>
        </is>
      </c>
    </row>
    <row r="2842">
      <c r="A2842" s="33" t="inlineStr">
        <is>
          <t>2026-08-02</t>
        </is>
      </c>
      <c r="B2842" s="33" t="inlineStr">
        <is>
          <t>KTOS</t>
        </is>
      </c>
      <c r="C2842" s="33" t="inlineStr">
        <is>
          <t>D4</t>
        </is>
      </c>
      <c r="D2842" s="33" t="n">
        <v>5</v>
      </c>
      <c r="E2842" s="33" t="inlineStr">
        <is>
          <t>Initial L11-batch rating per agent8 proposal (rationale+source in 11-robotics/research/rating-proposals-2026-08-02/); briefing per-stock/KTOS/context-2026-08-02.md</t>
        </is>
      </c>
      <c r="F2842" s="33" t="inlineStr">
        <is>
          <t>per-stock/KTOS/context-2026-08-02.md</t>
        </is>
      </c>
      <c r="G2842" s="33" t="inlineStr">
        <is>
          <t>Medium</t>
        </is>
      </c>
      <c r="H2842" s="33" t="inlineStr">
        <is>
          <t>Initial</t>
        </is>
      </c>
    </row>
    <row r="2843">
      <c r="A2843" s="33" t="inlineStr">
        <is>
          <t>2026-08-02</t>
        </is>
      </c>
      <c r="B2843" s="33" t="inlineStr">
        <is>
          <t>KTOS</t>
        </is>
      </c>
      <c r="C2843" s="33" t="inlineStr">
        <is>
          <t>D5</t>
        </is>
      </c>
      <c r="D2843" s="33" t="n">
        <v>4</v>
      </c>
      <c r="E2843" s="33" t="inlineStr">
        <is>
          <t>Initial L11-batch rating per agent8 proposal (rationale+source in 11-robotics/research/rating-proposals-2026-08-02/); briefing per-stock/KTOS/context-2026-08-02.md</t>
        </is>
      </c>
      <c r="F2843" s="33" t="inlineStr">
        <is>
          <t>per-stock/KTOS/context-2026-08-02.md</t>
        </is>
      </c>
      <c r="G2843" s="33" t="inlineStr">
        <is>
          <t>Medium</t>
        </is>
      </c>
      <c r="H2843" s="33" t="inlineStr">
        <is>
          <t>Initial</t>
        </is>
      </c>
    </row>
    <row r="2844">
      <c r="A2844" s="33" t="inlineStr">
        <is>
          <t>2026-08-02</t>
        </is>
      </c>
      <c r="B2844" s="33" t="inlineStr">
        <is>
          <t>KTOS</t>
        </is>
      </c>
      <c r="C2844" s="33" t="inlineStr">
        <is>
          <t>M1</t>
        </is>
      </c>
      <c r="D2844" s="33" t="n">
        <v>4</v>
      </c>
      <c r="E2844" s="33" t="inlineStr">
        <is>
          <t>Initial L11-batch rating per agent8 proposal (rationale+source in 11-robotics/research/rating-proposals-2026-08-02/); briefing per-stock/KTOS/context-2026-08-02.md</t>
        </is>
      </c>
      <c r="F2844" s="33" t="inlineStr">
        <is>
          <t>per-stock/KTOS/context-2026-08-02.md</t>
        </is>
      </c>
      <c r="G2844" s="33" t="inlineStr">
        <is>
          <t>Medium</t>
        </is>
      </c>
      <c r="H2844" s="33" t="inlineStr">
        <is>
          <t>Initial</t>
        </is>
      </c>
    </row>
    <row r="2845">
      <c r="A2845" s="33" t="inlineStr">
        <is>
          <t>2026-08-02</t>
        </is>
      </c>
      <c r="B2845" s="33" t="inlineStr">
        <is>
          <t>KTOS</t>
        </is>
      </c>
      <c r="C2845" s="33" t="inlineStr">
        <is>
          <t>M2</t>
        </is>
      </c>
      <c r="D2845" s="33" t="n">
        <v>1</v>
      </c>
      <c r="E2845" s="33" t="inlineStr">
        <is>
          <t>Initial L11-batch rating per agent8 proposal (rationale+source in 11-robotics/research/rating-proposals-2026-08-02/); briefing per-stock/KTOS/context-2026-08-02.md</t>
        </is>
      </c>
      <c r="F2845" s="33" t="inlineStr">
        <is>
          <t>per-stock/KTOS/context-2026-08-02.md</t>
        </is>
      </c>
      <c r="G2845" s="33" t="inlineStr">
        <is>
          <t>Medium</t>
        </is>
      </c>
      <c r="H2845" s="33" t="inlineStr">
        <is>
          <t>Initial</t>
        </is>
      </c>
    </row>
    <row r="2846">
      <c r="A2846" s="33" t="inlineStr">
        <is>
          <t>2026-08-02</t>
        </is>
      </c>
      <c r="B2846" s="33" t="inlineStr">
        <is>
          <t>KTOS</t>
        </is>
      </c>
      <c r="C2846" s="33" t="inlineStr">
        <is>
          <t>M3</t>
        </is>
      </c>
      <c r="D2846" s="33" t="n">
        <v>2</v>
      </c>
      <c r="E2846" s="33" t="inlineStr">
        <is>
          <t>RULING (paired w/ RCAT): multiple &gt;30% discretionary director sales = base band 2; no band-1 trigger (CEO sales all 10b5-1-routine; no before-bad-news pattern).</t>
        </is>
      </c>
      <c r="F2846" s="33" t="inlineStr">
        <is>
          <t>per-stock/KTOS/context-2026-08-02.md</t>
        </is>
      </c>
      <c r="G2846" s="33" t="inlineStr">
        <is>
          <t>Medium</t>
        </is>
      </c>
      <c r="H2846" s="33" t="inlineStr">
        <is>
          <t>Initial</t>
        </is>
      </c>
    </row>
    <row r="2847">
      <c r="A2847" s="33" t="inlineStr">
        <is>
          <t>2026-08-02</t>
        </is>
      </c>
      <c r="B2847" s="33" t="inlineStr">
        <is>
          <t>KTOS</t>
        </is>
      </c>
      <c r="C2847" s="33" t="inlineStr">
        <is>
          <t>R1</t>
        </is>
      </c>
      <c r="D2847" s="33" t="n">
        <v>2</v>
      </c>
      <c r="E2847" s="33" t="inlineStr">
        <is>
          <t>USG 68.6% but multi-program/multi-branch + 21% intl + 11% commercial; USG-as-monopsony convention question logged for Dom (vs AVAV=1 at 85%).</t>
        </is>
      </c>
      <c r="F2847" s="33" t="inlineStr">
        <is>
          <t>per-stock/KTOS/context-2026-08-02.md</t>
        </is>
      </c>
      <c r="G2847" s="33" t="inlineStr">
        <is>
          <t>Medium</t>
        </is>
      </c>
      <c r="H2847" s="33" t="inlineStr">
        <is>
          <t>Initial</t>
        </is>
      </c>
    </row>
    <row r="2848">
      <c r="A2848" s="33" t="inlineStr">
        <is>
          <t>2026-08-02</t>
        </is>
      </c>
      <c r="B2848" s="33" t="inlineStr">
        <is>
          <t>KTOS</t>
        </is>
      </c>
      <c r="C2848" s="33" t="inlineStr">
        <is>
          <t>R2</t>
        </is>
      </c>
      <c r="D2848" s="33" t="n">
        <v>5</v>
      </c>
      <c r="E2848" s="33" t="inlineStr">
        <is>
          <t>Initial L11-batch rating per agent8 proposal (rationale+source in 11-robotics/research/rating-proposals-2026-08-02/); briefing per-stock/KTOS/context-2026-08-02.md</t>
        </is>
      </c>
      <c r="F2848" s="33" t="inlineStr">
        <is>
          <t>per-stock/KTOS/context-2026-08-02.md</t>
        </is>
      </c>
      <c r="G2848" s="33" t="inlineStr">
        <is>
          <t>Medium</t>
        </is>
      </c>
      <c r="H2848" s="33" t="inlineStr">
        <is>
          <t>Initial</t>
        </is>
      </c>
    </row>
    <row r="2849">
      <c r="A2849" s="33" t="inlineStr">
        <is>
          <t>2026-08-02</t>
        </is>
      </c>
      <c r="B2849" s="33" t="inlineStr">
        <is>
          <t>KTOS</t>
        </is>
      </c>
      <c r="C2849" s="33" t="inlineStr">
        <is>
          <t>R3</t>
        </is>
      </c>
      <c r="D2849" s="33" t="n">
        <v>5</v>
      </c>
      <c r="E2849" s="33" t="inlineStr">
        <is>
          <t>Initial L11-batch rating per agent8 proposal (rationale+source in 11-robotics/research/rating-proposals-2026-08-02/); briefing per-stock/KTOS/context-2026-08-02.md</t>
        </is>
      </c>
      <c r="F2849" s="33" t="inlineStr">
        <is>
          <t>per-stock/KTOS/context-2026-08-02.md</t>
        </is>
      </c>
      <c r="G2849" s="33" t="inlineStr">
        <is>
          <t>Medium</t>
        </is>
      </c>
      <c r="H2849" s="33" t="inlineStr">
        <is>
          <t>Initial</t>
        </is>
      </c>
    </row>
    <row r="2850">
      <c r="A2850" s="33" t="inlineStr">
        <is>
          <t>2026-08-02</t>
        </is>
      </c>
      <c r="B2850" s="33" t="inlineStr">
        <is>
          <t>KTOS</t>
        </is>
      </c>
      <c r="C2850" s="33" t="inlineStr">
        <is>
          <t>R4</t>
        </is>
      </c>
      <c r="D2850" s="33" t="n">
        <v>4</v>
      </c>
      <c r="E2850" s="33" t="inlineStr">
        <is>
          <t>Initial L11-batch rating per agent8 proposal (rationale+source in 11-robotics/research/rating-proposals-2026-08-02/); briefing per-stock/KTOS/context-2026-08-02.md</t>
        </is>
      </c>
      <c r="F2850" s="33" t="inlineStr">
        <is>
          <t>per-stock/KTOS/context-2026-08-02.md</t>
        </is>
      </c>
      <c r="G2850" s="33" t="inlineStr">
        <is>
          <t>Medium</t>
        </is>
      </c>
      <c r="H2850" s="33" t="inlineStr">
        <is>
          <t>Initial</t>
        </is>
      </c>
    </row>
    <row r="2851">
      <c r="A2851" s="33" t="inlineStr">
        <is>
          <t>2026-08-02</t>
        </is>
      </c>
      <c r="B2851" s="33" t="inlineStr">
        <is>
          <t>KTOS</t>
        </is>
      </c>
      <c r="C2851" s="33" t="inlineStr">
        <is>
          <t>R5</t>
        </is>
      </c>
      <c r="D2851" s="33" t="n">
        <v>5</v>
      </c>
      <c r="E2851" s="33" t="inlineStr">
        <is>
          <t>Initial L11-batch rating per agent8 proposal (rationale+source in 11-robotics/research/rating-proposals-2026-08-02/); briefing per-stock/KTOS/context-2026-08-02.md</t>
        </is>
      </c>
      <c r="F2851" s="33" t="inlineStr">
        <is>
          <t>per-stock/KTOS/context-2026-08-02.md</t>
        </is>
      </c>
      <c r="G2851" s="33" t="inlineStr">
        <is>
          <t>Medium</t>
        </is>
      </c>
      <c r="H2851" s="33" t="inlineStr">
        <is>
          <t>Initial</t>
        </is>
      </c>
    </row>
    <row r="2852">
      <c r="A2852" s="33" t="inlineStr">
        <is>
          <t>2026-08-02</t>
        </is>
      </c>
      <c r="B2852" s="33" t="inlineStr">
        <is>
          <t>AVAV</t>
        </is>
      </c>
      <c r="C2852" s="33" t="inlineStr">
        <is>
          <t>D1</t>
        </is>
      </c>
      <c r="D2852" s="33" t="n">
        <v>5</v>
      </c>
      <c r="E2852" s="33" t="inlineStr">
        <is>
          <t>Initial L11-batch rating per agent8 proposal (rationale+source in 11-robotics/research/rating-proposals-2026-08-02/); briefing per-stock/AVAV/context-2026-08-02.md</t>
        </is>
      </c>
      <c r="F2852" s="33" t="inlineStr">
        <is>
          <t>per-stock/AVAV/context-2026-08-02.md</t>
        </is>
      </c>
      <c r="G2852" s="33" t="inlineStr">
        <is>
          <t>Medium</t>
        </is>
      </c>
      <c r="H2852" s="33" t="inlineStr">
        <is>
          <t>Initial</t>
        </is>
      </c>
    </row>
    <row r="2853">
      <c r="A2853" s="33" t="inlineStr">
        <is>
          <t>2026-08-02</t>
        </is>
      </c>
      <c r="B2853" s="33" t="inlineStr">
        <is>
          <t>AVAV</t>
        </is>
      </c>
      <c r="C2853" s="33" t="inlineStr">
        <is>
          <t>D2</t>
        </is>
      </c>
      <c r="D2853" s="33" t="n">
        <v>4</v>
      </c>
      <c r="E2853" s="33" t="inlineStr">
        <is>
          <t>Initial L11-batch rating per agent8 proposal (rationale+source in 11-robotics/research/rating-proposals-2026-08-02/); briefing per-stock/AVAV/context-2026-08-02.md</t>
        </is>
      </c>
      <c r="F2853" s="33" t="inlineStr">
        <is>
          <t>per-stock/AVAV/context-2026-08-02.md</t>
        </is>
      </c>
      <c r="G2853" s="33" t="inlineStr">
        <is>
          <t>Medium</t>
        </is>
      </c>
      <c r="H2853" s="33" t="inlineStr">
        <is>
          <t>Initial</t>
        </is>
      </c>
    </row>
    <row r="2854">
      <c r="A2854" s="33" t="inlineStr">
        <is>
          <t>2026-08-02</t>
        </is>
      </c>
      <c r="B2854" s="33" t="inlineStr">
        <is>
          <t>AVAV</t>
        </is>
      </c>
      <c r="C2854" s="33" t="inlineStr">
        <is>
          <t>D3</t>
        </is>
      </c>
      <c r="D2854" s="33" t="n">
        <v>4</v>
      </c>
      <c r="E2854" s="33" t="inlineStr">
        <is>
          <t>Initial L11-batch rating per agent8 proposal (rationale+source in 11-robotics/research/rating-proposals-2026-08-02/); briefing per-stock/AVAV/context-2026-08-02.md</t>
        </is>
      </c>
      <c r="F2854" s="33" t="inlineStr">
        <is>
          <t>per-stock/AVAV/context-2026-08-02.md</t>
        </is>
      </c>
      <c r="G2854" s="33" t="inlineStr">
        <is>
          <t>Medium</t>
        </is>
      </c>
      <c r="H2854" s="33" t="inlineStr">
        <is>
          <t>Initial</t>
        </is>
      </c>
    </row>
    <row r="2855">
      <c r="A2855" s="33" t="inlineStr">
        <is>
          <t>2026-08-02</t>
        </is>
      </c>
      <c r="B2855" s="33" t="inlineStr">
        <is>
          <t>AVAV</t>
        </is>
      </c>
      <c r="C2855" s="33" t="inlineStr">
        <is>
          <t>D4</t>
        </is>
      </c>
      <c r="D2855" s="33" t="n">
        <v>5</v>
      </c>
      <c r="E2855" s="33" t="inlineStr">
        <is>
          <t>Initial L11-batch rating per agent8 proposal (rationale+source in 11-robotics/research/rating-proposals-2026-08-02/); briefing per-stock/AVAV/context-2026-08-02.md</t>
        </is>
      </c>
      <c r="F2855" s="33" t="inlineStr">
        <is>
          <t>per-stock/AVAV/context-2026-08-02.md</t>
        </is>
      </c>
      <c r="G2855" s="33" t="inlineStr">
        <is>
          <t>Medium</t>
        </is>
      </c>
      <c r="H2855" s="33" t="inlineStr">
        <is>
          <t>Initial</t>
        </is>
      </c>
    </row>
    <row r="2856">
      <c r="A2856" s="33" t="inlineStr">
        <is>
          <t>2026-08-02</t>
        </is>
      </c>
      <c r="B2856" s="33" t="inlineStr">
        <is>
          <t>AVAV</t>
        </is>
      </c>
      <c r="C2856" s="33" t="inlineStr">
        <is>
          <t>D5</t>
        </is>
      </c>
      <c r="D2856" s="33" t="n">
        <v>4</v>
      </c>
      <c r="E2856" s="33" t="inlineStr">
        <is>
          <t>Initial L11-batch rating per agent8 proposal (rationale+source in 11-robotics/research/rating-proposals-2026-08-02/); briefing per-stock/AVAV/context-2026-08-02.md</t>
        </is>
      </c>
      <c r="F2856" s="33" t="inlineStr">
        <is>
          <t>per-stock/AVAV/context-2026-08-02.md</t>
        </is>
      </c>
      <c r="G2856" s="33" t="inlineStr">
        <is>
          <t>Medium</t>
        </is>
      </c>
      <c r="H2856" s="33" t="inlineStr">
        <is>
          <t>Initial</t>
        </is>
      </c>
    </row>
    <row r="2857">
      <c r="A2857" s="33" t="inlineStr">
        <is>
          <t>2026-08-02</t>
        </is>
      </c>
      <c r="B2857" s="33" t="inlineStr">
        <is>
          <t>AVAV</t>
        </is>
      </c>
      <c r="C2857" s="33" t="inlineStr">
        <is>
          <t>M1</t>
        </is>
      </c>
      <c r="D2857" s="33" t="n">
        <v>2</v>
      </c>
      <c r="E2857" s="33" t="inlineStr">
        <is>
          <t>Initial L11-batch rating per agent8 proposal (rationale+source in 11-robotics/research/rating-proposals-2026-08-02/); briefing per-stock/AVAV/context-2026-08-02.md</t>
        </is>
      </c>
      <c r="F2857" s="33" t="inlineStr">
        <is>
          <t>per-stock/AVAV/context-2026-08-02.md</t>
        </is>
      </c>
      <c r="G2857" s="33" t="inlineStr">
        <is>
          <t>Medium</t>
        </is>
      </c>
      <c r="H2857" s="33" t="inlineStr">
        <is>
          <t>Initial</t>
        </is>
      </c>
    </row>
    <row r="2858">
      <c r="A2858" s="33" t="inlineStr">
        <is>
          <t>2026-08-02</t>
        </is>
      </c>
      <c r="B2858" s="33" t="inlineStr">
        <is>
          <t>AVAV</t>
        </is>
      </c>
      <c r="C2858" s="33" t="inlineStr">
        <is>
          <t>M2</t>
        </is>
      </c>
      <c r="D2858" s="33" t="n">
        <v>1</v>
      </c>
      <c r="E2858" s="33" t="inlineStr">
        <is>
          <t>Initial L11-batch rating per agent8 proposal (rationale+source in 11-robotics/research/rating-proposals-2026-08-02/); briefing per-stock/AVAV/context-2026-08-02.md</t>
        </is>
      </c>
      <c r="F2858" s="33" t="inlineStr">
        <is>
          <t>per-stock/AVAV/context-2026-08-02.md</t>
        </is>
      </c>
      <c r="G2858" s="33" t="inlineStr">
        <is>
          <t>Medium</t>
        </is>
      </c>
      <c r="H2858" s="33" t="inlineStr">
        <is>
          <t>Initial</t>
        </is>
      </c>
    </row>
    <row r="2859">
      <c r="A2859" s="33" t="inlineStr">
        <is>
          <t>2026-08-02</t>
        </is>
      </c>
      <c r="B2859" s="33" t="inlineStr">
        <is>
          <t>AVAV</t>
        </is>
      </c>
      <c r="C2859" s="33" t="inlineStr">
        <is>
          <t>M3</t>
        </is>
      </c>
      <c r="D2859" s="33" t="n">
        <v>3</v>
      </c>
      <c r="E2859" s="33" t="inlineStr">
        <is>
          <t>Initial L11-batch rating per agent8 proposal (rationale+source in 11-robotics/research/rating-proposals-2026-08-02/); briefing per-stock/AVAV/context-2026-08-02.md</t>
        </is>
      </c>
      <c r="F2859" s="33" t="inlineStr">
        <is>
          <t>per-stock/AVAV/context-2026-08-02.md</t>
        </is>
      </c>
      <c r="G2859" s="33" t="inlineStr">
        <is>
          <t>Medium</t>
        </is>
      </c>
      <c r="H2859" s="33" t="inlineStr">
        <is>
          <t>Initial</t>
        </is>
      </c>
    </row>
    <row r="2860">
      <c r="A2860" s="33" t="inlineStr">
        <is>
          <t>2026-08-02</t>
        </is>
      </c>
      <c r="B2860" s="33" t="inlineStr">
        <is>
          <t>AVAV</t>
        </is>
      </c>
      <c r="C2860" s="33" t="inlineStr">
        <is>
          <t>R1</t>
        </is>
      </c>
      <c r="D2860" s="33" t="n">
        <v>1</v>
      </c>
      <c r="E2860" s="33" t="inlineStr">
        <is>
          <t>DoD ~63% of FY26 revenue; USG incl FMS ~85% - highest in cohort.</t>
        </is>
      </c>
      <c r="F2860" s="33" t="inlineStr">
        <is>
          <t>per-stock/AVAV/context-2026-08-02.md</t>
        </is>
      </c>
      <c r="G2860" s="33" t="inlineStr">
        <is>
          <t>Medium</t>
        </is>
      </c>
      <c r="H2860" s="33" t="inlineStr">
        <is>
          <t>Initial</t>
        </is>
      </c>
    </row>
    <row r="2861">
      <c r="A2861" s="33" t="inlineStr">
        <is>
          <t>2026-08-02</t>
        </is>
      </c>
      <c r="B2861" s="33" t="inlineStr">
        <is>
          <t>AVAV</t>
        </is>
      </c>
      <c r="C2861" s="33" t="inlineStr">
        <is>
          <t>R2</t>
        </is>
      </c>
      <c r="D2861" s="33" t="n">
        <v>4</v>
      </c>
      <c r="E2861" s="33" t="inlineStr">
        <is>
          <t>Initial L11-batch rating per agent8 proposal (rationale+source in 11-robotics/research/rating-proposals-2026-08-02/); briefing per-stock/AVAV/context-2026-08-02.md</t>
        </is>
      </c>
      <c r="F2861" s="33" t="inlineStr">
        <is>
          <t>per-stock/AVAV/context-2026-08-02.md</t>
        </is>
      </c>
      <c r="G2861" s="33" t="inlineStr">
        <is>
          <t>Medium</t>
        </is>
      </c>
      <c r="H2861" s="33" t="inlineStr">
        <is>
          <t>Initial</t>
        </is>
      </c>
    </row>
    <row r="2862">
      <c r="A2862" s="33" t="inlineStr">
        <is>
          <t>2026-08-02</t>
        </is>
      </c>
      <c r="B2862" s="33" t="inlineStr">
        <is>
          <t>AVAV</t>
        </is>
      </c>
      <c r="C2862" s="33" t="inlineStr">
        <is>
          <t>R3</t>
        </is>
      </c>
      <c r="D2862" s="33" t="n">
        <v>4</v>
      </c>
      <c r="E2862" s="33" t="inlineStr">
        <is>
          <t>Initial L11-batch rating per agent8 proposal (rationale+source in 11-robotics/research/rating-proposals-2026-08-02/); briefing per-stock/AVAV/context-2026-08-02.md</t>
        </is>
      </c>
      <c r="F2862" s="33" t="inlineStr">
        <is>
          <t>per-stock/AVAV/context-2026-08-02.md</t>
        </is>
      </c>
      <c r="G2862" s="33" t="inlineStr">
        <is>
          <t>Medium</t>
        </is>
      </c>
      <c r="H2862" s="33" t="inlineStr">
        <is>
          <t>Initial</t>
        </is>
      </c>
    </row>
    <row r="2863">
      <c r="A2863" s="33" t="inlineStr">
        <is>
          <t>2026-08-02</t>
        </is>
      </c>
      <c r="B2863" s="33" t="inlineStr">
        <is>
          <t>AVAV</t>
        </is>
      </c>
      <c r="C2863" s="33" t="inlineStr">
        <is>
          <t>R4</t>
        </is>
      </c>
      <c r="D2863" s="33" t="n">
        <v>2</v>
      </c>
      <c r="E2863" s="33" t="inlineStr">
        <is>
          <t>Securities class action Norrell v. AeroVironment (E.D. Va. 5/26/26, SCAR program, names CEO+former CFO) + BlueHalo unremediated ICFR material weaknesses (FY26 10-K).</t>
        </is>
      </c>
      <c r="F2863" s="33" t="inlineStr">
        <is>
          <t>per-stock/AVAV/context-2026-08-02.md</t>
        </is>
      </c>
      <c r="G2863" s="33" t="inlineStr">
        <is>
          <t>Medium</t>
        </is>
      </c>
      <c r="H2863" s="33" t="inlineStr">
        <is>
          <t>Initial</t>
        </is>
      </c>
    </row>
    <row r="2864">
      <c r="A2864" s="33" t="inlineStr">
        <is>
          <t>2026-08-02</t>
        </is>
      </c>
      <c r="B2864" s="33" t="inlineStr">
        <is>
          <t>AVAV</t>
        </is>
      </c>
      <c r="C2864" s="33" t="inlineStr">
        <is>
          <t>R5</t>
        </is>
      </c>
      <c r="D2864" s="33" t="n">
        <v>5</v>
      </c>
      <c r="E2864" s="33" t="inlineStr">
        <is>
          <t>Initial L11-batch rating per agent8 proposal (rationale+source in 11-robotics/research/rating-proposals-2026-08-02/); briefing per-stock/AVAV/context-2026-08-02.md</t>
        </is>
      </c>
      <c r="F2864" s="33" t="inlineStr">
        <is>
          <t>per-stock/AVAV/context-2026-08-02.md</t>
        </is>
      </c>
      <c r="G2864" s="33" t="inlineStr">
        <is>
          <t>Medium</t>
        </is>
      </c>
      <c r="H2864" s="33" t="inlineStr">
        <is>
          <t>Initial</t>
        </is>
      </c>
    </row>
    <row r="2865">
      <c r="A2865" s="33" t="inlineStr">
        <is>
          <t>2026-08-02</t>
        </is>
      </c>
      <c r="B2865" s="33" t="inlineStr">
        <is>
          <t>RCAT</t>
        </is>
      </c>
      <c r="C2865" s="33" t="inlineStr">
        <is>
          <t>D1</t>
        </is>
      </c>
      <c r="D2865" s="33" t="n">
        <v>5</v>
      </c>
      <c r="E2865" s="33" t="inlineStr">
        <is>
          <t>Initial L11-batch rating per agent8 proposal (rationale+source in 11-robotics/research/rating-proposals-2026-08-02/); briefing per-stock/RCAT/context-2026-08-02.md</t>
        </is>
      </c>
      <c r="F2865" s="33" t="inlineStr">
        <is>
          <t>per-stock/RCAT/context-2026-08-02.md</t>
        </is>
      </c>
      <c r="G2865" s="33" t="inlineStr">
        <is>
          <t>Medium</t>
        </is>
      </c>
      <c r="H2865" s="33" t="inlineStr">
        <is>
          <t>Initial</t>
        </is>
      </c>
    </row>
    <row r="2866">
      <c r="A2866" s="33" t="inlineStr">
        <is>
          <t>2026-08-02</t>
        </is>
      </c>
      <c r="B2866" s="33" t="inlineStr">
        <is>
          <t>RCAT</t>
        </is>
      </c>
      <c r="C2866" s="33" t="inlineStr">
        <is>
          <t>D2</t>
        </is>
      </c>
      <c r="D2866" s="33" t="n">
        <v>3</v>
      </c>
      <c r="E2866" s="33" t="inlineStr">
        <is>
          <t>Initial L11-batch rating per agent8 proposal (rationale+source in 11-robotics/research/rating-proposals-2026-08-02/); briefing per-stock/RCAT/context-2026-08-02.md</t>
        </is>
      </c>
      <c r="F2866" s="33" t="inlineStr">
        <is>
          <t>per-stock/RCAT/context-2026-08-02.md</t>
        </is>
      </c>
      <c r="G2866" s="33" t="inlineStr">
        <is>
          <t>Medium</t>
        </is>
      </c>
      <c r="H2866" s="33" t="inlineStr">
        <is>
          <t>Initial</t>
        </is>
      </c>
    </row>
    <row r="2867">
      <c r="A2867" s="33" t="inlineStr">
        <is>
          <t>2026-08-02</t>
        </is>
      </c>
      <c r="B2867" s="33" t="inlineStr">
        <is>
          <t>RCAT</t>
        </is>
      </c>
      <c r="C2867" s="33" t="inlineStr">
        <is>
          <t>D3</t>
        </is>
      </c>
      <c r="D2867" s="33" t="n">
        <v>3</v>
      </c>
      <c r="E2867" s="33" t="inlineStr">
        <is>
          <t>Initial L11-batch rating per agent8 proposal (rationale+source in 11-robotics/research/rating-proposals-2026-08-02/); briefing per-stock/RCAT/context-2026-08-02.md</t>
        </is>
      </c>
      <c r="F2867" s="33" t="inlineStr">
        <is>
          <t>per-stock/RCAT/context-2026-08-02.md</t>
        </is>
      </c>
      <c r="G2867" s="33" t="inlineStr">
        <is>
          <t>Medium</t>
        </is>
      </c>
      <c r="H2867" s="33" t="inlineStr">
        <is>
          <t>Initial</t>
        </is>
      </c>
    </row>
    <row r="2868">
      <c r="A2868" s="33" t="inlineStr">
        <is>
          <t>2026-08-02</t>
        </is>
      </c>
      <c r="B2868" s="33" t="inlineStr">
        <is>
          <t>RCAT</t>
        </is>
      </c>
      <c r="C2868" s="33" t="inlineStr">
        <is>
          <t>D4</t>
        </is>
      </c>
      <c r="D2868" s="33" t="n">
        <v>4</v>
      </c>
      <c r="E2868" s="33" t="inlineStr">
        <is>
          <t>Initial L11-batch rating per agent8 proposal (rationale+source in 11-robotics/research/rating-proposals-2026-08-02/); briefing per-stock/RCAT/context-2026-08-02.md</t>
        </is>
      </c>
      <c r="F2868" s="33" t="inlineStr">
        <is>
          <t>per-stock/RCAT/context-2026-08-02.md</t>
        </is>
      </c>
      <c r="G2868" s="33" t="inlineStr">
        <is>
          <t>Medium</t>
        </is>
      </c>
      <c r="H2868" s="33" t="inlineStr">
        <is>
          <t>Initial</t>
        </is>
      </c>
    </row>
    <row r="2869">
      <c r="A2869" s="33" t="inlineStr">
        <is>
          <t>2026-08-02</t>
        </is>
      </c>
      <c r="B2869" s="33" t="inlineStr">
        <is>
          <t>RCAT</t>
        </is>
      </c>
      <c r="C2869" s="33" t="inlineStr">
        <is>
          <t>D5</t>
        </is>
      </c>
      <c r="D2869" s="33" t="n">
        <v>5</v>
      </c>
      <c r="E2869" s="33" t="inlineStr">
        <is>
          <t>Initial L11-batch rating per agent8 proposal (rationale+source in 11-robotics/research/rating-proposals-2026-08-02/); briefing per-stock/RCAT/context-2026-08-02.md</t>
        </is>
      </c>
      <c r="F2869" s="33" t="inlineStr">
        <is>
          <t>per-stock/RCAT/context-2026-08-02.md</t>
        </is>
      </c>
      <c r="G2869" s="33" t="inlineStr">
        <is>
          <t>Medium</t>
        </is>
      </c>
      <c r="H2869" s="33" t="inlineStr">
        <is>
          <t>Initial</t>
        </is>
      </c>
    </row>
    <row r="2870">
      <c r="A2870" s="33" t="inlineStr">
        <is>
          <t>2026-08-02</t>
        </is>
      </c>
      <c r="B2870" s="33" t="inlineStr">
        <is>
          <t>RCAT</t>
        </is>
      </c>
      <c r="C2870" s="33" t="inlineStr">
        <is>
          <t>M1</t>
        </is>
      </c>
      <c r="D2870" s="33" t="n">
        <v>3</v>
      </c>
      <c r="E2870" s="33" t="inlineStr">
        <is>
          <t>Initial L11-batch rating per agent8 proposal (rationale+source in 11-robotics/research/rating-proposals-2026-08-02/); briefing per-stock/RCAT/context-2026-08-02.md</t>
        </is>
      </c>
      <c r="F2870" s="33" t="inlineStr">
        <is>
          <t>per-stock/RCAT/context-2026-08-02.md</t>
        </is>
      </c>
      <c r="G2870" s="33" t="inlineStr">
        <is>
          <t>Medium</t>
        </is>
      </c>
      <c r="H2870" s="33" t="inlineStr">
        <is>
          <t>Initial</t>
        </is>
      </c>
    </row>
    <row r="2871">
      <c r="A2871" s="33" t="inlineStr">
        <is>
          <t>2026-08-02</t>
        </is>
      </c>
      <c r="B2871" s="33" t="inlineStr">
        <is>
          <t>RCAT</t>
        </is>
      </c>
      <c r="C2871" s="33" t="inlineStr">
        <is>
          <t>M2</t>
        </is>
      </c>
      <c r="D2871" s="33" t="n">
        <v>1</v>
      </c>
      <c r="E2871" s="33" t="inlineStr">
        <is>
          <t>Initial L11-batch rating per agent8 proposal (rationale+source in 11-robotics/research/rating-proposals-2026-08-02/); briefing per-stock/RCAT/context-2026-08-02.md</t>
        </is>
      </c>
      <c r="F2871" s="33" t="inlineStr">
        <is>
          <t>per-stock/RCAT/context-2026-08-02.md</t>
        </is>
      </c>
      <c r="G2871" s="33" t="inlineStr">
        <is>
          <t>Medium</t>
        </is>
      </c>
      <c r="H2871" s="33" t="inlineStr">
        <is>
          <t>Initial</t>
        </is>
      </c>
    </row>
    <row r="2872">
      <c r="A2872" s="33" t="inlineStr">
        <is>
          <t>2026-08-02</t>
        </is>
      </c>
      <c r="B2872" s="33" t="inlineStr">
        <is>
          <t>RCAT</t>
        </is>
      </c>
      <c r="C2872" s="33" t="inlineStr">
        <is>
          <t>M3</t>
        </is>
      </c>
      <c r="D2872" s="33" t="n">
        <v>1</v>
      </c>
      <c r="E2872" s="33" t="inlineStr">
        <is>
          <t>RULING (paired w/ KTOS): band 1 - Dir. Funk sold 165,028 sh to ZERO (no 10b5-1) six weeks before a -34% move; Dir. Moe ~62%; CRO fired for cause 7/17/26 + suing. Before-bad-news clause fires.</t>
        </is>
      </c>
      <c r="F2872" s="33" t="inlineStr">
        <is>
          <t>per-stock/RCAT/context-2026-08-02.md</t>
        </is>
      </c>
      <c r="G2872" s="33" t="inlineStr">
        <is>
          <t>Medium</t>
        </is>
      </c>
      <c r="H2872" s="33" t="inlineStr">
        <is>
          <t>Initial</t>
        </is>
      </c>
    </row>
    <row r="2873">
      <c r="A2873" s="33" t="inlineStr">
        <is>
          <t>2026-08-02</t>
        </is>
      </c>
      <c r="B2873" s="33" t="inlineStr">
        <is>
          <t>RCAT</t>
        </is>
      </c>
      <c r="C2873" s="33" t="inlineStr">
        <is>
          <t>R1</t>
        </is>
      </c>
      <c r="D2873" s="33" t="n">
        <v>1</v>
      </c>
      <c r="E2873" s="33" t="inlineStr">
        <is>
          <t>Customer A 56% + near-single-buyer structure (Army SRR); top-2 = 75%.</t>
        </is>
      </c>
      <c r="F2873" s="33" t="inlineStr">
        <is>
          <t>per-stock/RCAT/context-2026-08-02.md</t>
        </is>
      </c>
      <c r="G2873" s="33" t="inlineStr">
        <is>
          <t>Medium</t>
        </is>
      </c>
      <c r="H2873" s="33" t="inlineStr">
        <is>
          <t>Initial</t>
        </is>
      </c>
    </row>
    <row r="2874">
      <c r="A2874" s="33" t="inlineStr">
        <is>
          <t>2026-08-02</t>
        </is>
      </c>
      <c r="B2874" s="33" t="inlineStr">
        <is>
          <t>RCAT</t>
        </is>
      </c>
      <c r="C2874" s="33" t="inlineStr">
        <is>
          <t>R2</t>
        </is>
      </c>
      <c r="D2874" s="33" t="n">
        <v>5</v>
      </c>
      <c r="E2874" s="33" t="inlineStr">
        <is>
          <t>Initial L11-batch rating per agent8 proposal (rationale+source in 11-robotics/research/rating-proposals-2026-08-02/); briefing per-stock/RCAT/context-2026-08-02.md</t>
        </is>
      </c>
      <c r="F2874" s="33" t="inlineStr">
        <is>
          <t>per-stock/RCAT/context-2026-08-02.md</t>
        </is>
      </c>
      <c r="G2874" s="33" t="inlineStr">
        <is>
          <t>Medium</t>
        </is>
      </c>
      <c r="H2874" s="33" t="inlineStr">
        <is>
          <t>Initial</t>
        </is>
      </c>
    </row>
    <row r="2875">
      <c r="A2875" s="33" t="inlineStr">
        <is>
          <t>2026-08-02</t>
        </is>
      </c>
      <c r="B2875" s="33" t="inlineStr">
        <is>
          <t>RCAT</t>
        </is>
      </c>
      <c r="C2875" s="33" t="inlineStr">
        <is>
          <t>R3</t>
        </is>
      </c>
      <c r="D2875" s="33" t="n">
        <v>2</v>
      </c>
      <c r="E2875" s="33" t="inlineStr">
        <is>
          <t>Initial L11-batch rating per agent8 proposal (rationale+source in 11-robotics/research/rating-proposals-2026-08-02/); briefing per-stock/RCAT/context-2026-08-02.md</t>
        </is>
      </c>
      <c r="F2875" s="33" t="inlineStr">
        <is>
          <t>per-stock/RCAT/context-2026-08-02.md</t>
        </is>
      </c>
      <c r="G2875" s="33" t="inlineStr">
        <is>
          <t>Medium</t>
        </is>
      </c>
      <c r="H2875" s="33" t="inlineStr">
        <is>
          <t>Initial</t>
        </is>
      </c>
    </row>
    <row r="2876">
      <c r="A2876" s="33" t="inlineStr">
        <is>
          <t>2026-08-02</t>
        </is>
      </c>
      <c r="B2876" s="33" t="inlineStr">
        <is>
          <t>RCAT</t>
        </is>
      </c>
      <c r="C2876" s="33" t="inlineStr">
        <is>
          <t>R4</t>
        </is>
      </c>
      <c r="D2876" s="33" t="n">
        <v>2</v>
      </c>
      <c r="E2876" s="33" t="inlineStr">
        <is>
          <t>CRO terminated FOR CAUSE 7/17/26 (8-K), sued for retaliatory termination 7/21/26.</t>
        </is>
      </c>
      <c r="F2876" s="33" t="inlineStr">
        <is>
          <t>per-stock/RCAT/context-2026-08-02.md</t>
        </is>
      </c>
      <c r="G2876" s="33" t="inlineStr">
        <is>
          <t>Medium</t>
        </is>
      </c>
      <c r="H2876" s="33" t="inlineStr">
        <is>
          <t>Initial</t>
        </is>
      </c>
    </row>
    <row r="2877">
      <c r="A2877" s="33" t="inlineStr">
        <is>
          <t>2026-08-02</t>
        </is>
      </c>
      <c r="B2877" s="33" t="inlineStr">
        <is>
          <t>RCAT</t>
        </is>
      </c>
      <c r="C2877" s="33" t="inlineStr">
        <is>
          <t>R5</t>
        </is>
      </c>
      <c r="D2877" s="33" t="n">
        <v>5</v>
      </c>
      <c r="E2877" s="33" t="inlineStr">
        <is>
          <t>Initial L11-batch rating per agent8 proposal (rationale+source in 11-robotics/research/rating-proposals-2026-08-02/); briefing per-stock/RCAT/context-2026-08-02.md</t>
        </is>
      </c>
      <c r="F2877" s="33" t="inlineStr">
        <is>
          <t>per-stock/RCAT/context-2026-08-02.md</t>
        </is>
      </c>
      <c r="G2877" s="33" t="inlineStr">
        <is>
          <t>Medium</t>
        </is>
      </c>
      <c r="H2877" s="33" t="inlineStr">
        <is>
          <t>Initial</t>
        </is>
      </c>
    </row>
    <row r="2878">
      <c r="A2878" s="33" t="inlineStr">
        <is>
          <t>2026-08-02</t>
        </is>
      </c>
      <c r="B2878" s="33" t="inlineStr">
        <is>
          <t>ONDS</t>
        </is>
      </c>
      <c r="C2878" s="33" t="inlineStr">
        <is>
          <t>D1</t>
        </is>
      </c>
      <c r="D2878" s="33" t="n">
        <v>5</v>
      </c>
      <c r="E2878" s="33" t="inlineStr">
        <is>
          <t>Initial L11-batch rating per agent8 proposal (rationale+source in 11-robotics/research/rating-proposals-2026-08-02/); briefing per-stock/ONDS/context-2026-08-02.md</t>
        </is>
      </c>
      <c r="F2878" s="33" t="inlineStr">
        <is>
          <t>per-stock/ONDS/context-2026-08-02.md</t>
        </is>
      </c>
      <c r="G2878" s="33" t="inlineStr">
        <is>
          <t>Medium</t>
        </is>
      </c>
      <c r="H2878" s="33" t="inlineStr">
        <is>
          <t>Initial</t>
        </is>
      </c>
    </row>
    <row r="2879">
      <c r="A2879" s="33" t="inlineStr">
        <is>
          <t>2026-08-02</t>
        </is>
      </c>
      <c r="B2879" s="33" t="inlineStr">
        <is>
          <t>ONDS</t>
        </is>
      </c>
      <c r="C2879" s="33" t="inlineStr">
        <is>
          <t>D2</t>
        </is>
      </c>
      <c r="D2879" s="33" t="n">
        <v>3</v>
      </c>
      <c r="E2879" s="33" t="inlineStr">
        <is>
          <t>Initial L11-batch rating per agent8 proposal (rationale+source in 11-robotics/research/rating-proposals-2026-08-02/); briefing per-stock/ONDS/context-2026-08-02.md</t>
        </is>
      </c>
      <c r="F2879" s="33" t="inlineStr">
        <is>
          <t>per-stock/ONDS/context-2026-08-02.md</t>
        </is>
      </c>
      <c r="G2879" s="33" t="inlineStr">
        <is>
          <t>Medium</t>
        </is>
      </c>
      <c r="H2879" s="33" t="inlineStr">
        <is>
          <t>Initial</t>
        </is>
      </c>
    </row>
    <row r="2880">
      <c r="A2880" s="33" t="inlineStr">
        <is>
          <t>2026-08-02</t>
        </is>
      </c>
      <c r="B2880" s="33" t="inlineStr">
        <is>
          <t>ONDS</t>
        </is>
      </c>
      <c r="C2880" s="33" t="inlineStr">
        <is>
          <t>D3</t>
        </is>
      </c>
      <c r="D2880" s="33" t="n">
        <v>2</v>
      </c>
      <c r="E2880" s="33" t="inlineStr">
        <is>
          <t>Initial L11-batch rating per agent8 proposal (rationale+source in 11-robotics/research/rating-proposals-2026-08-02/); briefing per-stock/ONDS/context-2026-08-02.md</t>
        </is>
      </c>
      <c r="F2880" s="33" t="inlineStr">
        <is>
          <t>per-stock/ONDS/context-2026-08-02.md</t>
        </is>
      </c>
      <c r="G2880" s="33" t="inlineStr">
        <is>
          <t>Medium</t>
        </is>
      </c>
      <c r="H2880" s="33" t="inlineStr">
        <is>
          <t>Initial</t>
        </is>
      </c>
    </row>
    <row r="2881">
      <c r="A2881" s="33" t="inlineStr">
        <is>
          <t>2026-08-02</t>
        </is>
      </c>
      <c r="B2881" s="33" t="inlineStr">
        <is>
          <t>ONDS</t>
        </is>
      </c>
      <c r="C2881" s="33" t="inlineStr">
        <is>
          <t>D4</t>
        </is>
      </c>
      <c r="D2881" s="33" t="n">
        <v>5</v>
      </c>
      <c r="E2881" s="33" t="inlineStr">
        <is>
          <t>Initial L11-batch rating per agent8 proposal (rationale+source in 11-robotics/research/rating-proposals-2026-08-02/); briefing per-stock/ONDS/context-2026-08-02.md</t>
        </is>
      </c>
      <c r="F2881" s="33" t="inlineStr">
        <is>
          <t>per-stock/ONDS/context-2026-08-02.md</t>
        </is>
      </c>
      <c r="G2881" s="33" t="inlineStr">
        <is>
          <t>Medium</t>
        </is>
      </c>
      <c r="H2881" s="33" t="inlineStr">
        <is>
          <t>Initial</t>
        </is>
      </c>
    </row>
    <row r="2882">
      <c r="A2882" s="33" t="inlineStr">
        <is>
          <t>2026-08-02</t>
        </is>
      </c>
      <c r="B2882" s="33" t="inlineStr">
        <is>
          <t>ONDS</t>
        </is>
      </c>
      <c r="C2882" s="33" t="inlineStr">
        <is>
          <t>D5</t>
        </is>
      </c>
      <c r="D2882" s="33" t="n">
        <v>3</v>
      </c>
      <c r="E2882" s="33" t="inlineStr">
        <is>
          <t>Initial L11-batch rating per agent8 proposal (rationale+source in 11-robotics/research/rating-proposals-2026-08-02/); briefing per-stock/ONDS/context-2026-08-02.md</t>
        </is>
      </c>
      <c r="F2882" s="33" t="inlineStr">
        <is>
          <t>per-stock/ONDS/context-2026-08-02.md</t>
        </is>
      </c>
      <c r="G2882" s="33" t="inlineStr">
        <is>
          <t>Medium</t>
        </is>
      </c>
      <c r="H2882" s="33" t="inlineStr">
        <is>
          <t>Initial</t>
        </is>
      </c>
    </row>
    <row r="2883">
      <c r="A2883" s="33" t="inlineStr">
        <is>
          <t>2026-08-02</t>
        </is>
      </c>
      <c r="B2883" s="33" t="inlineStr">
        <is>
          <t>ONDS</t>
        </is>
      </c>
      <c r="C2883" s="33" t="inlineStr">
        <is>
          <t>M1</t>
        </is>
      </c>
      <c r="D2883" s="33" t="n">
        <v>5</v>
      </c>
      <c r="E2883" s="33" t="inlineStr">
        <is>
          <t>Initial L11-batch rating per agent8 proposal (rationale+source in 11-robotics/research/rating-proposals-2026-08-02/); briefing per-stock/ONDS/context-2026-08-02.md</t>
        </is>
      </c>
      <c r="F2883" s="33" t="inlineStr">
        <is>
          <t>per-stock/ONDS/context-2026-08-02.md</t>
        </is>
      </c>
      <c r="G2883" s="33" t="inlineStr">
        <is>
          <t>Medium</t>
        </is>
      </c>
      <c r="H2883" s="33" t="inlineStr">
        <is>
          <t>Initial</t>
        </is>
      </c>
    </row>
    <row r="2884">
      <c r="A2884" s="33" t="inlineStr">
        <is>
          <t>2026-08-02</t>
        </is>
      </c>
      <c r="B2884" s="33" t="inlineStr">
        <is>
          <t>ONDS</t>
        </is>
      </c>
      <c r="C2884" s="33" t="inlineStr">
        <is>
          <t>M2</t>
        </is>
      </c>
      <c r="D2884" s="33" t="n">
        <v>2</v>
      </c>
      <c r="E2884" s="33" t="inlineStr">
        <is>
          <t>Initial L11-batch rating per agent8 proposal (rationale+source in 11-robotics/research/rating-proposals-2026-08-02/); briefing per-stock/ONDS/context-2026-08-02.md</t>
        </is>
      </c>
      <c r="F2884" s="33" t="inlineStr">
        <is>
          <t>per-stock/ONDS/context-2026-08-02.md</t>
        </is>
      </c>
      <c r="G2884" s="33" t="inlineStr">
        <is>
          <t>Medium</t>
        </is>
      </c>
      <c r="H2884" s="33" t="inlineStr">
        <is>
          <t>Initial</t>
        </is>
      </c>
    </row>
    <row r="2885">
      <c r="A2885" s="33" t="inlineStr">
        <is>
          <t>2026-08-02</t>
        </is>
      </c>
      <c r="B2885" s="33" t="inlineStr">
        <is>
          <t>ONDS</t>
        </is>
      </c>
      <c r="C2885" s="33" t="inlineStr">
        <is>
          <t>M3</t>
        </is>
      </c>
      <c r="D2885" s="33" t="n">
        <v>3</v>
      </c>
      <c r="E2885" s="33" t="inlineStr">
        <is>
          <t>Initial L11-batch rating per agent8 proposal (rationale+source in 11-robotics/research/rating-proposals-2026-08-02/); briefing per-stock/ONDS/context-2026-08-02.md</t>
        </is>
      </c>
      <c r="F2885" s="33" t="inlineStr">
        <is>
          <t>per-stock/ONDS/context-2026-08-02.md</t>
        </is>
      </c>
      <c r="G2885" s="33" t="inlineStr">
        <is>
          <t>Medium</t>
        </is>
      </c>
      <c r="H2885" s="33" t="inlineStr">
        <is>
          <t>Initial</t>
        </is>
      </c>
    </row>
    <row r="2886">
      <c r="A2886" s="33" t="inlineStr">
        <is>
          <t>2026-08-02</t>
        </is>
      </c>
      <c r="B2886" s="33" t="inlineStr">
        <is>
          <t>ONDS</t>
        </is>
      </c>
      <c r="C2886" s="33" t="inlineStr">
        <is>
          <t>R1</t>
        </is>
      </c>
      <c r="D2886" s="33" t="n">
        <v>3</v>
      </c>
      <c r="E2886" s="33" t="inlineStr">
        <is>
          <t>Initial L11-batch rating per agent8 proposal (rationale+source in 11-robotics/research/rating-proposals-2026-08-02/); briefing per-stock/ONDS/context-2026-08-02.md</t>
        </is>
      </c>
      <c r="F2886" s="33" t="inlineStr">
        <is>
          <t>per-stock/ONDS/context-2026-08-02.md</t>
        </is>
      </c>
      <c r="G2886" s="33" t="inlineStr">
        <is>
          <t>Medium</t>
        </is>
      </c>
      <c r="H2886" s="33" t="inlineStr">
        <is>
          <t>Initial</t>
        </is>
      </c>
    </row>
    <row r="2887">
      <c r="A2887" s="33" t="inlineStr">
        <is>
          <t>2026-08-02</t>
        </is>
      </c>
      <c r="B2887" s="33" t="inlineStr">
        <is>
          <t>ONDS</t>
        </is>
      </c>
      <c r="C2887" s="33" t="inlineStr">
        <is>
          <t>R2</t>
        </is>
      </c>
      <c r="D2887" s="33" t="n">
        <v>4</v>
      </c>
      <c r="E2887" s="33" t="inlineStr">
        <is>
          <t>Initial L11-batch rating per agent8 proposal (rationale+source in 11-robotics/research/rating-proposals-2026-08-02/); briefing per-stock/ONDS/context-2026-08-02.md</t>
        </is>
      </c>
      <c r="F2887" s="33" t="inlineStr">
        <is>
          <t>per-stock/ONDS/context-2026-08-02.md</t>
        </is>
      </c>
      <c r="G2887" s="33" t="inlineStr">
        <is>
          <t>Medium</t>
        </is>
      </c>
      <c r="H2887" s="33" t="inlineStr">
        <is>
          <t>Initial</t>
        </is>
      </c>
    </row>
    <row r="2888">
      <c r="A2888" s="33" t="inlineStr">
        <is>
          <t>2026-08-02</t>
        </is>
      </c>
      <c r="B2888" s="33" t="inlineStr">
        <is>
          <t>ONDS</t>
        </is>
      </c>
      <c r="C2888" s="33" t="inlineStr">
        <is>
          <t>R3</t>
        </is>
      </c>
      <c r="D2888" s="33" t="n">
        <v>2</v>
      </c>
      <c r="E2888" s="33" t="inlineStr">
        <is>
          <t>305.6M potentially dilutive securities on 569.9M shares (~54%); liabilities $661M-&gt;$1.359B; adj EBITDA -$10.9M; profitability guided Q1 2028.</t>
        </is>
      </c>
      <c r="F2888" s="33" t="inlineStr">
        <is>
          <t>per-stock/ONDS/context-2026-08-02.md</t>
        </is>
      </c>
      <c r="G2888" s="33" t="inlineStr">
        <is>
          <t>Medium</t>
        </is>
      </c>
      <c r="H2888" s="33" t="inlineStr">
        <is>
          <t>Initial</t>
        </is>
      </c>
    </row>
    <row r="2889">
      <c r="A2889" s="33" t="inlineStr">
        <is>
          <t>2026-08-02</t>
        </is>
      </c>
      <c r="B2889" s="33" t="inlineStr">
        <is>
          <t>ONDS</t>
        </is>
      </c>
      <c r="C2889" s="33" t="inlineStr">
        <is>
          <t>R4</t>
        </is>
      </c>
      <c r="D2889" s="33" t="n">
        <v>4</v>
      </c>
      <c r="E2889" s="33" t="inlineStr">
        <is>
          <t>10-Q Note 16 verbatim: "There are no such loss contingencies" - roster litigation premise NOT supported by filing.</t>
        </is>
      </c>
      <c r="F2889" s="33" t="inlineStr">
        <is>
          <t>per-stock/ONDS/context-2026-08-02.md</t>
        </is>
      </c>
      <c r="G2889" s="33" t="inlineStr">
        <is>
          <t>Medium</t>
        </is>
      </c>
      <c r="H2889" s="33" t="inlineStr">
        <is>
          <t>Initial</t>
        </is>
      </c>
    </row>
    <row r="2890">
      <c r="A2890" s="33" t="inlineStr">
        <is>
          <t>2026-08-02</t>
        </is>
      </c>
      <c r="B2890" s="33" t="inlineStr">
        <is>
          <t>ONDS</t>
        </is>
      </c>
      <c r="C2890" s="33" t="inlineStr">
        <is>
          <t>R5</t>
        </is>
      </c>
      <c r="D2890" s="33" t="n">
        <v>5</v>
      </c>
      <c r="E2890" s="33" t="inlineStr">
        <is>
          <t>Initial L11-batch rating per agent8 proposal (rationale+source in 11-robotics/research/rating-proposals-2026-08-02/); briefing per-stock/ONDS/context-2026-08-02.md</t>
        </is>
      </c>
      <c r="F2890" s="33" t="inlineStr">
        <is>
          <t>per-stock/ONDS/context-2026-08-02.md</t>
        </is>
      </c>
      <c r="G2890" s="33" t="inlineStr">
        <is>
          <t>Medium</t>
        </is>
      </c>
      <c r="H2890" s="33" t="inlineStr">
        <is>
          <t>Initial</t>
        </is>
      </c>
    </row>
    <row r="2891">
      <c r="A2891" s="33" t="inlineStr">
        <is>
          <t>2026-08-02</t>
        </is>
      </c>
      <c r="B2891" s="33" t="inlineStr">
        <is>
          <t>UMAC</t>
        </is>
      </c>
      <c r="C2891" s="33" t="inlineStr">
        <is>
          <t>D1</t>
        </is>
      </c>
      <c r="D2891" s="33" t="n">
        <v>5</v>
      </c>
      <c r="E2891" s="33" t="inlineStr">
        <is>
          <t>Initial L11-batch rating per agent8 proposal (rationale+source in 11-robotics/research/rating-proposals-2026-08-02/); briefing per-stock/UMAC/context-2026-08-02.md</t>
        </is>
      </c>
      <c r="F2891" s="33" t="inlineStr">
        <is>
          <t>per-stock/UMAC/context-2026-08-02.md</t>
        </is>
      </c>
      <c r="G2891" s="33" t="inlineStr">
        <is>
          <t>Medium</t>
        </is>
      </c>
      <c r="H2891" s="33" t="inlineStr">
        <is>
          <t>Initial</t>
        </is>
      </c>
    </row>
    <row r="2892">
      <c r="A2892" s="33" t="inlineStr">
        <is>
          <t>2026-08-02</t>
        </is>
      </c>
      <c r="B2892" s="33" t="inlineStr">
        <is>
          <t>UMAC</t>
        </is>
      </c>
      <c r="C2892" s="33" t="inlineStr">
        <is>
          <t>D2</t>
        </is>
      </c>
      <c r="D2892" s="33" t="n">
        <v>4</v>
      </c>
      <c r="E2892" s="33" t="inlineStr">
        <is>
          <t>Initial L11-batch rating per agent8 proposal (rationale+source in 11-robotics/research/rating-proposals-2026-08-02/); briefing per-stock/UMAC/context-2026-08-02.md</t>
        </is>
      </c>
      <c r="F2892" s="33" t="inlineStr">
        <is>
          <t>per-stock/UMAC/context-2026-08-02.md</t>
        </is>
      </c>
      <c r="G2892" s="33" t="inlineStr">
        <is>
          <t>Medium</t>
        </is>
      </c>
      <c r="H2892" s="33" t="inlineStr">
        <is>
          <t>Initial</t>
        </is>
      </c>
    </row>
    <row r="2893">
      <c r="A2893" s="33" t="inlineStr">
        <is>
          <t>2026-08-02</t>
        </is>
      </c>
      <c r="B2893" s="33" t="inlineStr">
        <is>
          <t>UMAC</t>
        </is>
      </c>
      <c r="C2893" s="33" t="inlineStr">
        <is>
          <t>D3</t>
        </is>
      </c>
      <c r="D2893" s="33" t="n">
        <v>3</v>
      </c>
      <c r="E2893" s="33" t="inlineStr">
        <is>
          <t>Initial L11-batch rating per agent8 proposal (rationale+source in 11-robotics/research/rating-proposals-2026-08-02/); briefing per-stock/UMAC/context-2026-08-02.md</t>
        </is>
      </c>
      <c r="F2893" s="33" t="inlineStr">
        <is>
          <t>per-stock/UMAC/context-2026-08-02.md</t>
        </is>
      </c>
      <c r="G2893" s="33" t="inlineStr">
        <is>
          <t>Medium</t>
        </is>
      </c>
      <c r="H2893" s="33" t="inlineStr">
        <is>
          <t>Initial</t>
        </is>
      </c>
    </row>
    <row r="2894">
      <c r="A2894" s="33" t="inlineStr">
        <is>
          <t>2026-08-02</t>
        </is>
      </c>
      <c r="B2894" s="33" t="inlineStr">
        <is>
          <t>UMAC</t>
        </is>
      </c>
      <c r="C2894" s="33" t="inlineStr">
        <is>
          <t>D4</t>
        </is>
      </c>
      <c r="D2894" s="33" t="n">
        <v>5</v>
      </c>
      <c r="E2894" s="33" t="inlineStr">
        <is>
          <t>Initial L11-batch rating per agent8 proposal (rationale+source in 11-robotics/research/rating-proposals-2026-08-02/); briefing per-stock/UMAC/context-2026-08-02.md</t>
        </is>
      </c>
      <c r="F2894" s="33" t="inlineStr">
        <is>
          <t>per-stock/UMAC/context-2026-08-02.md</t>
        </is>
      </c>
      <c r="G2894" s="33" t="inlineStr">
        <is>
          <t>Medium</t>
        </is>
      </c>
      <c r="H2894" s="33" t="inlineStr">
        <is>
          <t>Initial</t>
        </is>
      </c>
    </row>
    <row r="2895">
      <c r="A2895" s="33" t="inlineStr">
        <is>
          <t>2026-08-02</t>
        </is>
      </c>
      <c r="B2895" s="33" t="inlineStr">
        <is>
          <t>UMAC</t>
        </is>
      </c>
      <c r="C2895" s="33" t="inlineStr">
        <is>
          <t>D5</t>
        </is>
      </c>
      <c r="D2895" s="33" t="n">
        <v>4</v>
      </c>
      <c r="E2895" s="33" t="inlineStr">
        <is>
          <t>Initial L11-batch rating per agent8 proposal (rationale+source in 11-robotics/research/rating-proposals-2026-08-02/); briefing per-stock/UMAC/context-2026-08-02.md</t>
        </is>
      </c>
      <c r="F2895" s="33" t="inlineStr">
        <is>
          <t>per-stock/UMAC/context-2026-08-02.md</t>
        </is>
      </c>
      <c r="G2895" s="33" t="inlineStr">
        <is>
          <t>Medium</t>
        </is>
      </c>
      <c r="H2895" s="33" t="inlineStr">
        <is>
          <t>Initial</t>
        </is>
      </c>
    </row>
    <row r="2896">
      <c r="A2896" s="33" t="inlineStr">
        <is>
          <t>2026-08-02</t>
        </is>
      </c>
      <c r="B2896" s="33" t="inlineStr">
        <is>
          <t>UMAC</t>
        </is>
      </c>
      <c r="C2896" s="33" t="inlineStr">
        <is>
          <t>M1</t>
        </is>
      </c>
      <c r="D2896" s="33" t="n">
        <v>4</v>
      </c>
      <c r="E2896" s="33" t="inlineStr">
        <is>
          <t>Initial L11-batch rating per agent8 proposal (rationale+source in 11-robotics/research/rating-proposals-2026-08-02/); briefing per-stock/UMAC/context-2026-08-02.md</t>
        </is>
      </c>
      <c r="F2896" s="33" t="inlineStr">
        <is>
          <t>per-stock/UMAC/context-2026-08-02.md</t>
        </is>
      </c>
      <c r="G2896" s="33" t="inlineStr">
        <is>
          <t>Medium</t>
        </is>
      </c>
      <c r="H2896" s="33" t="inlineStr">
        <is>
          <t>Initial</t>
        </is>
      </c>
    </row>
    <row r="2897">
      <c r="A2897" s="33" t="inlineStr">
        <is>
          <t>2026-08-02</t>
        </is>
      </c>
      <c r="B2897" s="33" t="inlineStr">
        <is>
          <t>UMAC</t>
        </is>
      </c>
      <c r="C2897" s="33" t="inlineStr">
        <is>
          <t>M2</t>
        </is>
      </c>
      <c r="D2897" s="33" t="n">
        <v>5</v>
      </c>
      <c r="E2897" s="33" t="inlineStr">
        <is>
          <t>Initial L11-batch rating per agent8 proposal (rationale+source in 11-robotics/research/rating-proposals-2026-08-02/); briefing per-stock/UMAC/context-2026-08-02.md</t>
        </is>
      </c>
      <c r="F2897" s="33" t="inlineStr">
        <is>
          <t>per-stock/UMAC/context-2026-08-02.md</t>
        </is>
      </c>
      <c r="G2897" s="33" t="inlineStr">
        <is>
          <t>Medium</t>
        </is>
      </c>
      <c r="H2897" s="33" t="inlineStr">
        <is>
          <t>Initial</t>
        </is>
      </c>
    </row>
    <row r="2898">
      <c r="A2898" s="33" t="inlineStr">
        <is>
          <t>2026-08-02</t>
        </is>
      </c>
      <c r="B2898" s="33" t="inlineStr">
        <is>
          <t>UMAC</t>
        </is>
      </c>
      <c r="C2898" s="33" t="inlineStr">
        <is>
          <t>M3</t>
        </is>
      </c>
      <c r="D2898" s="33" t="n">
        <v>1</v>
      </c>
      <c r="E2898" s="33" t="inlineStr">
        <is>
          <t>Band 1 mechanical: CFO 46% + President 47% discretionary (no 10b5-1) into the June spike. Counter-signal logged: CEO sold nothing, holds 1.42M sh, waived all cash comp for $25-strike warrants (7/24/26).</t>
        </is>
      </c>
      <c r="F2898" s="33" t="inlineStr">
        <is>
          <t>per-stock/UMAC/context-2026-08-02.md</t>
        </is>
      </c>
      <c r="G2898" s="33" t="inlineStr">
        <is>
          <t>Medium</t>
        </is>
      </c>
      <c r="H2898" s="33" t="inlineStr">
        <is>
          <t>Initial</t>
        </is>
      </c>
    </row>
    <row r="2899">
      <c r="A2899" s="33" t="inlineStr">
        <is>
          <t>2026-08-02</t>
        </is>
      </c>
      <c r="B2899" s="33" t="inlineStr">
        <is>
          <t>UMAC</t>
        </is>
      </c>
      <c r="C2899" s="33" t="inlineStr">
        <is>
          <t>R1</t>
        </is>
      </c>
      <c r="D2899" s="33" t="n">
        <v>4</v>
      </c>
      <c r="E2899" s="33" t="inlineStr">
        <is>
          <t>Initial L11-batch rating per agent8 proposal (rationale+source in 11-robotics/research/rating-proposals-2026-08-02/); briefing per-stock/UMAC/context-2026-08-02.md</t>
        </is>
      </c>
      <c r="F2899" s="33" t="inlineStr">
        <is>
          <t>per-stock/UMAC/context-2026-08-02.md</t>
        </is>
      </c>
      <c r="G2899" s="33" t="inlineStr">
        <is>
          <t>Medium</t>
        </is>
      </c>
      <c r="H2899" s="33" t="inlineStr">
        <is>
          <t>Initial</t>
        </is>
      </c>
    </row>
    <row r="2900">
      <c r="A2900" s="33" t="inlineStr">
        <is>
          <t>2026-08-02</t>
        </is>
      </c>
      <c r="B2900" s="33" t="inlineStr">
        <is>
          <t>UMAC</t>
        </is>
      </c>
      <c r="C2900" s="33" t="inlineStr">
        <is>
          <t>R2</t>
        </is>
      </c>
      <c r="D2900" s="33" t="n">
        <v>5</v>
      </c>
      <c r="E2900" s="33" t="inlineStr">
        <is>
          <t>Initial L11-batch rating per agent8 proposal (rationale+source in 11-robotics/research/rating-proposals-2026-08-02/); briefing per-stock/UMAC/context-2026-08-02.md</t>
        </is>
      </c>
      <c r="F2900" s="33" t="inlineStr">
        <is>
          <t>per-stock/UMAC/context-2026-08-02.md</t>
        </is>
      </c>
      <c r="G2900" s="33" t="inlineStr">
        <is>
          <t>Medium</t>
        </is>
      </c>
      <c r="H2900" s="33" t="inlineStr">
        <is>
          <t>Initial</t>
        </is>
      </c>
    </row>
    <row r="2901">
      <c r="A2901" s="33" t="inlineStr">
        <is>
          <t>2026-08-02</t>
        </is>
      </c>
      <c r="B2901" s="33" t="inlineStr">
        <is>
          <t>UMAC</t>
        </is>
      </c>
      <c r="C2901" s="33" t="inlineStr">
        <is>
          <t>R3</t>
        </is>
      </c>
      <c r="D2901" s="33" t="n">
        <v>5</v>
      </c>
      <c r="E2901" s="33" t="inlineStr">
        <is>
          <t>Initial L11-batch rating per agent8 proposal (rationale+source in 11-robotics/research/rating-proposals-2026-08-02/); briefing per-stock/UMAC/context-2026-08-02.md</t>
        </is>
      </c>
      <c r="F2901" s="33" t="inlineStr">
        <is>
          <t>per-stock/UMAC/context-2026-08-02.md</t>
        </is>
      </c>
      <c r="G2901" s="33" t="inlineStr">
        <is>
          <t>Medium</t>
        </is>
      </c>
      <c r="H2901" s="33" t="inlineStr">
        <is>
          <t>Initial</t>
        </is>
      </c>
    </row>
    <row r="2902">
      <c r="A2902" s="33" t="inlineStr">
        <is>
          <t>2026-08-02</t>
        </is>
      </c>
      <c r="B2902" s="33" t="inlineStr">
        <is>
          <t>UMAC</t>
        </is>
      </c>
      <c r="C2902" s="33" t="inlineStr">
        <is>
          <t>R4</t>
        </is>
      </c>
      <c r="D2902" s="33" t="n">
        <v>4</v>
      </c>
      <c r="E2902" s="33" t="inlineStr">
        <is>
          <t>Initial L11-batch rating per agent8 proposal (rationale+source in 11-robotics/research/rating-proposals-2026-08-02/); briefing per-stock/UMAC/context-2026-08-02.md</t>
        </is>
      </c>
      <c r="F2902" s="33" t="inlineStr">
        <is>
          <t>per-stock/UMAC/context-2026-08-02.md</t>
        </is>
      </c>
      <c r="G2902" s="33" t="inlineStr">
        <is>
          <t>Medium</t>
        </is>
      </c>
      <c r="H2902" s="33" t="inlineStr">
        <is>
          <t>Initial</t>
        </is>
      </c>
    </row>
    <row r="2903">
      <c r="A2903" s="33" t="inlineStr">
        <is>
          <t>2026-08-02</t>
        </is>
      </c>
      <c r="B2903" s="33" t="inlineStr">
        <is>
          <t>UMAC</t>
        </is>
      </c>
      <c r="C2903" s="33" t="inlineStr">
        <is>
          <t>R5</t>
        </is>
      </c>
      <c r="D2903" s="33" t="n">
        <v>5</v>
      </c>
      <c r="E2903" s="33" t="inlineStr">
        <is>
          <t>Initial L11-batch rating per agent8 proposal (rationale+source in 11-robotics/research/rating-proposals-2026-08-02/); briefing per-stock/UMAC/context-2026-08-02.md</t>
        </is>
      </c>
      <c r="F2903" s="33" t="inlineStr">
        <is>
          <t>per-stock/UMAC/context-2026-08-02.md</t>
        </is>
      </c>
      <c r="G2903" s="33" t="inlineStr">
        <is>
          <t>Medium</t>
        </is>
      </c>
      <c r="H2903" s="33" t="inlineStr">
        <is>
          <t>Initial</t>
        </is>
      </c>
    </row>
    <row r="2904">
      <c r="A2904" s="33" t="inlineStr">
        <is>
          <t>2026-08-02</t>
        </is>
      </c>
      <c r="B2904" s="33" t="inlineStr">
        <is>
          <t>DRO.AX</t>
        </is>
      </c>
      <c r="C2904" s="33" t="inlineStr">
        <is>
          <t>D1</t>
        </is>
      </c>
      <c r="D2904" s="33" t="n">
        <v>5</v>
      </c>
      <c r="E2904" s="33" t="inlineStr">
        <is>
          <t>Initial L11-batch rating per agent8 proposal (rationale+source in 11-robotics/research/rating-proposals-2026-08-02/); briefing per-stock/DRO.AX/context-2026-08-02.md</t>
        </is>
      </c>
      <c r="F2904" s="33" t="inlineStr">
        <is>
          <t>per-stock/DRO.AX/context-2026-08-02.md</t>
        </is>
      </c>
      <c r="G2904" s="33" t="inlineStr">
        <is>
          <t>Medium</t>
        </is>
      </c>
      <c r="H2904" s="33" t="inlineStr">
        <is>
          <t>Initial</t>
        </is>
      </c>
    </row>
    <row r="2905">
      <c r="A2905" s="33" t="inlineStr">
        <is>
          <t>2026-08-02</t>
        </is>
      </c>
      <c r="B2905" s="33" t="inlineStr">
        <is>
          <t>DRO.AX</t>
        </is>
      </c>
      <c r="C2905" s="33" t="inlineStr">
        <is>
          <t>D2</t>
        </is>
      </c>
      <c r="D2905" s="33" t="n">
        <v>3</v>
      </c>
      <c r="E2905" s="33" t="inlineStr">
        <is>
          <t>Initial L11-batch rating per agent8 proposal (rationale+source in 11-robotics/research/rating-proposals-2026-08-02/); briefing per-stock/DRO.AX/context-2026-08-02.md</t>
        </is>
      </c>
      <c r="F2905" s="33" t="inlineStr">
        <is>
          <t>per-stock/DRO.AX/context-2026-08-02.md</t>
        </is>
      </c>
      <c r="G2905" s="33" t="inlineStr">
        <is>
          <t>Medium</t>
        </is>
      </c>
      <c r="H2905" s="33" t="inlineStr">
        <is>
          <t>Initial</t>
        </is>
      </c>
    </row>
    <row r="2906">
      <c r="A2906" s="33" t="inlineStr">
        <is>
          <t>2026-08-02</t>
        </is>
      </c>
      <c r="B2906" s="33" t="inlineStr">
        <is>
          <t>DRO.AX</t>
        </is>
      </c>
      <c r="C2906" s="33" t="inlineStr">
        <is>
          <t>D3</t>
        </is>
      </c>
      <c r="D2906" s="33" t="n">
        <v>3</v>
      </c>
      <c r="E2906" s="33" t="inlineStr">
        <is>
          <t>Initial L11-batch rating per agent8 proposal (rationale+source in 11-robotics/research/rating-proposals-2026-08-02/); briefing per-stock/DRO.AX/context-2026-08-02.md</t>
        </is>
      </c>
      <c r="F2906" s="33" t="inlineStr">
        <is>
          <t>per-stock/DRO.AX/context-2026-08-02.md</t>
        </is>
      </c>
      <c r="G2906" s="33" t="inlineStr">
        <is>
          <t>Medium</t>
        </is>
      </c>
      <c r="H2906" s="33" t="inlineStr">
        <is>
          <t>Initial</t>
        </is>
      </c>
    </row>
    <row r="2907">
      <c r="A2907" s="33" t="inlineStr">
        <is>
          <t>2026-08-02</t>
        </is>
      </c>
      <c r="B2907" s="33" t="inlineStr">
        <is>
          <t>DRO.AX</t>
        </is>
      </c>
      <c r="C2907" s="33" t="inlineStr">
        <is>
          <t>D4</t>
        </is>
      </c>
      <c r="D2907" s="33" t="n">
        <v>4</v>
      </c>
      <c r="E2907" s="33" t="inlineStr">
        <is>
          <t>Initial L11-batch rating per agent8 proposal (rationale+source in 11-robotics/research/rating-proposals-2026-08-02/); briefing per-stock/DRO.AX/context-2026-08-02.md</t>
        </is>
      </c>
      <c r="F2907" s="33" t="inlineStr">
        <is>
          <t>per-stock/DRO.AX/context-2026-08-02.md</t>
        </is>
      </c>
      <c r="G2907" s="33" t="inlineStr">
        <is>
          <t>Medium</t>
        </is>
      </c>
      <c r="H2907" s="33" t="inlineStr">
        <is>
          <t>Initial</t>
        </is>
      </c>
    </row>
    <row r="2908">
      <c r="A2908" s="33" t="inlineStr">
        <is>
          <t>2026-08-02</t>
        </is>
      </c>
      <c r="B2908" s="33" t="inlineStr">
        <is>
          <t>DRO.AX</t>
        </is>
      </c>
      <c r="C2908" s="33" t="inlineStr">
        <is>
          <t>D5</t>
        </is>
      </c>
      <c r="D2908" s="33" t="n">
        <v>3</v>
      </c>
      <c r="E2908" s="33" t="inlineStr">
        <is>
          <t>Initial L11-batch rating per agent8 proposal (rationale+source in 11-robotics/research/rating-proposals-2026-08-02/); briefing per-stock/DRO.AX/context-2026-08-02.md</t>
        </is>
      </c>
      <c r="F2908" s="33" t="inlineStr">
        <is>
          <t>per-stock/DRO.AX/context-2026-08-02.md</t>
        </is>
      </c>
      <c r="G2908" s="33" t="inlineStr">
        <is>
          <t>Medium</t>
        </is>
      </c>
      <c r="H2908" s="33" t="inlineStr">
        <is>
          <t>Initial</t>
        </is>
      </c>
    </row>
    <row r="2909">
      <c r="A2909" s="33" t="inlineStr">
        <is>
          <t>2026-08-02</t>
        </is>
      </c>
      <c r="B2909" s="33" t="inlineStr">
        <is>
          <t>DRO.AX</t>
        </is>
      </c>
      <c r="C2909" s="33" t="inlineStr">
        <is>
          <t>M1</t>
        </is>
      </c>
      <c r="D2909" s="33" t="n">
        <v>2</v>
      </c>
      <c r="E2909" s="33" t="inlineStr">
        <is>
          <t>Initial L11-batch rating per agent8 proposal (rationale+source in 11-robotics/research/rating-proposals-2026-08-02/); briefing per-stock/DRO.AX/context-2026-08-02.md</t>
        </is>
      </c>
      <c r="F2909" s="33" t="inlineStr">
        <is>
          <t>per-stock/DRO.AX/context-2026-08-02.md</t>
        </is>
      </c>
      <c r="G2909" s="33" t="inlineStr">
        <is>
          <t>Medium</t>
        </is>
      </c>
      <c r="H2909" s="33" t="inlineStr">
        <is>
          <t>Initial</t>
        </is>
      </c>
    </row>
    <row r="2910">
      <c r="A2910" s="33" t="inlineStr">
        <is>
          <t>2026-08-02</t>
        </is>
      </c>
      <c r="B2910" s="33" t="inlineStr">
        <is>
          <t>DRO.AX</t>
        </is>
      </c>
      <c r="C2910" s="33" t="inlineStr">
        <is>
          <t>M2</t>
        </is>
      </c>
      <c r="D2910" s="33" t="n">
        <v>1</v>
      </c>
      <c r="E2910" s="33" t="inlineStr">
        <is>
          <t>Initial L11-batch rating per agent8 proposal (rationale+source in 11-robotics/research/rating-proposals-2026-08-02/); briefing per-stock/DRO.AX/context-2026-08-02.md</t>
        </is>
      </c>
      <c r="F2910" s="33" t="inlineStr">
        <is>
          <t>per-stock/DRO.AX/context-2026-08-02.md</t>
        </is>
      </c>
      <c r="G2910" s="33" t="inlineStr">
        <is>
          <t>Medium</t>
        </is>
      </c>
      <c r="H2910" s="33" t="inlineStr">
        <is>
          <t>Initial</t>
        </is>
      </c>
    </row>
    <row r="2911">
      <c r="A2911" s="33" t="inlineStr">
        <is>
          <t>2026-08-02</t>
        </is>
      </c>
      <c r="B2911" s="33" t="inlineStr">
        <is>
          <t>DRO.AX</t>
        </is>
      </c>
      <c r="C2911" s="33" t="inlineStr">
        <is>
          <t>M3</t>
        </is>
      </c>
      <c r="D2911" s="33" t="n">
        <v>1</v>
      </c>
      <c r="E2911" s="33" t="inlineStr">
        <is>
          <t>Foreign default-3 REJECTED - public data exists and is adverse: ex-CEO+ex-Chairman sold entire holdings (~A$67-70M) around a retracted release; ASIC investigating; both replaced 4/2026. Secondary-sourced; verify vs ASX/ASIC.</t>
        </is>
      </c>
      <c r="F2911" s="33" t="inlineStr">
        <is>
          <t>per-stock/DRO.AX/context-2026-08-02.md</t>
        </is>
      </c>
      <c r="G2911" s="33" t="inlineStr">
        <is>
          <t>Medium</t>
        </is>
      </c>
      <c r="H2911" s="33" t="inlineStr">
        <is>
          <t>Initial</t>
        </is>
      </c>
    </row>
    <row r="2912">
      <c r="A2912" s="33" t="inlineStr">
        <is>
          <t>2026-08-02</t>
        </is>
      </c>
      <c r="B2912" s="33" t="inlineStr">
        <is>
          <t>DRO.AX</t>
        </is>
      </c>
      <c r="C2912" s="33" t="inlineStr">
        <is>
          <t>R1</t>
        </is>
      </c>
      <c r="D2912" s="33" t="n">
        <v>3</v>
      </c>
      <c r="E2912" s="33" t="inlineStr">
        <is>
          <t>Initial L11-batch rating per agent8 proposal (rationale+source in 11-robotics/research/rating-proposals-2026-08-02/); briefing per-stock/DRO.AX/context-2026-08-02.md</t>
        </is>
      </c>
      <c r="F2912" s="33" t="inlineStr">
        <is>
          <t>per-stock/DRO.AX/context-2026-08-02.md</t>
        </is>
      </c>
      <c r="G2912" s="33" t="inlineStr">
        <is>
          <t>Medium</t>
        </is>
      </c>
      <c r="H2912" s="33" t="inlineStr">
        <is>
          <t>Initial</t>
        </is>
      </c>
    </row>
    <row r="2913">
      <c r="A2913" s="33" t="inlineStr">
        <is>
          <t>2026-08-02</t>
        </is>
      </c>
      <c r="B2913" s="33" t="inlineStr">
        <is>
          <t>DRO.AX</t>
        </is>
      </c>
      <c r="C2913" s="33" t="inlineStr">
        <is>
          <t>R2</t>
        </is>
      </c>
      <c r="D2913" s="33" t="n">
        <v>4</v>
      </c>
      <c r="E2913" s="33" t="inlineStr">
        <is>
          <t>Initial L11-batch rating per agent8 proposal (rationale+source in 11-robotics/research/rating-proposals-2026-08-02/); briefing per-stock/DRO.AX/context-2026-08-02.md</t>
        </is>
      </c>
      <c r="F2913" s="33" t="inlineStr">
        <is>
          <t>per-stock/DRO.AX/context-2026-08-02.md</t>
        </is>
      </c>
      <c r="G2913" s="33" t="inlineStr">
        <is>
          <t>Medium</t>
        </is>
      </c>
      <c r="H2913" s="33" t="inlineStr">
        <is>
          <t>Initial</t>
        </is>
      </c>
    </row>
    <row r="2914">
      <c r="A2914" s="33" t="inlineStr">
        <is>
          <t>2026-08-02</t>
        </is>
      </c>
      <c r="B2914" s="33" t="inlineStr">
        <is>
          <t>DRO.AX</t>
        </is>
      </c>
      <c r="C2914" s="33" t="inlineStr">
        <is>
          <t>R3</t>
        </is>
      </c>
      <c r="D2914" s="33" t="n">
        <v>4</v>
      </c>
      <c r="E2914" s="33" t="inlineStr">
        <is>
          <t>Initial L11-batch rating per agent8 proposal (rationale+source in 11-robotics/research/rating-proposals-2026-08-02/); briefing per-stock/DRO.AX/context-2026-08-02.md</t>
        </is>
      </c>
      <c r="F2914" s="33" t="inlineStr">
        <is>
          <t>per-stock/DRO.AX/context-2026-08-02.md</t>
        </is>
      </c>
      <c r="G2914" s="33" t="inlineStr">
        <is>
          <t>Medium</t>
        </is>
      </c>
      <c r="H2914" s="33" t="inlineStr">
        <is>
          <t>Initial</t>
        </is>
      </c>
    </row>
    <row r="2915">
      <c r="A2915" s="33" t="inlineStr">
        <is>
          <t>2026-08-02</t>
        </is>
      </c>
      <c r="B2915" s="33" t="inlineStr">
        <is>
          <t>DRO.AX</t>
        </is>
      </c>
      <c r="C2915" s="33" t="inlineStr">
        <is>
          <t>R4</t>
        </is>
      </c>
      <c r="D2915" s="33" t="n">
        <v>2</v>
      </c>
      <c r="E2915" s="33" t="inlineStr">
        <is>
          <t>Active ASIC investigation into Nov-2025 announcements + executive trading; CEO+Chairman replaced 4/2026.</t>
        </is>
      </c>
      <c r="F2915" s="33" t="inlineStr">
        <is>
          <t>per-stock/DRO.AX/context-2026-08-02.md</t>
        </is>
      </c>
      <c r="G2915" s="33" t="inlineStr">
        <is>
          <t>Medium</t>
        </is>
      </c>
      <c r="H2915" s="33" t="inlineStr">
        <is>
          <t>Initial</t>
        </is>
      </c>
    </row>
    <row r="2916">
      <c r="A2916" s="33" t="inlineStr">
        <is>
          <t>2026-08-02</t>
        </is>
      </c>
      <c r="B2916" s="33" t="inlineStr">
        <is>
          <t>DRO.AX</t>
        </is>
      </c>
      <c r="C2916" s="33" t="inlineStr">
        <is>
          <t>R5</t>
        </is>
      </c>
      <c r="D2916" s="33" t="n">
        <v>5</v>
      </c>
      <c r="E2916" s="33" t="inlineStr">
        <is>
          <t>Initial L11-batch rating per agent8 proposal (rationale+source in 11-robotics/research/rating-proposals-2026-08-02/); briefing per-stock/DRO.AX/context-2026-08-02.md</t>
        </is>
      </c>
      <c r="F2916" s="33" t="inlineStr">
        <is>
          <t>per-stock/DRO.AX/context-2026-08-02.md</t>
        </is>
      </c>
      <c r="G2916" s="33" t="inlineStr">
        <is>
          <t>Medium</t>
        </is>
      </c>
      <c r="H2916" s="33" t="inlineStr">
        <is>
          <t>Initial</t>
        </is>
      </c>
    </row>
    <row r="2917">
      <c r="A2917" s="33" t="inlineStr">
        <is>
          <t>2026-08-02</t>
        </is>
      </c>
      <c r="B2917" s="33" t="inlineStr">
        <is>
          <t>L11 (all)</t>
        </is>
      </c>
      <c r="C2917" s="33" t="inlineStr">
        <is>
          <t>D1 + D5 conventions</t>
        </is>
      </c>
      <c r="E2917" s="33" t="inlineStr">
        <is>
          <t>Dom APPROVED the proposed Layer-11 interpretations: D1 = robotics-as-demand-driver (humanoid specificity in D5); D5 = third lens on the rule-23 parallel scale (contracted robot-program tie). Codified in rubric + CLAUDE.md rule 26. All 2026-08-02 L11 ratings using these lenses are now final, not provisional-on-methodology.</t>
        </is>
      </c>
      <c r="F2917" s="33" t="inlineStr">
        <is>
          <t>templates/rating-rubric-and-workflow.md; CLAUDE.md rule 26</t>
        </is>
      </c>
      <c r="G2917" s="33" t="inlineStr">
        <is>
          <t>High</t>
        </is>
      </c>
      <c r="H2917" s="33" t="inlineStr">
        <is>
          <t>Dom approval</t>
        </is>
      </c>
    </row>
    <row r="2918">
      <c r="A2918" s="33" t="inlineStr">
        <is>
          <t>2026-08-02</t>
        </is>
      </c>
      <c r="B2918" s="33" t="inlineStr">
        <is>
          <t>SSII</t>
        </is>
      </c>
      <c r="C2918" s="33" t="inlineStr">
        <is>
          <t>M3</t>
        </is>
      </c>
      <c r="D2918" s="33" t="n">
        <v>4</v>
      </c>
      <c r="E2918" s="33" t="inlineStr">
        <is>
          <t>Dom APPROVED the placement-buy precedent: premium private-placement subscriptions rate 4 (not step-1 automatic 5, not default 3). Rating stands.</t>
        </is>
      </c>
      <c r="F2918" s="33" t="inlineStr">
        <is>
          <t>templates/rating-rubric-and-workflow.md M3 edge-case precedents</t>
        </is>
      </c>
      <c r="G2918" s="33" t="inlineStr">
        <is>
          <t>High</t>
        </is>
      </c>
      <c r="H2918" s="33" t="inlineStr">
        <is>
          <t>Dom approval</t>
        </is>
      </c>
    </row>
    <row r="2919">
      <c r="A2919" s="33" t="inlineStr">
        <is>
          <t>2026-08-02</t>
        </is>
      </c>
      <c r="B2919" s="33" t="inlineStr">
        <is>
          <t>PDYN</t>
        </is>
      </c>
      <c r="C2919" s="33" t="inlineStr">
        <is>
          <t>M3</t>
        </is>
      </c>
      <c r="D2919" s="33" t="n">
        <v>5</v>
      </c>
      <c r="E2919" s="33" t="inlineStr">
        <is>
          <t>Dom APPROVED keeping the mechanical 5 for de-minimis buys (CEVA no-size-downgrade rule holds); de-minimis-floor question deferred to calibration evidence, not per-name nudges. Rating stands.</t>
        </is>
      </c>
      <c r="F2919" s="33" t="inlineStr">
        <is>
          <t>templates/rating-rubric-and-workflow.md M3 edge-case precedents</t>
        </is>
      </c>
      <c r="G2919" s="33" t="inlineStr">
        <is>
          <t>High</t>
        </is>
      </c>
      <c r="H2919" s="33" t="inlineStr">
        <is>
          <t>Dom approval</t>
        </is>
      </c>
    </row>
    <row r="2920">
      <c r="A2920" s="33" t="inlineStr">
        <is>
          <t>2026-08-02</t>
        </is>
      </c>
      <c r="B2920" s="33" t="inlineStr">
        <is>
          <t>KTOS</t>
        </is>
      </c>
      <c r="C2920" s="33" t="inlineStr">
        <is>
          <t>R1</t>
        </is>
      </c>
      <c r="D2920" s="33" t="n">
        <v>2</v>
      </c>
      <c r="E2920" s="33" t="inlineStr">
        <is>
          <t>Dom APPROVED the government-customer convention: USG as monopsony, graded on program/branch diversification (KTOS 2 at ~69% multi-program vs AVAV 1 at ~85% / RCAT 1 single-program). Ratings stand.</t>
        </is>
      </c>
      <c r="F2920" s="33" t="inlineStr">
        <is>
          <t>templates/rating-rubric-and-workflow.md R1 convention</t>
        </is>
      </c>
      <c r="G2920" s="33" t="inlineStr">
        <is>
          <t>High</t>
        </is>
      </c>
      <c r="H2920" s="33" t="inlineStr">
        <is>
          <t>Dom approval</t>
        </is>
      </c>
    </row>
    <row r="2921">
      <c r="A2921" s="33" t="inlineStr">
        <is>
          <t>2026-08-04</t>
        </is>
      </c>
      <c r="B2921" s="33" t="inlineStr">
        <is>
          <t>L11 (all)</t>
        </is>
      </c>
      <c r="C2921" s="33" t="inlineStr">
        <is>
          <t>Rule renumber 26 -&gt; 27</t>
        </is>
      </c>
      <c r="E2921" s="33" t="inlineStr">
        <is>
          <t>Merge resolution: a parallel 2026-08-02 session landed a different "rule 26" (exit-pending clock persistence) on main first. The Layer-11 conventions rule is now CLAUDE.md rule 27 (content unchanged, Dom approvals unchanged). Any earlier audit rationale citing "CLAUDE.md rule 26" for L11 conventions should be read as rule 27.</t>
        </is>
      </c>
      <c r="F2921" s="33" t="inlineStr">
        <is>
          <t>CLAUDE.md rule 27</t>
        </is>
      </c>
      <c r="G2921" s="33" t="inlineStr">
        <is>
          <t>High</t>
        </is>
      </c>
      <c r="H2921" s="33" t="inlineStr">
        <is>
          <t>Correction</t>
        </is>
      </c>
    </row>
    <row r="2922">
      <c r="A2922" s="33" t="inlineStr">
        <is>
          <t>2026-09-02</t>
        </is>
      </c>
      <c r="B2922" s="33" t="inlineStr">
        <is>
          <t>CRDO</t>
        </is>
      </c>
      <c r="C2922" s="33" t="inlineStr">
        <is>
          <t>M2</t>
        </is>
      </c>
      <c r="D2922" s="33" t="n">
        <v>4</v>
      </c>
      <c r="E2922" s="33" t="inlineStr">
        <is>
          <t>CHANGED 5 -&gt; 4. Rubric M2 is 6-month performance vs sector benchmark (SMH for semis). Measured 2026-09-02: CRDO +52.8% vs SMH +44.2% = +8.6pp outperformance, which is band 4 (5-20%), no longer band 5 (&gt;20%). Note the 3-month read is -15.2pp (band 2) after the -20.0% post-earnings session (206.63 -&gt; 165.22 on 29.9M shares); the 6-month band governs, so 4, not 3. This is a multiple de-rating, not an estimate cut - see the M1 entry: the two dimensions are correctly pulling apart.</t>
        </is>
      </c>
      <c r="F2922" s="33" t="inlineStr">
        <is>
          <t>yfinance price history 2026-09-02 (CRDO vs SMH, 126 trading days); rubric M2 bands</t>
        </is>
      </c>
      <c r="G2922" s="33" t="inlineStr">
        <is>
          <t>High</t>
        </is>
      </c>
      <c r="H2922" s="33" t="inlineStr">
        <is>
          <t>Claude proposed</t>
        </is>
      </c>
    </row>
    <row r="2923">
      <c r="A2923" s="33" t="inlineStr">
        <is>
          <t>2026-09-02</t>
        </is>
      </c>
      <c r="B2923" s="33" t="inlineStr">
        <is>
          <t>CRDO</t>
        </is>
      </c>
      <c r="C2923" s="33" t="inlineStr">
        <is>
          <t>M1</t>
        </is>
      </c>
      <c r="D2923" s="33" t="n">
        <v>5</v>
      </c>
      <c r="E2923" s="33" t="inlineStr">
        <is>
          <t>HELD at 5. Next-year consensus EPS moved 8.62 -&gt; 8.91 -&gt; 9.08 -&gt; 9.12 -&gt; 9.63 across the 90/60/30/7-day/current columns (+11.6%); current-year 6.06 -&gt; 6.27. Revision counts last 30 days: +1y 5 up / 0 down, 0q 4 up / 0 down, +1q 4 up / 0 down. That is the rubric's band-5 'multiple upward revisions, beat-and-raise, consensus moving higher'. Deliberately NOT marked down for the -20% price move: M1 measures estimates, M2 measures price. Rubric bias check applies ('near-mechanical rating, not a judgment call').</t>
        </is>
      </c>
      <c r="F2923" s="33" t="inlineStr">
        <is>
          <t>yfinance eps_trend / eps_revisions, pulled 2026-09-02</t>
        </is>
      </c>
      <c r="G2923" s="33" t="inlineStr">
        <is>
          <t>High</t>
        </is>
      </c>
      <c r="H2923" s="33" t="inlineStr">
        <is>
          <t>Claude proposed</t>
        </is>
      </c>
    </row>
    <row r="2924">
      <c r="A2924" s="33" t="inlineStr">
        <is>
          <t>2026-09-02</t>
        </is>
      </c>
      <c r="B2924" s="33" t="inlineStr">
        <is>
          <t>CRDO</t>
        </is>
      </c>
      <c r="C2924" s="33" t="inlineStr">
        <is>
          <t>M3</t>
        </is>
      </c>
      <c r="D2924" s="33" t="n">
        <v>3</v>
      </c>
      <c r="E2924" s="33" t="inlineStr">
        <is>
          <t>HELD at 3, now evidenced rather than defaulted. Parsed all 120 Form 4 filings 2025-09-02..2026-09-02 using the aff10b5One checkbox per transaction-filing (an earlier text-match pass was unreliable and is superseded). Step 1: ZERO open-market purchases (code P) in 12 months - no path to 4 or 5. Step 2: the large sales are 10b5-1 and therefore routine per the AIP precedent - CTO Cheng 1,333,763sh/$219.5M, COO Lam 811,439sh/$137.7M, CEO Brennan 388,440sh/$56.9M, CFO Fleming 180,092sh/$30.2M. Step 3: discretionary open-market selling by % of pre-holdings - Acevedo(Dir) 21.5%, Laufman(CLO) 14.7%, Hosein(Dir) 14.5%, Danesh(Dir) 13.2%, Khaira(Dir) 10.7%, Tan(Dir) 9.2%, Brennan(CEO) 8.0%; only ONE person clears 15%, so band 2's 'across multiple executives' is not met. Step 4 default = 3. FLAGGED FOR DOM, not acted on: aggregate 12-month insider selling is ~$446M, with the CTO exiting 92.2% and the CEO 54.1% of holdings on an all-sells basis. The rubric deliberately treats that as routine when it is plan-driven; the 'is anyone BUYING' test is the live concern, and the answer is no one, across 120 filings.</t>
        </is>
      </c>
      <c r="F2924" s="33" t="inlineStr">
        <is>
          <t>SEC EDGAR Form 4 CIK 1807794, 120 filings 2025-09-02..2026-09-02, aff10b5One per filing</t>
        </is>
      </c>
      <c r="G2924" s="33" t="inlineStr">
        <is>
          <t>High</t>
        </is>
      </c>
      <c r="H2924" s="33" t="inlineStr">
        <is>
          <t>Claude proposed</t>
        </is>
      </c>
    </row>
    <row r="2925">
      <c r="A2925" s="33" t="inlineStr">
        <is>
          <t>2026-09-02</t>
        </is>
      </c>
      <c r="B2925" s="33" t="inlineStr">
        <is>
          <t>CRDO</t>
        </is>
      </c>
      <c r="C2925" s="33" t="inlineStr">
        <is>
          <t>D2</t>
        </is>
      </c>
      <c r="D2925" s="33" t="n">
        <v>4</v>
      </c>
      <c r="E2925" s="33" t="inlineStr">
        <is>
          <t>HELD at 4 despite the 2026-09-01 briefing flagging 'likely up'. DustPhotonics is now consolidated (goodwill 92.8M -&gt; 986.4M, intangibles 29.3M -&gt; 378.8M) and CRDO owns die-level SiPho + optical DSP + ZeroFlap, each guided &gt;$100M in FY27. But rubric band 5 requires an upstream bottleneck with limited substitutes and demonstrable pricing power; CRDO faces 2-4 viable competitors in DSP (Marvell, Broadcom, Semtech, MaxLinear) and in AEC (Astera, Amphenol, Molex), which is the band-4 definition. Vertical integration deepens the MOAT (D3), it does not make CRDO a bottleneck. Rubric failure mode explicitly warned against: conflating high share / differentiation with bottleneck status.</t>
        </is>
      </c>
      <c r="F2925" s="33" t="inlineStr">
        <is>
          <t>context-2026-09-01.md; 8-K Ex-99.1 2026-09-01 balance sheet; rubric D2 bands</t>
        </is>
      </c>
      <c r="G2925" s="33" t="inlineStr">
        <is>
          <t>Medium</t>
        </is>
      </c>
      <c r="H2925" s="33" t="inlineStr">
        <is>
          <t>Claude proposed</t>
        </is>
      </c>
    </row>
    <row r="2926">
      <c r="A2926" s="33" t="inlineStr">
        <is>
          <t>2026-09-02</t>
        </is>
      </c>
      <c r="B2926" s="33" t="inlineStr">
        <is>
          <t>CRDO</t>
        </is>
      </c>
      <c r="C2926" s="33" t="inlineStr">
        <is>
          <t>R3</t>
        </is>
      </c>
      <c r="D2926" s="33" t="n">
        <v>5</v>
      </c>
      <c r="E2926" s="33" t="inlineStr">
        <is>
          <t>HELD at 5; the briefing's 'possible down one notch' is DECLINED on rubric grounds. R3 band 5 is 'net cash position, strong FCF generation, no debt concerns' - CRDO has $764.3M cash + ST investments, zero debt, total liabilities $284M, positive FCF. The briefing's concern is real but is a DIFFERENT risk: goodwill + intangibles at 45% of total assets is impairment risk, not leverage/maturity/FCF-resilience risk, and the rubric's own note scopes R3 to 'maturities, FCF resilience, and dilution risk'. Dilution: up to ~3.21M contingent shares on ~188M outstanding = ~1.7%, not material. Rating an impairment exposure through R3 would be methodology drift (rule 8) and a per-name tweak to a framework dimension (feedback_framework_vs_name_decisions). SURFACED FOR DOM: if impairment/intangible-quality deserves a home in the rubric, that is a rubric change proposed explicitly, not a CRDO nudge.</t>
        </is>
      </c>
      <c r="F2926" s="33" t="inlineStr">
        <is>
          <t>8-K Ex-99.1 2026-09-01 balance sheet; rubric R3 bands + scope note; CLAUDE.md rule 8</t>
        </is>
      </c>
      <c r="G2926" s="33" t="inlineStr">
        <is>
          <t>Medium</t>
        </is>
      </c>
      <c r="H2926" s="33" t="inlineStr">
        <is>
          <t>Claude proposed</t>
        </is>
      </c>
    </row>
    <row r="2927">
      <c r="A2927" s="33" t="inlineStr">
        <is>
          <t>2026-09-02</t>
        </is>
      </c>
      <c r="B2927" s="33" t="inlineStr">
        <is>
          <t>CRDO</t>
        </is>
      </c>
      <c r="C2927" s="33" t="inlineStr">
        <is>
          <t>R1</t>
        </is>
      </c>
      <c r="D2927" s="33" t="n">
        <v>2</v>
      </c>
      <c r="E2927" s="33" t="inlineStr">
        <is>
          <t>HELD at 2, and flagged as the single most debatable rating in this pass. Q1 FY27 customer mix: top-1 33%, top-2 61%, top-4 84%; management expects 3-4 customers &gt;10% to persist. Read literally, the rubric's R1 bands key off the TOP customer only, and 33% falls in band 3 ('top customer 25-40%'). Read on intent - aggregate dependence on a tiny buyer set - 84% top-4 is band 2 or worse. Held at 2 for three reasons: (1) the 2026-09-01 briefing explicitly said hold, do not upgrade; (2) an upgrade would RAISE the score of a name that just fell 20%, which is exactly the direction to be most skeptical about; (3) the rubric already carries a precedent (the R1 government-monopsony convention) for grading concentration on the shape of the book rather than mechanically on one number. RECOMMENDATION FOR DOM: this is a rubric gap, not a CRDO judgment - R1's bands assume a single dominant customer and do not describe a 33/28/13/10 profile. Worth a rubric clarification; not worth a per-name nudge (feedback_no_rating_nudges).</t>
        </is>
      </c>
      <c r="F2927" s="33" t="inlineStr">
        <is>
          <t>context-2026-09-01.md customer mix; rubric R1 bands + government-customer convention</t>
        </is>
      </c>
      <c r="G2927" s="33" t="inlineStr">
        <is>
          <t>Low</t>
        </is>
      </c>
      <c r="H2927" s="33" t="inlineStr">
        <is>
          <t>Claude proposed</t>
        </is>
      </c>
    </row>
    <row r="2928">
      <c r="A2928" s="33" t="inlineStr">
        <is>
          <t>2026-09-02</t>
        </is>
      </c>
      <c r="B2928" s="33" t="inlineStr">
        <is>
          <t>CRDO</t>
        </is>
      </c>
      <c r="C2928" s="33" t="inlineStr">
        <is>
          <t>D1/D3/D4/D5/R2/R4/R5</t>
        </is>
      </c>
      <c r="E2928" s="33" t="inlineStr">
        <is>
          <t>HELD unchanged (D1 5, D3 4, D4 4, D5 5, R2 4, R4 5, R5 5). Reviewed against the post-earnings briefing; nothing in the Q1 FY27 print contradicts the June/September reads. D5: 84% of revenue from four AI-infrastructure buyers with FY27 growth guided &gt;85% - unchanged in substance. R5 stays 5 per rule 16 (sub-5 R5 is scoped to Layer 10 only; CRDO is Layer 07).</t>
        </is>
      </c>
      <c r="F2928" s="33" t="inlineStr">
        <is>
          <t>context-2026-09-01.md; CLAUDE.md rule 16</t>
        </is>
      </c>
      <c r="G2928" s="33" t="inlineStr">
        <is>
          <t>High</t>
        </is>
      </c>
      <c r="H2928" s="33" t="inlineStr">
        <is>
          <t>Claude proposed</t>
        </is>
      </c>
    </row>
    <row r="2929">
      <c r="A2929" s="33" t="inlineStr">
        <is>
          <t>2026-09-04</t>
        </is>
      </c>
      <c r="B2929" s="33" t="inlineStr">
        <is>
          <t>AVGO</t>
        </is>
      </c>
      <c r="C2929" s="33" t="inlineStr">
        <is>
          <t>M1</t>
        </is>
      </c>
      <c r="D2929" s="33" t="n">
        <v>4</v>
      </c>
      <c r="E2929" s="33" t="inlineStr">
        <is>
          <t>CHANGED 5 -&gt; 4. Rubric band 5 requires 'consensus moving higher'; band 4 = 'net positive revisions, some up, few down'. Revision COUNTS are net positive (last 30d: +1y 6 up/1 down, 0y 2/1, +1q 2/1, 0q 0/1 = 11 up / 4 down) but the LEVEL is flat: +1y EPS 19.39 -&gt; 19.37 over 90d (-0.1%), 0y 11.62 -&gt; 11.64 (+0.2%), +1q 4.11 -&gt; 4.07 (-1.0%), and +1y fell 1.0% in the 7 days AFTER the beat-and-raise (19.57 -&gt; 19.37) as the ~73% Q4 gross-margin guide (vs 78% a year ago) trimmed out-quarters. Beat-and-raise pattern present, consensus not moving higher -&gt; 4. Near-mechanical per the bias check.</t>
        </is>
      </c>
      <c r="F2929" s="33" t="inlineStr">
        <is>
          <t>yfinance eps_trend / eps_revisions pulled 2026-09-04; 8-K 2026-09-02 Ex-99.1 Q4 outlook</t>
        </is>
      </c>
      <c r="G2929" s="33" t="inlineStr">
        <is>
          <t>High</t>
        </is>
      </c>
      <c r="H2929" s="33" t="inlineStr">
        <is>
          <t>Claude proposed</t>
        </is>
      </c>
    </row>
    <row r="2930">
      <c r="A2930" s="33" t="inlineStr">
        <is>
          <t>2026-09-04</t>
        </is>
      </c>
      <c r="B2930" s="33" t="inlineStr">
        <is>
          <t>AVGO</t>
        </is>
      </c>
      <c r="C2930" s="33" t="inlineStr">
        <is>
          <t>M2</t>
        </is>
      </c>
      <c r="D2930" s="33" t="n">
        <v>1</v>
      </c>
      <c r="E2930" s="33" t="inlineStr">
        <is>
          <t>HELD at 1, re-measured. 6-month vs SMH: AVGO +8.7% vs SMH +49.0% from 2026-03-06 = -40.3pp (band 1, lagging &gt;20%). 3-month: -7.1% vs -0.5% = -6.6pp (band 2). 6-month band governs (CRDO 2026-09-02 precedent). Post-print reaction -2.75% on 3x volume did not change the read. Momentum input, not quality - don't fight it.</t>
        </is>
      </c>
      <c r="F2930" s="33" t="inlineStr">
        <is>
          <t>yfinance price history 2026-09-04, AVGO vs SMH, 126/63 trading days; rubric M2 bands</t>
        </is>
      </c>
      <c r="G2930" s="33" t="inlineStr">
        <is>
          <t>High</t>
        </is>
      </c>
      <c r="H2930" s="33" t="inlineStr">
        <is>
          <t>Claude proposed</t>
        </is>
      </c>
    </row>
    <row r="2931">
      <c r="A2931" s="33" t="inlineStr">
        <is>
          <t>2026-09-04</t>
        </is>
      </c>
      <c r="B2931" s="33" t="inlineStr">
        <is>
          <t>AVGO</t>
        </is>
      </c>
      <c r="C2931" s="33" t="inlineStr">
        <is>
          <t>M3</t>
        </is>
      </c>
      <c r="D2931" s="33" t="n">
        <v>4</v>
      </c>
      <c r="E2931" s="33" t="inlineStr">
        <is>
          <t>HELD at 4, re-evidenced. Step 1: exactly ONE insider buying - director Harry You, five open-market P-code buys in the 12-month window: 2025-09-10 x3 (3,550 sh, ~$1.23M same-day aggregate; largest single fill $707K, so the &gt;$1M single-buy path to 5 is not met - consistent with the 2026-05-18 call), 2025-12-22 (1,000 sh @ $325.13) and NEW 2026-06-15 (1,000 sh @ $373.57, post 38,466 sh). One buyer -&gt; 4. The Sep-2025 buys exit the window within days; the June buy keeps the rating alive on its own. FLAGGED FOR DOM, not acted on: selling is heavy and NOT 10b5-1-flagged for the officers - Tan (CEO) 548,154 sh/$185.1M = ~40% of pre-holdings (post 825,998); Brazeal (CLO) 312,767 sh/$109.5M = ~49% across 109 fills (cadence reads like an unflagged plan); Spears (CFO) 108,566 sh/$36.3M = ~26%; Velaga/Kawwas ~52-53%. Samueli's 2.13M sh/$752.9M IS 10b5-1 -&gt; routine. Rubric step 1 makes buying dispositive, so 4 stands; if Dom wants the officer selling to count, that is a rubric change (rule 8), not a per-name nudge.</t>
        </is>
      </c>
      <c r="F2931" s="33" t="inlineStr">
        <is>
          <t>SEC EDGAR Form 4, CIK 1730168, 55 filings 2025-09-10..2026-07-14 (370 transactions parsed, aff10b5One per filing)</t>
        </is>
      </c>
      <c r="G2931" s="33" t="inlineStr">
        <is>
          <t>High</t>
        </is>
      </c>
      <c r="H2931" s="33" t="inlineStr">
        <is>
          <t>Claude proposed</t>
        </is>
      </c>
    </row>
    <row r="2932">
      <c r="A2932" s="33" t="inlineStr">
        <is>
          <t>2026-09-04</t>
        </is>
      </c>
      <c r="B2932" s="33" t="inlineStr">
        <is>
          <t>AVGO</t>
        </is>
      </c>
      <c r="C2932" s="33" t="inlineStr">
        <is>
          <t>D1</t>
        </is>
      </c>
      <c r="D2932" s="33" t="n">
        <v>5</v>
      </c>
      <c r="E2932" s="33" t="inlineStr">
        <is>
          <t>HELD at 5. AI semiconductor revenue $16.7B of $29.6B = 56% in Q3 FY26 (&gt;50% band); Q4 guide ~$21.7B of ~$34.8B = 62%. Already at max.</t>
        </is>
      </c>
      <c r="F2932" s="33" t="inlineStr">
        <is>
          <t>Q3 FY26 call (Tan) + 8-K 2026-09-02 Ex-99.1</t>
        </is>
      </c>
      <c r="G2932" s="33" t="inlineStr">
        <is>
          <t>High</t>
        </is>
      </c>
      <c r="H2932" s="33" t="inlineStr">
        <is>
          <t>Claude proposed</t>
        </is>
      </c>
    </row>
    <row r="2933">
      <c r="A2933" s="33" t="inlineStr">
        <is>
          <t>2026-09-04</t>
        </is>
      </c>
      <c r="B2933" s="33" t="inlineStr">
        <is>
          <t>AVGO</t>
        </is>
      </c>
      <c r="C2933" s="33" t="inlineStr">
        <is>
          <t>D2</t>
        </is>
      </c>
      <c r="D2933" s="33" t="n">
        <v>5</v>
      </c>
      <c r="E2933" s="33" t="inlineStr">
        <is>
          <t>HELD at 5. The 2026-06-12 raise rested on AI bookings &gt; shipments (&gt;$30B vs $10.8B). That metric was DISCONTINUED this quarter - unobserved, not deteriorating. Replacement evidence for the bottleneck: named GW ladders through 2028 at four accounts (Anthropic 1-&gt;5-&gt;10 GW, OpenAI 1.3 then &gt;5 GW, Meta 3 GW, Google multi-tens-of-$B/yr) and 'we have secured the supply to again double AI revenue to ~$115B' in FY27. Dual-sourcing (MediaTek compute die, Marvell attach) is real but is a moat question (D3), not a bottleneck question. Rule 23: D2&lt;-&gt;D3 +0.73, do not move both on one datapoint - neither moved.</t>
        </is>
      </c>
      <c r="F2933" s="33" t="inlineStr">
        <is>
          <t>Q3 FY26 call; 8-K 2026-09-02 Ex-99.1; thesis.md section 3 (PR #51)</t>
        </is>
      </c>
      <c r="G2933" s="33" t="inlineStr">
        <is>
          <t>Medium</t>
        </is>
      </c>
      <c r="H2933" s="33" t="inlineStr">
        <is>
          <t>Claude proposed</t>
        </is>
      </c>
    </row>
    <row r="2934">
      <c r="A2934" s="33" t="inlineStr">
        <is>
          <t>2026-09-04</t>
        </is>
      </c>
      <c r="B2934" s="33" t="inlineStr">
        <is>
          <t>AVGO</t>
        </is>
      </c>
      <c r="C2934" s="33" t="inlineStr">
        <is>
          <t>D3</t>
        </is>
      </c>
      <c r="D2934" s="33" t="n">
        <v>4</v>
      </c>
      <c r="E2934" s="33" t="inlineStr">
        <is>
          <t>HELD at 4. Wide moat with a live, now quantified erosion vector: sell-side retained-share estimates at Google span 55-80%. No observed displacement. Would rate the same if the stock were down 40% (it is down ~40pp vs SMH over 6 months - the bias check is not hypothetical here). Inverse test for 3: would need visible share loss at an anchor account or price concession; neither observed.</t>
        </is>
      </c>
      <c r="F2934" s="33" t="inlineStr">
        <is>
          <t>thesis.md section 6 (PR #51); Q3 FY26 call</t>
        </is>
      </c>
      <c r="G2934" s="33" t="inlineStr">
        <is>
          <t>Medium</t>
        </is>
      </c>
      <c r="H2934" s="33" t="inlineStr">
        <is>
          <t>Claude proposed</t>
        </is>
      </c>
    </row>
    <row r="2935">
      <c r="A2935" s="33" t="inlineStr">
        <is>
          <t>2026-09-04</t>
        </is>
      </c>
      <c r="B2935" s="33" t="inlineStr">
        <is>
          <t>AVGO</t>
        </is>
      </c>
      <c r="C2935" s="33" t="inlineStr">
        <is>
          <t>D4</t>
        </is>
      </c>
      <c r="D2935" s="33" t="n">
        <v>5</v>
      </c>
      <c r="E2935" s="33" t="inlineStr">
        <is>
          <t>HELD at 5. Customer-committed multi-year ramp (GW ladders to 2028) is the buildout for a fabless designer; supply 'secured' for FY27 doubling. Capex itself is small ($532M in Q3) by construction of the model - not a D4 negative.</t>
        </is>
      </c>
      <c r="F2935" s="33" t="inlineStr">
        <is>
          <t>8-K 2026-09-02 Ex-99.1 cash-flow statement; Q3 FY26 call</t>
        </is>
      </c>
      <c r="G2935" s="33" t="inlineStr">
        <is>
          <t>High</t>
        </is>
      </c>
      <c r="H2935" s="33" t="inlineStr">
        <is>
          <t>Claude proposed</t>
        </is>
      </c>
    </row>
    <row r="2936">
      <c r="A2936" s="33" t="inlineStr">
        <is>
          <t>2026-09-04</t>
        </is>
      </c>
      <c r="B2936" s="33" t="inlineStr">
        <is>
          <t>AVGO</t>
        </is>
      </c>
      <c r="C2936" s="33" t="inlineStr">
        <is>
          <t>D5</t>
        </is>
      </c>
      <c r="D2936" s="33" t="n">
        <v>5</v>
      </c>
      <c r="E2936" s="33" t="inlineStr">
        <is>
          <t>HELD at 5. Four named hyperscaler/lab anchors (Google, Meta, Anthropic, OpenAI) plus two unnamed; combined far above the &gt;30% band. Already at max.</t>
        </is>
      </c>
      <c r="F2936" s="33" t="inlineStr">
        <is>
          <t>Q3 FY26 call</t>
        </is>
      </c>
      <c r="G2936" s="33" t="inlineStr">
        <is>
          <t>High</t>
        </is>
      </c>
      <c r="H2936" s="33" t="inlineStr">
        <is>
          <t>Claude proposed</t>
        </is>
      </c>
    </row>
    <row r="2937">
      <c r="A2937" s="33" t="inlineStr">
        <is>
          <t>2026-09-04</t>
        </is>
      </c>
      <c r="B2937" s="33" t="inlineStr">
        <is>
          <t>AVGO</t>
        </is>
      </c>
      <c r="C2937" s="33" t="inlineStr">
        <is>
          <t>R1</t>
        </is>
      </c>
      <c r="D2937" s="33" t="n">
        <v>3</v>
      </c>
      <c r="E2937" s="33" t="inlineStr">
        <is>
          <t>HELD at 3. 10-Q: 'aggregate sales, through all channels, to our top five end customers accounted for approximately 45% of our net revenue for the two fiscal quarters ended May 3, 2026'; the largest (Google, via distributors) sits in the 25-40% band per the 2026-05-18 estimate and nothing disclosed puts it above 40%. Concentration is sharper in outline (six XPU customers, two of them financing capacity through levered vehicles) but the band is unchanged. Rubric gap noted by #51 for CRDO applies here too: bands key off the top customer, not the top-5 = 45%.</t>
        </is>
      </c>
      <c r="F2937" s="33" t="inlineStr">
        <is>
          <t>10-Q Q2 FY26 (filed 2026-06-09), Risk Factors</t>
        </is>
      </c>
      <c r="G2937" s="33" t="inlineStr">
        <is>
          <t>Medium</t>
        </is>
      </c>
      <c r="H2937" s="33" t="inlineStr">
        <is>
          <t>Claude proposed</t>
        </is>
      </c>
    </row>
    <row r="2938">
      <c r="A2938" s="33" t="inlineStr">
        <is>
          <t>2026-09-04</t>
        </is>
      </c>
      <c r="B2938" s="33" t="inlineStr">
        <is>
          <t>AVGO</t>
        </is>
      </c>
      <c r="C2938" s="33" t="inlineStr">
        <is>
          <t>R2</t>
        </is>
      </c>
      <c r="D2938" s="33" t="n">
        <v>4</v>
      </c>
      <c r="E2938" s="33" t="inlineStr">
        <is>
          <t>HELD at 4. No new geographic disclosure this quarter (8-K carries no regional split). Worst plausible shock unchanged: China/export-control tightening on custom-silicon or networking; demand-leg concentration to Asia-shipped supply chain. 10-Q upfront-license split is Americas-dominant ($1,456M vs $137M APAC Q2 FY26). One leg, demand only.</t>
        </is>
      </c>
      <c r="F2938" s="33" t="inlineStr">
        <is>
          <t>10-Q Q2 FY26; 8-K 2026-09-02</t>
        </is>
      </c>
      <c r="G2938" s="33" t="inlineStr">
        <is>
          <t>Medium</t>
        </is>
      </c>
      <c r="H2938" s="33" t="inlineStr">
        <is>
          <t>Claude proposed</t>
        </is>
      </c>
    </row>
    <row r="2939">
      <c r="A2939" s="33" t="inlineStr">
        <is>
          <t>2026-09-04</t>
        </is>
      </c>
      <c r="B2939" s="33" t="inlineStr">
        <is>
          <t>AVGO</t>
        </is>
      </c>
      <c r="C2939" s="33" t="inlineStr">
        <is>
          <t>R3</t>
        </is>
      </c>
      <c r="D2939" s="33" t="n">
        <v>4</v>
      </c>
      <c r="E2939" s="33" t="inlineStr">
        <is>
          <t>HELD at 4 - DEFERRED, not confirmed. ND/EBITDA 0.68 (refreshed 2026-09-04) and net debt improved argue for 5; the off-balance-sheet RVG guarantee on the $35B AI XPV (Apollo/Blackstone; ~$29B max on the initial tranche per thesis section 9) argues against. The Q3 10-Q has NOT been filed (latest 10-Q 2026-06-09) - its guarantee footnote is the deciding document. Do not move on management's 'low risk' characterisation. Rule 23: R3&lt;-&gt;ND/EBITDA +0.77 - this is exactly the case where R3 must carry what the ratio cannot.</t>
        </is>
      </c>
      <c r="F2939" s="33" t="inlineStr">
        <is>
          <t>EDGAR submissions CIK 1730168 checked 2026-09-04 (no 10-Q since 2026-06-09); 8-K 2026-09-02; thesis.md section 9</t>
        </is>
      </c>
      <c r="G2939" s="33" t="inlineStr">
        <is>
          <t>Medium</t>
        </is>
      </c>
      <c r="H2939" s="33" t="inlineStr">
        <is>
          <t>Claude proposed</t>
        </is>
      </c>
    </row>
    <row r="2940">
      <c r="A2940" s="33" t="inlineStr">
        <is>
          <t>2026-09-04</t>
        </is>
      </c>
      <c r="B2940" s="33" t="inlineStr">
        <is>
          <t>AVGO</t>
        </is>
      </c>
      <c r="C2940" s="33" t="inlineStr">
        <is>
          <t>R4</t>
        </is>
      </c>
      <c r="D2940" s="33" t="n">
        <v>4</v>
      </c>
      <c r="E2940" s="33" t="inlineStr">
        <is>
          <t>HELD at 4. 8-K 2026-09-02 Item 8.01 is a $0.65 quarterly dividend declaration only; no investigation or litigation 8-K in the window. Routine.</t>
        </is>
      </c>
      <c r="F2940" s="33" t="inlineStr">
        <is>
          <t>8-K 2026-09-02 Item 8.01; EDGAR filing index</t>
        </is>
      </c>
      <c r="G2940" s="33" t="inlineStr">
        <is>
          <t>High</t>
        </is>
      </c>
      <c r="H2940" s="33" t="inlineStr">
        <is>
          <t>Claude proposed</t>
        </is>
      </c>
    </row>
    <row r="2941">
      <c r="A2941" s="33" t="inlineStr">
        <is>
          <t>2026-09-04</t>
        </is>
      </c>
      <c r="B2941" s="33" t="inlineStr">
        <is>
          <t>AVGO</t>
        </is>
      </c>
      <c r="C2941" s="33" t="inlineStr">
        <is>
          <t>R5</t>
        </is>
      </c>
      <c r="D2941" s="33" t="n">
        <v>5</v>
      </c>
      <c r="E2941" s="33" t="inlineStr">
        <is>
          <t>HELD at 5. Not Layer 10; rule 16 default.</t>
        </is>
      </c>
      <c r="F2941" s="33" t="inlineStr">
        <is>
          <t>CLAUDE.md rule 16</t>
        </is>
      </c>
      <c r="G2941" s="33" t="inlineStr">
        <is>
          <t>High</t>
        </is>
      </c>
      <c r="H2941" s="33" t="inlineStr">
        <is>
          <t>Claude proposed</t>
        </is>
      </c>
    </row>
    <row r="2942">
      <c r="A2942" s="33" t="inlineStr">
        <is>
          <t>2026-09-07</t>
        </is>
      </c>
      <c r="B2942" s="33" t="inlineStr">
        <is>
          <t>DDOG</t>
        </is>
      </c>
      <c r="C2942" s="33" t="inlineStr">
        <is>
          <t>M1</t>
        </is>
      </c>
      <c r="D2942" s="33" t="n">
        <v>4</v>
      </c>
      <c r="E2942" s="33" t="inlineStr">
        <is>
          <t>5→4. FY2026 guide raised ($4.45-4.47B) but Q3 guided to $1.135-1.145B, implying ~29% YoY against 36% delivered — the deceleration is company-guided, driven by the disclosed sequential usage step-down at the largest customer beginning Q3. Beat-and-raise on the full year with a framed-down next quarter is 'net positive, some down', not the unambiguous upward pattern a 5 requires.</t>
        </is>
      </c>
      <c r="F2942" s="33" t="inlineStr">
        <is>
          <t>8-K Ex-99.1 2026-08-06; context-2026-09-07.md</t>
        </is>
      </c>
      <c r="G2942" s="33" t="inlineStr">
        <is>
          <t>High</t>
        </is>
      </c>
      <c r="H2942" s="33" t="inlineStr">
        <is>
          <t>Claude proposed</t>
        </is>
      </c>
    </row>
    <row r="2943">
      <c r="A2943" s="33" t="inlineStr">
        <is>
          <t>2026-09-07</t>
        </is>
      </c>
      <c r="B2943" s="33" t="inlineStr">
        <is>
          <t>CRWD</t>
        </is>
      </c>
      <c r="C2943" s="33" t="inlineStr">
        <is>
          <t>D2</t>
        </is>
      </c>
      <c r="D2943" s="33" t="n">
        <v>4</v>
      </c>
      <c r="E2943" s="33" t="inlineStr">
        <is>
          <t>3→4. Falcon Flex ending ARR &gt;$2.29B, +101% YoY (~39% of total ARR), with module adoption at 51%/35%/26% of subscription customers on six+/seven+/eight+ modules. Deepening attach plus a consumption-style commercial model re-accelerating net new ARR to a record $332.8M (+51%) is demonstrable pricing firmness against a small competitor set (MSFT Defender, PANW, SentinelOne). Also removes an inconsistency with PANW, rated 4 on a weaker platform-position case.</t>
        </is>
      </c>
      <c r="F2943" s="33" t="inlineStr">
        <is>
          <t>8-K Ex-99.1 2026-08-26; context-2026-09-07.md</t>
        </is>
      </c>
      <c r="G2943" s="33" t="inlineStr">
        <is>
          <t>Medium</t>
        </is>
      </c>
      <c r="H2943" s="33" t="inlineStr">
        <is>
          <t>Claude proposed</t>
        </is>
      </c>
    </row>
    <row r="2944">
      <c r="A2944" s="33" t="inlineStr">
        <is>
          <t>2026-09-07</t>
        </is>
      </c>
      <c r="B2944" s="33" t="inlineStr">
        <is>
          <t>CRWD</t>
        </is>
      </c>
      <c r="C2944" s="33" t="inlineStr">
        <is>
          <t>D5</t>
        </is>
      </c>
      <c r="D2944" s="33" t="n">
        <v>3</v>
      </c>
      <c r="E2944" s="33" t="inlineStr">
        <is>
          <t>2→3. Moves from thematic adjacency to a named, shipped demand tie: Anthropic's Mythos model (reported capable of exploiting previously-unknown vulnerabilities) is cited by management as translating into 'mass-market acceptance that AI adoption needs security', and Continuous Identity for AI Agents extends authorization to non-human/agent identities. Held at 3 rather than higher because no AI-specific revenue is broken out — the tie is evidenced by catalyst and product, not by a disclosed revenue share.</t>
        </is>
      </c>
      <c r="F2944" s="33" t="inlineStr">
        <is>
          <t>8-K Ex-99.1 2026-08-26; Qz 2026-08-26; context-2026-09-07.md</t>
        </is>
      </c>
      <c r="G2944" s="33" t="inlineStr">
        <is>
          <t>Medium</t>
        </is>
      </c>
      <c r="H2944" s="33" t="inlineStr">
        <is>
          <t>Claude proposed</t>
        </is>
      </c>
    </row>
    <row r="2945">
      <c r="A2945" s="33" t="inlineStr">
        <is>
          <t>2026-09-07</t>
        </is>
      </c>
      <c r="B2945" s="33" t="inlineStr">
        <is>
          <t>CRWD</t>
        </is>
      </c>
      <c r="C2945" s="33" t="inlineStr">
        <is>
          <t>M1</t>
        </is>
      </c>
      <c r="D2945" s="33" t="n">
        <v>5</v>
      </c>
      <c r="E2945" s="33" t="inlineStr">
        <is>
          <t>4→5. Guidance raised across every metric: FY27 net new ARR growth outlook up 630bps to 34% at the midpoint, FY27 revenue $5.991-6.011B, ARR $6.603-6.612B, non-GAAP EPS $1.25-1.26; shares +11% in extended trade on the print. Textbook beat-and-raise with consensus moving higher.</t>
        </is>
      </c>
      <c r="F2945" s="33" t="inlineStr">
        <is>
          <t>8-K Ex-99.1 2026-08-26; CNBC 2026-08-26; context-2026-09-07.md</t>
        </is>
      </c>
      <c r="G2945" s="33" t="inlineStr">
        <is>
          <t>High</t>
        </is>
      </c>
      <c r="H2945" s="33" t="inlineStr">
        <is>
          <t>Claude proposed</t>
        </is>
      </c>
    </row>
    <row r="2946">
      <c r="A2946" s="33" t="inlineStr">
        <is>
          <t>2026-09-07</t>
        </is>
      </c>
      <c r="B2946" s="33" t="inlineStr">
        <is>
          <t>MDB</t>
        </is>
      </c>
      <c r="C2946" s="33" t="inlineStr">
        <is>
          <t>M2</t>
        </is>
      </c>
      <c r="D2946" s="33" t="n">
        <v>4</v>
      </c>
      <c r="E2946" s="33" t="inlineStr">
        <is>
          <t>3→4. Measured relative strength, not impression: MDB +36.3% vs IGV +18.9% over six months = +17.4pts, inside the 5-20pt band. The three-month read is -4.0pts (in line), consistent with the post-print drawdown. Prior 3 predates the six-month move.</t>
        </is>
      </c>
      <c r="F2946" s="33" t="inlineStr">
        <is>
          <t>yfinance closes through 2026-09-07 vs IGV; rubric M2 6-month band</t>
        </is>
      </c>
      <c r="G2946" s="33" t="inlineStr">
        <is>
          <t>High</t>
        </is>
      </c>
      <c r="H2946" s="33" t="inlineStr">
        <is>
          <t>Claude proposed</t>
        </is>
      </c>
    </row>
    <row r="2947">
      <c r="A2947" s="33" t="inlineStr">
        <is>
          <t>2026-09-07</t>
        </is>
      </c>
      <c r="B2947" s="33" t="inlineStr">
        <is>
          <t>PATH</t>
        </is>
      </c>
      <c r="C2947" s="33" t="inlineStr">
        <is>
          <t>D1</t>
        </is>
      </c>
      <c r="D2947" s="33" t="n">
        <v>2</v>
      </c>
      <c r="E2947" s="33" t="inlineStr">
        <is>
          <t>1→2. Prior 1 ('marketing claims AI exposure but financials don't show it') is no longer accurate: Maestro Case and Maestro Flow are shipped product, 18 of the top 20 deals in the quarter included AI, and named agentic expansions carry dollar figures (7-figure life-sciences expansion across 70 countries with Accenture). Held at 2 and NOT higher because UiPath still discloses no agentic-specific revenue, ARR or consumption, and management says pricing is still being experimented with — this is 'some exposure, growing, not yet material', which is exactly band 2.</t>
        </is>
      </c>
      <c r="F2947" s="33" t="inlineStr">
        <is>
          <t>8-K Ex-99.1 2026-09-03; context-2026-09-07.md</t>
        </is>
      </c>
      <c r="G2947" s="33" t="inlineStr">
        <is>
          <t>Medium</t>
        </is>
      </c>
      <c r="H2947" s="33" t="inlineStr">
        <is>
          <t>Claude proposed</t>
        </is>
      </c>
    </row>
    <row r="2948">
      <c r="A2948" s="33" t="inlineStr">
        <is>
          <t>2026-09-07</t>
        </is>
      </c>
      <c r="B2948" s="33" t="inlineStr">
        <is>
          <t>PATH</t>
        </is>
      </c>
      <c r="C2948" s="33" t="inlineStr">
        <is>
          <t>D2</t>
        </is>
      </c>
      <c r="D2948" s="33" t="n">
        <v>3</v>
      </c>
      <c r="E2948" s="33" t="inlineStr">
        <is>
          <t>2→3. 97% gross retention is direct evidence that switching has real cost, which band 2 ('commoditized, competition mostly on price') denies. Third-party corroboration that others build UiPath into their own delivery stack: Databricks validated-partner status and the Deloitte Ascend embed. Counter-pressure acknowledged and unchanged — hyperscalers and frontier-model vendors are moving into the orchestration layer, and Microsoft Power Automate retains a structural price advantage.</t>
        </is>
      </c>
      <c r="F2948" s="33" t="inlineStr">
        <is>
          <t>8-K Ex-99.1 2026-09-03; context-2026-09-07.md</t>
        </is>
      </c>
      <c r="G2948" s="33" t="inlineStr">
        <is>
          <t>Medium</t>
        </is>
      </c>
      <c r="H2948" s="33" t="inlineStr">
        <is>
          <t>Claude proposed</t>
        </is>
      </c>
    </row>
    <row r="2949">
      <c r="A2949" s="33" t="inlineStr">
        <is>
          <t>2026-09-07</t>
        </is>
      </c>
      <c r="B2949" s="33" t="inlineStr">
        <is>
          <t>PATH</t>
        </is>
      </c>
      <c r="C2949" s="33" t="inlineStr">
        <is>
          <t>D3</t>
        </is>
      </c>
      <c r="D2949" s="33" t="n">
        <v>3</v>
      </c>
      <c r="E2949" s="33" t="inlineStr">
        <is>
          <t>2→3. Pro-moat evidence is now quantified: gross retention 97%, &gt;$1M-ARR customers 387 (+21%), DoD selecting UiPath explicitly on governance, on-prem/data-sovereignty deployment for regulated industries, and the Rule 14 LLC patent suit terminated 2025-09-09. Against: GAAP gross margin compressed 82%→80% on a services-heavy delivery model and R&amp;D fell 15% YoY. Net = 'modest moat, share roughly stable, pricing competitive' (band 3), not band 2's 'losing share possible'.</t>
        </is>
      </c>
      <c r="F2949" s="33" t="inlineStr">
        <is>
          <t>8-K Ex-99.1 2026-09-03; context-2026-09-07.md</t>
        </is>
      </c>
      <c r="G2949" s="33" t="inlineStr">
        <is>
          <t>Medium</t>
        </is>
      </c>
      <c r="H2949" s="33" t="inlineStr">
        <is>
          <t>Claude proposed</t>
        </is>
      </c>
    </row>
    <row r="2950">
      <c r="A2950" s="33" t="inlineStr">
        <is>
          <t>2026-09-07</t>
        </is>
      </c>
      <c r="B2950" s="33" t="inlineStr">
        <is>
          <t>PATH</t>
        </is>
      </c>
      <c r="C2950" s="33" t="inlineStr">
        <is>
          <t>D4</t>
        </is>
      </c>
      <c r="D2950" s="33" t="n">
        <v>2</v>
      </c>
      <c r="E2950" s="33" t="inlineStr">
        <is>
          <t>3→2. Downgrade on disclosed underinvestment: R&amp;D spend is DOWN 15% YoY during a platform pivot to agentic orchestration, alongside $5.0M of restructuring charges and a 42% cut to SBC. Band 2 is 'capex constrained or deferred, underinvesting vs the opportunity' — cutting product investment while repositioning the platform is that, whatever its margin merits. The margin expansion to 22% non-GAAP operating margin is real but is substantially a cost story.</t>
        </is>
      </c>
      <c r="F2950" s="33" t="inlineStr">
        <is>
          <t>8-K Ex-99.1 2026-09-03; context-2026-09-07.md</t>
        </is>
      </c>
      <c r="G2950" s="33" t="inlineStr">
        <is>
          <t>Medium</t>
        </is>
      </c>
      <c r="H2950" s="33" t="inlineStr">
        <is>
          <t>Claude proposed</t>
        </is>
      </c>
    </row>
    <row r="2951">
      <c r="A2951" s="33" t="inlineStr">
        <is>
          <t>2026-09-07</t>
        </is>
      </c>
      <c r="B2951" s="33" t="inlineStr">
        <is>
          <t>PATH</t>
        </is>
      </c>
      <c r="C2951" s="33" t="inlineStr">
        <is>
          <t>D5</t>
        </is>
      </c>
      <c r="D2951" s="33" t="n">
        <v>2</v>
      </c>
      <c r="E2951" s="33" t="inlineStr">
        <is>
          <t>1→2. Band 1 ('no meaningful tie') is contradicted by named, contracted agentic wins: the 7-figure life-sciences expansion across 70 countries with Accenture, the DoD clean-audit expansion, and a top-Canadian-bank logo. Held at 2 rather than higher under rule-23 discipline — with zero disclosed agentic ARR, the tie is demonstrated by anecdote rather than by a metric, which is precisely the deck-claim ceiling the L11 convention warns against generalising past.</t>
        </is>
      </c>
      <c r="F2951" s="33" t="inlineStr">
        <is>
          <t>8-K Ex-99.1 2026-09-03; context-2026-09-07.md</t>
        </is>
      </c>
      <c r="G2951" s="33" t="inlineStr">
        <is>
          <t>Medium</t>
        </is>
      </c>
      <c r="H2951" s="33" t="inlineStr">
        <is>
          <t>Claude proposed</t>
        </is>
      </c>
    </row>
    <row r="2952">
      <c r="A2952" s="33" t="inlineStr">
        <is>
          <t>2026-09-07</t>
        </is>
      </c>
      <c r="B2952" s="33" t="inlineStr">
        <is>
          <t>PATH</t>
        </is>
      </c>
      <c r="C2952" s="33" t="inlineStr">
        <is>
          <t>M1</t>
        </is>
      </c>
      <c r="D2952" s="33" t="n">
        <v>4</v>
      </c>
      <c r="E2952" s="33" t="inlineStr">
        <is>
          <t>3→4. FY27 guidance raised on all three metrics — revenue to $1.789-1.794B (from $1.754-1.759B), ARR to $2.065-2.070B, non-GAAP operating income to ~$445M (from ~$415M) — and all three post-print analyst actions raised price targets. Tempered from 5 because non-GAAP EPS merely met and Canaccord downgraded Buy→Hold on valuation.</t>
        </is>
      </c>
      <c r="F2952" s="33" t="inlineStr">
        <is>
          <t>8-K Ex-99.1 2026-09-03; Benzinga 2026-09-04; context-2026-09-07.md</t>
        </is>
      </c>
      <c r="G2952" s="33" t="inlineStr">
        <is>
          <t>High</t>
        </is>
      </c>
      <c r="H2952" s="33" t="inlineStr">
        <is>
          <t>Claude proposed</t>
        </is>
      </c>
    </row>
    <row r="2953">
      <c r="A2953" s="33" t="inlineStr">
        <is>
          <t>2026-09-07</t>
        </is>
      </c>
      <c r="B2953" s="33" t="inlineStr">
        <is>
          <t>PATH</t>
        </is>
      </c>
      <c r="C2953" s="33" t="inlineStr">
        <is>
          <t>M2</t>
        </is>
      </c>
      <c r="D2953" s="33" t="n">
        <v>4</v>
      </c>
      <c r="E2953" s="33" t="inlineStr">
        <is>
          <t>1→4. The prior 1 was badly stale. Measured: PATH +28.1% vs IGV +18.9% over six months = +9.2pts (band 4); three-month +35.1% vs +9.1% = +26.0pts (band 5). Rated on the rubric's six-month definition. This is despite the -16.6% single-session reaction on 2026-09-04 ($18.22→$15.19), which the six-month window already contains.</t>
        </is>
      </c>
      <c r="F2953" s="33" t="inlineStr">
        <is>
          <t>yfinance closes through 2026-09-07 vs IGV; rubric M2 6-month band</t>
        </is>
      </c>
      <c r="G2953" s="33" t="inlineStr">
        <is>
          <t>High</t>
        </is>
      </c>
      <c r="H2953" s="33" t="inlineStr">
        <is>
          <t>Claude proposed</t>
        </is>
      </c>
    </row>
    <row r="2954">
      <c r="A2954" s="33" t="inlineStr">
        <is>
          <t>2026-09-07</t>
        </is>
      </c>
      <c r="B2954" s="33" t="inlineStr">
        <is>
          <t>PATH</t>
        </is>
      </c>
      <c r="C2954" s="33" t="inlineStr">
        <is>
          <t>R1</t>
        </is>
      </c>
      <c r="D2954" s="33" t="n">
        <v>5</v>
      </c>
      <c r="E2954" s="33" t="inlineStr">
        <is>
          <t>4→5. Now properly evidenced as diversified: ~10,350 total customers, 2,666 above $100K ARR, 387 above $1M, with no single-customer concentration disclosed or implied, and attrition explicitly concentrated in the SMALLEST accounts. That is band 5 ('no customer &gt;15%'). Growing public-sector exposure (DoD) is graded per the rule-27 government-customer convention — program diversification within the government book, not automatic concentration risk.</t>
        </is>
      </c>
      <c r="F2954" s="33" t="inlineStr">
        <is>
          <t>8-K Ex-99.1 2026-09-03; context-2026-09-07.md</t>
        </is>
      </c>
      <c r="G2954" s="33" t="inlineStr">
        <is>
          <t>High</t>
        </is>
      </c>
      <c r="H2954" s="33" t="inlineStr">
        <is>
          <t>Claude proposed</t>
        </is>
      </c>
    </row>
    <row r="2955">
      <c r="A2955" s="33" t="inlineStr">
        <is>
          <t>2026-09-07</t>
        </is>
      </c>
      <c r="B2955" s="33" t="inlineStr">
        <is>
          <t>PATH</t>
        </is>
      </c>
      <c r="C2955" s="33" t="inlineStr">
        <is>
          <t>R4</t>
        </is>
      </c>
      <c r="D2955" s="33" t="n">
        <v>3</v>
      </c>
      <c r="E2955" s="33" t="inlineStr">
        <is>
          <t>5→3. CORRECTION of a cross-name inconsistency, not a new development. Two 2024 securities/derivative matters remain PENDING in S.D.N.Y. and have been pending since before the prior briefing — a name carrying open securities litigation cannot sit in band 5 ('clean, no material overhangs'). MDB is rated R4=3 on materially the same facts (two pending S.D.N.Y. securities dockets); PATH at 5 was indefensible against it. Also weighed: dual-class structure at 35 votes per Class B share (~11% of shares, ~89% of votes) and a CFO transition mid-pivot. Allegations are not findings — band 3 records disclosed pending matters, not wrongdoing.</t>
        </is>
      </c>
      <c r="F2955" s="33" t="inlineStr">
        <is>
          <t>litigation_check.py 2026-09-07 (RECAP); context-2026-09-07.md; cross-check vs MDB R4</t>
        </is>
      </c>
      <c r="G2955" s="33" t="inlineStr">
        <is>
          <t>High</t>
        </is>
      </c>
      <c r="H2955" s="33" t="inlineStr">
        <is>
          <t>Claude proposed</t>
        </is>
      </c>
    </row>
    <row r="2956">
      <c r="A2956" s="33" t="inlineStr">
        <is>
          <t>2026-09-07</t>
        </is>
      </c>
      <c r="B2956" s="33" t="inlineStr">
        <is>
          <t>PATH</t>
        </is>
      </c>
      <c r="C2956" s="33" t="inlineStr">
        <is>
          <t>R5</t>
        </is>
      </c>
      <c r="D2956" s="33" t="n">
        <v>3</v>
      </c>
      <c r="E2956" s="33" t="inlineStr">
        <is>
          <t>2→3. The canonical rule-16 case, and the evidence moved toward durability. Band 1 requires BOTH that AI-native tools can produce the core output AND that active erosion is visible; band 2 requires durability in question with no active erosion. On disclosed metrics through 2026-07-31 the erosion is not merely absent, it is reversing: gross retention 97%, net retention RISING 107%→109%, &gt;$1M-ARR customers +21%, churn concentrated in the smallest accounts. The countervailing 'LLM agents kill RPA' literature traces overwhelmingly to competing AI-agent vendors' own marketing with claims I could not source primarily, and carries near-zero evidentiary weight. Band 3 ('contested but a structural moat — governance, data sovereignty, regulated-industry and DoD deployment — resists core disruption') is the honest read. Falsifiable test carried forward: if the erosion thesis is right, gross retention and the &gt;$1M cohort crack FIRST.</t>
        </is>
      </c>
      <c r="F2956" s="33" t="inlineStr">
        <is>
          <t>8-K Ex-99.1 2026-09-03; context-2026-09-07.md; CLAUDE.md rule 16</t>
        </is>
      </c>
      <c r="G2956" s="33" t="inlineStr">
        <is>
          <t>Medium</t>
        </is>
      </c>
      <c r="H2956" s="33" t="inlineStr">
        <is>
          <t>Claude proposed</t>
        </is>
      </c>
    </row>
    <row r="2957">
      <c r="A2957" s="33" t="inlineStr">
        <is>
          <t>2026-09-07</t>
        </is>
      </c>
      <c r="B2957" s="33" t="inlineStr">
        <is>
          <t>TEM</t>
        </is>
      </c>
      <c r="C2957" s="33" t="inlineStr">
        <is>
          <t>D3</t>
        </is>
      </c>
      <c r="D2957" s="33" t="n">
        <v>4</v>
      </c>
      <c r="E2957" s="33" t="inlineStr">
        <is>
          <t>3→4. Two independent moat dimensions now evidenced: (a) regulatory — FDA approval of xT Tumor Only makes Tempus the first lab holding companion-diagnostic approval for BOTH tumor-only and tumor-normal comprehensive genomic profiling, which management expects to migrate tissue testing to ADLT pricing; (b) data scale — the linked clinical-molecular dataset underwrites the ~$200M of Data and Applications licenses signed in the quarter. Bias check applied (stock +33% over three months): both facts are price-independent. Counterweight recorded — a four-docket two-way patent war with Guardant Health is unresolved in both directions.</t>
        </is>
      </c>
      <c r="F2957" s="33" t="inlineStr">
        <is>
          <t>8-K Ex-99.1 2026-07-30; litigation_check.py 2026-09-07; context-2026-09-07.md</t>
        </is>
      </c>
      <c r="G2957" s="33" t="inlineStr">
        <is>
          <t>Medium</t>
        </is>
      </c>
      <c r="H2957" s="33" t="inlineStr">
        <is>
          <t>Claude proposed</t>
        </is>
      </c>
    </row>
    <row r="2958">
      <c r="A2958" s="33" t="inlineStr">
        <is>
          <t>2026-09-07</t>
        </is>
      </c>
      <c r="B2958" s="33" t="inlineStr">
        <is>
          <t>TEM</t>
        </is>
      </c>
      <c r="C2958" s="33" t="inlineStr">
        <is>
          <t>D5</t>
        </is>
      </c>
      <c r="D2958" s="33" t="n">
        <v>3</v>
      </c>
      <c r="E2958" s="33" t="inlineStr">
        <is>
          <t>1→3. Band 1 ('no meaningful tie') predates the two concrete AI-monetisation facts in this quarter: Tempus delivered the FIRST VERSION OF ITS ONCOLOGY FOUNDATION MODEL to AstraZeneca, and signed ~$200M of Data and Applications licences with named counterparties (BioNTech, Daiichi Sankyo, Level Set Bio, Incyte), with Insights revenue +36% YoY. Under the rule-23 parallel scale this is judged on role: for an AI-native vertical application, contracted model/data revenue with named pharma counterparties is a materially strong tie. Held at 3 rather than 4-5 because Data and Applications is ~24% of revenue and the tie is to pharma R&amp;D budgets rather than to AI-infrastructure buildout.</t>
        </is>
      </c>
      <c r="F2958" s="33" t="inlineStr">
        <is>
          <t>8-K Ex-99.1 2026-07-30; context-2026-09-07.md; CLAUDE.md rule 23</t>
        </is>
      </c>
      <c r="G2958" s="33" t="inlineStr">
        <is>
          <t>Medium</t>
        </is>
      </c>
      <c r="H2958" s="33" t="inlineStr">
        <is>
          <t>Claude proposed</t>
        </is>
      </c>
    </row>
    <row r="2959">
      <c r="A2959" s="33" t="inlineStr">
        <is>
          <t>2026-09-07</t>
        </is>
      </c>
      <c r="B2959" s="33" t="inlineStr">
        <is>
          <t>TEM</t>
        </is>
      </c>
      <c r="C2959" s="33" t="inlineStr">
        <is>
          <t>M1</t>
        </is>
      </c>
      <c r="D2959" s="33" t="n">
        <v>4</v>
      </c>
      <c r="E2959" s="33" t="inlineStr">
        <is>
          <t>3→4. FY2026 guidance raised on both lines — revenue to $1.595-1.605B and full-year Adjusted EBITDA to ~$65M — with Q2 Adjusted EBITDA swinging to +$8.0M from $(5.6)M a year ago. Estimate direction is up.</t>
        </is>
      </c>
      <c r="F2959" s="33" t="inlineStr">
        <is>
          <t>8-K Ex-99.1 2026-07-30; context-2026-09-07.md</t>
        </is>
      </c>
      <c r="G2959" s="33" t="inlineStr">
        <is>
          <t>High</t>
        </is>
      </c>
      <c r="H2959" s="33" t="inlineStr">
        <is>
          <t>Claude proposed</t>
        </is>
      </c>
    </row>
    <row r="2960">
      <c r="A2960" s="33" t="inlineStr">
        <is>
          <t>2026-09-07</t>
        </is>
      </c>
      <c r="B2960" s="33" t="inlineStr">
        <is>
          <t>TEM</t>
        </is>
      </c>
      <c r="C2960" s="33" t="inlineStr">
        <is>
          <t>R3</t>
        </is>
      </c>
      <c r="D2960" s="33" t="n">
        <v>4</v>
      </c>
      <c r="E2960" s="33" t="inlineStr">
        <is>
          <t>3→4. Balance sheet materially better than the band-3 'average leverage' description: $820.7M cash and marketable securities after a $460M offering of 0.00% convertible senior notes due 2032 — a zero-coupon maturity seven years out, i.e. well-spread — against an Adjusted EBITDA line that has turned positive (~$65M guided FY26). Net cash position. Held at 4 not 5 because the company still runs an operating loss and the Personalis consideration, while planned as all-stock, carries an election to pay up to 50% in cash — a real future claim on the cushion.</t>
        </is>
      </c>
      <c r="F2960" s="33" t="inlineStr">
        <is>
          <t>8-K Ex-99.1 2026-07-30; Tempus IR release 2026-07-20; context-2026-09-07.md</t>
        </is>
      </c>
      <c r="G2960" s="33" t="inlineStr">
        <is>
          <t>Medium</t>
        </is>
      </c>
      <c r="H2960" s="33" t="inlineStr">
        <is>
          <t>Claude proposed</t>
        </is>
      </c>
    </row>
    <row r="2961">
      <c r="A2961" s="33" t="inlineStr">
        <is>
          <t>2026-09-07</t>
        </is>
      </c>
      <c r="B2961" s="33" t="inlineStr">
        <is>
          <t>TEM</t>
        </is>
      </c>
      <c r="C2961" s="33" t="inlineStr">
        <is>
          <t>R4</t>
        </is>
      </c>
      <c r="D2961" s="33" t="n">
        <v>3</v>
      </c>
      <c r="E2961" s="33" t="inlineStr">
        <is>
          <t>2→3. The securities overhang cleared: Shouse v. Tempus AI (1:25-cv-06534, N.D. Ill., filed 2025-06-12) TERMINATED 2025-11-17, and no pending federal securities docket appears in RECAP. What remains is commercial patent litigation — a two-way war with Guardant Health across multiple districts (1:25-cv-01013 D. Del.; 3:25-cv-00621 S.D. Cal.; 1:24-cv-00687 D. Del., all pending) — which is real but ordinary-course for diagnostics, i.e. band 3 'pending matters disclosed'. NOT moved to 4/5: two unread 'other fraud' dockets (Farrier 1:26-cv-04246; Barone 1:26-cv-03516, both pending N.D. Ill.) are flagged-not-characterised, and a plaintiff-firm 'examination' of the Personalis related-party structure is marketing, not a filed case, and is set aside per rule-2d discipline.</t>
        </is>
      </c>
      <c r="F2961" s="33" t="inlineStr">
        <is>
          <t>litigation_check.py 2026-09-07 (RECAP); context-2026-09-07.md</t>
        </is>
      </c>
      <c r="G2961" s="33" t="inlineStr">
        <is>
          <t>Medium</t>
        </is>
      </c>
      <c r="H2961" s="33" t="inlineStr">
        <is>
          <t>Claude proposed</t>
        </is>
      </c>
    </row>
    <row r="2962">
      <c r="A2962" s="33" t="inlineStr">
        <is>
          <t>2026-09-07</t>
        </is>
      </c>
      <c r="B2962" s="33" t="inlineStr">
        <is>
          <t>WDC</t>
        </is>
      </c>
      <c r="C2962" s="33" t="inlineStr">
        <is>
          <t>D4</t>
        </is>
      </c>
      <c r="D2962" s="33" t="n">
        <v>3</v>
      </c>
      <c r="E2962" s="33" t="inlineStr">
        <is>
          <t>4→3. Rubric-faithful downgrade that runs against the economics, and is flagged as such. D4 measures where a company sits in its BUILD-OUT cycle. WDC is deliberately not building: nearline supply is short of demand by ~300EB in 2026, projected to widen to ~400EB in 2027 and 2028, and the company is sold out of hard drives for all of calendar 2026 with ASPs at ~$14.30-14.90/TB against stated $25-30/TB targets. That is capacity discipline being converted into price, which is economically excellent and is already credited in D2 (held 5) and the Value/Quality inputs. Under the rubric as written it is 'steady-state capex', not 'active expansion'. SURFACED FOR DOM: this is a case where the D4 ladder treats supply discipline as a negative — a rubric limitation worth a decision, not something to fix by nudging the rating.</t>
        </is>
      </c>
      <c r="F2962" s="33" t="inlineStr">
        <is>
          <t>8-K Ex-99.1 2026-08-05; Tom's Hardware 2026; The Register 2026-02-20; context-2026-09-07.md</t>
        </is>
      </c>
      <c r="G2962" s="33" t="inlineStr">
        <is>
          <t>Medium</t>
        </is>
      </c>
      <c r="H2962" s="33" t="inlineStr">
        <is>
          <t>Claude proposed</t>
        </is>
      </c>
    </row>
    <row r="2963">
      <c r="A2963" s="33" t="inlineStr">
        <is>
          <t>2026-09-07</t>
        </is>
      </c>
      <c r="B2963" s="33" t="inlineStr">
        <is>
          <t>PANW</t>
        </is>
      </c>
      <c r="C2963" s="33" t="inlineStr">
        <is>
          <t>R3</t>
        </is>
      </c>
      <c r="D2963" s="33" t="n">
        <v>4</v>
      </c>
      <c r="E2963" s="33" t="inlineStr">
        <is>
          <t>5→4. The dilution leg of balance-sheet risk moved materially and R3 explicitly covers dilution, not just leverage. Completing CyberArk on 2026-02-11 cost $2.3B of cash plus ~112 million newly issued shares — reported as roughly 13.5% EPS dilution — with FY27 share count guided to 844-847M, alongside a tender for CyberArk's 0.00% convertible notes due 2030 and two further closings (Chronosphere, Console). Held at 4 rather than lower because the cash engine is intact and unimpaired: FY26 adjusted FCF margin 38.4%, guided to 38.0% for FY27, with Q4 adjusted FCF of $1.3B. Band 4 ('modest leverage, maturities well-spread') is the accurate description; band 5's 'no debt concerns / no dilution risk' is not.</t>
        </is>
      </c>
      <c r="F2963" s="33" t="inlineStr">
        <is>
          <t>8-K Ex-99.1 2026-09-01; PANW press release 2026 (CyberArk completion); context-2026-09-07.md</t>
        </is>
      </c>
      <c r="G2963" s="33" t="inlineStr">
        <is>
          <t>High</t>
        </is>
      </c>
      <c r="H2963" s="33" t="inlineStr">
        <is>
          <t>Claude proposed</t>
        </is>
      </c>
    </row>
    <row r="2964">
      <c r="A2964" s="33" t="inlineStr">
        <is>
          <t>2026-09-07</t>
        </is>
      </c>
      <c r="B2964" s="33" t="inlineStr">
        <is>
          <t>APP</t>
        </is>
      </c>
      <c r="C2964" s="33" t="inlineStr">
        <is>
          <t>D4</t>
        </is>
      </c>
      <c r="D2964" s="33" t="n">
        <v>3</v>
      </c>
      <c r="E2964" s="33" t="inlineStr">
        <is>
          <t>4→3. Capital is flowing OUT, not into capacity: $551.3M of Class A shares repurchased and withheld in a single quarter against 335M shares outstanding, with no disclosed capacity or infrastructure expansion programme. Band 4 requires 'capacity growing meaningfully YoY', which is not evidenced for an asset-light advertising platform running an 84% Adjusted EBITDA margin. This is a description of the business model, not a criticism of it.</t>
        </is>
      </c>
      <c r="F2964" s="33" t="inlineStr">
        <is>
          <t>8-K Ex-99.1 2026-08-05; context-2026-09-07.md</t>
        </is>
      </c>
      <c r="G2964" s="33" t="inlineStr">
        <is>
          <t>Medium</t>
        </is>
      </c>
      <c r="H2964" s="33" t="inlineStr">
        <is>
          <t>Claude proposed</t>
        </is>
      </c>
    </row>
    <row r="2965">
      <c r="A2965" s="33" t="inlineStr">
        <is>
          <t>2026-09-07</t>
        </is>
      </c>
      <c r="B2965" s="33" t="inlineStr">
        <is>
          <t>APP</t>
        </is>
      </c>
      <c r="C2965" s="33" t="inlineStr">
        <is>
          <t>M1</t>
        </is>
      </c>
      <c r="D2965" s="33" t="n">
        <v>2</v>
      </c>
      <c r="E2965" s="33" t="inlineStr">
        <is>
          <t>4→2. Q3 2026 revenue guided to $2,055-2,085M against roughly $2.08B modelled and Adjusted EBITDA to $1,710-1,740M, both at or below consensus; Wells Fargo and Piper Sandler cut price targets within hours of the print, citing Axon improving more slowly than the market had priced. Shares fell about 20% on 2026-08-06. Band 2 ('net negative revisions, some cuts') is the direct read.</t>
        </is>
      </c>
      <c r="F2965" s="33" t="inlineStr">
        <is>
          <t>8-K Ex-99.1 2026-08-05; ad-hoc-news 2026; tickeron 2026; context-2026-09-07.md</t>
        </is>
      </c>
      <c r="G2965" s="33" t="inlineStr">
        <is>
          <t>High</t>
        </is>
      </c>
      <c r="H2965" s="33" t="inlineStr">
        <is>
          <t>Claude proposed</t>
        </is>
      </c>
    </row>
    <row r="2966">
      <c r="A2966" s="33" t="inlineStr">
        <is>
          <t>2026-09-07</t>
        </is>
      </c>
      <c r="B2966" s="33" t="inlineStr">
        <is>
          <t>APP</t>
        </is>
      </c>
      <c r="C2966" s="33" t="inlineStr">
        <is>
          <t>M2</t>
        </is>
      </c>
      <c r="D2966" s="33" t="n">
        <v>1</v>
      </c>
      <c r="E2966" s="33" t="inlineStr">
        <is>
          <t>2→1. Measured: APP -36.2% vs IGV +18.9% over six months = -55.1pts, and -42.5% vs +9.1% over three months = -51.6pts. Both windows are far beyond the -20pt threshold for band 1. The rubric's bias check applies in reverse here — a great business with poor price action warrants a low momentum rating, and that is what the rating means.</t>
        </is>
      </c>
      <c r="F2966" s="33" t="inlineStr">
        <is>
          <t>yfinance closes through 2026-09-07 vs IGV; rubric M2 6-month band</t>
        </is>
      </c>
      <c r="G2966" s="33" t="inlineStr">
        <is>
          <t>High</t>
        </is>
      </c>
      <c r="H2966" s="33" t="inlineStr">
        <is>
          <t>Claude proposed</t>
        </is>
      </c>
    </row>
    <row r="2967">
      <c r="A2967" s="33" t="inlineStr">
        <is>
          <t>2026-09-07</t>
        </is>
      </c>
      <c r="B2967" s="33" t="inlineStr">
        <is>
          <t>APP</t>
        </is>
      </c>
      <c r="C2967" s="33" t="inlineStr">
        <is>
          <t>R4</t>
        </is>
      </c>
      <c r="D2967" s="33" t="n">
        <v>1</v>
      </c>
      <c r="E2967" s="33" t="inlineStr">
        <is>
          <t>2→1. Three independent unresolved matters, all pointed at the same mechanism the revenue model depends on. (1) The SEC confirmed (reported 2026-02-20) that its probe involving AppLovin is 'still active and ongoing', examining whether the company violated service agreements with platform partners regarding how it collects and uses data — and declined to release staff correspondence citing risk that individuals of interest could 'fabricate evidence, influence witness testimony and/or destroy or alter certain documents'. (2) A pending consolidated securities class action, Brownback v. AppLovin (4:25-cv-02772, N.D. Cal., filed 2025-03-24), under Exchange Act 10(b)/20(a) and Rule 10b-5, naming Adam Foroughi, Matthew Stumpf and/or Herald Chen, with an amended complaint filed 2025-09-12 adding Basil Shikin. (3) A Dutch privacy class action alleging unlawful collection and trading of personal data including an estimated 1.5 million children. Band 1 is 'major regulatory threat / class action that could be material' and R4 scores RISK, not guilt: every one of these is an ALLEGATION, none is a finding, and the numerous plaintiff-firm 'investigation' press releases are marketing and are explicitly set aside per rule-2d discipline. Note the SEC probe appears in NO docket search — a filings-and-dockets-only view misses it entirely.</t>
        </is>
      </c>
      <c r="F2967" s="33" t="inlineStr">
        <is>
          <t>Bloomberg Law (SEC probe active); litigation_check.py 2026-09-07 (RECAP); JURIST 2026-05; context-2026-09-07.md</t>
        </is>
      </c>
      <c r="G2967" s="33" t="inlineStr">
        <is>
          <t>High</t>
        </is>
      </c>
      <c r="H2967" s="33" t="inlineStr">
        <is>
          <t>Claude proposed</t>
        </is>
      </c>
    </row>
    <row r="2968">
      <c r="A2968" s="33" t="inlineStr">
        <is>
          <t>2026-09-07</t>
        </is>
      </c>
      <c r="B2968" s="33" t="inlineStr">
        <is>
          <t>DDOG</t>
        </is>
      </c>
      <c r="C2968" s="33" t="inlineStr">
        <is>
          <t>R1</t>
        </is>
      </c>
      <c r="D2968" s="33" t="n">
        <v>5</v>
      </c>
      <c r="E2968" s="33" t="inlineStr">
        <is>
          <t>HELD at 5 despite this being the dimension the quarter most implicates — recorded deliberately. The largest customer (nine-figure contract, 17 products, widely reported as OpenAI) RENEWED but reduced usage sequentially, with the step-down starting Q3. On ~$4.45-4.47B of guided FY revenue a nine-figure account is roughly 2-4% of revenue, nowhere near band 4's 15-25% threshold, so the mechanical rating is unchanged. LIMITATION SURFACED: the real exposure is COHORT concentration (the AI-native customer base), which R1 as written does not measure — it scores single-customer share only. Refusing to nudge R1 for a narrative reason; flagging the gap instead.</t>
        </is>
      </c>
      <c r="F2968" s="33" t="inlineStr">
        <is>
          <t>8-K Ex-99.1 2026-08-06; context-2026-09-07.md</t>
        </is>
      </c>
      <c r="G2968" s="33" t="inlineStr">
        <is>
          <t>High</t>
        </is>
      </c>
      <c r="H2968" s="33" t="inlineStr">
        <is>
          <t>Claude proposed</t>
        </is>
      </c>
    </row>
    <row r="2969">
      <c r="A2969" s="33" t="inlineStr">
        <is>
          <t>2026-09-07</t>
        </is>
      </c>
      <c r="B2969" s="33" t="inlineStr">
        <is>
          <t>DDOG</t>
        </is>
      </c>
      <c r="C2969" s="33" t="inlineStr">
        <is>
          <t>D3</t>
        </is>
      </c>
      <c r="D2969" s="33" t="n">
        <v>4</v>
      </c>
      <c r="E2969" s="33" t="inlineStr">
        <is>
          <t>HELD at 4. For: sixth consecutive year a Leader in the Gartner Magic Quadrant for Observability Platforms, ~4,720 customers at &gt;=$100k ARR (+23% YoY), 100+ capabilities launched at DASH 2026, and the Adaptive ML acquisition moving Datadog into the model layer rather than merely consuming it. Against: the largest account demonstrated it can throttle spend at will, and Resolve AI ($125M raised February 2026, founded by OpenTelemetry co-creators) sits ON TOP of Datadog rather than replacing it — which makes the moat the data gravity, not the workflow. Net unchanged.</t>
        </is>
      </c>
      <c r="F2969" s="33" t="inlineStr">
        <is>
          <t>8-K Ex-99.1 2026-08-06; StackScout 2026; context-2026-09-07.md</t>
        </is>
      </c>
      <c r="G2969" s="33" t="inlineStr">
        <is>
          <t>Medium</t>
        </is>
      </c>
      <c r="H2969" s="33" t="inlineStr">
        <is>
          <t>Claude proposed</t>
        </is>
      </c>
    </row>
    <row r="2970">
      <c r="A2970" s="33" t="inlineStr">
        <is>
          <t>2026-09-07</t>
        </is>
      </c>
      <c r="B2970" s="33" t="inlineStr">
        <is>
          <t>DDOG</t>
        </is>
      </c>
      <c r="C2970" s="33" t="inlineStr">
        <is>
          <t>R5</t>
        </is>
      </c>
      <c r="D2970" s="33" t="n">
        <v>4</v>
      </c>
      <c r="E2970" s="33" t="inlineStr">
        <is>
          <t>HELD at 4. Rule-16 band 4 explicitly names consumption-priced data/observability. AI increases telemetry volume, which is the tailwind; the offsetting fact this quarter is that consumption pricing cuts both ways and an AI-native customer dialled it down. That is the consumption model behaving as designed, not agentic disruption of the revenue model.</t>
        </is>
      </c>
      <c r="F2970" s="33" t="inlineStr">
        <is>
          <t>CLAUDE.md rule 16; context-2026-09-07.md</t>
        </is>
      </c>
      <c r="G2970" s="33" t="inlineStr">
        <is>
          <t>High</t>
        </is>
      </c>
      <c r="H2970" s="33" t="inlineStr">
        <is>
          <t>Claude proposed</t>
        </is>
      </c>
    </row>
    <row r="2971">
      <c r="A2971" s="33" t="inlineStr">
        <is>
          <t>2026-09-07</t>
        </is>
      </c>
      <c r="B2971" s="33" t="inlineStr">
        <is>
          <t>DDOG</t>
        </is>
      </c>
      <c r="C2971" s="33" t="inlineStr">
        <is>
          <t>M2</t>
        </is>
      </c>
      <c r="D2971" s="33" t="n">
        <v>5</v>
      </c>
      <c r="E2971" s="33" t="inlineStr">
        <is>
          <t>HELD at 5. Measured: DDOG +69.3% vs IGV +18.9% over six months = +50.4pts, well beyond the &gt;20pt threshold. Recorded divergence: the three-month read is -18.2pts and the stock sits 14.6% below its 50-day SMA, so the trend is rolling over inside a strong six-month window. Rated on the rubric's six-month definition rather than overriding it; the objective 50DMA companion (73.3%) carries the trend-consistency signal separately.</t>
        </is>
      </c>
      <c r="F2971" s="33" t="inlineStr">
        <is>
          <t>yfinance closes through 2026-09-07 vs IGV; momentum_50dma.py 2026-09-07</t>
        </is>
      </c>
      <c r="G2971" s="33" t="inlineStr">
        <is>
          <t>High</t>
        </is>
      </c>
      <c r="H2971" s="33" t="inlineStr">
        <is>
          <t>Claude proposed</t>
        </is>
      </c>
    </row>
    <row r="2972">
      <c r="A2972" s="33" t="inlineStr">
        <is>
          <t>2026-09-07</t>
        </is>
      </c>
      <c r="B2972" s="33" t="inlineStr">
        <is>
          <t>CRWD</t>
        </is>
      </c>
      <c r="C2972" s="33" t="inlineStr">
        <is>
          <t>D3</t>
        </is>
      </c>
      <c r="D2972" s="33" t="n">
        <v>4</v>
      </c>
      <c r="E2972" s="33" t="inlineStr">
        <is>
          <t>HELD at 4, and the bias check is the reason. For a 5: module adoption at 51%/35%/26% on six+/seven+/eight+, Falcon Flex ARR +101%, and dollar-based GROSS retention improving — remarkable lock-in evidence for a vendor that caused a global outage in July 2024. Against a 5: Microsoft Defender's bundling economics remain a live structural threat to 10-year defensibility, which is what band 5 requires. Applying the rubric's own test — would I rate this moat the same way if the stock were down 40% rather than up 96% over six months? — I would rate it 4. So 4.</t>
        </is>
      </c>
      <c r="F2972" s="33" t="inlineStr">
        <is>
          <t>8-K Ex-99.1 2026-08-26; context-2026-09-07.md; rubric D3 bias check</t>
        </is>
      </c>
      <c r="G2972" s="33" t="inlineStr">
        <is>
          <t>Medium</t>
        </is>
      </c>
      <c r="H2972" s="33" t="inlineStr">
        <is>
          <t>Claude proposed</t>
        </is>
      </c>
    </row>
    <row r="2973">
      <c r="A2973" s="33" t="inlineStr">
        <is>
          <t>2026-09-07</t>
        </is>
      </c>
      <c r="B2973" s="33" t="inlineStr">
        <is>
          <t>CRWD</t>
        </is>
      </c>
      <c r="C2973" s="33" t="inlineStr">
        <is>
          <t>R4</t>
        </is>
      </c>
      <c r="D2973" s="33" t="n">
        <v>4</v>
      </c>
      <c r="E2973" s="33" t="inlineStr">
        <is>
          <t>HELD at 4, but for a materially better reason than before — worth recording. All three outage-era matters TERMINATED within the last eight months: In re CrowdStrike Holdings Securities Litigation (1:24-cv-00857, W.D. Tex.) on 2026-01-28; In re CrowdStrike Holding Derivative Litigation (1:24-cv-01031) on 2026-04-16; In re CrowdStrike Stockholder Demand Derivative Litigation (1:25-cv-00543) on 2026-04-06. No PENDING federal securities docket in RECAP. Termination is a docket status and does not distinguish dismissal from settlement; terms were not read. Not moved to 5 because GoSecure v. CrowdStrike (3:26-cv-02372, N.D. Cal., filed 2026-03-18) under the Defend Trade Secrets Act is pending and unread on its merits — that specific docket is what a 5 next pass depends on.</t>
        </is>
      </c>
      <c r="F2973" s="33" t="inlineStr">
        <is>
          <t>litigation_check.py 2026-09-07 (RECAP); context-2026-09-07.md</t>
        </is>
      </c>
      <c r="G2973" s="33" t="inlineStr">
        <is>
          <t>Medium</t>
        </is>
      </c>
      <c r="H2973" s="33" t="inlineStr">
        <is>
          <t>Claude proposed</t>
        </is>
      </c>
    </row>
    <row r="2974">
      <c r="A2974" s="33" t="inlineStr">
        <is>
          <t>2026-09-07</t>
        </is>
      </c>
      <c r="B2974" s="33" t="inlineStr">
        <is>
          <t>CRWD</t>
        </is>
      </c>
      <c r="C2974" s="33" t="inlineStr">
        <is>
          <t>D1</t>
        </is>
      </c>
      <c r="D2974" s="33" t="n">
        <v>2</v>
      </c>
      <c r="E2974" s="33" t="inlineStr">
        <is>
          <t>HELD at 2. The demand tie is real and strengthening, but D1 measures REVENUE SHARE and CrowdStrike breaks out no AI-specific revenue line. Under D1's sourcing rule a rating must cite a filing where AI revenue is disclosed or can be reasonably estimated; neither exists here. Direction is up, magnitude is unevidenced — so the rating does not move.</t>
        </is>
      </c>
      <c r="F2974" s="33" t="inlineStr">
        <is>
          <t>8-K Ex-99.1 2026-08-26; rubric D1 sourcing rule</t>
        </is>
      </c>
      <c r="G2974" s="33" t="inlineStr">
        <is>
          <t>Medium</t>
        </is>
      </c>
      <c r="H2974" s="33" t="inlineStr">
        <is>
          <t>Claude proposed</t>
        </is>
      </c>
    </row>
    <row r="2975">
      <c r="A2975" s="33" t="inlineStr">
        <is>
          <t>2026-09-07</t>
        </is>
      </c>
      <c r="B2975" s="33" t="inlineStr">
        <is>
          <t>MDB</t>
        </is>
      </c>
      <c r="C2975" s="33" t="inlineStr">
        <is>
          <t>R4</t>
        </is>
      </c>
      <c r="D2975" s="33" t="n">
        <v>3</v>
      </c>
      <c r="E2975" s="33" t="inlineStr">
        <is>
          <t>HELD at 3. Two securities dockets remain PENDING and unchanged since the prior briefing: Baxter v. MongoDB (1:24-cv-05191, S.D.N.Y., filed 2024-07-09) and In re MongoDB Shareholder Derivative Litigation (1:24-cv-07594, filed 2024-10-07), both 850 Securities/Commodities under the Exchange Act before Judge Gregory H. Woods III. Allegations, not findings — carried, not new. This rating is also the reference point used to correct PATH's R4 from 5 to 3 this pass.</t>
        </is>
      </c>
      <c r="F2975" s="33" t="inlineStr">
        <is>
          <t>litigation_check.py 2026-09-07 (RECAP); context-2026-09-07.md</t>
        </is>
      </c>
      <c r="G2975" s="33" t="inlineStr">
        <is>
          <t>High</t>
        </is>
      </c>
      <c r="H2975" s="33" t="inlineStr">
        <is>
          <t>Claude proposed</t>
        </is>
      </c>
    </row>
    <row r="2976">
      <c r="A2976" s="33" t="inlineStr">
        <is>
          <t>2026-09-07</t>
        </is>
      </c>
      <c r="B2976" s="33" t="inlineStr">
        <is>
          <t>MDB</t>
        </is>
      </c>
      <c r="C2976" s="33" t="inlineStr">
        <is>
          <t>D3</t>
        </is>
      </c>
      <c r="D2976" s="33" t="n">
        <v>3</v>
      </c>
      <c r="E2976" s="33" t="inlineStr">
        <is>
          <t>HELD at 3, two-sided. For: MongoDB is the PLAINTIFF in MongoDB v. FerretDB (1:25-cv-00641, D. Del., pending) defending the document-API surface against an open-source-compatible reimplementation — offensive moat enforcement, directly on the D3 question; RPO +91% and cRPO +73% far outrun revenue. Against: Atlas growth has printed ~29% for three consecutive quarters, which is the market's read on whether the moat converts into compounding consumption, and Postgres/pgvector pressure is unrefuted. Net unchanged.</t>
        </is>
      </c>
      <c r="F2976" s="33" t="inlineStr">
        <is>
          <t>8-K Ex-99.1 2026-09-01; litigation_check.py 2026-09-07; context-2026-09-07.md</t>
        </is>
      </c>
      <c r="G2976" s="33" t="inlineStr">
        <is>
          <t>Medium</t>
        </is>
      </c>
      <c r="H2976" s="33" t="inlineStr">
        <is>
          <t>Claude proposed</t>
        </is>
      </c>
    </row>
    <row r="2977">
      <c r="A2977" s="33" t="inlineStr">
        <is>
          <t>2026-09-07</t>
        </is>
      </c>
      <c r="B2977" s="33" t="inlineStr">
        <is>
          <t>MDB</t>
        </is>
      </c>
      <c r="C2977" s="33" t="inlineStr">
        <is>
          <t>R5</t>
        </is>
      </c>
      <c r="D2977" s="33" t="n">
        <v>4</v>
      </c>
      <c r="E2977" s="33" t="inlineStr">
        <is>
          <t>HELD at 4. Genuinely two-directional: coding agents could commoditise database selection, or could multiply the number of applications and therefore workloads — management is explicitly betting on the second, and shipped four AI-retrieval capabilities to GA in Atlas (Automated Embeddings via Voyage AI, the Embedding and Reranking API, voyage-code-4, Vector Search in Atlas Stream Processing). No erosion is visible in retention or growth. Consumption-priced data platform is rule-16 band 4.</t>
        </is>
      </c>
      <c r="F2977" s="33" t="inlineStr">
        <is>
          <t>8-K Ex-99.1 2026-09-01; CLAUDE.md rule 16; context-2026-09-07.md</t>
        </is>
      </c>
      <c r="G2977" s="33" t="inlineStr">
        <is>
          <t>Medium</t>
        </is>
      </c>
      <c r="H2977" s="33" t="inlineStr">
        <is>
          <t>Claude proposed</t>
        </is>
      </c>
    </row>
    <row r="2978">
      <c r="A2978" s="33" t="inlineStr">
        <is>
          <t>2026-09-07</t>
        </is>
      </c>
      <c r="B2978" s="33" t="inlineStr">
        <is>
          <t>MDB</t>
        </is>
      </c>
      <c r="C2978" s="33" t="inlineStr">
        <is>
          <t>R3</t>
        </is>
      </c>
      <c r="D2978" s="33" t="n">
        <v>5</v>
      </c>
      <c r="E2978" s="33" t="inlineStr">
        <is>
          <t>HELD at 5. $2.4B cash and investments, a third consecutive quarter of GAAP profitability (net income $40.9M, $0.50 diluted), non-GAAP operating margin 24% versus 15% a year ago, and free cash flow of $137.6M — nearly doubled YoY. Materially better than the picture carried into this pass.</t>
        </is>
      </c>
      <c r="F2978" s="33" t="inlineStr">
        <is>
          <t>8-K Ex-99.1 2026-09-01; context-2026-09-07.md</t>
        </is>
      </c>
      <c r="G2978" s="33" t="inlineStr">
        <is>
          <t>High</t>
        </is>
      </c>
      <c r="H2978" s="33" t="inlineStr">
        <is>
          <t>Claude proposed</t>
        </is>
      </c>
    </row>
    <row r="2979">
      <c r="A2979" s="33" t="inlineStr">
        <is>
          <t>2026-09-07</t>
        </is>
      </c>
      <c r="B2979" s="33" t="inlineStr">
        <is>
          <t>PATH</t>
        </is>
      </c>
      <c r="C2979" s="33" t="inlineStr">
        <is>
          <t>M3</t>
        </is>
      </c>
      <c r="D2979" s="33" t="n">
        <v>3</v>
      </c>
      <c r="E2979" s="33" t="inlineStr">
        <is>
          <t>HELD at 3 per the rubric's own decision procedure. Daniel Dines sold 1.40M shares at ~$16.07 on 2026-08-19 under a 10b5-1 plan, retaining ~26.5M shares (~5% of holdings) — step 2 classifies pre-scheduled 10b5-1 sales as ROUTINE, which defaults to 3 regardless of size. Recorded but deliberately not over-weighted: the aggregate record shows 0 open-market buys across 109 transactions over five years, including through the $9-11 lows. Under the project's stated asymmetry (buying predicts, selling is ambiguous) an absence-of-buying observation is the weaker signal and the rubric provides no band for it. Flagging rather than inventing one.</t>
        </is>
      </c>
      <c r="F2979" s="33" t="inlineStr">
        <is>
          <t>SEC Form 4 filings via context-2026-09-07.md; rubric M3 decision procedure</t>
        </is>
      </c>
      <c r="G2979" s="33" t="inlineStr">
        <is>
          <t>High</t>
        </is>
      </c>
      <c r="H2979" s="33" t="inlineStr">
        <is>
          <t>Claude proposed</t>
        </is>
      </c>
    </row>
    <row r="2980">
      <c r="A2980" s="33" t="inlineStr">
        <is>
          <t>2026-09-07</t>
        </is>
      </c>
      <c r="B2980" s="33" t="inlineStr">
        <is>
          <t>PATH</t>
        </is>
      </c>
      <c r="C2980" s="33" t="inlineStr">
        <is>
          <t>R3</t>
        </is>
      </c>
      <c r="D2980" s="33" t="n">
        <v>5</v>
      </c>
      <c r="E2980" s="33" t="inlineStr">
        <is>
          <t>HELD at 5. $1.405B cash and marketable securities against $69.4M of debt. The $284M H1 decline is discretionary ($268.5M of buybacks plus the $149.4M WorkFusion acquisition), not distress. The dilution leg improved materially: SBC down 42% YoY (21.6%→11.0% of revenue) and share count down 3.1%. Watch item recorded: H1 operating cash flow was flat YoY despite large margin gains because deferred revenue fell $90.2M — confirm in the 10-Q that this is billings seasonality rather than demand.</t>
        </is>
      </c>
      <c r="F2980" s="33" t="inlineStr">
        <is>
          <t>8-K Ex-99.1 2026-09-03; context-2026-09-07.md</t>
        </is>
      </c>
      <c r="G2980" s="33" t="inlineStr">
        <is>
          <t>Medium</t>
        </is>
      </c>
      <c r="H2980" s="33" t="inlineStr">
        <is>
          <t>Claude proposed</t>
        </is>
      </c>
    </row>
    <row r="2981">
      <c r="A2981" s="33" t="inlineStr">
        <is>
          <t>2026-09-07</t>
        </is>
      </c>
      <c r="B2981" s="33" t="inlineStr">
        <is>
          <t>PATH</t>
        </is>
      </c>
      <c r="C2981" s="33" t="inlineStr">
        <is>
          <t>R2</t>
        </is>
      </c>
      <c r="D2981" s="33" t="n">
        <v>4</v>
      </c>
      <c r="E2981" s="33" t="inlineStr">
        <is>
          <t>HELD at 4, with a newly quantified exposure recorded. FY2027 carries a $20M FX headwind ($18M in H2), and Q2 revenue grew +13.4% reported against +16% normalised for currency — a ~300bps translation drag; accumulated OCI fell $36.6M to $14.7M over six months. This is a currency-translation demand exposure rather than a geopolitical risk-geography or asset-location shock, so it does not move the band by itself. NOT moved to 5 because the rubric requires naming the worst plausible shock and the % of revenue exposed, and no geographic revenue breakout was pulled this pass — flagged as not done.</t>
        </is>
      </c>
      <c r="F2981" s="33" t="inlineStr">
        <is>
          <t>8-K Ex-99.1 2026-09-03; context-2026-09-07.md; rubric R2 rationale requirement</t>
        </is>
      </c>
      <c r="G2981" s="33" t="inlineStr">
        <is>
          <t>Low</t>
        </is>
      </c>
      <c r="H2981" s="33" t="inlineStr">
        <is>
          <t>Claude proposed</t>
        </is>
      </c>
    </row>
    <row r="2982">
      <c r="A2982" s="33" t="inlineStr">
        <is>
          <t>2026-09-07</t>
        </is>
      </c>
      <c r="B2982" s="33" t="inlineStr">
        <is>
          <t>TEM</t>
        </is>
      </c>
      <c r="C2982" s="33" t="inlineStr">
        <is>
          <t>D1</t>
        </is>
      </c>
      <c r="D2982" s="33" t="n">
        <v>5</v>
      </c>
      <c r="E2982" s="33" t="inlineStr">
        <is>
          <t>HELD at 5, and flagged for scrutiny next pass rather than changed without evidence. Supporting: Data and Applications is $93.2M (+28%) with Insights (data licensing and modelling) +36%, the first oncology foundation model was delivered to AstraZeneca, and the diagnostics franchise is underwritten by AI interpretation of a linked clinical-molecular dataset. The open question I could not resolve this pass is whether the ~76% of revenue that is Diagnostics should count as AI-DRIVEN or as a lab-services business with an AI overlay — that is the rubric's own 'AI-adjacent vs AI-driven' failure mode, and it deserves a deliberate answer before the 5 is trusted further.</t>
        </is>
      </c>
      <c r="F2982" s="33" t="inlineStr">
        <is>
          <t>8-K Ex-99.1 2026-07-30; rubric D1 failure modes; context-2026-09-07.md</t>
        </is>
      </c>
      <c r="G2982" s="33" t="inlineStr">
        <is>
          <t>Low</t>
        </is>
      </c>
      <c r="H2982" s="33" t="inlineStr">
        <is>
          <t>Claude proposed</t>
        </is>
      </c>
    </row>
    <row r="2983">
      <c r="A2983" s="33" t="inlineStr">
        <is>
          <t>2026-09-07</t>
        </is>
      </c>
      <c r="B2983" s="33" t="inlineStr">
        <is>
          <t>TEM</t>
        </is>
      </c>
      <c r="C2983" s="33" t="inlineStr">
        <is>
          <t>R1</t>
        </is>
      </c>
      <c r="D2983" s="33" t="n">
        <v>3</v>
      </c>
      <c r="E2983" s="33" t="inlineStr">
        <is>
          <t>HELD at 3. Named data-licensing counterparties (BioNTech, Daiichi Sankyo, Level Set Bio, Incyte, AstraZeneca) suggest breadth, and ~$200M of new licences were signed in the quarter, but PER-CUSTOMER concentration was not quantified in this pass. Holding the existing band rather than moving on an impression — flagged as not done.</t>
        </is>
      </c>
      <c r="F2983" s="33" t="inlineStr">
        <is>
          <t>8-K Ex-99.1 2026-07-30; context-2026-09-07.md</t>
        </is>
      </c>
      <c r="G2983" s="33" t="inlineStr">
        <is>
          <t>Low</t>
        </is>
      </c>
      <c r="H2983" s="33" t="inlineStr">
        <is>
          <t>Claude proposed</t>
        </is>
      </c>
    </row>
    <row r="2984">
      <c r="A2984" s="33" t="inlineStr">
        <is>
          <t>2026-09-07</t>
        </is>
      </c>
      <c r="B2984" s="33" t="inlineStr">
        <is>
          <t>WDC</t>
        </is>
      </c>
      <c r="C2984" s="33" t="inlineStr">
        <is>
          <t>D2</t>
        </is>
      </c>
      <c r="D2984" s="33" t="n">
        <v>5</v>
      </c>
      <c r="E2984" s="33" t="inlineStr">
        <is>
          <t>HELD at 5, with materially strengthened evidence. Sold out of hard drives for all of calendar 2026 against firm purchase orders from the top seven customers; commercial agreements with three of the top five customers, two running through calendar 2027 and one through 2028; blended nearline ASPs of ~$14.30-14.90/TB against suppliers' stated $25-30/TB target pricing. Lead times and pricing power are demonstrable in the literal sense band 5 describes, and the cycle now has contractual duration rather than quarterly visibility.</t>
        </is>
      </c>
      <c r="F2984" s="33" t="inlineStr">
        <is>
          <t>8-K Ex-99.1 2026-08-05; Tom's Hardware 2026; winbuzzer 2026-02-18; context-2026-09-07.md</t>
        </is>
      </c>
      <c r="G2984" s="33" t="inlineStr">
        <is>
          <t>High</t>
        </is>
      </c>
      <c r="H2984" s="33" t="inlineStr">
        <is>
          <t>Claude proposed</t>
        </is>
      </c>
    </row>
    <row r="2985">
      <c r="A2985" s="33" t="inlineStr">
        <is>
          <t>2026-09-07</t>
        </is>
      </c>
      <c r="B2985" s="33" t="inlineStr">
        <is>
          <t>WDC</t>
        </is>
      </c>
      <c r="C2985" s="33" t="inlineStr">
        <is>
          <t>D3</t>
        </is>
      </c>
      <c r="D2985" s="33" t="n">
        <v>4</v>
      </c>
      <c r="E2985" s="33" t="inlineStr">
        <is>
          <t>HELD at 4, resisting the upgrade the price action invites. A three-supplier oligopoly with a multi-year structural capacity shortfall is a strong position, but band 5 requires plausible 10+ year defensibility, and long-run NAND/SSD substitution economics remain a genuine open question even though supply is short by ~300EB today and NAND is visibly NOT absorbing nearline demand. Bias check applied: the stock is +78.4% over six months, which is not moat evidence.</t>
        </is>
      </c>
      <c r="F2985" s="33" t="inlineStr">
        <is>
          <t>8-K Ex-99.1 2026-08-05; The Register 2026-02-20; rubric D3 bias check</t>
        </is>
      </c>
      <c r="G2985" s="33" t="inlineStr">
        <is>
          <t>Medium</t>
        </is>
      </c>
      <c r="H2985" s="33" t="inlineStr">
        <is>
          <t>Claude proposed</t>
        </is>
      </c>
    </row>
    <row r="2986">
      <c r="A2986" s="33" t="inlineStr">
        <is>
          <t>2026-09-07</t>
        </is>
      </c>
      <c r="B2986" s="33" t="inlineStr">
        <is>
          <t>WDC</t>
        </is>
      </c>
      <c r="C2986" s="33" t="inlineStr">
        <is>
          <t>R1</t>
        </is>
      </c>
      <c r="D2986" s="33" t="n">
        <v>3</v>
      </c>
      <c r="E2986" s="33" t="inlineStr">
        <is>
          <t>HELD at 3. Hyperscaler forward orders have taken 85-95% of nearline capacity since Q2 2025 with firm orders from the top seven customers — real and material concentration, currently expressed as strength rather than as risk. Held rather than lowered because no single customer is disclosed above band 2's 40-60% threshold; as with DDOG this pass, the exposure is cohort-level and R1 measures single-customer share.</t>
        </is>
      </c>
      <c r="F2986" s="33" t="inlineStr">
        <is>
          <t>8-K Ex-99.1 2026-08-05; context-2026-09-07.md</t>
        </is>
      </c>
      <c r="G2986" s="33" t="inlineStr">
        <is>
          <t>Medium</t>
        </is>
      </c>
      <c r="H2986" s="33" t="inlineStr">
        <is>
          <t>Claude proposed</t>
        </is>
      </c>
    </row>
    <row r="2987">
      <c r="A2987" s="33" t="inlineStr">
        <is>
          <t>2026-09-07</t>
        </is>
      </c>
      <c r="B2987" s="33" t="inlineStr">
        <is>
          <t>WDC</t>
        </is>
      </c>
      <c r="C2987" s="33" t="inlineStr">
        <is>
          <t>R2</t>
        </is>
      </c>
      <c r="D2987" s="33" t="n">
        <v>4</v>
      </c>
      <c r="E2987" s="33" t="inlineStr">
        <is>
          <t>HELD at 4 with an explicit gap flagged. WDC's manufacturing footprint in South-East Asia is an ASSET leg under the revised R2 framework, which if assessed could support a 2-3, but the 10-K Item 2 property/asset-location analysis was NOT run in this pass. Holding the incumbent band rather than moving in either direction on an unexamined leg — this is the single weakest-evidenced rating in the eight-name pass and should be the first R2 refreshed next time.</t>
        </is>
      </c>
      <c r="F2987" s="33" t="inlineStr">
        <is>
          <t>rubric R2 three-leg framework; context-2026-09-07.md (flagged as not done)</t>
        </is>
      </c>
      <c r="G2987" s="33" t="inlineStr">
        <is>
          <t>Low</t>
        </is>
      </c>
      <c r="H2987" s="33" t="inlineStr">
        <is>
          <t>Claude proposed</t>
        </is>
      </c>
    </row>
    <row r="2988">
      <c r="A2988" s="33" t="inlineStr">
        <is>
          <t>2026-09-07</t>
        </is>
      </c>
      <c r="B2988" s="33" t="inlineStr">
        <is>
          <t>PANW</t>
        </is>
      </c>
      <c r="C2988" s="33" t="inlineStr">
        <is>
          <t>M3</t>
        </is>
      </c>
      <c r="D2988" s="33" t="n">
        <v>5</v>
      </c>
      <c r="E2988" s="33" t="inlineStr">
        <is>
          <t>HELD at 5 — but flagged as UNVERIFIED this pass and the highest-priority item for the next one. A 5 asserts multiple insider open-market purchases (or a single discretionary buy above $1M); no Form 4 review was performed in this refresh, so the rating rests entirely on whenever it was last set. It is also the only 5 on M3 across the eight names in this rotation, which means it carries disproportionate weight in PANW's Momentum score. Verify against EDGAR Form 4 filings before trusting it further.</t>
        </is>
      </c>
      <c r="F2988" s="33" t="inlineStr">
        <is>
          <t>not refreshed this pass — flagged per rule 3; context-2026-09-07.md</t>
        </is>
      </c>
      <c r="G2988" s="33" t="inlineStr">
        <is>
          <t>Low</t>
        </is>
      </c>
      <c r="H2988" s="33" t="inlineStr">
        <is>
          <t>Claude proposed</t>
        </is>
      </c>
    </row>
    <row r="2989">
      <c r="A2989" s="33" t="inlineStr">
        <is>
          <t>2026-09-07</t>
        </is>
      </c>
      <c r="B2989" s="33" t="inlineStr">
        <is>
          <t>PANW</t>
        </is>
      </c>
      <c r="C2989" s="33" t="inlineStr">
        <is>
          <t>D3</t>
        </is>
      </c>
      <c r="D2989" s="33" t="n">
        <v>4</v>
      </c>
      <c r="E2989" s="33" t="inlineStr">
        <is>
          <t>HELD at 4. Platform consolidation across three adjacent categories at once (CyberArk identity, Chronosphere observability, Console agentic workflow) strengthens the bundling position, and RPO of $21.2B (+34%) with a reiterated $20B NGS ARR by FY30 target is real forward commitment. The offsetting question, recorded rather than resolved: whether a moat assembled by roll-up is the same thing as an earned one — and CyberArk's reported ARR is 2-3% LOWER under PANW's accounting definition than under its previous bookings-based definition, a disclosed downward restatement of the acquired base.</t>
        </is>
      </c>
      <c r="F2989" s="33" t="inlineStr">
        <is>
          <t>8-K Ex-99.1 2026-09-01; TIKR 2026; context-2026-09-07.md</t>
        </is>
      </c>
      <c r="G2989" s="33" t="inlineStr">
        <is>
          <t>Medium</t>
        </is>
      </c>
      <c r="H2989" s="33" t="inlineStr">
        <is>
          <t>Claude proposed</t>
        </is>
      </c>
    </row>
    <row r="2990">
      <c r="A2990" s="33" t="inlineStr">
        <is>
          <t>2026-09-07</t>
        </is>
      </c>
      <c r="B2990" s="33" t="inlineStr">
        <is>
          <t>APP</t>
        </is>
      </c>
      <c r="C2990" s="33" t="inlineStr">
        <is>
          <t>D3</t>
        </is>
      </c>
      <c r="D2990" s="33" t="n">
        <v>3</v>
      </c>
      <c r="E2990" s="33" t="inlineStr">
        <is>
          <t>HELD at 3, and this is the dimension most directly challenged. The moat IS Axon's rate of self-improvement, and management has now told the market that rate was 'lighter than normal' in a specific quarter — attributing the guidance shortfall to the model, NOT to weaker advertiser demand. That is a warning, not yet erosion: revenue still grew 53% with an 84% Adjusted EBITDA margin, so band 2's 'losing share possible, price-taker behaviour' is not evidenced. Deliberately not double-counting this single datapoint across D2 (held 4) and D3. The falsifiable thing to track is the next two quarters of Axon improvement commentary.</t>
        </is>
      </c>
      <c r="F2990" s="33" t="inlineStr">
        <is>
          <t>8-K Ex-99.1 2026-08-05; ad-hoc-news 2026; context-2026-09-07.md</t>
        </is>
      </c>
      <c r="G2990" s="33" t="inlineStr">
        <is>
          <t>Medium</t>
        </is>
      </c>
      <c r="H2990" s="33" t="inlineStr">
        <is>
          <t>Claude proposed</t>
        </is>
      </c>
    </row>
    <row r="2991">
      <c r="A2991" s="33" t="inlineStr">
        <is>
          <t>2026-09-07</t>
        </is>
      </c>
      <c r="B2991" s="33" t="inlineStr">
        <is>
          <t>APP</t>
        </is>
      </c>
      <c r="C2991" s="33" t="inlineStr">
        <is>
          <t>R5</t>
        </is>
      </c>
      <c r="D2991" s="33" t="n">
        <v>4</v>
      </c>
      <c r="E2991" s="33" t="inlineStr">
        <is>
          <t>HELD at 4 — deliberately resisting a pile-on. The rule-16 band-4 language covers AI-native beneficiaries, which AppLovin is: its core product IS an AI model. The genuine terminal-value question is whether a better model (Meta Advantage+, Google) out-improves Axon, but that is the D3 competitive question in different clothes, and no ACTIVE erosion is visible in a quarter of 53% revenue growth and record profit. Noting the temptation and the discipline: the name is already down 43% over three months and carries four other downgrades this pass, which is exactly when an unevidenced fifth becomes easy to justify.</t>
        </is>
      </c>
      <c r="F2991" s="33" t="inlineStr">
        <is>
          <t>CLAUDE.md rule 16; 8-K Ex-99.1 2026-08-05; context-2026-09-07.md</t>
        </is>
      </c>
      <c r="G2991" s="33" t="inlineStr">
        <is>
          <t>Medium</t>
        </is>
      </c>
      <c r="H2991" s="33" t="inlineStr">
        <is>
          <t>Claude proposed</t>
        </is>
      </c>
    </row>
    <row r="2992">
      <c r="A2992" s="33" t="inlineStr">
        <is>
          <t>2026-09-07</t>
        </is>
      </c>
      <c r="B2992" s="33" t="inlineStr">
        <is>
          <t>APP</t>
        </is>
      </c>
      <c r="C2992" s="33" t="inlineStr">
        <is>
          <t>R1</t>
        </is>
      </c>
      <c r="D2992" s="33" t="n">
        <v>4</v>
      </c>
      <c r="E2992" s="33" t="inlineStr">
        <is>
          <t>HELD at 4. The advertiser mix shift toward e-commerce self-serve was NOT quantified in this pass and no advertiser-concentration disclosure was reviewed. Flagged as not done rather than rated on impression.</t>
        </is>
      </c>
      <c r="F2992" s="33" t="inlineStr">
        <is>
          <t>not examined this pass — flagged per rule 3; context-2026-09-07.md</t>
        </is>
      </c>
      <c r="G2992" s="33" t="inlineStr">
        <is>
          <t>Low</t>
        </is>
      </c>
      <c r="H2992" s="33" t="inlineStr">
        <is>
          <t>Claude proposed</t>
        </is>
      </c>
    </row>
    <row r="2993">
      <c r="A2993" s="33" t="inlineStr">
        <is>
          <t>2026-09-07</t>
        </is>
      </c>
      <c r="B2993" s="33" t="inlineStr">
        <is>
          <t>CRM</t>
        </is>
      </c>
      <c r="C2993" s="33" t="inlineStr">
        <is>
          <t>EPS YoY (objective)</t>
        </is>
      </c>
      <c r="E2993" s="33" t="inlineStr">
        <is>
          <t>Rule-15 blank: Q2 FY27 (q/e 2026-07-31) GAAP net income $3,526M vs $1,887M (+86.9%, = yfinance earningsQuarterlyGrowth) dominated by $2,613M 'Gains on strategic investments, net' vs $6M PY; gain = $2.43 of the $4.29 GAAP diluted EPS (Ex-99.1 note 3); income from operations FLAT ($2,331M vs $2,332M), ex-gain net income ~$1.5B = DOWN ~19% YoY. Under the 300% auto-withhold, so the script would have written 86.9 — blanked by hand. NOTE: the press release does not name the investee (the Anthropic attribution is from the briefing thread, not the filing). Growth averages the revenue metrics. [8-K Ex-99.1 filed 2026-08-26]</t>
        </is>
      </c>
      <c r="F2993" s="33" t="inlineStr">
        <is>
          <t>https://www.sec.gov/Archives/edgar/data/1108524/000110852426000187/</t>
        </is>
      </c>
      <c r="G2993" s="33" t="inlineStr">
        <is>
          <t>High</t>
        </is>
      </c>
      <c r="H2993" s="33" t="inlineStr">
        <is>
          <t>Objective refresh</t>
        </is>
      </c>
    </row>
    <row r="2994">
      <c r="A2994" s="33" t="inlineStr">
        <is>
          <t>2026-09-07</t>
        </is>
      </c>
      <c r="B2994" s="33" t="inlineStr">
        <is>
          <t>WDAY</t>
        </is>
      </c>
      <c r="C2994" s="33" t="inlineStr">
        <is>
          <t>EPS YoY (objective)</t>
        </is>
      </c>
      <c r="E2994" s="33" t="inlineStr">
        <is>
          <t>Rule-15 blank: Q2 FY27 (q/e 2026-07-31) GAAP net income $632M vs $228M (+177%) dominated by a $374M deferred-tax benefit from an intra-entity IP transfer in an internal legal-entity restructuring ($1.52 of the $2.57 diluted EPS; Ex-99.1 para 1 + income-tax-effects note); pretax income +7.6% ($327M vs $304M), operating income +26%. Tax one-off = rule-15 class (QCOM 2026-06-15 precedent). Was 226.5 (a GAAP figure off the restructuring-depressed Q1 FY26 base — the 2026-06-17 audit had substituted non-GAAP +19). [8-K Ex-99.1 filed 2026-08-27]</t>
        </is>
      </c>
      <c r="F2994" s="33" t="inlineStr">
        <is>
          <t>https://www.sec.gov/Archives/edgar/data/1327811/000132781126000042/</t>
        </is>
      </c>
      <c r="G2994" s="33" t="inlineStr">
        <is>
          <t>High</t>
        </is>
      </c>
      <c r="H2994" s="33" t="inlineStr">
        <is>
          <t>Objective refresh</t>
        </is>
      </c>
    </row>
    <row r="2995">
      <c r="A2995" s="33" t="inlineStr">
        <is>
          <t>2026-09-07</t>
        </is>
      </c>
      <c r="B2995" s="33" t="inlineStr">
        <is>
          <t>INTU</t>
        </is>
      </c>
      <c r="C2995" s="33" t="inlineStr">
        <is>
          <t>EPS YoY (objective)</t>
        </is>
      </c>
      <c r="E2995" s="33" t="inlineStr">
        <is>
          <t>Rule-15 blank (judgment call — flagged for Dom): Q4 FY26 (q/e 2026-07-31) GAAP net income $363M vs $381M (-4.7%) while pretax income ROSE 47% ($540M vs $366M) and operating income +40%. Sign flip is dominated by the tax swing: $177M provision vs a $15M net BENEFIT in the PY quarter (PY carried $143M excess SBC tax benefits per Ex-99.1 tax note) = -$192M vs +$174M pretax growth — the rule-15 tax-one-off class (TEL 2026-06-24 depressed/inflated-base precedent). Secondary: $293M restructuring charge vs $1M (new 'Plan'), which alone would NOT blank per the META 2026-08-02 in-operating precedent. Reversible: writing the mechanical -4.7 is the alternative. [8-K Ex-99.1 filed 2026-08-25]</t>
        </is>
      </c>
      <c r="F2995" s="33" t="inlineStr">
        <is>
          <t>https://www.sec.gov/Archives/edgar/data/896878/000089687826000029/</t>
        </is>
      </c>
      <c r="G2995" s="33" t="inlineStr">
        <is>
          <t>Medium</t>
        </is>
      </c>
      <c r="H2995" s="33" t="inlineStr">
        <is>
          <t>Objective refresh</t>
        </is>
      </c>
    </row>
    <row r="2996">
      <c r="A2996" s="33" t="inlineStr">
        <is>
          <t>2026-09-07</t>
        </is>
      </c>
      <c r="B2996" s="33" t="inlineStr">
        <is>
          <t>MDB</t>
        </is>
      </c>
      <c r="C2996" s="33" t="inlineStr">
        <is>
          <t>EPS YoY (objective)</t>
        </is>
      </c>
      <c r="E2996" s="33" t="inlineStr">
        <is>
          <t>Blanked (undefined ratio, not rule 15): Q2 FY27 (q/e 2026-07-31) GAAP net income $40.9M vs net LOSS $(47.0)M PY — a loss-to-profit swing has no meaningful YoY %, yfinance returned None, and the guard kept a stale 2.2 from the 7/16 refresh. Same treatment as CRWD (blank, loss-base). The swing itself is operational (income from operations $28.4M vs $(65.3)M, revenue +30.5%) and shows up in the revenue metrics. [8-K Ex-99.1 filed 2026-09-01]</t>
        </is>
      </c>
      <c r="F2996" s="33" t="inlineStr">
        <is>
          <t>https://www.sec.gov/Archives/edgar/data/1441816/000162828026059794/</t>
        </is>
      </c>
      <c r="G2996" s="33" t="inlineStr">
        <is>
          <t>High</t>
        </is>
      </c>
      <c r="H2996" s="33" t="inlineStr">
        <is>
          <t>Objective refresh</t>
        </is>
      </c>
    </row>
    <row r="2997">
      <c r="A2997" s="33" t="inlineStr">
        <is>
          <t>2026-09-07</t>
        </is>
      </c>
      <c r="B2997" s="33" t="inlineStr">
        <is>
          <t>DDOG</t>
        </is>
      </c>
      <c r="C2997" s="33" t="inlineStr">
        <is>
          <t>EPS YoY (objective)</t>
        </is>
      </c>
      <c r="D2997" s="33" t="n">
        <v>1583.3</v>
      </c>
      <c r="E2997" s="33" t="inlineStr">
        <is>
          <t>Rule-15 check, WRITTEN (statement-derived; the script withheld the yfinance +1583% at the 300% guard): Q2 2026 (q/e 2026-06-30) GAAP net income $44,558K vs $2,647K = +1583.3%, operating income swung $(35.5)M -&gt; +$5.5M on revenue +35.6%; other income $46.3M vs $41.6M (interest, recurring); no gain/divestiture/tax one-off. Big operational number off a tiny base = the SEI/CIEN precedent, stays. Was 113.4 (stale, pre-8/6 print). [8-K Ex-99.1 filed 2026-08-06]</t>
        </is>
      </c>
      <c r="F2997" s="33" t="inlineStr">
        <is>
          <t>https://www.sec.gov/Archives/edgar/data/1561550/000162828026053829/</t>
        </is>
      </c>
      <c r="G2997" s="33" t="inlineStr">
        <is>
          <t>High</t>
        </is>
      </c>
      <c r="H2997" s="33" t="inlineStr">
        <is>
          <t>Objective refresh</t>
        </is>
      </c>
    </row>
    <row r="2998">
      <c r="A2998" s="33" t="inlineStr">
        <is>
          <t>2026-09-07</t>
        </is>
      </c>
      <c r="B2998" s="33" t="inlineStr">
        <is>
          <t>HPE</t>
        </is>
      </c>
      <c r="C2998" s="33" t="inlineStr">
        <is>
          <t>EPS YoY (objective)</t>
        </is>
      </c>
      <c r="D2998" s="33" t="n">
        <v>404.9</v>
      </c>
      <c r="E2998" s="33" t="inlineStr">
        <is>
          <t>Rule-15 check, WRITTEN (statement-derived; script withheld yfinance +405%): Q3 FY26 (q/e 2026-07-31) net earnings attributable to HPE $1,540M vs $305M = +404.9%; earnings from operations $1,393M vs $247M (+464%, Juniper consolidation + AI systems). Includes a $444M 'Gain on sale of equity interest' (H3C-related per the non-GAAP note) — ex-gain pretax $1,318M vs $288M is still +358%, so the gain is NOT dominant. Was -30.3 (stale 7/16). [8-K Ex-99.1 filed 2026-09-02]</t>
        </is>
      </c>
      <c r="F2998" s="33" t="inlineStr">
        <is>
          <t>https://www.sec.gov/Archives/edgar/data/1645590/000164559026000078/</t>
        </is>
      </c>
      <c r="G2998" s="33" t="inlineStr">
        <is>
          <t>High</t>
        </is>
      </c>
      <c r="H2998" s="33" t="inlineStr">
        <is>
          <t>Objective refresh</t>
        </is>
      </c>
    </row>
    <row r="2999">
      <c r="A2999" s="33" t="inlineStr">
        <is>
          <t>2026-09-07</t>
        </is>
      </c>
      <c r="B2999" s="33" t="inlineStr">
        <is>
          <t>CIEN</t>
        </is>
      </c>
      <c r="C2999" s="33" t="inlineStr">
        <is>
          <t>EPS YoY (objective)</t>
        </is>
      </c>
      <c r="D2999" s="33" t="n">
        <v>429.6</v>
      </c>
      <c r="E2999" s="33" t="inlineStr">
        <is>
          <t>Rule-15 check, WRITTEN (statement-derived; script withheld yfinance +430%): Q3 FY26 (q/e 2026-08-01) GAAP net income $266.4M vs $50.3M = +429.6%; income from operations $301.2M vs $73.5M (+310%) on revenue +37.0% and gross margin 45.4% vs 41.3%. Only non-operating item is a $7.1M debt-extinguishment LOSS (a headwind). Operational, stays — same ruling as the 2026-06-24 CIEN entry (+2333, which this replaces). [8-K Ex-99.1 filed 2026-09-03]</t>
        </is>
      </c>
      <c r="F2999" s="33" t="inlineStr">
        <is>
          <t>https://www.sec.gov/Archives/edgar/data/936395/000162828026060245/</t>
        </is>
      </c>
      <c r="G2999" s="33" t="inlineStr">
        <is>
          <t>High</t>
        </is>
      </c>
      <c r="H2999" s="33" t="inlineStr">
        <is>
          <t>Objective refresh</t>
        </is>
      </c>
    </row>
    <row r="3000">
      <c r="A3000" s="33" t="inlineStr">
        <is>
          <t>2026-09-07</t>
        </is>
      </c>
      <c r="B3000" s="33" t="inlineStr">
        <is>
          <t>DELL</t>
        </is>
      </c>
      <c r="C3000" s="33" t="inlineStr">
        <is>
          <t>EPS YoY (objective)</t>
        </is>
      </c>
      <c r="D3000" s="33" t="n">
        <v>255.1</v>
      </c>
      <c r="E3000" s="33" t="inlineStr">
        <is>
          <t>Rule-15 check, KEPT mechanical write: Q2 FY27 (q/e 2026-07-31) GAAP net income $4,133M vs $1,164M (+255%), operating income $5,385M vs $1,773M (+204%) on revenue +58% (AI-server ramp); tax expense +262% (no benefit), interest &amp; other a smaller drag. Operational. [8-K Ex-99.1 filed 2026-09-01]</t>
        </is>
      </c>
      <c r="F3000" s="33" t="inlineStr">
        <is>
          <t>https://www.sec.gov/Archives/edgar/data/1571996/000157199626000039/</t>
        </is>
      </c>
      <c r="G3000" s="33" t="inlineStr">
        <is>
          <t>High</t>
        </is>
      </c>
      <c r="H3000" s="33" t="inlineStr">
        <is>
          <t>Objective refresh</t>
        </is>
      </c>
    </row>
    <row r="3001">
      <c r="A3001" s="33" t="inlineStr">
        <is>
          <t>2026-09-07</t>
        </is>
      </c>
      <c r="B3001" s="33" t="inlineStr">
        <is>
          <t>ADSK</t>
        </is>
      </c>
      <c r="C3001" s="33" t="inlineStr">
        <is>
          <t>EPS YoY (objective)</t>
        </is>
      </c>
      <c r="D3001" s="33" t="n">
        <v>57.2</v>
      </c>
      <c r="E3001" s="33" t="inlineStr">
        <is>
          <t>Rule-15 check, KEPT mechanical write: Q2 FY27 (q/e 2026-07-31) GAAP net income $492M vs $313M (+57.2%); income from operations $599M vs $444M (+35%), pretax +30%; the remainder is a lower effective tax rate (17% vs 31%) with no discrete item disclosed in Ex-99.1 — not dominant. Was 223 (the GAAP figure off the restructuring-depressed Q1 FY26 base). [8-K Ex-99.1 filed 2026-08-27]</t>
        </is>
      </c>
      <c r="F3001" s="33" t="inlineStr">
        <is>
          <t>https://www.sec.gov/Archives/edgar/data/769397/000076939726000059/</t>
        </is>
      </c>
      <c r="G3001" s="33" t="inlineStr">
        <is>
          <t>High</t>
        </is>
      </c>
      <c r="H3001" s="33" t="inlineStr">
        <is>
          <t>Objective refresh</t>
        </is>
      </c>
    </row>
    <row r="3002">
      <c r="A3002" s="33" t="inlineStr">
        <is>
          <t>2026-09-07</t>
        </is>
      </c>
      <c r="B3002" s="33" t="inlineStr">
        <is>
          <t>NTAP</t>
        </is>
      </c>
      <c r="C3002" s="33" t="inlineStr">
        <is>
          <t>EPS YoY (objective)</t>
        </is>
      </c>
      <c r="D3002" s="33" t="n">
        <v>60.9</v>
      </c>
      <c r="E3002" s="33" t="inlineStr">
        <is>
          <t>Rule-15 check, KEPT mechanical write: Q1 FY27 (q/e 2026-07-31) GAAP net income $375M vs $233M (+60.9%); income from operations $484M vs $309M (+57%) on revenue +29.9% ($2,025M vs $1,559M — verified, the 29.9 rev YoY is real); absorbed a $56M restructuring charge (headwind). Operational. [8-K Ex-99.1 filed 2026-09-02]</t>
        </is>
      </c>
      <c r="F3002" s="33" t="inlineStr">
        <is>
          <t>https://www.sec.gov/Archives/edgar/data/1002047/000100204726000003/</t>
        </is>
      </c>
      <c r="G3002" s="33" t="inlineStr">
        <is>
          <t>High</t>
        </is>
      </c>
      <c r="H3002" s="33" t="inlineStr">
        <is>
          <t>Objective refresh</t>
        </is>
      </c>
    </row>
    <row r="3003">
      <c r="A3003" s="33" t="inlineStr">
        <is>
          <t>2026-09-07</t>
        </is>
      </c>
      <c r="B3003" s="33" t="inlineStr">
        <is>
          <t>PANW</t>
        </is>
      </c>
      <c r="C3003" s="33" t="inlineStr">
        <is>
          <t>EPS YoY (objective)</t>
        </is>
      </c>
      <c r="E3003" s="33" t="inlineStr">
        <is>
          <t>Preserved blank re-verified: Q4 FY26 (q/e 2026-07-31) GAAP net LOSS $(282)M vs $254M profit (CyberArk/Chronosphere acquisition accounting) — profit-to-loss, ratio undefined. Blank stands (2026-06-17 ruling). [8-K Ex-99.1 filed 2026-09-01]</t>
        </is>
      </c>
      <c r="F3003" s="33" t="inlineStr">
        <is>
          <t>https://www.sec.gov/Archives/edgar/data/1327567/000132756726000019/</t>
        </is>
      </c>
      <c r="G3003" s="33" t="inlineStr">
        <is>
          <t>High</t>
        </is>
      </c>
      <c r="H3003" s="33" t="inlineStr">
        <is>
          <t>Objective refresh</t>
        </is>
      </c>
    </row>
    <row r="3004">
      <c r="A3004" s="33" t="inlineStr">
        <is>
          <t>2026-09-07</t>
        </is>
      </c>
      <c r="B3004" s="33" t="inlineStr">
        <is>
          <t>SNOW</t>
        </is>
      </c>
      <c r="C3004" s="33" t="inlineStr">
        <is>
          <t>EPS YoY (objective)</t>
        </is>
      </c>
      <c r="E3004" s="33" t="inlineStr">
        <is>
          <t>Preserved blank re-verified: Q2 FY27 (q/e 2026-07-31) GAAP net loss $(191.7)M vs $(298.0)M — loss both periods, ratio undefined. Blank stands. [8-K Ex-99.1 filed 2026-09-02]</t>
        </is>
      </c>
      <c r="F3004" s="33" t="inlineStr">
        <is>
          <t>https://www.sec.gov/Archives/edgar/data/1640147/000164014726000033/</t>
        </is>
      </c>
      <c r="G3004" s="33" t="inlineStr">
        <is>
          <t>High</t>
        </is>
      </c>
      <c r="H3004" s="33" t="inlineStr">
        <is>
          <t>Objective refresh</t>
        </is>
      </c>
    </row>
    <row r="3005">
      <c r="A3005" s="33" t="inlineStr">
        <is>
          <t>2026-09-07</t>
        </is>
      </c>
      <c r="B3005" s="33" t="inlineStr">
        <is>
          <t>CRWD</t>
        </is>
      </c>
      <c r="C3005" s="33" t="inlineStr">
        <is>
          <t>EPS YoY (objective)</t>
        </is>
      </c>
      <c r="E3005" s="33" t="inlineStr">
        <is>
          <t>Preserved blank re-verified: Q2 FY27 (q/e 2026-07-31) GAAP net income $5.3M vs net loss $(70.1)M — loss-to-profit, ratio undefined. Blank stands. [8-K Ex-99.1 filed 2026-08-26]</t>
        </is>
      </c>
      <c r="F3005" s="33" t="inlineStr">
        <is>
          <t>https://www.sec.gov/Archives/edgar/data/1535527/000153552726000029/</t>
        </is>
      </c>
      <c r="G3005" s="33" t="inlineStr">
        <is>
          <t>High</t>
        </is>
      </c>
      <c r="H3005" s="33" t="inlineStr">
        <is>
          <t>Objective refresh</t>
        </is>
      </c>
    </row>
    <row r="3006">
      <c r="A3006" s="33" t="inlineStr">
        <is>
          <t>2026-09-07</t>
        </is>
      </c>
      <c r="B3006" s="33" t="inlineStr">
        <is>
          <t>ZS</t>
        </is>
      </c>
      <c r="C3006" s="33" t="inlineStr">
        <is>
          <t>EPS YoY (objective)</t>
        </is>
      </c>
      <c r="E3006" s="33" t="inlineStr">
        <is>
          <t>Preserved blank re-verified: Q4 FY26 (q/e 2026-07-31) GAAP net loss $(3.4)M vs $(17.6)M — loss both periods, ratio undefined. Blank stands (2026-06-17 ruling). [8-K Ex-99.1 filed 2026-09-03]</t>
        </is>
      </c>
      <c r="F3006" s="33" t="inlineStr">
        <is>
          <t>https://www.sec.gov/Archives/edgar/data/1713683/000171368326000156/</t>
        </is>
      </c>
      <c r="G3006" s="33" t="inlineStr">
        <is>
          <t>High</t>
        </is>
      </c>
      <c r="H3006" s="33" t="inlineStr">
        <is>
          <t>Objective refresh</t>
        </is>
      </c>
    </row>
    <row r="3007">
      <c r="A3007" s="73" t="n">
        <v>46273</v>
      </c>
      <c r="B3007" s="33" t="inlineStr">
        <is>
          <t>SPCX</t>
        </is>
      </c>
      <c r="C3007" s="33" t="inlineStr">
        <is>
          <t>D1 AI Rev %</t>
        </is>
      </c>
      <c r="D3007" s="33" t="n">
        <v>4</v>
      </c>
      <c r="E3007" s="33" t="inlineStr">
        <is>
          <t>AI segment Q2 2026 $2,561M / $7,814M total = 32.8%; exceeds 25% band. Cursor ($1B ARR) not yet in numbers — consolidates Q3+. Strong upward trend (was ~17% FY2025).</t>
        </is>
      </c>
      <c r="F3007" s="33" t="inlineStr">
        <is>
          <t>Q2 2026 10-Q segment revenue; Q2 earnings release (filed 2026-08-04)</t>
        </is>
      </c>
      <c r="G3007" s="33" t="inlineStr">
        <is>
          <t>High</t>
        </is>
      </c>
      <c r="H3007" s="33" t="inlineStr">
        <is>
          <t>Raise from 3</t>
        </is>
      </c>
    </row>
    <row r="3008">
      <c r="A3008" s="73" t="n">
        <v>46273</v>
      </c>
      <c r="B3008" s="33" t="inlineStr">
        <is>
          <t>SPCX</t>
        </is>
      </c>
      <c r="C3008" s="33" t="inlineStr">
        <is>
          <t>D5 Hyperscaler/AI Capex</t>
        </is>
      </c>
      <c r="D3008" s="33" t="n">
        <v>5</v>
      </c>
      <c r="E3008" s="33" t="inlineStr">
        <is>
          <t>H1 2026 capex $28.5B → annualized $57B, firmly &gt;$30B/yr buyer-side AI-infra band per rule-23 parallel scale. $14.1B contracted cloud services agreements. $15.8B of Q2 capex specifically AI infrastructure.</t>
        </is>
      </c>
      <c r="F3008" s="33" t="inlineStr">
        <is>
          <t>H1 2026 cash flow statement (capex $28.48B, OCF $3.47B); Q2 2026 earnings release</t>
        </is>
      </c>
      <c r="G3008" s="33" t="inlineStr">
        <is>
          <t>High</t>
        </is>
      </c>
      <c r="H3008" s="33" t="inlineStr">
        <is>
          <t>Raise from 4</t>
        </is>
      </c>
    </row>
    <row r="3009">
      <c r="A3009" s="73" t="n">
        <v>46273</v>
      </c>
      <c r="B3009" s="33" t="inlineStr">
        <is>
          <t>SPCX</t>
        </is>
      </c>
      <c r="C3009" s="33" t="inlineStr">
        <is>
          <t>M1 EPS Revisions (90d)</t>
        </is>
      </c>
      <c r="D3009" s="33" t="n">
        <v>4</v>
      </c>
      <c r="E3009" s="33" t="inlineStr">
        <is>
          <t>Q2 2026 revenue $7.81B vs consensus estimate $6.9B (+13% beat). First quarterly report with analyst coverage; adj EBITDA +191% YoY also beat. Upward revisions expected for subsequent quarters. Only one quarter of estimate history — medium confidence.</t>
        </is>
      </c>
      <c r="F3009" s="33" t="inlineStr">
        <is>
          <t>CNBC Q2 2026 earnings live updates; S&amp;P Global Q2 earnings preview; Visible Alpha consensus</t>
        </is>
      </c>
      <c r="G3009" s="33" t="inlineStr">
        <is>
          <t>Medium</t>
        </is>
      </c>
      <c r="H3009" s="33" t="inlineStr">
        <is>
          <t>New (stub had blank)</t>
        </is>
      </c>
    </row>
    <row r="3010">
      <c r="A3010" s="73" t="n">
        <v>46273</v>
      </c>
      <c r="B3010" s="33" t="inlineStr">
        <is>
          <t>SPCX</t>
        </is>
      </c>
      <c r="C3010" s="33" t="inlineStr">
        <is>
          <t>M2 Relative Strength</t>
        </is>
      </c>
      <c r="D3010" s="33" t="n">
        <v>2</v>
      </c>
      <c r="E3010" s="33" t="inlineStr">
        <is>
          <t>IPO Jun 15 $135, ATH $225.64 same day. Fell to $104.83 by Aug 2 (-53% from ATH). Recovered to $147.95 Sep 7 (still -34% from ATH, +10% from IPO). Extended-hours -8% on Q2 print (capex shock). Underperforming tech benchmark significantly from peak.</t>
        </is>
      </c>
      <c r="F3010" s="33" t="inlineStr">
        <is>
          <t>Yahoo Finance 52-week range; CNBC Q2 earnings reaction; Investing.com price data Sep 7</t>
        </is>
      </c>
      <c r="G3010" s="33" t="inlineStr">
        <is>
          <t>Medium-High</t>
        </is>
      </c>
      <c r="H3010" s="33" t="inlineStr">
        <is>
          <t>New (stub had blank)</t>
        </is>
      </c>
    </row>
    <row r="3011">
      <c r="A3011" s="73" t="n">
        <v>46273</v>
      </c>
      <c r="B3011" s="33" t="inlineStr">
        <is>
          <t>SPCX</t>
        </is>
      </c>
      <c r="C3011" s="33" t="inlineStr">
        <is>
          <t>M3 Insider Activity</t>
        </is>
      </c>
      <c r="D3011" s="33" t="n">
        <v>3</v>
      </c>
      <c r="E3011" s="33" t="inlineStr">
        <is>
          <t>180-day post-IPO lockup (Jun 15 → Dec 15, 2026) almost certainly in effect. No Form 4 open-market transactions possible or expected during window. Default 3 — no negative signals; no meaningful signal yet.</t>
        </is>
      </c>
      <c r="F3011" s="33" t="inlineStr">
        <is>
          <t>Standard 180-day lockup convention; no Form 4 open-market trades in public search results</t>
        </is>
      </c>
      <c r="G3011" s="33" t="inlineStr">
        <is>
          <t>Low</t>
        </is>
      </c>
      <c r="H3011" s="33" t="inlineStr">
        <is>
          <t>New (stub had blank)</t>
        </is>
      </c>
    </row>
    <row r="3012">
      <c r="A3012" s="73" t="n">
        <v>46273</v>
      </c>
      <c r="B3012" s="33" t="inlineStr">
        <is>
          <t>SPCX</t>
        </is>
      </c>
      <c r="C3012" s="33" t="inlineStr">
        <is>
          <t>R3 Balance Sheet Risk</t>
        </is>
      </c>
      <c r="D3012" s="33" t="n">
        <v>5</v>
      </c>
      <c r="E3012" s="33" t="inlineStr">
        <is>
          <t>Post-IPO fortress: $93.5B cash equivalents + $100B total cash/securities, $38.4B total debt → net cash $55.1B. Even at $28.5B/half-year capex run-rate, 12+ months cash runway from cash alone. Unambiguous fortress balance sheet post-IPO proceeds.</t>
        </is>
      </c>
      <c r="F3012" s="33" t="inlineStr">
        <is>
          <t>Q2 2026 10-Q balance sheet; Q2 2026 earnings release (filed 2026-08-04)</t>
        </is>
      </c>
      <c r="G3012" s="33" t="inlineStr">
        <is>
          <t>High</t>
        </is>
      </c>
      <c r="H3012" s="33" t="inlineStr">
        <is>
          <t>Raise from 4</t>
        </is>
      </c>
    </row>
    <row r="3013">
      <c r="A3013" s="73" t="n">
        <v>46273</v>
      </c>
      <c r="B3013" s="33" t="inlineStr">
        <is>
          <t>SPCX</t>
        </is>
      </c>
      <c r="C3013" s="33" t="inlineStr">
        <is>
          <t>Full score gate</t>
        </is>
      </c>
      <c r="E3013" s="33" t="inlineStr">
        <is>
          <t>2026-09-08 full re-score. Both stub gates cleared: (1) first 10-Q filed 2026-08-04; (2) Cursor deal closed 2026-08-14. All objective inputs now populated (see context-2026-09-08.md). Estimated total ~57 (Tier ✓). EPS YoY blank per rule 15; 50DMA% blank (yfinance blocked in cloud session).</t>
        </is>
      </c>
      <c r="F3013" s="33" t="inlineStr">
        <is>
          <t>context-2026-09-08.md; Q2 2026 10-Q; Cursor close announcement</t>
        </is>
      </c>
      <c r="G3013" s="33" t="inlineStr">
        <is>
          <t>High</t>
        </is>
      </c>
      <c r="H3013" s="33" t="inlineStr">
        <is>
          <t>Methodology/Status</t>
        </is>
      </c>
    </row>
    <row r="3014">
      <c r="A3014" s="74" t="n">
        <v>46273</v>
      </c>
      <c r="B3014" s="33" t="inlineStr">
        <is>
          <t>CIEN</t>
        </is>
      </c>
      <c r="C3014" s="33" t="inlineStr">
        <is>
          <t>EPS YoY (objective)</t>
        </is>
      </c>
      <c r="D3014" s="33" t="n">
        <v>429.6</v>
      </c>
      <c r="E3014" s="33" t="inlineStr">
        <is>
          <t>Rule-15 ruling: CONFIRM the GAAP figure, do NOT blank. Fresh yfinance EPS YoY +429.6% tripped the 300% withhold safety net. Primary filing shows the change is operating-dominated: income from operations $301.179M vs $73.535M (+309.6%) on revenue +37.0%, off a depressed PY base. Non-operating delta is recurring (interest expense $5.803M vs $22.806M; interest income $22.388M vs $15.090M — post-refinancing, larger cash balance), and the only disclosed one-time item is a $7.143M loss on debt extinguishment that REDUCES the current period. Per rule 15, 'a big operational number off a small base stays.' Entry recorded in 00-master/eps-yoy-overrides.json (quarter_end 2026-08-01); expires automatically at the next print.</t>
        </is>
      </c>
      <c r="F3014" s="33" t="inlineStr">
        <is>
          <t>8-K Item 2.02 Ex-99.1 filed 2026-09-03, Condensed Consolidated Statements of Operations, qtr ended 2026-08-01 (acc. 0001628280-26-060245)</t>
        </is>
      </c>
      <c r="G3014" s="33" t="inlineStr">
        <is>
          <t>High</t>
        </is>
      </c>
      <c r="H3014" s="33" t="inlineStr">
        <is>
          <t>Objective input ruling (rule 15) — earnings sentinel</t>
        </is>
      </c>
    </row>
    <row r="3015">
      <c r="A3015" s="74" t="n">
        <v>46273</v>
      </c>
      <c r="B3015" s="33" t="inlineStr">
        <is>
          <t>(all)</t>
        </is>
      </c>
      <c r="C3015" s="33" t="inlineStr">
        <is>
          <t>ROIC % (objective) — methodology</t>
        </is>
      </c>
      <c r="E3015" s="33" t="inlineStr">
        <is>
          <t>Rule 34: ROIC changed from a hand-curated cell to a computed TTM figure = operating income x (1 - effective tax rate) / (total assets - current liabilities). Prior column was 84/214 blank, mixed provenance, and carried garbage (CRWD -1263%, PLUG +28% while loss-making). Financing denominator (debt+equity-cash) was tried first and rejected on the data: it collapses for cash-rich names (NTAP 262%, PLTR 451%, GEV 110%). Goodwill included; tax rate clamped [0,0.35] with a 0 floor so genuinely low real rates (AVGO 3.8%, CIEN 8.8%) are not overstated. 191/195 non-foreign computed, 63 blanks filled. Layers 11 and 08 crossed the n=8 line into percentile ranking. Mean |score move| 0.68 pts, 5 tier changes, top-8 essentially unchanged. Foreign local listings excluded by scope choice (metric is currency-neutral; rule 19 does not apply).</t>
        </is>
      </c>
      <c r="F3015" s="33" t="inlineStr">
        <is>
          <t>scripts/roic.py; impact report vs temp workbook (rule 24 method); CLAUDE.md rule 34</t>
        </is>
      </c>
      <c r="G3015" s="33" t="inlineStr">
        <is>
          <t>High</t>
        </is>
      </c>
      <c r="H3015" s="33" t="inlineStr">
        <is>
          <t>Methodology (rule 8, Dom-approved)</t>
        </is>
      </c>
    </row>
    <row r="3016">
      <c r="A3016" s="74" t="n">
        <v>46287</v>
      </c>
      <c r="B3016" s="33" t="inlineStr">
        <is>
          <t>CRWV</t>
        </is>
      </c>
      <c r="C3016" s="33" t="inlineStr">
        <is>
          <t>R1 Customer Concentration</t>
        </is>
      </c>
      <c r="D3016" s="33" t="n">
        <v>2</v>
      </c>
      <c r="E3016" s="33" t="inlineStr">
        <is>
          <t>1-&gt;2. Q2 2026 10-Q Significant Customers: top customer 36% of rev (was 71% a yr ago); B 26%, C 10% (top-2 ~62%, top-3 ~72%). De-concentrates from single-buyer &gt;60% (band 1) toward major-dependency (band 2); held at 2 not 3 because the top-3 hyperscaler oligopsony ~72% keeps structural concentration high.</t>
        </is>
      </c>
      <c r="F3016" s="33" t="inlineStr">
        <is>
          <t>10-Q acc.0001769628-26-000366 (Q2 2026); per-stock/CRWV/context-2026-09-21.md</t>
        </is>
      </c>
      <c r="G3016" s="33" t="inlineStr">
        <is>
          <t>Medium</t>
        </is>
      </c>
      <c r="H3016" s="33" t="inlineStr">
        <is>
          <t>Subjective re-rating (rule 12 weekly refresh)</t>
        </is>
      </c>
    </row>
    <row r="3017">
      <c r="A3017" s="74" t="n">
        <v>46287</v>
      </c>
      <c r="B3017" s="33" t="inlineStr">
        <is>
          <t>CRWV</t>
        </is>
      </c>
      <c r="C3017" s="33" t="inlineStr">
        <is>
          <t>R3 Balance Sheet Risk</t>
        </is>
      </c>
      <c r="D3017" s="33" t="n">
        <v>1</v>
      </c>
      <c r="E3017" s="33" t="inlineStr">
        <is>
          <t>2-&gt;1. Debt ~$35.1B (+~$14B from YE25); interest -$640M/qtr not covered by adj op income ~$128M/qtr; thin equity ~$5.0B vs $77B assets; new DDTL 5.5 $2.6B at SOFR+5.50% adds a 1.35x DSCR covenant + material-contract cross-default tying financing to customer performance. Elevated (band 2) -&gt; stressed (band 1: high leverage + covenant/dilution risk). No going-concern language in the 10-Q is the one mitigant.</t>
        </is>
      </c>
      <c r="F3017" s="33" t="inlineStr">
        <is>
          <t>10-Q acc.0001769628-26-000366; 8-K 2026-08-10; per-stock/CRWV/context-2026-09-21.md</t>
        </is>
      </c>
      <c r="G3017" s="33" t="inlineStr">
        <is>
          <t>Medium</t>
        </is>
      </c>
      <c r="H3017" s="33" t="inlineStr">
        <is>
          <t>Subjective re-rating (rule 12 weekly refresh)</t>
        </is>
      </c>
    </row>
    <row r="3018">
      <c r="A3018" s="74" t="n">
        <v>46287</v>
      </c>
      <c r="B3018" s="33" t="inlineStr">
        <is>
          <t>ETN</t>
        </is>
      </c>
      <c r="C3018" s="33" t="inlineStr">
        <is>
          <t>M1 EPS Revisions</t>
        </is>
      </c>
      <c r="D3018" s="33" t="n">
        <v>5</v>
      </c>
      <c r="E3018" s="33" t="inlineStr">
        <is>
          <t>4-&gt;5. Second consecutive beat-and-raise: record Q2 2026 (rev +21%, adj EPS $3.15 beat), FY26 adj-EPS guide raised a 2nd time to $13.40-13.60. Beat-and-raise pattern = band 5.</t>
        </is>
      </c>
      <c r="F3018" s="33" t="inlineStr">
        <is>
          <t>10-Q 2026-07-31; per-stock/ETN/context-2026-09-21.md</t>
        </is>
      </c>
      <c r="G3018" s="33" t="inlineStr">
        <is>
          <t>High</t>
        </is>
      </c>
      <c r="H3018" s="33" t="inlineStr">
        <is>
          <t>Subjective re-rating (rule 12 weekly refresh)</t>
        </is>
      </c>
    </row>
    <row r="3019">
      <c r="A3019" s="74" t="n">
        <v>46287</v>
      </c>
      <c r="B3019" s="33" t="inlineStr">
        <is>
          <t>HUBB</t>
        </is>
      </c>
      <c r="C3019" s="33" t="inlineStr">
        <is>
          <t>M2 Relative Strength</t>
        </is>
      </c>
      <c r="D3019" s="33" t="n">
        <v>2</v>
      </c>
      <c r="E3019" s="33" t="inlineStr">
        <is>
          <t>3-&gt;2. Stock de-rated -12 to -13% over 1-3 months despite a Q2 beat + FY raise; underperforming the industrials complex (XLI) = band 2 (underperform sector 5-20%). Momentum read, not quality - don't fight the read.</t>
        </is>
      </c>
      <c r="F3019" s="33" t="inlineStr">
        <is>
          <t>per-stock/HUBB/context-2026-09-21.md; Investing.com/Fool Sept 2026</t>
        </is>
      </c>
      <c r="G3019" s="33" t="inlineStr">
        <is>
          <t>Medium</t>
        </is>
      </c>
      <c r="H3019" s="33" t="inlineStr">
        <is>
          <t>Subjective re-rating (rule 12 weekly refresh)</t>
        </is>
      </c>
    </row>
    <row r="3020">
      <c r="A3020" s="74" t="n">
        <v>46287</v>
      </c>
      <c r="B3020" s="33" t="inlineStr">
        <is>
          <t>HUBB</t>
        </is>
      </c>
      <c r="C3020" s="33" t="inlineStr">
        <is>
          <t>R3 Balance Sheet Risk</t>
        </is>
      </c>
      <c r="D3020" s="33" t="n">
        <v>3</v>
      </c>
      <c r="E3020" s="33" t="inlineStr">
        <is>
          <t>4-&gt;3. LT debt more than doubled to $4,803.9M (from $2,036.3M at YE25) to fund the ~$3.0B NSI close; net interest +$24.6M YoY. Leverage steps from ND/EBITDA &lt;2x (band 4) into 2-4x (band 3). IG rating, 1H FCF ~$259M, full $1.0B revolver, no LT maturities within 12mo keep it band 3 not 2.</t>
        </is>
      </c>
      <c r="F3020" s="33" t="inlineStr">
        <is>
          <t>10-Q 2026-07-29 p.42/51; per-stock/HUBB/context-2026-09-21.md</t>
        </is>
      </c>
      <c r="G3020" s="33" t="inlineStr">
        <is>
          <t>Medium</t>
        </is>
      </c>
      <c r="H3020" s="33" t="inlineStr">
        <is>
          <t>Subjective re-rating (rule 12 weekly refresh)</t>
        </is>
      </c>
    </row>
    <row r="3021">
      <c r="A3021" s="74" t="n">
        <v>46287</v>
      </c>
      <c r="B3021" s="33" t="inlineStr">
        <is>
          <t>SBGSY</t>
        </is>
      </c>
      <c r="C3021" s="33" t="inlineStr">
        <is>
          <t>M1 EPS Revisions</t>
        </is>
      </c>
      <c r="D3021" s="33" t="n">
        <v>4</v>
      </c>
      <c r="E3021" s="33" t="inlineStr">
        <is>
          <t>3-&gt;4. H1 2026 record + FY guidance UPGRADE (organic-rev guide raised to +10-13% from +7-10%; EBITA +22% organic, NI +30%). Guidance upgrade implies net-positive revisions = band 4. Held at 4 not 5 pending an explicit ADR analyst-revision feed (foreign filer).</t>
        </is>
      </c>
      <c r="F3021" s="33" t="inlineStr">
        <is>
          <t>se.com H1 2026 release; per-stock/SBGSY/context-2026-09-21.md</t>
        </is>
      </c>
      <c r="G3021" s="33" t="inlineStr">
        <is>
          <t>Medium</t>
        </is>
      </c>
      <c r="H3021" s="33" t="inlineStr">
        <is>
          <t>Subjective re-rating (rule 12 weekly refresh)</t>
        </is>
      </c>
    </row>
    <row r="3022">
      <c r="A3022" s="74" t="n">
        <v>46287</v>
      </c>
      <c r="B3022" s="33" t="inlineStr">
        <is>
          <t>ABBNY</t>
        </is>
      </c>
      <c r="C3022" s="33" t="inlineStr">
        <is>
          <t>M1 EPS Revisions</t>
        </is>
      </c>
      <c r="D3022" s="33" t="n">
        <v>5</v>
      </c>
      <c r="E3022" s="33" t="inlineStr">
        <is>
          <t>4-&gt;5. Two consecutive FY26 guidance raises + sell-side PT increases; 2nd straight record-orders quarter (orders +28%, Electrification +58%). Beat-and-raise pattern = band 5.</t>
        </is>
      </c>
      <c r="F3022" s="33" t="inlineStr">
        <is>
          <t>ABB Q2 2026 results 2026-07-16; per-stock/ABBNY/context-2026-09-21.md</t>
        </is>
      </c>
      <c r="G3022" s="33" t="inlineStr">
        <is>
          <t>Medium-High</t>
        </is>
      </c>
      <c r="H3022" s="33" t="inlineStr">
        <is>
          <t>Subjective re-rating (rule 12 weekly refresh)</t>
        </is>
      </c>
    </row>
    <row r="3023">
      <c r="A3023" s="74" t="n">
        <v>46287</v>
      </c>
      <c r="B3023" s="33" t="inlineStr">
        <is>
          <t>HTHIY</t>
        </is>
      </c>
      <c r="C3023" s="33" t="inlineStr">
        <is>
          <t>M1 EPS Revisions</t>
        </is>
      </c>
      <c r="D3023" s="33" t="n">
        <v>4</v>
      </c>
      <c r="E3023" s="33" t="inlineStr">
        <is>
          <t>3-&gt;4. Q1 FY2026 record + guidance raised across the board (revenue guide +Y600B, adj-EBITA +Y100B; NI/FCF/ROIC outlooks all raised). Broad guidance raise = net-positive revisions, band 4. Held at 4 not 5 pending explicit ADR revision feed (foreign filer).</t>
        </is>
      </c>
      <c r="F3023" s="33" t="inlineStr">
        <is>
          <t>Hitachi 2026_1Q.pdf 2026-07-29; per-stock/HTHIY/context-2026-09-21.md</t>
        </is>
      </c>
      <c r="G3023" s="33" t="inlineStr">
        <is>
          <t>Medium</t>
        </is>
      </c>
      <c r="H3023" s="33" t="inlineStr">
        <is>
          <t>Subjective re-rating (rule 12 weekly refresh)</t>
        </is>
      </c>
    </row>
    <row r="3024">
      <c r="A3024" s="74" t="n">
        <v>46287</v>
      </c>
      <c r="B3024" s="33" t="inlineStr">
        <is>
          <t>ABBNY</t>
        </is>
      </c>
      <c r="C3024" s="33" t="inlineStr">
        <is>
          <t>EV/EBITDA (objective) — deliberate blank</t>
        </is>
      </c>
      <c r="E3024" s="33" t="inlineStr">
        <is>
          <t>Blanked the 102.433 value written by the 2026-09-22 objective refresh: ~102x EV/EBITDA is a transparent artifact for a company at 20.2% op-EBITA margin (rule-19 ADR enterpriseValue corruption; ABB reports USD so the FX branch does not fire, but the ADR EV is still corrupt). Prior state was also blank. Garbage-input principle (rules 10/13/19) + rule 3: better blank than mis-rank the L2 Value percentile. gross_mgn (0-&gt;40.25) and nd_ebitda (blank-&gt;0.46) from the same refresh were KEPT (correct fixes).</t>
        </is>
      </c>
      <c r="F3024" s="33" t="inlineStr">
        <is>
          <t>scripts/refresh_objective_inputs.py dry-run output 2026-09-22; CLAUDE.md rule 19</t>
        </is>
      </c>
      <c r="G3024" s="33" t="inlineStr">
        <is>
          <t>High</t>
        </is>
      </c>
      <c r="H3024" s="33" t="inlineStr">
        <is>
          <t>Objective blank (rule 3/19)</t>
        </is>
      </c>
    </row>
    <row r="3025">
      <c r="A3025" s="74" t="n">
        <v>46293</v>
      </c>
      <c r="B3025" s="33" t="inlineStr">
        <is>
          <t>META</t>
        </is>
      </c>
      <c r="C3025" s="33" t="inlineStr">
        <is>
          <t>M2 Relative Strength</t>
        </is>
      </c>
      <c r="D3025" s="33" t="n">
        <v>5</v>
      </c>
      <c r="E3025" s="33" t="inlineStr">
        <is>
          <t>1-&gt;5. 6-month relative performance vs XLC (Communication Services Select Sector SPDR): META +40.38% vs XLC +5.25% = +35.13% outperformance (&gt;20% threshold = band 5). 3-month: META +33.71% vs XLC +5.05% = +28.66%. The proposed 1-&gt;3 upgrade in the context briefing was far too conservative -- the stock has massively outperformed its sector benchmark. M2 was stale at 1 (lagging &gt;20%) from the prior rating when META was in a drawdown; the recovery + Muse launch + analyst upgrades drove a +35% sector-relative move in 6 months.</t>
        </is>
      </c>
      <c r="F3025" s="33" t="inlineStr">
        <is>
          <t>yfinance price history (2026-03-30 to 2026-09-25); per-stock/META/context-2026-09-28.md; tmp_m2_calc.py</t>
        </is>
      </c>
      <c r="G3025" s="33" t="inlineStr">
        <is>
          <t>High</t>
        </is>
      </c>
      <c r="H3025" s="33" t="inlineStr">
        <is>
          <t>Subjective re-rating (rule 12 refresh-context)</t>
        </is>
      </c>
    </row>
    <row r="3026">
      <c r="A3026" s="74" t="n">
        <v>46293</v>
      </c>
      <c r="B3026" s="33" t="inlineStr">
        <is>
          <t>META</t>
        </is>
      </c>
      <c r="C3026" s="33" t="inlineStr">
        <is>
          <t>M3 Insider Activity</t>
        </is>
      </c>
      <c r="D3026" s="33" t="n">
        <v>3</v>
      </c>
      <c r="E3026" s="33" t="inlineStr">
        <is>
          <t>3-&gt;3 (confirmed). SEC Form 4 evidence (20 filings fetched from EDGAR, 94 non-derivative transactions, 12 unique insiders): zero open-market purchases (code P). 62 open-market sales (code S) but all but 1 are 10b5-1 pre-scheduled (63 total 10b5-1 transactions). The single discretionary open-market sale was Susan Li (2,127 sh @ $689.85 = ~$1.47M, not 10b5-1) -- de minimis. Zuckerberg sold ~$20M via 10b5-1 plan across multiple dates (Aug-Sep 2026). Per rubric decision procedure step 2: 10b5-1 sales = routine, default 3. Step 4: no buying, no discretionary selling above thresholds = 3 (post-rally diversification baseline). Q2 buybacks were $0 (vs $10.2B Q2 2025) -- capital-allocation signal (funding capex), not insider signal.</t>
        </is>
      </c>
      <c r="F3026" s="33" t="inlineStr">
        <is>
          <t>SEC EDGAR Form 4 filings (CIK 0001326801); per-stock/META/filings/4_*.xml (20 files); per-stock/META/context-2026-09-28.md</t>
        </is>
      </c>
      <c r="G3026" s="33" t="inlineStr">
        <is>
          <t>High</t>
        </is>
      </c>
      <c r="H3026" s="33" t="inlineStr">
        <is>
          <t>Subjective re-rating (rule 12 refresh-context)</t>
        </is>
      </c>
    </row>
    <row r="3027">
      <c r="A3027" s="73" t="n">
        <v>46293</v>
      </c>
      <c r="B3027" s="33" t="inlineStr">
        <is>
          <t>META</t>
        </is>
      </c>
      <c r="C3027" s="33" t="inlineStr">
        <is>
          <t>D2 Supply Chain Position</t>
        </is>
      </c>
      <c r="D3027" s="33" t="n">
        <v>4</v>
      </c>
      <c r="E3027" s="33" t="inlineStr">
        <is>
          <t>3-&gt;4 (Dom-approved). Meta is now a model-API provider (Muse Spark 1.1/1.2/1.3 via Meta Model API + Muse Code), a consumer AI agent platform (Muse, launched Sep 8 with $20/$100/mo paid tiers on per-user Muse Secure VM), and a prospective cloud-compute seller (Meta Compute, acknowledged on Q2 call Jul 29, pre-launch). It has moved from pure compute buyer to buyer + emerging AI seller across three distinct supply-chain positions (model API, agent platform, compute resale). Not yet a 5: Muse revenue is immaterial vs $60B+ ad base, Meta Compute has zero disclosed revenue/pricing/launch, and no enterprise lock-in yet. But 4 is defensible -- Meta is now supplying AI products/models/agents, not just buying GPUs. The position expansion is real even if revenue is nascent. Counter-argument considered (D2 measures AI-infrastructure supply position; Meta core is still social-media ad monetization) -- Dom sided with the upgrade: the model API + agent platform + MTIA silicon production constitute a genuine supply-chain position expansion regardless of current revenue scale.</t>
        </is>
      </c>
      <c r="F3027" s="33" t="inlineStr">
        <is>
          <t>per-stock/META/context-2026-09-28.md sec 3a-3d; about.fb.com/news/2026/09/introducing-muse-personal-ai-agent/ (Sep 8); ai.meta.com/blog/introducing-muse-spark-meta-model-api/ (Jul 9); Bloomberg 2026-09-02 (Muse Spark 1.3); Reuters 2026-07-09 (MTIA production + 7GW/14GW); Q2 2026 earnings call transcript (Jul 29, Meta Compute acknowledged)</t>
        </is>
      </c>
      <c r="G3027" s="33" t="inlineStr">
        <is>
          <t>Medium</t>
        </is>
      </c>
      <c r="H3027" s="33" t="inlineStr">
        <is>
          <t>Subjective re-rating (Dom-approved, rule 12 refresh-context)</t>
        </is>
      </c>
    </row>
    <row r="3028">
      <c r="A3028" s="73" t="n">
        <v>46293</v>
      </c>
      <c r="B3028" s="33" t="inlineStr">
        <is>
          <t>META</t>
        </is>
      </c>
      <c r="C3028" s="33" t="inlineStr">
        <is>
          <t>R3 Balance Sheet Risk</t>
        </is>
      </c>
      <c r="D3028" s="33" t="n">
        <v>3</v>
      </c>
      <c r="E3028" s="33" t="inlineStr">
        <is>
          <t>4-&gt;3 (Dom-approved). Q2 2026 10-Q showed material balance-sheet deterioration: cash $35.9B-&gt;$15.5B (-57%), $24.9B new long-term debt issued, total liabilities $148.8B-&gt;$188.7B (+27%), FCF yield 2.89%-&gt;2.25%, FCF ~$1.7B in Q2 (capex $30.1B vs OCF $31.9B). ND/EBITDA rising as EBITDA compresses while debt grows. R3=4 (modest leverage, ND/EBITDA &lt;2x) is no longer honest given the FCF compression and debt issuance trajectory; R3=3 (average leverage for sector, ND/EBITDA 2-4x) is more accurate. Meta is not distressed -- this is deliberate capex investment ($130-145B FY2026 guidance), not balance-sheet stress -- but the leverage profile has genuinely worsened. Cushion acknowledged: $74.8B marketable securities + $30.2B non-marketable equity investments provide real liquidity backstop; net cash still positive. The downgrade reflects the directional deterioration, not distress. NOTE: the $2.4B Q2 legal charge driving the EPS miss was NOT traced to a specific matter -- flagged in context-2026-09-28.md sec 7 as an explicitly WAIVED follow-up per Dom. The R3 downgrade is based on the balance-sheet deterioration (cash, debt, FCF), not the legal charge.</t>
        </is>
      </c>
      <c r="F3028" s="33" t="inlineStr">
        <is>
          <t>per-stock/META/context-2026-09-28.md sec 2, sec 7; 10-Q filed 2026-07-30 (Q2 2026 financials); 8-K filed 2026-07-29 (Q2 results); Q2 2026 earnings call transcript (Jul 29); Variety 2026-07-29 ($2.4B legal charge, basis not traced -- waived per Dom)</t>
        </is>
      </c>
      <c r="G3028" s="33" t="inlineStr">
        <is>
          <t>Medium</t>
        </is>
      </c>
      <c r="H3028" s="33" t="inlineStr">
        <is>
          <t>Subjective re-rating (Dom-approved, rule 12 refresh-context)</t>
        </is>
      </c>
    </row>
    <row r="3029">
      <c r="A3029" s="33" t="inlineStr">
        <is>
          <t>2026-10-04</t>
        </is>
      </c>
      <c r="B3029" s="33" t="inlineStr">
        <is>
          <t>RDDT</t>
        </is>
      </c>
      <c r="C3029" s="33" t="inlineStr">
        <is>
          <t>D1-AIrev%</t>
        </is>
      </c>
      <c r="D3029" s="33" t="n">
        <v>2</v>
      </c>
      <c r="E3029" s="33" t="inlineStr">
        <is>
          <t>Re-rate 3-&gt;2 (Dom-approved). Other revenue, which contains data licensing, was $43.3M of $804.9M = 5.4% of Q2 2026 revenue (7.0% a year earlier; +24% vs ads +64%). The 2026-06-22 rating assumed licensing ~10% of revenue. 5-10% band = 2.</t>
        </is>
      </c>
      <c r="F3029" s="33" t="inlineStr">
        <is>
          <t>10-Q q/e 2026-06-30 (filed 2026-07-31), disaggregated revenue note; context-2026-10-04.md</t>
        </is>
      </c>
      <c r="G3029" s="33" t="inlineStr">
        <is>
          <t>High</t>
        </is>
      </c>
      <c r="H3029" s="33" t="inlineStr">
        <is>
          <t>Re-rate</t>
        </is>
      </c>
    </row>
    <row r="3030">
      <c r="A3030" s="33" t="inlineStr">
        <is>
          <t>2026-10-04</t>
        </is>
      </c>
      <c r="B3030" s="33" t="inlineStr">
        <is>
          <t>RDDT</t>
        </is>
      </c>
      <c r="C3030" s="33" t="inlineStr">
        <is>
          <t>R4-Reg</t>
        </is>
      </c>
      <c r="D3030" s="33" t="n">
        <v>3</v>
      </c>
      <c r="E3030" s="33" t="inlineStr">
        <is>
          <t>Re-rate 4-&gt;3 (Dom-approved). Securities class action (N.D. Cal., filed June 2025) and follow-on derivative suits alleging misleading statements on the impact of Google Search / AI Overviews are pending; no loss accrued. The 2026-06-22 rating said "nothing active", which was incorrect. Pending matters disclosed, not shown material = 3. Allegation, not a finding.</t>
        </is>
      </c>
      <c r="F3030" s="33" t="inlineStr">
        <is>
          <t>10-Q q/e 2026-06-30, Note 9 Legal Matters; context-2026-10-04.md</t>
        </is>
      </c>
      <c r="G3030" s="33" t="inlineStr">
        <is>
          <t>High</t>
        </is>
      </c>
      <c r="H3030" s="33" t="inlineStr">
        <is>
          <t>Re-rate</t>
        </is>
      </c>
    </row>
    <row r="3031">
      <c r="A3031" s="33" t="inlineStr">
        <is>
          <t>2026-10-04</t>
        </is>
      </c>
      <c r="B3031" s="33" t="inlineStr">
        <is>
          <t>RDDT</t>
        </is>
      </c>
      <c r="C3031" s="33" t="inlineStr">
        <is>
          <t>D2-Position</t>
        </is>
      </c>
      <c r="D3031" s="33" t="n">
        <v>2</v>
      </c>
      <c r="E3031" s="33" t="inlineStr">
        <is>
          <t>Re-rate 3-&gt;2 (Dom-approved). Reddit's share of ChatGPT Search citations fell 3.8% -&gt; 0.5% (2026-08-08 to 08-17) after a ChatGPT retrieval change, showing an AI platform can cut reliance on the corpus in days; the ~$60M/yr Google licence is near expiry with renewal contested. Little demonstrated pricing power as an AI-supply-chain input. Caveats: single-vendor data the vendor calls provisional; persistence into September unverified. D3 left at 3 to avoid double-counting (rule 23 D2/D3 overlap).</t>
        </is>
      </c>
      <c r="F3031" s="33" t="inlineStr">
        <is>
          <t>Promptwatch via Semrush 2026-08-26 (semrush.com/blog/reddits-citations-in-chatgpt-fall/); The Drum 2026-08-25; context-2026-10-04.md s7</t>
        </is>
      </c>
      <c r="G3031" s="33" t="inlineStr">
        <is>
          <t>Med</t>
        </is>
      </c>
      <c r="H3031" s="33" t="inlineStr">
        <is>
          <t>Re-rate</t>
        </is>
      </c>
    </row>
    <row r="3032">
      <c r="A3032" s="33" t="inlineStr">
        <is>
          <t>2026-10-05</t>
        </is>
      </c>
      <c r="B3032" s="33" t="inlineStr">
        <is>
          <t>AMZN</t>
        </is>
      </c>
      <c r="C3032" s="33" t="inlineStr">
        <is>
          <t>R3-BS</t>
        </is>
      </c>
      <c r="D3032" s="33" t="inlineStr">
        <is>
          <t>3</t>
        </is>
      </c>
      <c r="E3032" s="33" t="inlineStr">
        <is>
          <t>Re-rate 4-&gt;3 (Dom-approved 2026-10-05). Capital regime deteriorated since the May rating: long-term debt face value $68.8B -&gt; $133.0B in six months, ~$30B more issued since (8-Ks 2026-07-09, 2026-09-14); company-defined TTM free cash flow -$7,604M vs +$18,184M a year earlier; $137.2B of leases not yet commenced; interest expense $1,314M vs $516M. Still investment-grade with $123.0B liquidity and $161.4B TTM operating cash flow, so not band 2. ND/EBITDA remains &lt;2x (band-4 letter); rated on the holistic clause, consistent with the Dom-approved META 4-&gt;3 precedent of 2026-09-28 (same layer, same pattern, milder FCF). The GOOGL 2026-06-12 band-letter override is the counter-precedent.</t>
        </is>
      </c>
      <c r="F3032" s="33" t="inlineStr">
        <is>
          <t>10-Q q/e 2026-06-30 (acc. 0001018724-26-000026): cash-flow statement, Note 4, Note 5, MD&amp;A non-GAAP; context-2026-10-05.md</t>
        </is>
      </c>
      <c r="G3032" s="33" t="inlineStr">
        <is>
          <t>Med</t>
        </is>
      </c>
      <c r="H3032" s="33" t="inlineStr">
        <is>
          <t>Re-rate</t>
        </is>
      </c>
    </row>
    <row r="3033">
      <c r="A3033" s="33" t="inlineStr">
        <is>
          <t>2026-10-05</t>
        </is>
      </c>
      <c r="B3033" s="33" t="inlineStr">
        <is>
          <t>AMZN</t>
        </is>
      </c>
      <c r="C3033" s="33" t="inlineStr">
        <is>
          <t>M2-RelStr</t>
        </is>
      </c>
      <c r="D3033" s="33" t="inlineStr">
        <is>
          <t>3</t>
        </is>
      </c>
      <c r="E3033" s="33" t="inlineStr">
        <is>
          <t>Re-rate 4-&gt;3 (Dom-approved 2026-10-05). 126-trading-day return +18.1% vs SPY +18.2% = in line (band 3, +/-5%). Same benchmark as the 2026-05-18 rating (SPY), which was +7pp then. Against QQQ (+28.8%) the gap is -10.7pp, which would be band 2; benchmark choice for hyperscalers is not fixed in the rubric.</t>
        </is>
      </c>
      <c r="F3033" s="33" t="inlineStr">
        <is>
          <t>yfinance adjusted closes, 2026-10-05</t>
        </is>
      </c>
      <c r="G3033" s="33" t="inlineStr">
        <is>
          <t>Med</t>
        </is>
      </c>
      <c r="H3033" s="33" t="inlineStr">
        <is>
          <t>Re-rate</t>
        </is>
      </c>
    </row>
    <row r="3034">
      <c r="A3034" s="33" t="inlineStr">
        <is>
          <t>2026-10-05</t>
        </is>
      </c>
      <c r="B3034" s="33" t="inlineStr">
        <is>
          <t>AMZN</t>
        </is>
      </c>
      <c r="C3034" s="33" t="inlineStr">
        <is>
          <t>Review (no change)</t>
        </is>
      </c>
      <c r="D3034" s="33" t="inlineStr">
        <is>
          <t>-</t>
        </is>
      </c>
      <c r="E3034" s="33" t="inlineStr">
        <is>
          <t>Subjective review against the Q2 2026 10-Q; held: D1=3 (AI run-rate &gt;$25B is ~3% of ~$802B annualized revenue; literal band would be 1-2, but all Layer-9 hyperscalers carry 3 under the 2026-05-18 cohort convention - a cohort-wide question, not changed on one name), D2/D3/D4/D5=5, M1=5 (beat-and-raise; FY26 consensus up over 90d), M3=3 (no Form-4 check this pass), R1=5 (no customer &gt;15% of revenue; note OpenAI + Anthropic are roughly half of the $496B backlog), R2=4, R4=2 (FTC case; Xockets ITC investigation added), R5=5.</t>
        </is>
      </c>
      <c r="F3034" s="33" t="inlineStr">
        <is>
          <t>context-2026-10-05.md</t>
        </is>
      </c>
      <c r="G3034" s="33" t="inlineStr">
        <is>
          <t>Med</t>
        </is>
      </c>
      <c r="H3034" s="33" t="inlineStr">
        <is>
          <t>Review</t>
        </is>
      </c>
    </row>
    <row r="3035">
      <c r="A3035" s="33" t="inlineStr">
        <is>
          <t>2026-10-05</t>
        </is>
      </c>
      <c r="B3035" s="33" t="inlineStr">
        <is>
          <t>SBGSY</t>
        </is>
      </c>
      <c r="C3035" s="33" t="inlineStr">
        <is>
          <t>R3-BS</t>
        </is>
      </c>
      <c r="D3035" s="33" t="inlineStr">
        <is>
          <t>3</t>
        </is>
      </c>
      <c r="E3035" s="33" t="inlineStr">
        <is>
          <t>Re-rate 4-&gt;3 (Dom-approved 2026-10-05). PTC acquisition announced 2026-10-05: $22.6B cash, financed with EUR16-17B new debt + EUR5-6B new equity; buybacks paused 2027-28. Pro forma net debt ~EUR34-35B (EUR15.4B at 2026-06-30 + Cognite ~EUR2.8B + PTC debt) against ~EUR11B EBITDA = ~3x (my estimate; no company pro forma found), band 3 (2-4x); equity raise is the dilution clause. Company expects to keep A-category ratings. Rated on the signed commitment; close expected Q3 2027.</t>
        </is>
      </c>
      <c r="F3035" s="33" t="inlineStr">
        <is>
          <t>Euronews 2026-10-05; InsideArbitrage 2026-10; context-2026-10-05.md</t>
        </is>
      </c>
      <c r="G3035" s="33" t="inlineStr">
        <is>
          <t>Med</t>
        </is>
      </c>
      <c r="H3035" s="33" t="inlineStr">
        <is>
          <t>Re-rate</t>
        </is>
      </c>
    </row>
    <row r="3036">
      <c r="A3036" s="33" t="inlineStr">
        <is>
          <t>2026-10-05</t>
        </is>
      </c>
      <c r="B3036" s="33" t="inlineStr">
        <is>
          <t>SBGSY</t>
        </is>
      </c>
      <c r="C3036" s="33" t="inlineStr">
        <is>
          <t>M2-RelStr</t>
        </is>
      </c>
      <c r="D3036" s="33" t="inlineStr">
        <is>
          <t>4</t>
        </is>
      </c>
      <c r="E3036" s="33" t="inlineStr">
        <is>
          <t>Re-rate 3-&gt;4 (Dom-approved 2026-10-05). 126-trading-day return +12.9% vs XLI +4.3% = +8.6pp (band 4, 5-20%); 63-day +8.4pp. Same benchmark as 2026-05-18. Measured after the ~9-10% drop on the PTC announcement.</t>
        </is>
      </c>
      <c r="F3036" s="33" t="inlineStr">
        <is>
          <t>yfinance adjusted closes (ADR line), 2026-10-05</t>
        </is>
      </c>
      <c r="G3036" s="33" t="inlineStr">
        <is>
          <t>Med</t>
        </is>
      </c>
      <c r="H3036" s="33" t="inlineStr">
        <is>
          <t>Re-rate</t>
        </is>
      </c>
    </row>
    <row r="3037">
      <c r="A3037" s="33" t="inlineStr">
        <is>
          <t>2026-10-05</t>
        </is>
      </c>
      <c r="B3037" s="33" t="inlineStr">
        <is>
          <t>SBGSY</t>
        </is>
      </c>
      <c r="C3037" s="33" t="inlineStr">
        <is>
          <t>Review (no change)</t>
        </is>
      </c>
      <c r="D3037" s="33" t="inlineStr">
        <is>
          <t>-</t>
        </is>
      </c>
      <c r="E3037" s="33" t="inlineStr">
        <is>
          <t>Delta review after the PTC announcement; held: D1=4, D2=4, D3=4, D4=5 (flag: capital going to software M&amp;A rather than capacity), D5=4, M1=4 (90d revisions net positive; last 7d negative), M3=3, R1=5, R2=4, R4=4, R5=5 (rule-16 non-Layer-10 default; flag: software share of revenue rising with AVEVA + Cognite + PTC).</t>
        </is>
      </c>
      <c r="F3037" s="33" t="inlineStr">
        <is>
          <t>context-2026-10-05.md</t>
        </is>
      </c>
      <c r="G3037" s="33" t="inlineStr">
        <is>
          <t>Med</t>
        </is>
      </c>
      <c r="H3037" s="33" t="inlineStr">
        <is>
          <t>Review</t>
        </is>
      </c>
    </row>
    <row r="3038">
      <c r="A3038" s="33" t="inlineStr">
        <is>
          <t>2026-10-06</t>
        </is>
      </c>
      <c r="B3038" s="33" t="inlineStr">
        <is>
          <t>FIX</t>
        </is>
      </c>
      <c r="C3038" s="33" t="inlineStr">
        <is>
          <t>M2-RelStr</t>
        </is>
      </c>
      <c r="D3038" s="33" t="inlineStr">
        <is>
          <t>4</t>
        </is>
      </c>
      <c r="E3038" s="33" t="inlineStr">
        <is>
          <t>Mechanical re-measure 5-&gt;4 (pending Dom review). 126-trading-day return +25.2% vs XLI +5.4% = +19.8pp. Benchmark basis: prior audit row for this name.</t>
        </is>
      </c>
      <c r="F3038" s="33" t="inlineStr">
        <is>
          <t>yfinance adjusted closes, 2026-10-06</t>
        </is>
      </c>
      <c r="G3038" s="33" t="inlineStr">
        <is>
          <t>High</t>
        </is>
      </c>
      <c r="H3038" s="33" t="inlineStr">
        <is>
          <t>Re-rate</t>
        </is>
      </c>
    </row>
    <row r="3039">
      <c r="A3039" s="33" t="inlineStr">
        <is>
          <t>2026-10-06</t>
        </is>
      </c>
      <c r="B3039" s="33" t="inlineStr">
        <is>
          <t>TSM</t>
        </is>
      </c>
      <c r="C3039" s="33" t="inlineStr">
        <is>
          <t>M2-RelStr</t>
        </is>
      </c>
      <c r="D3039" s="33" t="inlineStr">
        <is>
          <t>2</t>
        </is>
      </c>
      <c r="E3039" s="33" t="inlineStr">
        <is>
          <t>Mechanical re-measure 1-&gt;2 (pending Dom review). 126-trading-day return +40.8% vs SMH +59.6% = -18.8pp. Benchmark basis: prior audit row for this name.</t>
        </is>
      </c>
      <c r="F3039" s="33" t="inlineStr">
        <is>
          <t>yfinance adjusted closes, 2026-10-06</t>
        </is>
      </c>
      <c r="G3039" s="33" t="inlineStr">
        <is>
          <t>High</t>
        </is>
      </c>
      <c r="H3039" s="33" t="inlineStr">
        <is>
          <t>Re-rate</t>
        </is>
      </c>
    </row>
    <row r="3040">
      <c r="A3040" s="33" t="inlineStr">
        <is>
          <t>2026-10-06</t>
        </is>
      </c>
      <c r="B3040" s="33" t="inlineStr">
        <is>
          <t>CRDO</t>
        </is>
      </c>
      <c r="C3040" s="33" t="inlineStr">
        <is>
          <t>M2-RelStr</t>
        </is>
      </c>
      <c r="D3040" s="33" t="inlineStr">
        <is>
          <t>5</t>
        </is>
      </c>
      <c r="E3040" s="33" t="inlineStr">
        <is>
          <t>Mechanical re-measure 4-&gt;5 (pending Dom review). 126-trading-day return +107.1% vs SMH +59.6% = +47.5pp. Benchmark basis: prior audit row for this name.</t>
        </is>
      </c>
      <c r="F3040" s="33" t="inlineStr">
        <is>
          <t>yfinance adjusted closes, 2026-10-06</t>
        </is>
      </c>
      <c r="G3040" s="33" t="inlineStr">
        <is>
          <t>High</t>
        </is>
      </c>
      <c r="H3040" s="33" t="inlineStr">
        <is>
          <t>Re-rate</t>
        </is>
      </c>
    </row>
    <row r="3041">
      <c r="A3041" s="33" t="inlineStr">
        <is>
          <t>2026-10-06</t>
        </is>
      </c>
      <c r="B3041" s="33" t="inlineStr">
        <is>
          <t>ANET</t>
        </is>
      </c>
      <c r="C3041" s="33" t="inlineStr">
        <is>
          <t>M2-RelStr</t>
        </is>
      </c>
      <c r="D3041" s="33" t="inlineStr">
        <is>
          <t>3</t>
        </is>
      </c>
      <c r="E3041" s="33" t="inlineStr">
        <is>
          <t>Mechanical re-measure 2-&gt;3 (pending Dom review). 126-trading-day return +57.8% vs SMH +59.6% = -1.8pp. Benchmark basis: layer default (no benchmark named in a prior audit row).</t>
        </is>
      </c>
      <c r="F3041" s="33" t="inlineStr">
        <is>
          <t>yfinance adjusted closes, 2026-10-06</t>
        </is>
      </c>
      <c r="G3041" s="33" t="inlineStr">
        <is>
          <t>High</t>
        </is>
      </c>
      <c r="H3041" s="33" t="inlineStr">
        <is>
          <t>Re-rate</t>
        </is>
      </c>
    </row>
    <row r="3042">
      <c r="A3042" s="33" t="inlineStr">
        <is>
          <t>2026-10-06</t>
        </is>
      </c>
      <c r="B3042" s="33" t="inlineStr">
        <is>
          <t>WDC</t>
        </is>
      </c>
      <c r="C3042" s="33" t="inlineStr">
        <is>
          <t>M2-RelStr</t>
        </is>
      </c>
      <c r="D3042" s="33" t="inlineStr">
        <is>
          <t>1</t>
        </is>
      </c>
      <c r="E3042" s="33" t="inlineStr">
        <is>
          <t>Mechanical re-measure 5-&gt;1 (pending Dom review). 126-trading-day return +33.5% vs SMH +59.6% = -26.1pp. Benchmark basis: layer default (no benchmark named in a prior audit row).</t>
        </is>
      </c>
      <c r="F3042" s="33" t="inlineStr">
        <is>
          <t>yfinance adjusted closes, 2026-10-06</t>
        </is>
      </c>
      <c r="G3042" s="33" t="inlineStr">
        <is>
          <t>High</t>
        </is>
      </c>
      <c r="H3042" s="33" t="inlineStr">
        <is>
          <t>Re-rate</t>
        </is>
      </c>
    </row>
    <row r="3043">
      <c r="A3043" s="33" t="inlineStr">
        <is>
          <t>2026-10-06</t>
        </is>
      </c>
      <c r="B3043" s="33" t="inlineStr">
        <is>
          <t>MSFT</t>
        </is>
      </c>
      <c r="C3043" s="33" t="inlineStr">
        <is>
          <t>M2-RelStr</t>
        </is>
      </c>
      <c r="D3043" s="33" t="inlineStr">
        <is>
          <t>5</t>
        </is>
      </c>
      <c r="E3043" s="33" t="inlineStr">
        <is>
          <t>Mechanical re-measure 1-&gt;5 (pending Dom review). 126-trading-day return +43.7% vs SPY +18.9% = +24.8pp. Benchmark basis: prior audit row for this name.</t>
        </is>
      </c>
      <c r="F3043" s="33" t="inlineStr">
        <is>
          <t>yfinance adjusted closes, 2026-10-06</t>
        </is>
      </c>
      <c r="G3043" s="33" t="inlineStr">
        <is>
          <t>High</t>
        </is>
      </c>
      <c r="H3043" s="33" t="inlineStr">
        <is>
          <t>Re-rate</t>
        </is>
      </c>
    </row>
    <row r="3044">
      <c r="A3044" s="33" t="inlineStr">
        <is>
          <t>2026-10-06</t>
        </is>
      </c>
      <c r="B3044" s="33" t="inlineStr">
        <is>
          <t>EME</t>
        </is>
      </c>
      <c r="C3044" s="33" t="inlineStr">
        <is>
          <t>M2-RelStr</t>
        </is>
      </c>
      <c r="D3044" s="33" t="inlineStr">
        <is>
          <t>3</t>
        </is>
      </c>
      <c r="E3044" s="33" t="inlineStr">
        <is>
          <t>Mechanical re-measure 4-&gt;3 (pending Dom review). 126-trading-day return +8.3% vs XLI +5.4% = +2.9pp. Benchmark basis: prior audit row for this name.</t>
        </is>
      </c>
      <c r="F3044" s="33" t="inlineStr">
        <is>
          <t>yfinance adjusted closes, 2026-10-06</t>
        </is>
      </c>
      <c r="G3044" s="33" t="inlineStr">
        <is>
          <t>High</t>
        </is>
      </c>
      <c r="H3044" s="33" t="inlineStr">
        <is>
          <t>Re-rate</t>
        </is>
      </c>
    </row>
    <row r="3045">
      <c r="A3045" s="33" t="inlineStr">
        <is>
          <t>2026-10-06</t>
        </is>
      </c>
      <c r="B3045" s="33" t="inlineStr">
        <is>
          <t>ALAB</t>
        </is>
      </c>
      <c r="C3045" s="33" t="inlineStr">
        <is>
          <t>M2-RelStr</t>
        </is>
      </c>
      <c r="D3045" s="33" t="inlineStr">
        <is>
          <t>5</t>
        </is>
      </c>
      <c r="E3045" s="33" t="inlineStr">
        <is>
          <t>Mechanical re-measure 3-&gt;5 (pending Dom review). 126-trading-day return +233.2% vs SMH +59.6% = +173.6pp. Benchmark basis: layer default (no benchmark named in a prior audit row).</t>
        </is>
      </c>
      <c r="F3045" s="33" t="inlineStr">
        <is>
          <t>yfinance adjusted closes, 2026-10-06</t>
        </is>
      </c>
      <c r="G3045" s="33" t="inlineStr">
        <is>
          <t>High</t>
        </is>
      </c>
      <c r="H3045" s="33" t="inlineStr">
        <is>
          <t>Re-rate</t>
        </is>
      </c>
    </row>
    <row r="3046">
      <c r="A3046" s="33" t="inlineStr">
        <is>
          <t>2026-10-06</t>
        </is>
      </c>
      <c r="B3046" s="33" t="inlineStr">
        <is>
          <t>PLTR</t>
        </is>
      </c>
      <c r="C3046" s="33" t="inlineStr">
        <is>
          <t>M2-RelStr</t>
        </is>
      </c>
      <c r="D3046" s="33" t="inlineStr">
        <is>
          <t>2</t>
        </is>
      </c>
      <c r="E3046" s="33" t="inlineStr">
        <is>
          <t>Mechanical re-measure 4-&gt;2 (pending Dom review). 126-trading-day return +28.5% vs IGV +38.6% = -10.1pp. Benchmark basis: prior audit row for this name.</t>
        </is>
      </c>
      <c r="F3046" s="33" t="inlineStr">
        <is>
          <t>yfinance adjusted closes, 2026-10-06</t>
        </is>
      </c>
      <c r="G3046" s="33" t="inlineStr">
        <is>
          <t>High</t>
        </is>
      </c>
      <c r="H3046" s="33" t="inlineStr">
        <is>
          <t>Re-rate</t>
        </is>
      </c>
    </row>
    <row r="3047">
      <c r="A3047" s="33" t="inlineStr">
        <is>
          <t>2026-10-06</t>
        </is>
      </c>
      <c r="B3047" s="33" t="inlineStr">
        <is>
          <t>VRT</t>
        </is>
      </c>
      <c r="C3047" s="33" t="inlineStr">
        <is>
          <t>M2-RelStr</t>
        </is>
      </c>
      <c r="D3047" s="33" t="inlineStr">
        <is>
          <t>2</t>
        </is>
      </c>
      <c r="E3047" s="33" t="inlineStr">
        <is>
          <t>Mechanical re-measure 4-&gt;2 (pending Dom review). 126-trading-day return -2.3% vs XLI +5.4% = -7.7pp. Benchmark basis: layer default (no benchmark named in a prior audit row).</t>
        </is>
      </c>
      <c r="F3047" s="33" t="inlineStr">
        <is>
          <t>yfinance adjusted closes, 2026-10-06</t>
        </is>
      </c>
      <c r="G3047" s="33" t="inlineStr">
        <is>
          <t>High</t>
        </is>
      </c>
      <c r="H3047" s="33" t="inlineStr">
        <is>
          <t>Re-rate</t>
        </is>
      </c>
    </row>
    <row r="3048">
      <c r="A3048" s="33" t="inlineStr">
        <is>
          <t>2026-10-06</t>
        </is>
      </c>
      <c r="B3048" s="33" t="inlineStr">
        <is>
          <t>RDDT</t>
        </is>
      </c>
      <c r="C3048" s="33" t="inlineStr">
        <is>
          <t>M2-RelStr</t>
        </is>
      </c>
      <c r="D3048" s="33" t="inlineStr">
        <is>
          <t>4</t>
        </is>
      </c>
      <c r="E3048" s="33" t="inlineStr">
        <is>
          <t>Mechanical re-measure 3-&gt;4 (pending Dom review). 126-trading-day return +6.0% vs XLC +0.3% = +5.7pp. Benchmark basis: layer default (no benchmark named in a prior audit row). Benchmark changed from IGV to XLC: ad-funded platform in the Communication Services sector, same basis as the Dom-approved META re-rate of 2026-09-28. Against IGV the gap would be -32.6pp (band 1).</t>
        </is>
      </c>
      <c r="F3048" s="33" t="inlineStr">
        <is>
          <t>yfinance adjusted closes, 2026-10-06</t>
        </is>
      </c>
      <c r="G3048" s="33" t="inlineStr">
        <is>
          <t>Med</t>
        </is>
      </c>
      <c r="H3048" s="33" t="inlineStr">
        <is>
          <t>Re-rate</t>
        </is>
      </c>
    </row>
    <row r="3049">
      <c r="A3049" s="33" t="inlineStr">
        <is>
          <t>2026-10-06</t>
        </is>
      </c>
      <c r="B3049" s="33" t="inlineStr">
        <is>
          <t>STX</t>
        </is>
      </c>
      <c r="C3049" s="33" t="inlineStr">
        <is>
          <t>M2-RelStr</t>
        </is>
      </c>
      <c r="D3049" s="33" t="inlineStr">
        <is>
          <t>4</t>
        </is>
      </c>
      <c r="E3049" s="33" t="inlineStr">
        <is>
          <t>Mechanical re-measure 5-&gt;4 (pending Dom review). 126-trading-day return +78.0% vs SMH +59.6% = +18.4pp. Benchmark basis: layer default (no benchmark named in a prior audit row).</t>
        </is>
      </c>
      <c r="F3049" s="33" t="inlineStr">
        <is>
          <t>yfinance adjusted closes, 2026-10-06</t>
        </is>
      </c>
      <c r="G3049" s="33" t="inlineStr">
        <is>
          <t>High</t>
        </is>
      </c>
      <c r="H3049" s="33" t="inlineStr">
        <is>
          <t>Re-rate</t>
        </is>
      </c>
    </row>
    <row r="3050">
      <c r="A3050" s="33" t="inlineStr">
        <is>
          <t>2026-10-06</t>
        </is>
      </c>
      <c r="B3050" s="33" t="inlineStr">
        <is>
          <t>SNPS</t>
        </is>
      </c>
      <c r="C3050" s="33" t="inlineStr">
        <is>
          <t>M2-RelStr</t>
        </is>
      </c>
      <c r="D3050" s="33" t="inlineStr">
        <is>
          <t>1</t>
        </is>
      </c>
      <c r="E3050" s="33" t="inlineStr">
        <is>
          <t>Mechanical re-measure 2-&gt;1 (pending Dom review). 126-trading-day return +23.4% vs SMH +59.6% = -36.2pp. Benchmark basis: layer default (no benchmark named in a prior audit row).</t>
        </is>
      </c>
      <c r="F3050" s="33" t="inlineStr">
        <is>
          <t>yfinance adjusted closes, 2026-10-06</t>
        </is>
      </c>
      <c r="G3050" s="33" t="inlineStr">
        <is>
          <t>High</t>
        </is>
      </c>
      <c r="H3050" s="33" t="inlineStr">
        <is>
          <t>Re-rate</t>
        </is>
      </c>
    </row>
    <row r="3051">
      <c r="A3051" s="33" t="inlineStr">
        <is>
          <t>2026-10-06</t>
        </is>
      </c>
      <c r="B3051" s="33" t="inlineStr">
        <is>
          <t>ORCL</t>
        </is>
      </c>
      <c r="C3051" s="33" t="inlineStr">
        <is>
          <t>M2-RelStr</t>
        </is>
      </c>
      <c r="D3051" s="33" t="inlineStr">
        <is>
          <t>2</t>
        </is>
      </c>
      <c r="E3051" s="33" t="inlineStr">
        <is>
          <t>Mechanical re-measure 1-&gt;2 (pending Dom review). 126-trading-day return +2.2% vs SPY +18.9% = -16.7pp. Benchmark basis: prior audit row for this name.</t>
        </is>
      </c>
      <c r="F3051" s="33" t="inlineStr">
        <is>
          <t>yfinance adjusted closes, 2026-10-06</t>
        </is>
      </c>
      <c r="G3051" s="33" t="inlineStr">
        <is>
          <t>High</t>
        </is>
      </c>
      <c r="H3051" s="33" t="inlineStr">
        <is>
          <t>Re-rate</t>
        </is>
      </c>
    </row>
    <row r="3052">
      <c r="A3052" s="33" t="inlineStr">
        <is>
          <t>2026-10-06</t>
        </is>
      </c>
      <c r="B3052" s="33" t="inlineStr">
        <is>
          <t>GOOGL</t>
        </is>
      </c>
      <c r="C3052" s="33" t="inlineStr">
        <is>
          <t>M2-RelStr</t>
        </is>
      </c>
      <c r="D3052" s="33" t="inlineStr">
        <is>
          <t>4</t>
        </is>
      </c>
      <c r="E3052" s="33" t="inlineStr">
        <is>
          <t>Mechanical re-measure 3-&gt;4 (pending Dom review). 126-trading-day return +13.3% vs XLC +0.3% = +13.0pp. Benchmark basis: prior audit row for this name. Benchmark changed from QQQ to XLC: ad-funded platform in the Communication Services sector, same basis as the Dom-approved META re-rate of 2026-09-28. Against QQQ the gap would be -16.3pp (band 2).</t>
        </is>
      </c>
      <c r="F3052" s="33" t="inlineStr">
        <is>
          <t>yfinance adjusted closes, 2026-10-06</t>
        </is>
      </c>
      <c r="G3052" s="33" t="inlineStr">
        <is>
          <t>Med</t>
        </is>
      </c>
      <c r="H3052" s="33" t="inlineStr">
        <is>
          <t>Re-rate</t>
        </is>
      </c>
    </row>
    <row r="3053">
      <c r="A3053" s="33" t="inlineStr">
        <is>
          <t>2026-10-06</t>
        </is>
      </c>
      <c r="B3053" s="33" t="inlineStr">
        <is>
          <t>TER</t>
        </is>
      </c>
      <c r="C3053" s="33" t="inlineStr">
        <is>
          <t>M2-RelStr</t>
        </is>
      </c>
      <c r="D3053" s="33" t="inlineStr">
        <is>
          <t>1</t>
        </is>
      </c>
      <c r="E3053" s="33" t="inlineStr">
        <is>
          <t>Mechanical re-measure 5-&gt;1 (pending Dom review). 126-trading-day return +36.8% vs SMH +59.6% = -22.8pp. Benchmark basis: prior audit row for this name.</t>
        </is>
      </c>
      <c r="F3053" s="33" t="inlineStr">
        <is>
          <t>yfinance adjusted closes, 2026-10-06</t>
        </is>
      </c>
      <c r="G3053" s="33" t="inlineStr">
        <is>
          <t>High</t>
        </is>
      </c>
      <c r="H3053" s="33" t="inlineStr">
        <is>
          <t>Re-rate</t>
        </is>
      </c>
    </row>
    <row r="3054">
      <c r="A3054" s="33" t="inlineStr">
        <is>
          <t>2026-10-06</t>
        </is>
      </c>
      <c r="B3054" s="33" t="inlineStr">
        <is>
          <t>GMED</t>
        </is>
      </c>
      <c r="C3054" s="33" t="inlineStr">
        <is>
          <t>M2-RelStr</t>
        </is>
      </c>
      <c r="D3054" s="33" t="inlineStr">
        <is>
          <t>2</t>
        </is>
      </c>
      <c r="E3054" s="33" t="inlineStr">
        <is>
          <t>Mechanical re-measure 3-&gt;2 (pending Dom review). 126-trading-day return -14.9% vs IHI -2.8% = -12.1pp. Benchmark basis: prior audit row for this name.</t>
        </is>
      </c>
      <c r="F3054" s="33" t="inlineStr">
        <is>
          <t>yfinance adjusted closes, 2026-10-06</t>
        </is>
      </c>
      <c r="G3054" s="33" t="inlineStr">
        <is>
          <t>High</t>
        </is>
      </c>
      <c r="H3054" s="33" t="inlineStr">
        <is>
          <t>Re-rate</t>
        </is>
      </c>
    </row>
    <row r="3055">
      <c r="A3055" s="33" t="inlineStr">
        <is>
          <t>2026-10-06</t>
        </is>
      </c>
      <c r="B3055" s="33" t="inlineStr">
        <is>
          <t>ONTO</t>
        </is>
      </c>
      <c r="C3055" s="33" t="inlineStr">
        <is>
          <t>M2-RelStr</t>
        </is>
      </c>
      <c r="D3055" s="33" t="inlineStr">
        <is>
          <t>2</t>
        </is>
      </c>
      <c r="E3055" s="33" t="inlineStr">
        <is>
          <t>Mechanical re-measure 5-&gt;2 (pending Dom review). 126-trading-day return +48.0% vs SMH +59.6% = -11.6pp. Benchmark basis: layer default (no benchmark named in a prior audit row).</t>
        </is>
      </c>
      <c r="F3055" s="33" t="inlineStr">
        <is>
          <t>yfinance adjusted closes, 2026-10-06</t>
        </is>
      </c>
      <c r="G3055" s="33" t="inlineStr">
        <is>
          <t>High</t>
        </is>
      </c>
      <c r="H3055" s="33" t="inlineStr">
        <is>
          <t>Re-rate</t>
        </is>
      </c>
    </row>
    <row r="3056">
      <c r="A3056" s="33" t="inlineStr">
        <is>
          <t>2026-10-06</t>
        </is>
      </c>
      <c r="B3056" s="33" t="inlineStr">
        <is>
          <t>FN</t>
        </is>
      </c>
      <c r="C3056" s="33" t="inlineStr">
        <is>
          <t>M2-RelStr</t>
        </is>
      </c>
      <c r="D3056" s="33" t="inlineStr">
        <is>
          <t>1</t>
        </is>
      </c>
      <c r="E3056" s="33" t="inlineStr">
        <is>
          <t>Mechanical re-measure 3-&gt;1 (pending Dom review). 126-trading-day return -15.2% vs SMH +59.6% = -74.8pp. Benchmark basis: layer default (no benchmark named in a prior audit row).</t>
        </is>
      </c>
      <c r="F3056" s="33" t="inlineStr">
        <is>
          <t>yfinance adjusted closes, 2026-10-06</t>
        </is>
      </c>
      <c r="G3056" s="33" t="inlineStr">
        <is>
          <t>High</t>
        </is>
      </c>
      <c r="H3056" s="33" t="inlineStr">
        <is>
          <t>Re-rate</t>
        </is>
      </c>
    </row>
    <row r="3057">
      <c r="A3057" s="33" t="inlineStr">
        <is>
          <t>2026-10-06</t>
        </is>
      </c>
      <c r="B3057" s="33" t="inlineStr">
        <is>
          <t>NVDA</t>
        </is>
      </c>
      <c r="C3057" s="33" t="inlineStr">
        <is>
          <t>R4-Reg</t>
        </is>
      </c>
      <c r="D3057" s="33" t="inlineStr">
        <is>
          <t>3</t>
        </is>
      </c>
      <c r="E3057" s="33" t="inlineStr">
        <is>
          <t>Re-rate 4-&gt;3 (pending Dom review; note Dom overrode 3-&gt;4 on 2026-05-18 because investigations had not become enforcement). New since then: DOJ opened an antitrust investigation into whether the ~$20B Groq licensing deal was structured to avoid Hart-Scott-Rodino merger review, with a formal information demand sent (Bloomberg / Axios 2026-09-10). A specific, active probe of a named transaction = band 3 (pending matter, not material to revenue); not band 2 because exposure is a deal-structure remedy or penalty, not the core business. Secondary sources only - no DOJ or company filing read.</t>
        </is>
      </c>
      <c r="F3057" s="33" t="inlineStr">
        <is>
          <t>Bloomberg 2026-09-10 (bloomberg.com/news/articles/2026-09-10/doj-probes-nvidia-s-license-deal-with-groq-on-antitrust-concerns); Axios 2026-09-10; news-log 2026-09-09/10</t>
        </is>
      </c>
      <c r="G3057" s="33" t="inlineStr">
        <is>
          <t>Med</t>
        </is>
      </c>
      <c r="H3057" s="33" t="inlineStr">
        <is>
          <t>Re-rate</t>
        </is>
      </c>
    </row>
    <row r="3058">
      <c r="A3058" s="33" t="inlineStr">
        <is>
          <t>2026-10-06</t>
        </is>
      </c>
      <c r="B3058" s="33" t="inlineStr">
        <is>
          <t>APH</t>
        </is>
      </c>
      <c r="C3058" s="33" t="inlineStr">
        <is>
          <t>M2-RelStr</t>
        </is>
      </c>
      <c r="D3058" s="33" t="inlineStr">
        <is>
          <t>1</t>
        </is>
      </c>
      <c r="E3058" s="33" t="inlineStr">
        <is>
          <t>Mechanical re-measure 2-&gt;1 (pending Dom review). 126-trading-day return +39.6% vs SMH +59.6%; unrounded gap is just beyond -20pp (band 1). Borderline: sits on the band-1/band-2 line. Benchmark basis: prior audit row (SOXX, mapped to SMH).</t>
        </is>
      </c>
      <c r="F3058" s="33" t="inlineStr">
        <is>
          <t>yfinance adjusted closes, 2026-10-06</t>
        </is>
      </c>
      <c r="G3058" s="33" t="inlineStr">
        <is>
          <t>Med</t>
        </is>
      </c>
      <c r="H3058" s="33" t="inlineStr">
        <is>
          <t>Re-rate</t>
        </is>
      </c>
    </row>
    <row r="3059">
      <c r="A3059" s="33" t="inlineStr">
        <is>
          <t>2026-10-06</t>
        </is>
      </c>
      <c r="B3059" s="33" t="inlineStr">
        <is>
          <t>GMED</t>
        </is>
      </c>
      <c r="C3059" s="33" t="inlineStr">
        <is>
          <t>M1-EPSRev</t>
        </is>
      </c>
      <c r="D3059" s="33" t="inlineStr">
        <is>
          <t>5</t>
        </is>
      </c>
      <c r="E3059" s="33" t="inlineStr">
        <is>
          <t>Re-rate 4-&gt;5 (pending Dom review). Q2 2026 beat-and-raise: FY2026 non-GAAP EPS guidance raised to $4.95-5.05 from $4.70-4.80; FY2026 consensus EPS $4.74 -&gt; $5.00 and FY2027 $5.15 -&gt; $5.40. Band 5 (multiple upward revisions, beat-and-raise). Revenue estimates flat.</t>
        </is>
      </c>
      <c r="F3059" s="33" t="inlineStr">
        <is>
          <t>8-K Ex-99.1 (Q2 2026); stockanalysis.com consensus; context-2026-10-06.md</t>
        </is>
      </c>
      <c r="G3059" s="33" t="inlineStr">
        <is>
          <t>Med</t>
        </is>
      </c>
      <c r="H3059" s="33" t="inlineStr">
        <is>
          <t>Re-rate</t>
        </is>
      </c>
    </row>
    <row r="3060">
      <c r="A3060" s="33" t="inlineStr">
        <is>
          <t>2026-10-06</t>
        </is>
      </c>
      <c r="B3060" s="33" t="inlineStr">
        <is>
          <t>PLTR</t>
        </is>
      </c>
      <c r="C3060" s="33" t="inlineStr">
        <is>
          <t>R1-CustConc</t>
        </is>
      </c>
      <c r="D3060" s="33" t="inlineStr">
        <is>
          <t>4</t>
        </is>
      </c>
      <c r="E3060" s="33" t="inlineStr">
        <is>
          <t>Re-rate 3-&gt;4 (pending Dom review). No customer exceeds 10% of revenue; top three = 16% (10-Q q/e 2026-06-30, Note 2 / Item 1A). The prior 3 ('top customer 25-40%') matches no filing fact. Literal band is 5; held to 4 under the government-customer convention because US government is 41.8% of revenue (across separately contracted agencies) and one customer is 27% of receivables.</t>
        </is>
      </c>
      <c r="F3060" s="33" t="inlineStr">
        <is>
          <t>10-Q q/e 2026-06-30 Note 2, Item 1A; context-2026-10-06.md</t>
        </is>
      </c>
      <c r="G3060" s="33" t="inlineStr">
        <is>
          <t>Med</t>
        </is>
      </c>
      <c r="H3060" s="33" t="inlineStr">
        <is>
          <t>Re-rate</t>
        </is>
      </c>
    </row>
    <row r="3061">
      <c r="A3061" s="33" t="inlineStr">
        <is>
          <t>2026-10-06</t>
        </is>
      </c>
      <c r="B3061" s="33" t="inlineStr">
        <is>
          <t>WDC</t>
        </is>
      </c>
      <c r="C3061" s="33" t="inlineStr">
        <is>
          <t>R1-CustConc</t>
        </is>
      </c>
      <c r="D3061" s="33" t="inlineStr">
        <is>
          <t>4</t>
        </is>
      </c>
      <c r="E3061" s="33" t="inlineStr">
        <is>
          <t>Re-rate 3-&gt;4 (pending Dom review). Top customer 16% of FY2026 revenue (next two 15% and 13%) = band 4 by the letter ('top customer 15-25%'). Counter-evidence, flagged: top-10 customers are 73% (68%, 55% in prior years), cloud is 89% of revenue, and concentration is rising; an explicit ruling may prefer 3.</t>
        </is>
      </c>
      <c r="F3061" s="33" t="inlineStr">
        <is>
          <t>10-K FY2026 (filed 2026-08-14) Item 7 / Item 1A; context-2026-10-06.md</t>
        </is>
      </c>
      <c r="G3061" s="33" t="inlineStr">
        <is>
          <t>Low-Med</t>
        </is>
      </c>
      <c r="H3061" s="33" t="inlineStr">
        <is>
          <t>Re-rate</t>
        </is>
      </c>
    </row>
    <row r="3062">
      <c r="A3062" s="33" t="inlineStr">
        <is>
          <t>2026-10-06</t>
        </is>
      </c>
      <c r="B3062" s="33" t="inlineStr">
        <is>
          <t>GOOGL</t>
        </is>
      </c>
      <c r="C3062" s="33" t="inlineStr">
        <is>
          <t>R3-BS</t>
        </is>
      </c>
      <c r="D3062" s="33" t="inlineStr">
        <is>
          <t>4</t>
        </is>
      </c>
      <c r="E3062" s="33" t="inlineStr">
        <is>
          <t>Re-rate 5-&gt;4 (Dom confirmed 2026-10-10: "current scores are ok"). Band 5 requires 'strong FCF generation'; Q2 2026 FCF was -$5.9B and the capex guide ($195-205B) implies a negative second half. A further $25B of notes closed 2026-08-10; Q2 interest expense $1,278M vs $261M; buybacks zero. Of $242.5B 'cash', $80.0B is sale-restricted SpaceX equity, so net cash is ~$53B. Still net cash with well-spread maturities = band 4. Note Dom's 2026-06-12 strict-letter override to 5 rested on all three band-5 conditions being met; the FCF condition no longer is.</t>
        </is>
      </c>
      <c r="F3062" s="33" t="inlineStr">
        <is>
          <t>10-Q q/e 2026-06-30 (acc. 0001652044-26-000071) Note 3, MD&amp;A; 8-K acc. 0001193125-26-342390; context-2026-10-06.md</t>
        </is>
      </c>
      <c r="G3062" s="33" t="inlineStr">
        <is>
          <t>Med</t>
        </is>
      </c>
      <c r="H3062" s="33" t="inlineStr">
        <is>
          <t>Re-rate</t>
        </is>
      </c>
    </row>
    <row r="3063">
      <c r="A3063" s="33" t="inlineStr">
        <is>
          <t>2026-10-06</t>
        </is>
      </c>
      <c r="B3063" s="33" t="inlineStr">
        <is>
          <t>CRM</t>
        </is>
      </c>
      <c r="C3063" s="33" t="inlineStr">
        <is>
          <t>R3-BS</t>
        </is>
      </c>
      <c r="D3063" s="33" t="inlineStr">
        <is>
          <t>3</t>
        </is>
      </c>
      <c r="E3063" s="33" t="inlineStr">
        <is>
          <t>Re-rate 4-&gt;3 (Dom confirmed 2026-10-10). Debt $39.5B vs $14.5B at fiscal year-end (funded the buyback); net debt/EBITDA ~2.2x, ~2.6x after the cash purchases of Fin/Intercom ($3.6B) and Contentful ($1.5B) = band 3 (2-4x). The prior rationale cited 0.65x.</t>
        </is>
      </c>
      <c r="F3063" s="33" t="inlineStr">
        <is>
          <t>10-Q q/e 2026-07-31 debt and acquisition notes; context-2026-10-06.md</t>
        </is>
      </c>
      <c r="G3063" s="33" t="inlineStr">
        <is>
          <t>Med-High</t>
        </is>
      </c>
      <c r="H3063" s="33" t="inlineStr">
        <is>
          <t>Re-rate</t>
        </is>
      </c>
    </row>
    <row r="3064">
      <c r="A3064" s="33" t="inlineStr">
        <is>
          <t>2026-10-06</t>
        </is>
      </c>
      <c r="B3064" s="33" t="inlineStr">
        <is>
          <t>GMED</t>
        </is>
      </c>
      <c r="C3064" s="33" t="inlineStr">
        <is>
          <t>EPS YoY (objective)</t>
        </is>
      </c>
      <c r="E3064" s="33" t="inlineStr">
        <is>
          <t>Rule-15 blank: Q2 2026 GAAP EPS YoY -25.3% is dominated by prior-year one-time items - Q2 2025 net income of $202.8M included a $110.561M non-taxable Nevro bargain purchase gain and a $34.815M state valuation-allowance tax benefit (72% of it). Operating income rose 139.7% ($76.1M -&gt; $182.4M). No ex-item value substituted because the base also carried $40.4M merger and $19.9M restructuring costs.</t>
        </is>
      </c>
      <c r="F3064" s="33" t="inlineStr">
        <is>
          <t>10-Q filed 2026-08-06, Statements of Income, MD&amp;A 'Bargain Purchase Gain', Note 14; 8-K Ex-99.1</t>
        </is>
      </c>
      <c r="G3064" s="33" t="inlineStr">
        <is>
          <t>High</t>
        </is>
      </c>
      <c r="H3064" s="33" t="inlineStr">
        <is>
          <t>Objective refresh</t>
        </is>
      </c>
    </row>
    <row r="3065">
      <c r="A3065" s="33" t="inlineStr">
        <is>
          <t>2026-10-06</t>
        </is>
      </c>
      <c r="B3065" s="33" t="inlineStr">
        <is>
          <t>WDC</t>
        </is>
      </c>
      <c r="C3065" s="33" t="inlineStr">
        <is>
          <t>EPS YoY (objective)</t>
        </is>
      </c>
      <c r="E3065" s="33" t="inlineStr">
        <is>
          <t>Rule-15 blank (cell already blank; ruling recorded): fiscal Q4 2026 GAAP EPS $8.21 vs $0.67 (+1,125%) dominated by a $2,050M mark-to-market gain on the retained SanDisk stake this year and a $166M SanDisk loss plus $100M exchange costs last year. Stake fully disposed by 2026-07-03. Needs re-ruling each FY2027 quarter (base effect reverses).</t>
        </is>
      </c>
      <c r="F3065" s="33" t="inlineStr">
        <is>
          <t>8-K Ex-99.1 filed 2026-08-05 reconciliation; 10-K FY2026 Item 7</t>
        </is>
      </c>
      <c r="G3065" s="33" t="inlineStr">
        <is>
          <t>High</t>
        </is>
      </c>
      <c r="H3065" s="33" t="inlineStr">
        <is>
          <t>Objective refresh</t>
        </is>
      </c>
    </row>
    <row r="3066">
      <c r="A3066" s="33" t="inlineStr">
        <is>
          <t>2026-10-06</t>
        </is>
      </c>
      <c r="B3066" s="33" t="inlineStr">
        <is>
          <t>GOOGL</t>
        </is>
      </c>
      <c r="C3066" s="33" t="inlineStr">
        <is>
          <t>EPS YoY (objective)</t>
        </is>
      </c>
      <c r="E3066" s="33" t="inlineStr">
        <is>
          <t>Rule-15 blank (cell already blank; ruling recorded): Q2 2026 diluted EPS $9.11 vs $2.31 (+294%) - equity-securities gain of $99,031M is 71% of pre-tax income of $138,753M. Under the 300% withhold, so without this entry a refresh would write it back.</t>
        </is>
      </c>
      <c r="F3066" s="33" t="inlineStr">
        <is>
          <t>10-Q q/e 2026-06-30 (acc. 0001652044-26-000071) OI&amp;E table</t>
        </is>
      </c>
      <c r="G3066" s="33" t="inlineStr">
        <is>
          <t>High</t>
        </is>
      </c>
      <c r="H3066" s="33" t="inlineStr">
        <is>
          <t>Objective refresh</t>
        </is>
      </c>
    </row>
    <row r="3067">
      <c r="A3067" s="33" t="inlineStr">
        <is>
          <t>2026-10-06</t>
        </is>
      </c>
      <c r="B3067" s="33" t="inlineStr">
        <is>
          <t>(multi)</t>
        </is>
      </c>
      <c r="C3067" s="33" t="inlineStr">
        <is>
          <t>Review (no change)</t>
        </is>
      </c>
      <c r="D3067" s="33" t="inlineStr">
        <is>
          <t>-</t>
        </is>
      </c>
      <c r="E3067" s="33" t="inlineStr">
        <is>
          <t>2026-10-06 research passes, ratings held on the evidence: APP (R4=1, R5=4, D3=3, M1=2 all hold; new San Diego County action filed 2026-10-05 and Talbot v. AppLovin 3:26-cv-10584 already consistent with R4=1); GMED D1 held at 2 though disclosed robotics revenue is 3.3% of sales (literal band 1) - the 2026-08-02 L11 rating already rested on undisclosed pull-through, flagged for Dom; PLTR R2 held at 4 (5 arguable, low confidence); CRM D1=2 and R5=3 confirmed, R4 held; GOOGL D1=3 confirmed by a literal reading (10-15% est.), R4=2 held; WDC D2/D3 held.</t>
        </is>
      </c>
      <c r="F3067" s="33" t="inlineStr">
        <is>
          <t>per-stock/*/context-2026-10-06.md</t>
        </is>
      </c>
      <c r="G3067" s="33" t="inlineStr">
        <is>
          <t>Med</t>
        </is>
      </c>
      <c r="H3067" s="33" t="inlineStr">
        <is>
          <t>Review</t>
        </is>
      </c>
    </row>
    <row r="3068">
      <c r="A3068" s="33" t="inlineStr">
        <is>
          <t>2026-10-10</t>
        </is>
      </c>
      <c r="B3068" s="33" t="inlineStr">
        <is>
          <t>APP</t>
        </is>
      </c>
      <c r="C3068" s="33" t="inlineStr">
        <is>
          <t>D1-AIRev</t>
        </is>
      </c>
      <c r="D3068" s="33" t="inlineStr">
        <is>
          <t>3</t>
        </is>
      </c>
      <c r="E3068" s="33" t="inlineStr">
        <is>
          <t>Re-rate 5-&gt;3 (Dom-directed 2026-10-10: an ad platform with AI-based targeting should not rate above META). Applies the new ad-platform convention in the rubric: baseline 2, 3 when AI-attributable revenue or lift is quantified above ~10% of revenue, capped at 3 because ad revenue is AI-enabled, not AI-infrastructure-tied. APP qualifies for 3: substantially all revenue runs through the Axon model and Q2 2026 growth was model-driven yield (net revenue per installation +58%, installs -2%). The prior 5 ('~100% of revenue is the AI engine') read 'uses AI' as 'AI-infrastructure revenue'; META carries 3 on the same facts.</t>
        </is>
      </c>
      <c r="F3068" s="33" t="inlineStr">
        <is>
          <t>10-Q q/e 2026-06-30 MD&amp;A; rubric D1 ad-platform convention; Rating Audit META D1 2026-06-12</t>
        </is>
      </c>
      <c r="G3068" s="33" t="inlineStr">
        <is>
          <t>High</t>
        </is>
      </c>
      <c r="H3068" s="33" t="inlineStr">
        <is>
          <t>Re-rate</t>
        </is>
      </c>
    </row>
    <row r="3069">
      <c r="A3069" s="33" t="inlineStr">
        <is>
          <t>2026-10-10</t>
        </is>
      </c>
      <c r="B3069" s="33" t="inlineStr">
        <is>
          <t>APP</t>
        </is>
      </c>
      <c r="C3069" s="33" t="inlineStr">
        <is>
          <t>R4-Reg</t>
        </is>
      </c>
      <c r="D3069" s="33" t="inlineStr">
        <is>
          <t>1</t>
        </is>
      </c>
      <c r="E3069" s="33" t="inlineStr">
        <is>
          <t>HELD at 1; rationale refreshed. The 2026-09-07 row cited an active SEC probe. Validation 2026-10-10: the Q2 2026 10-Q names no SEC inquiry (generic investigations language only; no 'subpoena'), and no filing, SEC statement or press source confirming closure was found - the closure rests on a spoken CFO remark on the 2026-08-05 call. Treat SEC status as UNVERIFIED either way. The 1 now rests on: People v. AppLovin (San Diego County, filed 2026-10-05, seeks an injunction on data collection), Talbot v. AppLovin 3:26-cv-10584 (N.D. Cal., filed 2026-09-16) and Brownback 4:25-cv-02772 (pending).</t>
        </is>
      </c>
      <c r="F3069" s="33" t="inlineStr">
        <is>
          <t>10-Q q/e 2026-06-30 Legal Proceedings / risk factors; context-2026-10-06.md</t>
        </is>
      </c>
      <c r="G3069" s="33" t="inlineStr">
        <is>
          <t>Med</t>
        </is>
      </c>
      <c r="H3069" s="33" t="inlineStr">
        <is>
          <t>Review</t>
        </is>
      </c>
    </row>
    <row r="3070">
      <c r="A3070" s="33" t="inlineStr">
        <is>
          <t>2026-10-10</t>
        </is>
      </c>
      <c r="B3070" s="33" t="inlineStr">
        <is>
          <t>APP</t>
        </is>
      </c>
      <c r="C3070" s="33" t="inlineStr">
        <is>
          <t>R1-CustConc</t>
        </is>
      </c>
      <c r="D3070" s="33" t="inlineStr">
        <is>
          <t>4</t>
        </is>
      </c>
      <c r="E3070" s="33" t="inlineStr">
        <is>
          <t>HELD at 4, now evidenced. No single customer was 10% or more of revenue in 2024, 2023 or 2022 (FY2024 10-K note); FY2025 reported the same per secondary coverage (Zacks) - FY2025 10-K note not read directly. Literal band would be 5 (no customer &gt;15%). Held at 4 for distribution concentration the customer test does not capture: a significant amount of revenue is derived through Apple's App Store, Google Play and Meta, and the business is concentrated in mobile gaming (10-Q q/e 2026-06-30 risk factors). Flagged for Dom: 5 is the strict-letter reading.</t>
        </is>
      </c>
      <c r="F3070" s="33" t="inlineStr">
        <is>
          <t>FY2024 10-K concentration note (sec.gov app-20241231.htm); Zacks via TradingView; 10-Q q/e 2026-06-30 risk factors</t>
        </is>
      </c>
      <c r="G3070" s="33" t="inlineStr">
        <is>
          <t>Med</t>
        </is>
      </c>
      <c r="H3070" s="33" t="inlineStr">
        <is>
          <t>Review</t>
        </is>
      </c>
    </row>
    <row r="3071">
      <c r="A3071" s="33" t="inlineStr">
        <is>
          <t>2026-10-10</t>
        </is>
      </c>
      <c r="B3071" s="33" t="inlineStr">
        <is>
          <t>APP</t>
        </is>
      </c>
      <c r="C3071" s="33" t="inlineStr">
        <is>
          <t>D3-Moat</t>
        </is>
      </c>
      <c r="D3071" s="33" t="inlineStr">
        <is>
          <t>2</t>
        </is>
      </c>
      <c r="E3071" s="33" t="inlineStr">
        <is>
          <t>Re-rate 3-&gt;2 (Dom's call 2026-10-10: 'feels like the industry is catching up'). Band 2 = 'Weak moat. Losing share possible. Price-taker behavior.' Evidence for: share gains reported stalled (Edgewater 2026-09-23), Unity Vector growing, management said Axon model lifts were 'lighter than normal' and are not guaranteed each quarter, lost a TRO bid against Unity (2026-10-02), META shipping competing AI ad products. Evidence against, recorded as Claude's dissent: net revenue per installation +58% in Q2 2026 is pricing power, not price-taking; Claude leaned 3 until the Q3 print (~2026-11-11) shows whether share is actually being lost. Revisit then.</t>
        </is>
      </c>
      <c r="F3071" s="33" t="inlineStr">
        <is>
          <t>10-Q q/e 2026-06-30 MD&amp;A; context-2026-10-06.md</t>
        </is>
      </c>
      <c r="G3071" s="33" t="inlineStr">
        <is>
          <t>Med</t>
        </is>
      </c>
      <c r="H3071" s="33" t="inlineStr">
        <is>
          <t>Re-rate</t>
        </is>
      </c>
    </row>
    <row r="3072">
      <c r="A3072" s="33" t="inlineStr">
        <is>
          <t>2026-10-10</t>
        </is>
      </c>
      <c r="B3072" s="33" t="inlineStr">
        <is>
          <t>RDDT</t>
        </is>
      </c>
      <c r="C3072" s="33" t="inlineStr">
        <is>
          <t>Review (no change)</t>
        </is>
      </c>
      <c r="D3072" s="33" t="inlineStr">
        <is>
          <t>-</t>
        </is>
      </c>
      <c r="E3072" s="33" t="inlineStr">
        <is>
          <t>Refresh of the 2026-06-22 ratings (Dom asked; D3 Moat and R5 Disruption deliberately left as-is). All held, now evidenced: M1=5 (FY2026 consensus EPS $4.97 -&gt; $5.38 and FY2027 $6.47 -&gt; $7.07 over 90 days; revisions up-only in the last 30 days - yfinance 2026-10-10); M3=3 (routine exercise-and-sell, no open-market buying - context-2026-10-04.md); D4=3 (asset-light: purchases of property and equipment $1.1M in Q2 2026 against $804.9M revenue, while $234.6M went to buybacks - steady-state per the APP 2026-09-07 precedent, not band 1); D5=2 (data licensing is at most 5.4% of revenue and falling); R1=5 (top-10 customers ~25% of 2024 revenue, no customer &gt;10% in 2022-2023; FY2025 10-K note not read); R2=5 (US $638.1M of $804.9M = 79% of Q2 2026 revenue, no risk-geography leg); R3=5 (cash $2.79B vs debt $21M; FCF margin 37%). M2 re-measured 2026-10-09: +14.4% vs XLC -2.6% = +17.0pp (band 4); vs SPY -0.8pp (3), vs QQQ -8.8pp (2), vs IGV -36.5pp (1).</t>
        </is>
      </c>
      <c r="F3072" s="33" t="inlineStr">
        <is>
          <t>10-Q q/e 2026-06-30; FY2024 10-K via search; yfinance 2026-10-10; context-2026-10-04.md</t>
        </is>
      </c>
      <c r="G3072" s="33" t="inlineStr">
        <is>
          <t>Med</t>
        </is>
      </c>
      <c r="H3072" s="33" t="inlineStr">
        <is>
          <t>Review</t>
        </is>
      </c>
    </row>
    <row r="3073">
      <c r="A3073" s="33" t="inlineStr">
        <is>
          <t>2026-10-10</t>
        </is>
      </c>
      <c r="B3073" s="33" t="inlineStr">
        <is>
          <t>WDC</t>
        </is>
      </c>
      <c r="C3073" s="33" t="inlineStr">
        <is>
          <t>D1-AIRev</t>
        </is>
      </c>
      <c r="D3073" s="33" t="inlineStr">
        <is>
          <t>4</t>
        </is>
      </c>
      <c r="E3073" s="33" t="inlineStr">
        <is>
          <t>Re-rate 5-&gt;4 (Dom's call 2026-10-10). The 5 equated cloud revenue (89% of FY2026) with AI revenue - the rubric's named failure mode ('counting data center revenue as AI revenue'). WDC discloses no AI share; cloud exabyte demand is AI-driven in part and general cloud storage in part. Band 4 (25-50%, strong AI exposure that is a major growth driver) and consistent with STX at 4.</t>
        </is>
      </c>
      <c r="F3073" s="33" t="inlineStr">
        <is>
          <t>10-K FY2026 (filed 2026-08-14) Item 7: cloud 89% of revenue, +38%; context-2026-10-06.md</t>
        </is>
      </c>
      <c r="G3073" s="33" t="inlineStr">
        <is>
          <t>Med</t>
        </is>
      </c>
      <c r="H3073" s="33" t="inlineStr">
        <is>
          <t>Re-rate</t>
        </is>
      </c>
    </row>
    <row r="3074">
      <c r="A3074" s="33" t="inlineStr">
        <is>
          <t>2026-10-10</t>
        </is>
      </c>
      <c r="B3074" s="33" t="inlineStr">
        <is>
          <t>WDC</t>
        </is>
      </c>
      <c r="C3074" s="33" t="inlineStr">
        <is>
          <t>R1-CustConc</t>
        </is>
      </c>
      <c r="D3074" s="33" t="inlineStr">
        <is>
          <t>3</t>
        </is>
      </c>
      <c r="E3074" s="33" t="inlineStr">
        <is>
          <t>Re-rate 4-&gt;3 (Dom's call 2026-10-10; reverses the 2026-10-06 strict-letter 3-&gt;4). Top customer 16% is band 4 by the letter, but top three are 44%, top ten 73% (68%, 55% in prior years) and cloud is 89% of revenue - concentration is high and rising, and a handful of hyperscalers set the terms. Rated on the cluster, not the single largest name.</t>
        </is>
      </c>
      <c r="F3074" s="33" t="inlineStr">
        <is>
          <t>10-K FY2026 Item 7 and Item 1A; context-2026-10-06.md</t>
        </is>
      </c>
      <c r="G3074" s="33" t="inlineStr">
        <is>
          <t>Med</t>
        </is>
      </c>
      <c r="H3074" s="33" t="inlineStr">
        <is>
          <t>Re-rate</t>
        </is>
      </c>
    </row>
    <row r="3075">
      <c r="A3075" s="33" t="inlineStr">
        <is>
          <t>2026-10-10</t>
        </is>
      </c>
      <c r="B3075" s="33" t="inlineStr">
        <is>
          <t>WDC</t>
        </is>
      </c>
      <c r="C3075" s="33" t="inlineStr">
        <is>
          <t>R2-Geo</t>
        </is>
      </c>
      <c r="D3075" s="33" t="inlineStr">
        <is>
          <t>3</t>
        </is>
      </c>
      <c r="E3075" s="33" t="inlineStr">
        <is>
          <t>Re-rate 4-&gt;3 (Dom-approved 2026-10-10 after the 10-K check the 2026-09-07 row said was never run). Worst plausible shock: a China trade-policy or procurement action. Exposed: China $2,541M (20%) + Hong Kong $1,487M (12%) = 31% of FY2026 revenue by ship-to, with China alone up from $488M in FY2024. Two legs = band 3: (a) demand - &gt;25% of revenue shipped to a risk geography; (b) policy - the 10-K flags China's rare-earth export restrictions as critical to hard drive manufacturing, plus a Shenzhen facility. Not band 2: long-lived assets are Thailand $867M (35%) and Malaysia $443M (18%), which are not conflict-risk geographies under the rubric (FN, Thai manufacturing, carries 4). STX carries 4 on an unexamined rationale and needs the same check.</t>
        </is>
      </c>
      <c r="F3075" s="33" t="inlineStr">
        <is>
          <t>10-K FY2026 (filed 2026-08-14): geographic note (net revenue and long-lived assets by region), Item 1A, Item 2</t>
        </is>
      </c>
      <c r="G3075" s="33" t="inlineStr">
        <is>
          <t>Med-High</t>
        </is>
      </c>
      <c r="H3075" s="33" t="inlineStr">
        <is>
          <t>Re-rate</t>
        </is>
      </c>
    </row>
    <row r="3076">
      <c r="A3076" s="33" t="inlineStr">
        <is>
          <t>2026-10-10</t>
        </is>
      </c>
      <c r="B3076" s="33" t="inlineStr">
        <is>
          <t>WDC</t>
        </is>
      </c>
      <c r="C3076" s="33" t="inlineStr">
        <is>
          <t>D3-Moat</t>
        </is>
      </c>
      <c r="D3076" s="33" t="inlineStr">
        <is>
          <t>3</t>
        </is>
      </c>
      <c r="E3076" s="33" t="inlineStr">
        <is>
          <t>Re-rate 4-&gt;3 (Dom-approved 2026-10-10). Band 3 = 'modest moat; share roughly stable but pricing is competitive'. From the 10-K: the company describes its products as 'largely interchangeable with competitors' products' (Item 1A) - low switching costs; price per exabyte rose 8% on 'an improved pricing environment' (Item 7), i.e. shortage-driven, not differentiation; long-term agreements fix or formula-price volumes. HAMR drive not due until H1 2027 (Q4 FY26 call), behind STX, which carries 4 partly on its HAMR lead. For 4: in-house heads and media, three-supplier oligopoly, sold out for CY2026. The unverified Toshiba capacity report (Nikkei 2026-10-02) is NOT relied on - it appears nowhere in the 10-K.</t>
        </is>
      </c>
      <c r="F3076" s="33" t="inlineStr">
        <is>
          <t>10-K FY2026 Item 1, Item 1A, Item 7; context-2026-10-06.md</t>
        </is>
      </c>
      <c r="G3076" s="33" t="inlineStr">
        <is>
          <t>Med</t>
        </is>
      </c>
      <c r="H3076" s="33" t="inlineStr">
        <is>
          <t>Re-rate</t>
        </is>
      </c>
    </row>
    <row r="3077">
      <c r="A3077" s="33" t="inlineStr">
        <is>
          <t>2026-10-10</t>
        </is>
      </c>
      <c r="B3077" s="33" t="inlineStr">
        <is>
          <t>PLTR</t>
        </is>
      </c>
      <c r="C3077" s="33" t="inlineStr">
        <is>
          <t>R2-Geo</t>
        </is>
      </c>
      <c r="D3077" s="33" t="inlineStr">
        <is>
          <t>5</t>
        </is>
      </c>
      <c r="E3077" s="33" t="inlineStr">
        <is>
          <t>Re-rate 4-&gt;5 (Dom-approved 2026-10-10). Worst plausible shock: loss or curtailment of a non-US government programme (e.g. the UK NHS renewal, Feb 2027); exposed revenue is well under 10% - the US is 81% of revenue and no other country reaches 10% (10-Q q/e 2026-06-30). No demand leg (band 4 needs &gt;25% shipped to a risk geography), no China/policy leg, no asset leg = band 5 'no legs'. The 2026-05-18 rationale ('US-based, government-aligned. Clean geo') described a 5 and recorded a 4.</t>
        </is>
      </c>
      <c r="F3077" s="33" t="inlineStr">
        <is>
          <t>10-Q q/e 2026-06-30 (acc. 0001321655-26-000041) geographic note; context-2026-10-06.md</t>
        </is>
      </c>
      <c r="G3077" s="33" t="inlineStr">
        <is>
          <t>Med</t>
        </is>
      </c>
      <c r="H3077" s="33" t="inlineStr">
        <is>
          <t>Re-rate</t>
        </is>
      </c>
    </row>
    <row r="3078">
      <c r="A3078" s="33" t="inlineStr">
        <is>
          <t>2026-10-10</t>
        </is>
      </c>
      <c r="B3078" s="33" t="inlineStr">
        <is>
          <t>PLTR</t>
        </is>
      </c>
      <c r="C3078" s="33" t="inlineStr">
        <is>
          <t>D3-Moat</t>
        </is>
      </c>
      <c r="D3078" s="33" t="inlineStr">
        <is>
          <t>4</t>
        </is>
      </c>
      <c r="E3078" s="33" t="inlineStr">
        <is>
          <t>Re-rate 5-&gt;4 (Claude's call at Dom's invitation 2026-10-10: 'what do you think? we can always adjust later'). Band 5 needs durability across multiple dimensions with 10+ year defensibility plausible; the rubric's anchors are ASML, TSMC at the leading edge and NVIDIA/CUDA, and it calls this the most halo-prone rating. For 5: net dollar retention 157% (Q2 call), deep government entrenchment, high switching costs. Against: it holds share versus credible competitors rather than standing alone - Microsoft, Databricks, Snowflake - and OpenAI and Anthropic are building forward-deployed-engineering arms, which is Palantir's delivery method; international commercial +2% QoQ. That is band 4 (strong in one or two dimensions, share held vs credible competitors). Dom's note the same day: Palantir owns defense AI 'for now until the other AI labs start trying to poach' - consistent with strong-but-contestable. Revisit on evidence either way.</t>
        </is>
      </c>
      <c r="F3078" s="33" t="inlineStr">
        <is>
          <t>10-Q q/e 2026-06-30; Q2 2026 call; context-2026-10-06.md</t>
        </is>
      </c>
      <c r="G3078" s="33" t="inlineStr">
        <is>
          <t>Med</t>
        </is>
      </c>
      <c r="H3078" s="33" t="inlineStr">
        <is>
          <t>Re-rate</t>
        </is>
      </c>
    </row>
    <row r="3079">
      <c r="A3079" s="33" t="inlineStr">
        <is>
          <t>2026-10-10</t>
        </is>
      </c>
      <c r="B3079" s="33" t="inlineStr">
        <is>
          <t>PLTR</t>
        </is>
      </c>
      <c r="C3079" s="33" t="inlineStr">
        <is>
          <t>Review (no change)</t>
        </is>
      </c>
      <c r="D3079" s="33" t="inlineStr">
        <is>
          <t>-</t>
        </is>
      </c>
      <c r="E3079" s="33" t="inlineStr">
        <is>
          <t>Dom review 2026-10-10. M3=3 HELD, now evidenced (was a default with no filings pulled): 54 Form 4 filings 2025-11-03..2026-10-01 show zero open-market purchases; 256 sale transactions under 10b5-1 plans ($658M - Thiel, Karp, Sankar, Moore, Taylor, Glazer) and 55 not flagged as plan sales ($210M), almost all Cohen ($144M) and Karp ($66M) on the 20th-21st of Nov/Feb/May - a quarterly vest-date pattern consistent with sell-to-cover, not verified from footnotes. Percent-of-holdings test not computable from Class A post-transaction balances alone (founders hold Class B and options). No buying + routine/plan selling = 3. D1=4 HELD at Dom's direction (AIP share undisclosed; US commercial is 39% of revenue; 'owns the defense AI category for now'). M2=2 HELD vs IGV (software is the like-for-like benchmark).</t>
        </is>
      </c>
      <c r="F3079" s="33" t="inlineStr">
        <is>
          <t>per-stock/PLTR/filings/4_*.xml via parse_form4.py; 10-Q q/e 2026-06-30</t>
        </is>
      </c>
      <c r="G3079" s="33" t="inlineStr">
        <is>
          <t>Med</t>
        </is>
      </c>
      <c r="H3079" s="33" t="inlineStr">
        <is>
          <t>Review</t>
        </is>
      </c>
    </row>
    <row r="3080">
      <c r="A3080" s="33" t="inlineStr">
        <is>
          <t>2026-10-10</t>
        </is>
      </c>
      <c r="B3080" s="33" t="inlineStr">
        <is>
          <t>GOOGL</t>
        </is>
      </c>
      <c r="C3080" s="33" t="inlineStr">
        <is>
          <t>Review (no change)</t>
        </is>
      </c>
      <c r="D3080" s="33" t="inlineStr">
        <is>
          <t>-</t>
        </is>
      </c>
      <c r="E3080" s="33" t="inlineStr">
        <is>
          <t>Dom review 2026-10-10: all ratings held ('I think the current scores are ok'), including R3=4 and M2=4 vs XLC. M3=3 now evidenced: 173 Form 4 filings 2025-10-13 onward show zero open-market purchases (no code-P transactions); executive sales (Pichai $108.8M, Walker $25.6M over the window) are disclosed as Rule 10b5-1 plan sales in the filing footnotes - the aff10b5One checkbox is false on these filings, so parse_form4.py reports them as discretionary; read the footnotes for this issuer. GV fund filings in the pull concern other issuers and are excluded. Entry-gate note: Stewart v. Alphabet, 3:26-cv-11290 (N.D. Cal., filed 2026-10-02) - hold to be recorded.</t>
        </is>
      </c>
      <c r="F3080" s="33" t="inlineStr">
        <is>
          <t>per-stock/GOOGL/filings/4_*.xml; context-2026-10-06.md</t>
        </is>
      </c>
      <c r="G3080" s="33" t="inlineStr">
        <is>
          <t>Med</t>
        </is>
      </c>
      <c r="H3080" s="33" t="inlineStr">
        <is>
          <t>Review</t>
        </is>
      </c>
    </row>
    <row r="3081">
      <c r="A3081" s="33" t="inlineStr">
        <is>
          <t>2026-10-10</t>
        </is>
      </c>
      <c r="B3081" s="33" t="inlineStr">
        <is>
          <t>GOOGL</t>
        </is>
      </c>
      <c r="C3081" s="33" t="inlineStr">
        <is>
          <t>R2-Geo</t>
        </is>
      </c>
      <c r="D3081" s="33" t="inlineStr">
        <is>
          <t>5</t>
        </is>
      </c>
      <c r="E3081" s="33" t="inlineStr">
        <is>
          <t>Re-rate 4-&gt;5 (Dom-approved 2026-10-10, Layer-9 hyperscaler R2 check against filings). Worst plausible shock: an EU regulatory remedy on Search/Play - but that is regulatory, already carried in R4=2, not a geographic or trade-policy shock. Revenue Q2 2026: US 48%, EMEA 29%, APAC 17%, Other Americas 6%; no China revenue. No demand, policy or asset leg under the R2 framework = band 5. The 2026-05-18 rationale ('Global; no operations in China consumer market') described no legs and recorded a 4.</t>
        </is>
      </c>
      <c r="F3081" s="33" t="inlineStr">
        <is>
          <t>10-Q q/e 2026-06-30 (acc. 0001652044-26-000071) revenue-by-geography table</t>
        </is>
      </c>
      <c r="G3081" s="33" t="inlineStr">
        <is>
          <t>Med</t>
        </is>
      </c>
      <c r="H3081" s="33" t="inlineStr">
        <is>
          <t>Re-rate</t>
        </is>
      </c>
    </row>
    <row r="3082">
      <c r="A3082" s="33" t="inlineStr">
        <is>
          <t>2026-10-10</t>
        </is>
      </c>
      <c r="B3082" s="33" t="inlineStr">
        <is>
          <t>MSFT</t>
        </is>
      </c>
      <c r="C3082" s="33" t="inlineStr">
        <is>
          <t>R2-Geo</t>
        </is>
      </c>
      <c r="D3082" s="33" t="inlineStr">
        <is>
          <t>5</t>
        </is>
      </c>
      <c r="E3082" s="33" t="inlineStr">
        <is>
          <t>Re-rate 4-&gt;5 (Dom-approved 2026-10-10, Layer-9 hyperscaler R2 check against filings). Worst plausible shock: none identified that plausibly impairs &gt;10% of revenue. FY2026 revenue: United States $170,794M of $331,839M (51%); the 10-K states 'No sales to an individual customer or country other than the United States accounted for more than 10% of revenue for fiscal years 2026, 2025, or 2024.' China is not separately material. No legs = band 5. The 2026-05-18 rationale cited 'some China exposure (Azure China limited)' without a figure.</t>
        </is>
      </c>
      <c r="F3082" s="33" t="inlineStr">
        <is>
          <t>10-K FY2026 (filed 2026-07-29, acc. 0001193125-26-323660) segment and geographic note</t>
        </is>
      </c>
      <c r="G3082" s="33" t="inlineStr">
        <is>
          <t>High</t>
        </is>
      </c>
      <c r="H3082" s="33" t="inlineStr">
        <is>
          <t>Re-rate</t>
        </is>
      </c>
    </row>
    <row r="3083">
      <c r="A3083" s="33" t="inlineStr">
        <is>
          <t>2026-10-10</t>
        </is>
      </c>
      <c r="B3083" s="33" t="inlineStr">
        <is>
          <t>META</t>
        </is>
      </c>
      <c r="C3083" s="33" t="inlineStr">
        <is>
          <t>R2-Geo</t>
        </is>
      </c>
      <c r="D3083" s="33" t="inlineStr">
        <is>
          <t>3</t>
        </is>
      </c>
      <c r="E3083" s="33" t="inlineStr">
        <is>
          <t>Re-rate 4-&gt;3 (Dom-approved 2026-10-10, Layer-9 hyperscaler R2 check against filings). Worst plausible shock: US-China trade action or a Chinese government move that cuts China-based advertising. Two legs = band 3: (a) demand - Asia-Pacific is $53,817M of $200,966M = 26.8% of FY2025 revenue (26.4% in Q2 2026), above the 25% line; (b) policy - the 10-K says Meta generates 'meaningful revenue from a small number of resellers serving advertisers based in China' and that government action or tariffs could reduce or eliminate it, and names China among the largest non-US revenue countries. The FY2025 10-K gives no China percentage; earlier disclosures put it at about 10-11% of revenue (FY2023 10-K 10%; ~$18B in 2024 per Reuters) - not re-verified for 2025. Not band 2: no asset leg and nothing currently impaired.</t>
        </is>
      </c>
      <c r="F3083" s="33" t="inlineStr">
        <is>
          <t>10-K FY2025 (filed 2026-01-29, acc. 0001628280-26-003942) revenue-by-geography note and Item 1A; 10-Q q/e 2026-06-30</t>
        </is>
      </c>
      <c r="G3083" s="33" t="inlineStr">
        <is>
          <t>Med-High</t>
        </is>
      </c>
      <c r="H3083" s="33" t="inlineStr">
        <is>
          <t>Re-rate</t>
        </is>
      </c>
    </row>
    <row r="3084">
      <c r="A3084" s="33" t="inlineStr">
        <is>
          <t>2026-10-10</t>
        </is>
      </c>
      <c r="B3084" s="33" t="inlineStr">
        <is>
          <t>AMZN</t>
        </is>
      </c>
      <c r="C3084" s="33" t="inlineStr">
        <is>
          <t>R2-Geo</t>
        </is>
      </c>
      <c r="D3084" s="33" t="inlineStr">
        <is>
          <t>4</t>
        </is>
      </c>
      <c r="E3084" s="33" t="inlineStr">
        <is>
          <t>HELD at 4 in the same Layer-9 check. One leg: trade-policy exposure through imported goods and China-based third-party sellers (third-party seller services are ~21% of revenue; the Q2 2026 10-Q records ~$640M of IEEPA tariff refunds, showing the cost channel is real). No China revenue leg and no asset leg. The China-based seller share is not disclosed, so the exposure is named but not sized.</t>
        </is>
      </c>
      <c r="F3084" s="33" t="inlineStr">
        <is>
          <t>10-Q q/e 2026-06-30 (acc. 0001018724-26-000026)</t>
        </is>
      </c>
      <c r="G3084" s="33" t="inlineStr">
        <is>
          <t>Low-Med</t>
        </is>
      </c>
      <c r="H3084" s="33" t="inlineStr">
        <is>
          <t>Review</t>
        </is>
      </c>
    </row>
    <row r="3085">
      <c r="A3085" s="33" t="inlineStr">
        <is>
          <t>2026-10-10</t>
        </is>
      </c>
      <c r="B3085" s="33" t="inlineStr">
        <is>
          <t>CRM</t>
        </is>
      </c>
      <c r="C3085" s="33" t="inlineStr">
        <is>
          <t>M3-Insider</t>
        </is>
      </c>
      <c r="D3085" s="33" t="inlineStr">
        <is>
          <t>5</t>
        </is>
      </c>
      <c r="E3085" s="33" t="inlineStr">
        <is>
          <t>Re-rate 3-&gt;5 (Dom review 2026-10-10: 'do the research and score updates'). Three directors made open-market purchases (Form 4 code P, not 10b5-1) in the last 12 months: G. Mason Morfit (ValueAct) 96,000 shares at $260.58 = $25.0M on 2025-12-05; David Kirk 8,682 shares = $2.0M across 2025-12-17, 2026-03-18 and 2026-09-18; Laura Alber 2,571 shares = $0.5M on 2026-03-19. Rubric decision procedure step 1: two or more insiders buying = 5, full stop, regardless of size. Executive sales in the window were plan sales (Harris $31.6M, Benioff $9.6M). The prior 3 was a default with no filings pulled.</t>
        </is>
      </c>
      <c r="F3085" s="33" t="inlineStr">
        <is>
          <t>per-stock/CRM/filings/4_*.xml (118 filings, 2025-10-09..2026-09-22) via parse_form4.py</t>
        </is>
      </c>
      <c r="G3085" s="33" t="inlineStr">
        <is>
          <t>High</t>
        </is>
      </c>
      <c r="H3085" s="33" t="inlineStr">
        <is>
          <t>Re-rate</t>
        </is>
      </c>
    </row>
    <row r="3086">
      <c r="A3086" s="33" t="inlineStr">
        <is>
          <t>2026-10-10</t>
        </is>
      </c>
      <c r="B3086" s="33" t="inlineStr">
        <is>
          <t>CRM</t>
        </is>
      </c>
      <c r="C3086" s="33" t="inlineStr">
        <is>
          <t>R2-Geo</t>
        </is>
      </c>
      <c r="D3086" s="33" t="inlineStr">
        <is>
          <t>5</t>
        </is>
      </c>
      <c r="E3086" s="33" t="inlineStr">
        <is>
          <t>Re-rate 4-&gt;5 (Dom review 2026-10-10: 'do the research and score updates'). Worst plausible shock: none identified that plausibly impairs &gt;10% of revenue. Q2 FY27 revenue: Americas 65% (about 93% of that is the United States), Europe 25%, Asia Pacific 10%; 'No other country represented more than ten percent of total revenue'; no China leg; 84% of assets in the United States. No legs = band 5. The 2026-05-18 rationale ('US-based, global delivery. Clean.') described a 5 and recorded a 4.</t>
        </is>
      </c>
      <c r="F3086" s="33" t="inlineStr">
        <is>
          <t>10-Q q/e 2026-07-31 (acc. 0001108524-26-000190) revenue-by-geography and concentration notes</t>
        </is>
      </c>
      <c r="G3086" s="33" t="inlineStr">
        <is>
          <t>High</t>
        </is>
      </c>
      <c r="H3086" s="33" t="inlineStr">
        <is>
          <t>Re-rate</t>
        </is>
      </c>
    </row>
    <row r="3087">
      <c r="A3087" s="33" t="inlineStr">
        <is>
          <t>2026-10-10</t>
        </is>
      </c>
      <c r="B3087" s="33" t="inlineStr">
        <is>
          <t>CRM</t>
        </is>
      </c>
      <c r="C3087" s="33" t="inlineStr">
        <is>
          <t>R4-Reg</t>
        </is>
      </c>
      <c r="D3087" s="33" t="inlineStr">
        <is>
          <t>3</t>
        </is>
      </c>
      <c r="E3087" s="33" t="inlineStr">
        <is>
          <t>Re-rate 4-&gt;3 (Dom review 2026-10-10: 'do the research and score updates'). Band 4 is 'routine matters only; no material disclosed risks'; band 3 is 'some pending matters disclosed but immaterial'. The 10-Q legal note specifically describes two clusters: Slack IPO securities class actions (state court action reopened for discovery and a renewed class-certification motion, Nov 2025) and the Backpage litigation (multiple consolidated federal and state actions by dozens of plaintiffs alleging the Company's software facilitated sex trafficking by a former customer). No loss is accrued or estimated. Named pending matters = 3. The prior rationale was one word: 'Clean'.</t>
        </is>
      </c>
      <c r="F3087" s="33" t="inlineStr">
        <is>
          <t>10-Q q/e 2026-07-31 Legal Proceedings note</t>
        </is>
      </c>
      <c r="G3087" s="33" t="inlineStr">
        <is>
          <t>Med</t>
        </is>
      </c>
      <c r="H3087" s="33" t="inlineStr">
        <is>
          <t>Re-rate</t>
        </is>
      </c>
    </row>
    <row r="3088">
      <c r="A3088" s="33" t="inlineStr">
        <is>
          <t>2026-10-10</t>
        </is>
      </c>
      <c r="B3088" s="33" t="inlineStr">
        <is>
          <t>VRT</t>
        </is>
      </c>
      <c r="C3088" s="33" t="inlineStr">
        <is>
          <t>M3-Insider</t>
        </is>
      </c>
      <c r="D3088" s="33" t="inlineStr">
        <is>
          <t>2</t>
        </is>
      </c>
      <c r="E3088" s="33" t="inlineStr">
        <is>
          <t>Re-rate 3-&gt;2 (Dom-approved 2026-10-10; first evidenced M3 for this name). No open-market purchases in 91 Form 4 filings, 2025-11-10..2026-10-05. On 2026-02-26/27 three directors made open-market sales with no 10b5-1 checkbox and no plan footnote: Roger Fradin ~203,333 shares ($51.4M), Steven Reinemund 100,000 ($25.4M), Executive Chairman David Cote 40,000 ($10.2M), at $250-259. Against beneficial ownership in the 2026 proxy (as of 2026-04-15, i.e. after the sales, options included): Fradin 301,317 -&gt; sold ~40% of the pre-sale total; Reinemund 218,024 -&gt; ~31%; Cote 481,587 -&gt; ~8%. Two non-executive directors individually exceed the 30% line (band 1 read person-by-person); as a share of all directors' and officers' holdings (~4.2M incl. options) the three sales are ~8% (band 3 read in aggregate), and no executive officer sold outside a plan. Rated 2 between the two readings. Excluded as routine: van Dokkum and Karlborg option-exercise-and-sell the same day; Monser plan sales. Sales came in an open window after Q4 results; the shares later traded to $376.</t>
        </is>
      </c>
      <c r="F3088" s="33" t="inlineStr">
        <is>
          <t>per-stock/VRT/filings/4_*.xml via parse_form4.py; DEF 14A filed 2026-04-24 beneficial-ownership table and footnotes</t>
        </is>
      </c>
      <c r="G3088" s="33" t="inlineStr">
        <is>
          <t>Med</t>
        </is>
      </c>
    </row>
    <row r="3089">
      <c r="A3089" s="33" t="inlineStr">
        <is>
          <t>2026-10-10</t>
        </is>
      </c>
      <c r="B3089" s="33" t="inlineStr">
        <is>
          <t>VRT</t>
        </is>
      </c>
      <c r="C3089" s="33" t="inlineStr">
        <is>
          <t>Baseline (first log)</t>
        </is>
      </c>
      <c r="D3089" s="33" t="inlineStr">
        <is>
          <t>-</t>
        </is>
      </c>
      <c r="E3089" s="33" t="inlineStr">
        <is>
          <t>No Rating Audit rows existed for VRT before 2026-10-06 - twelve ratings carried with no logged rationale. Baseline as reviewed with Dom 2026-10-10, evidence from context-2026-09-21.md and the filings read today: D1=4 (data-centre power and thermal; no AI share disclosed; organic orders +152% on AI data-centre demand); D2=4 (broad power+thermal+service supplier, NVIDIA 800VDC co-design); D3=4 (breadth and service network; individual lines have competitors); D4=4 (expanding; ~$2.6B UtilityInnovation acquisition pending HSR, Q4 2026 close); D5=5 (hyperscale/colocation-led demand, $15.0B backlog at 2025-12-31 per 10-K); M1=5 (two consecutive beat-and-raise quarters, FY2026 guide raised to ~$14.0B); R1=3 (see separate note - no 10% customer disclosed in the FY2025 10-K; under review); R2=4 (2025 sales by destination: United States $6,013.6M of $10,229.9M = 59%, Asia Pacific 20%, Europe 14%; one trade-policy leg via tariffs, IEEPA refunds noted in the Q2 10-Q); R3=4 (net debt/EBITDA ~0.1x before the acquisition, funded from existing resources); R4=5 (no filed securities case; plaintiff-firm solicitations only); R5=5 (rule-16 default).</t>
        </is>
      </c>
      <c r="F3089" s="33" t="inlineStr">
        <is>
          <t>context-2026-09-21.md; 10-K FY2025 (filed 2026-02-13); 10-Q q/e 2026-06-30</t>
        </is>
      </c>
      <c r="G3089" s="33" t="inlineStr">
        <is>
          <t>Med</t>
        </is>
      </c>
      <c r="H3089" s="33" t="inlineStr">
        <is>
          <t>Review</t>
        </is>
      </c>
    </row>
    <row r="3090">
      <c r="A3090" s="33" t="inlineStr">
        <is>
          <t>2026-10-11</t>
        </is>
      </c>
      <c r="B3090" s="33" t="inlineStr">
        <is>
          <t>VRT</t>
        </is>
      </c>
      <c r="C3090" s="33" t="inlineStr">
        <is>
          <t>R1-CustConc</t>
        </is>
      </c>
      <c r="D3090" s="33" t="inlineStr">
        <is>
          <t>4</t>
        </is>
      </c>
      <c r="E3090" s="33" t="inlineStr">
        <is>
          <t>Re-rate 3-&gt;4 (Dom-approved 2026-10-11). The FY2025 10-K discloses no customer at 10% or more of sales; accounting rules require that disclosure when one exists, so none is inferred (the filing does not state it affirmatively). The prior 3 ('top customer 25-40%') matched no filing fact. Literal band is 5; held to 4 because demand comes from a small group of hyperscale and colocation buyers whose combined share is undisclosed, and the 10-K's own risk factor says that with fewer, larger customers the loss of one 'could have an outsized impact'. Contrast WDC (3), where the filing shows top-10 customers at 73% and rising.</t>
        </is>
      </c>
      <c r="F3090" s="33" t="inlineStr">
        <is>
          <t>10-K FY2025 (filed 2026-02-13, acc. 0001674101-26-000008) Item 1A and segment note</t>
        </is>
      </c>
      <c r="G3090" s="33" t="inlineStr">
        <is>
          <t>Med</t>
        </is>
      </c>
      <c r="H3090" s="33" t="inlineStr">
        <is>
          <t>Re-rate</t>
        </is>
      </c>
    </row>
    <row r="3091">
      <c r="A3091" t="inlineStr">
        <is>
          <t>2026-10-11</t>
        </is>
      </c>
      <c r="B3091" t="inlineStr">
        <is>
          <t>MU</t>
        </is>
      </c>
      <c r="C3091" t="inlineStr">
        <is>
          <t>EPS YoY (objective)</t>
        </is>
      </c>
      <c r="D3091" t="n">
        <v>1077.8</v>
      </c>
      <c r="E3091" t="inlineStr">
        <is>
          <t>Rule-15 ruling, WRITTEN: Operational memory super-cycle, no one-off: FY2026 revenue $133,188M vs $37,378M, operating income $99,340M (75% of revenue) vs $9,770M, net income $84,969M vs $8,539M - net income is below operating income, so nothing non-operating inflates it. Fiscal Q4 (q/e 2026-09-03) GAAP YoY +1077.8% per yfinance earningsQuarterlyGrowth; quarterly statements in yfinance still lag at 2026-05-31, so the Q4 quarter itself was not decomposed.</t>
        </is>
      </c>
      <c r="F3091" t="inlineStr">
        <is>
          <t>10-K FY2026 (filed 2026-10-09, acc. 0000723125-26-000023) consolidated statements of operations; yfinance 2026-10-11</t>
        </is>
      </c>
      <c r="G3091" t="inlineStr">
        <is>
          <t>Med-High</t>
        </is>
      </c>
      <c r="H3091" t="inlineStr">
        <is>
          <t>Objective refresh</t>
        </is>
      </c>
    </row>
    <row r="3092">
      <c r="A3092" t="inlineStr">
        <is>
          <t>2026-10-11</t>
        </is>
      </c>
      <c r="B3092" t="inlineStr">
        <is>
          <t>TER</t>
        </is>
      </c>
      <c r="C3092" t="inlineStr">
        <is>
          <t>EPS YoY (objective)</t>
        </is>
      </c>
      <c r="D3092" t="n">
        <v>377.9</v>
      </c>
      <c r="E3092" t="inlineStr">
        <is>
          <t>Rule-15 ruling, WRITTEN: Operational: Q2 2026 revenue $1,329.0M vs $651.8M (+104%), income from operations $440.8M vs $93.1M (+373%), net income $374.5M vs $78.4M (+377.9%); unusual items -$3.0M; tax rate 15.1% vs 12.7% (works against the jump). Same basis as the 2026-06-24 ruling.</t>
        </is>
      </c>
      <c r="F3092" t="inlineStr">
        <is>
          <t>10-Q q/e 2026-06-28 (filed 2026-07-31, acc. 0001193125-26-327715) via yfinance quarterly statements</t>
        </is>
      </c>
      <c r="G3092" t="inlineStr">
        <is>
          <t>Med-High</t>
        </is>
      </c>
      <c r="H3092" t="inlineStr">
        <is>
          <t>Objective refresh</t>
        </is>
      </c>
    </row>
    <row r="3093">
      <c r="A3093" t="inlineStr">
        <is>
          <t>2026-10-11</t>
        </is>
      </c>
      <c r="B3093" t="inlineStr">
        <is>
          <t>SMCI</t>
        </is>
      </c>
      <c r="C3093" t="inlineStr">
        <is>
          <t>EPS YoY (objective)</t>
        </is>
      </c>
      <c r="D3093" t="n">
        <v>503.7</v>
      </c>
      <c r="E3093" t="inlineStr">
        <is>
          <t>Rule-15 ruling, WRITTEN: Operational AI-server ramp: fiscal Q4 2026 net sales $11,119.8M vs $5,756.9M (+93%), income from operations $1,488.1M vs $228.4M (+552%), net income $1,178.2M vs $195.2M (+503.7%); tax rate 19.7% vs 8.7% (works against the jump). FY2026 income from operations $2,770.5M vs $1,253.0M.</t>
        </is>
      </c>
      <c r="F3093" t="inlineStr">
        <is>
          <t>10-K FY2026 (filed 2026-08-31, acc. 0001375365-26-000022); yfinance quarterly statements</t>
        </is>
      </c>
      <c r="G3093" t="inlineStr">
        <is>
          <t>Med-High</t>
        </is>
      </c>
      <c r="H3093" t="inlineStr">
        <is>
          <t>Objective refresh</t>
        </is>
      </c>
    </row>
    <row r="3094">
      <c r="A3094" t="inlineStr">
        <is>
          <t>2026-10-11</t>
        </is>
      </c>
      <c r="B3094" t="inlineStr">
        <is>
          <t>HPE</t>
        </is>
      </c>
      <c r="C3094" t="inlineStr">
        <is>
          <t>EPS YoY (objective)</t>
        </is>
      </c>
      <c r="D3094" t="n">
        <v>404.9</v>
      </c>
      <c r="E3094" t="inlineStr">
        <is>
          <t>Rule-15 ruling, WRITTEN: Carries the 2026-09-07 ruling into the overrides file so the refresh stops withholding it: Q3 FY26 net earnings $1,540M vs $305M = +404.9%; earnings from operations up +464% ($1,393M vs $247M per that ruling). Note a $373M other-income item this year vs -$180M last year (21% of pre-tax); the operating line still carries the change.</t>
        </is>
      </c>
      <c r="F3094" t="inlineStr">
        <is>
          <t>Rating Audit 2026-09-07 EPS YoY (objective); yfinance quarterly statements 2026-10-11</t>
        </is>
      </c>
      <c r="G3094" t="inlineStr">
        <is>
          <t>Med</t>
        </is>
      </c>
      <c r="H3094" t="inlineStr">
        <is>
          <t>Objective refresh</t>
        </is>
      </c>
    </row>
    <row r="3095">
      <c r="A3095" t="inlineStr">
        <is>
          <t>2026-10-11</t>
        </is>
      </c>
      <c r="B3095" t="inlineStr">
        <is>
          <t>UMC</t>
        </is>
      </c>
      <c r="C3095" t="inlineStr">
        <is>
          <t>EPS YoY (objective)</t>
        </is>
      </c>
      <c r="E3095" t="inlineStr">
        <is>
          <t>Rule-15 blank: Q2 2026 net income NT$42.26B vs NT$8.90B (+375%) is dominated by net non-operating income of about NT$30.24B (a net expense of NT$0.67B a year earlier) - roughly two-thirds of pre-tax income of NT$45.19B, attributed by management to investment and dividend income. Operating income rose about 38% YoY (NT$14.9B vs NT$10.8B). The cell held a stale 107.9.</t>
        </is>
      </c>
      <c r="F3095" t="inlineStr">
        <is>
          <t>UMC Q2 2026 results, Form 6-K Ex-99 (sec.gov/Archives/edgar/data/0001033767/000119312526322027/umc-ex99.htm); Q2 2026 call</t>
        </is>
      </c>
      <c r="G3095" t="inlineStr">
        <is>
          <t>High</t>
        </is>
      </c>
      <c r="H3095" t="inlineStr">
        <is>
          <t>Objective 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2026-05-17T20:53:18Z</dcterms:created>
  <dcterms:modified xmlns:dcterms="http://purl.org/dc/terms/" xmlns:xsi="http://www.w3.org/2001/XMLSchema-instance" xsi:type="dcterms:W3CDTF">2026-10-11T17:48:50Z</dcterms:modified>
  <cp:revision>0</cp:revision>
</cp:coreProperties>
</file>