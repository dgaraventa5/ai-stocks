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2026-10-30</t>
        </is>
      </c>
      <c r="E2" s="61" t="n">
        <v>37.893024</v>
      </c>
      <c r="F2" s="61" t="n">
        <v>109.545</v>
      </c>
      <c r="G2" s="62" t="n">
        <v>0.73</v>
      </c>
      <c r="H2" s="61" t="n">
        <v>15.526753</v>
      </c>
      <c r="I2" s="33">
        <f>IF(OR(E2="",R2="",R2&lt;=0,E2&lt;0),"",E2/R2)</f>
        <v/>
      </c>
      <c r="J2" s="63" t="n">
        <v>34.9</v>
      </c>
      <c r="K2" s="62" t="n">
        <v>10.88</v>
      </c>
      <c r="L2" s="62" t="n">
        <v>31.77</v>
      </c>
      <c r="M2" s="62" t="n">
        <v>11.4</v>
      </c>
      <c r="N2" s="61" t="n">
        <v>0.5</v>
      </c>
      <c r="O2" s="63" t="n">
        <v>72.09999999999999</v>
      </c>
      <c r="P2" s="62" t="n">
        <v>19.06</v>
      </c>
      <c r="Q2" s="62" t="n">
        <v>138.1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51.7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2026-10-30</t>
        </is>
      </c>
      <c r="E3" s="61" t="n">
        <v>-27.819689</v>
      </c>
      <c r="F3" s="61" t="n">
        <v>18.9</v>
      </c>
      <c r="G3" s="62" t="n">
        <v>-45.21</v>
      </c>
      <c r="H3" s="61" t="n">
        <v>3.9792018</v>
      </c>
      <c r="I3" s="33">
        <f>IF(OR(E3="",R3="",R3&lt;=0,E3&lt;0),"",E3/R3)</f>
        <v/>
      </c>
      <c r="J3" s="63" t="n">
        <v>31.2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53.1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34.2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2026-10-30</t>
        </is>
      </c>
      <c r="E4" s="61" t="n">
        <v>24.339745</v>
      </c>
      <c r="F4" s="61" t="n">
        <v>30.478</v>
      </c>
      <c r="G4" s="62" t="n">
        <v>3.52</v>
      </c>
      <c r="H4" s="61" t="n">
        <v>6.753808</v>
      </c>
      <c r="I4" s="33">
        <f>IF(OR(E4="",R4="",R4&lt;=0,E4&lt;0),"",E4/R4)</f>
        <v/>
      </c>
      <c r="J4" s="63" t="n">
        <v>52</v>
      </c>
      <c r="K4" s="62" t="n">
        <v>22.62</v>
      </c>
      <c r="L4" s="62" t="n">
        <v>38.12</v>
      </c>
      <c r="M4" s="62" t="n">
        <v>23.74</v>
      </c>
      <c r="N4" s="61" t="n">
        <v>-0.14</v>
      </c>
      <c r="O4" s="63" t="n">
        <v>83</v>
      </c>
      <c r="P4" s="62" t="n">
        <v>21.59</v>
      </c>
      <c r="Q4" s="62" t="n">
        <v>61.2</v>
      </c>
      <c r="R4" s="62" t="n">
        <v>91.8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19.2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4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2026-10-30</t>
        </is>
      </c>
      <c r="E5" s="61" t="n">
        <v>32.974567</v>
      </c>
      <c r="F5" s="61" t="n">
        <v>44.29</v>
      </c>
      <c r="G5" s="62" t="n">
        <v>7.6</v>
      </c>
      <c r="H5" s="61" t="n">
        <v>5.1132436</v>
      </c>
      <c r="I5" s="33">
        <f>IF(OR(E5="",R5="",R5&lt;=0,E5&lt;0),"",E5/R5)</f>
        <v/>
      </c>
      <c r="J5" s="63" t="n">
        <v>43.7</v>
      </c>
      <c r="K5" s="62" t="n">
        <v>11.91</v>
      </c>
      <c r="L5" s="62" t="n">
        <v>21.79</v>
      </c>
      <c r="M5" s="62" t="n">
        <v>38.86</v>
      </c>
      <c r="N5" s="61" t="n">
        <v>-2.5</v>
      </c>
      <c r="O5" s="63" t="n">
        <v>73.90000000000001</v>
      </c>
      <c r="P5" s="62" t="n">
        <v>8.68</v>
      </c>
      <c r="Q5" s="62" t="n">
        <v>26.8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38.3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2026-10-30</t>
        </is>
      </c>
      <c r="E6" s="61" t="n">
        <v>4.654478671710408</v>
      </c>
      <c r="F6" s="61" t="n">
        <v>9.359999999999999</v>
      </c>
      <c r="G6" s="62" t="n">
        <v>6</v>
      </c>
      <c r="H6" s="61" t="n">
        <v>7.382308</v>
      </c>
      <c r="I6" s="33">
        <f>IF(OR(E6="",R6="",R6&lt;=0,E6&lt;0),"",E6/R6)</f>
        <v/>
      </c>
      <c r="J6" s="63" t="n">
        <v>88.09999999999999</v>
      </c>
      <c r="K6" s="62" t="n">
        <v>50.25</v>
      </c>
      <c r="L6" s="62" t="n">
        <v>80.72</v>
      </c>
      <c r="M6" s="62" t="n">
        <v>44.27</v>
      </c>
      <c r="N6" s="61" t="n">
        <v>-0.35</v>
      </c>
      <c r="O6" s="63" t="n">
        <v>94.8</v>
      </c>
      <c r="P6" s="62" t="n">
        <v>104.65</v>
      </c>
      <c r="Q6" s="62" t="n">
        <v>379.3</v>
      </c>
      <c r="R6" s="62" t="n">
        <v>1077.8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65.8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2026-10-30</t>
        </is>
      </c>
      <c r="E7" s="33" t="n">
        <v>19.515095</v>
      </c>
      <c r="F7" s="33" t="n">
        <v>14.85</v>
      </c>
      <c r="G7" s="33" t="n">
        <v>0.33</v>
      </c>
      <c r="H7" s="33" t="n">
        <v>2.9576225</v>
      </c>
      <c r="I7" s="33">
        <f>IF(OR(E7="",R7="",R7&lt;=0,E7&lt;0),"",E7/R7)</f>
        <v/>
      </c>
      <c r="J7" s="66" t="n">
        <v>48.4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38.1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35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2026-10-30</t>
        </is>
      </c>
      <c r="E8" s="33" t="n">
        <v>13.11698449084332</v>
      </c>
      <c r="F8" s="33" t="n">
        <v>25.467</v>
      </c>
      <c r="G8" s="33" t="n">
        <v>2.59</v>
      </c>
      <c r="H8" s="33" t="n">
        <v>16.164152</v>
      </c>
      <c r="I8" s="33">
        <f>IF(OR(E8="",R8="",R8&lt;=0,E8&lt;0),"",E8/R8)</f>
        <v/>
      </c>
      <c r="J8" s="66" t="n">
        <v>72.2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89.09999999999999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62.5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2026-10-30</t>
        </is>
      </c>
      <c r="E9" s="33" t="n">
        <v>31.348362</v>
      </c>
      <c r="F9" s="33" t="n">
        <v>95.77800000000001</v>
      </c>
      <c r="G9" s="33" t="n">
        <v>1.03</v>
      </c>
      <c r="H9" s="33" t="n">
        <v>19.706852</v>
      </c>
      <c r="I9" s="33">
        <f>IF(OR(E9="",R9="",R9&lt;=0,E9&lt;0),"",E9/R9)</f>
        <v/>
      </c>
      <c r="J9" s="66" t="n">
        <v>32.9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54.4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69.2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2026-10-30</t>
        </is>
      </c>
      <c r="E10" s="33" t="n">
        <v>17.46064</v>
      </c>
      <c r="F10" s="33" t="n">
        <v>13.978</v>
      </c>
      <c r="G10" s="33" t="n">
        <v>-12.63</v>
      </c>
      <c r="H10" s="33" t="n">
        <v>3.230446</v>
      </c>
      <c r="I10" s="33">
        <f>IF(OR(E10="",R10="",R10&lt;=0,E10&lt;0),"",E10/R10)</f>
        <v/>
      </c>
      <c r="J10" s="66" t="n">
        <v>45.5</v>
      </c>
      <c r="K10" s="33" t="n">
        <v>4</v>
      </c>
      <c r="L10" s="33" t="n">
        <v>46.22</v>
      </c>
      <c r="M10" s="33" t="n">
        <v>-40.79</v>
      </c>
      <c r="N10" s="33" t="n">
        <v>6.43</v>
      </c>
      <c r="O10" s="66" t="n">
        <v>38.2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53.3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2026-10-30</t>
        </is>
      </c>
      <c r="E11" s="33" t="n">
        <v>18.956106</v>
      </c>
      <c r="F11" s="33" t="n">
        <v>13.338</v>
      </c>
      <c r="G11" s="33" t="n">
        <v>-11.7</v>
      </c>
      <c r="H11" s="33" t="n">
        <v>3.0062106</v>
      </c>
      <c r="I11" s="33">
        <f>IF(OR(E11="",R11="",R11&lt;=0,E11&lt;0),"",E11/R11)</f>
        <v/>
      </c>
      <c r="J11" s="66" t="n">
        <v>58.2</v>
      </c>
      <c r="K11" s="33" t="n">
        <v>4.64</v>
      </c>
      <c r="L11" s="33" t="n">
        <v>46.61</v>
      </c>
      <c r="M11" s="33" t="n">
        <v>-35.18</v>
      </c>
      <c r="N11" s="33" t="n">
        <v>5.76</v>
      </c>
      <c r="O11" s="66" t="n">
        <v>42.8</v>
      </c>
      <c r="P11" s="33" t="n">
        <v>3.66</v>
      </c>
      <c r="Q11" s="33" t="n">
        <v>13.7</v>
      </c>
      <c r="R11" s="33" t="n">
        <v>22.1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2026-10-30</t>
        </is>
      </c>
      <c r="E12" s="33" t="n">
        <v>17.78444</v>
      </c>
      <c r="F12" s="33" t="n">
        <v>11.602</v>
      </c>
      <c r="G12" s="33" t="n">
        <v>-3.32</v>
      </c>
      <c r="H12" s="33" t="n">
        <v>3.0306962</v>
      </c>
      <c r="I12" s="33">
        <f>IF(OR(E12="",R12="",R12&lt;=0,E12&lt;0),"",E12/R12)</f>
        <v/>
      </c>
      <c r="J12" s="66" t="n">
        <v>59</v>
      </c>
      <c r="K12" s="33" t="n">
        <v>4.2</v>
      </c>
      <c r="L12" s="33" t="n">
        <v>51.97</v>
      </c>
      <c r="M12" s="33" t="n">
        <v>-10.06</v>
      </c>
      <c r="N12" s="33" t="n">
        <v>5.51</v>
      </c>
      <c r="O12" s="66" t="n">
        <v>48.8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32.5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2026-10-30</t>
        </is>
      </c>
      <c r="E13" s="33" t="n">
        <v>19.067228</v>
      </c>
      <c r="F13" s="33" t="n">
        <v>12.894</v>
      </c>
      <c r="G13" s="33" t="n">
        <v>-3.03</v>
      </c>
      <c r="H13" s="33" t="n">
        <v>3.575849</v>
      </c>
      <c r="I13" s="33">
        <f>IF(OR(E13="",R13="",R13&lt;=0,E13&lt;0),"",E13/R13)</f>
        <v/>
      </c>
      <c r="J13" s="66" t="n">
        <v>60.6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48.1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38.3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2026-10-30</t>
        </is>
      </c>
      <c r="E14" s="33" t="n">
        <v>19.122269</v>
      </c>
      <c r="F14" s="33" t="n">
        <v>21.899</v>
      </c>
      <c r="G14" s="33" t="n">
        <v>2.33</v>
      </c>
      <c r="H14" s="33" t="n">
        <v>6.0911007</v>
      </c>
      <c r="I14" s="33">
        <f>IF(OR(E14="",R14="",R14&lt;=0,E14&lt;0),"",E14/R14)</f>
        <v/>
      </c>
      <c r="J14" s="66" t="n">
        <v>50.3</v>
      </c>
      <c r="K14" s="33" t="n">
        <v>3.85</v>
      </c>
      <c r="L14" s="33" t="n">
        <v>60.17</v>
      </c>
      <c r="M14" s="33" t="n">
        <v>14.19</v>
      </c>
      <c r="N14" s="33" t="n">
        <v>8.09</v>
      </c>
      <c r="O14" s="66" t="n">
        <v>57.2</v>
      </c>
      <c r="P14" s="33" t="n">
        <v>9.359999999999999</v>
      </c>
      <c r="Q14" s="33" t="n">
        <v>1.6</v>
      </c>
      <c r="R14" s="33" t="n">
        <v>95.90000000000001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20.8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2026-10-30</t>
        </is>
      </c>
      <c r="E15" s="33" t="n">
        <v>21.536846</v>
      </c>
      <c r="F15" s="33" t="n">
        <v>14.879</v>
      </c>
      <c r="G15" s="33" t="n">
        <v>-6</v>
      </c>
      <c r="H15" s="33" t="n">
        <v>3.8960075</v>
      </c>
      <c r="I15" s="33">
        <f>IF(OR(E15="",R15="",R15&lt;=0,E15&lt;0),"",E15/R15)</f>
        <v/>
      </c>
      <c r="J15" s="66" t="n">
        <v>35.1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39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37.5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2026-10-30</t>
        </is>
      </c>
      <c r="E16" s="33" t="n">
        <v>16.91312</v>
      </c>
      <c r="F16" s="33" t="n">
        <v>12.465</v>
      </c>
      <c r="G16" s="33" t="n">
        <v>-7.39</v>
      </c>
      <c r="H16" s="33" t="n">
        <v>2.866685</v>
      </c>
      <c r="I16" s="33">
        <f>IF(OR(E16="",R16="",R16&lt;=0,E16&lt;0),"",E16/R16)</f>
        <v/>
      </c>
      <c r="J16" s="66" t="n">
        <v>63.7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41.2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30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2026-10-30</t>
        </is>
      </c>
      <c r="E17" s="33" t="n">
        <v>17.647137</v>
      </c>
      <c r="F17" s="33" t="n"/>
      <c r="G17" s="33" t="n">
        <v>-15.22</v>
      </c>
      <c r="H17" s="33" t="n">
        <v>3.3640292</v>
      </c>
      <c r="I17" s="33">
        <f>IF(OR(E17="",R17="",R17&lt;=0,E17&lt;0),"",E17/R17)</f>
        <v/>
      </c>
      <c r="J17" s="66" t="n">
        <v>58.1</v>
      </c>
      <c r="K17" s="33" t="n">
        <v>3.98</v>
      </c>
      <c r="L17" s="33" t="n">
        <v>47.72</v>
      </c>
      <c r="M17" s="33" t="n">
        <v>-51.21</v>
      </c>
      <c r="N17" s="33" t="n"/>
      <c r="O17" s="66" t="n">
        <v>47</v>
      </c>
      <c r="P17" s="33" t="n">
        <v>-1.42</v>
      </c>
      <c r="Q17" s="33" t="n">
        <v>6.6</v>
      </c>
      <c r="R17" s="33" t="n">
        <v>83.2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2026-10-30</t>
        </is>
      </c>
      <c r="E18" s="33" t="n">
        <v>13.262833</v>
      </c>
      <c r="F18" s="33" t="n">
        <v>10.513</v>
      </c>
      <c r="G18" s="33" t="n">
        <v>4.9</v>
      </c>
      <c r="H18" s="33" t="n">
        <v>2.3974192</v>
      </c>
      <c r="I18" s="33">
        <f>IF(OR(E18="",R18="",R18&lt;=0,E18&lt;0),"",E18/R18)</f>
        <v/>
      </c>
      <c r="J18" s="66" t="n">
        <v>71.7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62.4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40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2026-10-30</t>
        </is>
      </c>
      <c r="E19" s="33" t="n">
        <v>10.600647</v>
      </c>
      <c r="F19" s="33" t="n">
        <v>44.811</v>
      </c>
      <c r="G19" s="33" t="n">
        <v>2.76</v>
      </c>
      <c r="H19" s="33" t="n">
        <v>4.3066897</v>
      </c>
      <c r="I19" s="33">
        <f>IF(OR(E19="",R19="",R19&lt;=0,E19&lt;0),"",E19/R19)</f>
        <v/>
      </c>
      <c r="J19" s="66" t="n">
        <v>46.3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44.3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49.2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2026-10-30</t>
        </is>
      </c>
      <c r="E20" s="33" t="n">
        <v>9.045475</v>
      </c>
      <c r="F20" s="33" t="n">
        <v>13.667</v>
      </c>
      <c r="G20" s="33" t="n">
        <v>1.58</v>
      </c>
      <c r="H20" s="33" t="n">
        <v>0.60540617</v>
      </c>
      <c r="I20" s="33">
        <f>IF(OR(E20="",R20="",R20&lt;=0,E20&lt;0),"",E20/R20)</f>
        <v/>
      </c>
      <c r="J20" s="66" t="n">
        <v>61.9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2026-10-30</t>
        </is>
      </c>
      <c r="E21" s="33" t="n">
        <v>40.53487</v>
      </c>
      <c r="F21" s="33" t="n">
        <v>58.55</v>
      </c>
      <c r="G21" s="33" t="n">
        <v>1.98</v>
      </c>
      <c r="H21" s="33" t="n">
        <v>13.42</v>
      </c>
      <c r="I21" s="33">
        <f>IF(OR(E21="",R21="",R21&lt;=0,E21&lt;0),"",E21/R21)</f>
        <v/>
      </c>
      <c r="J21" s="66" t="n">
        <v>32.4</v>
      </c>
      <c r="K21" s="33" t="n">
        <v>5.16</v>
      </c>
      <c r="L21" s="33" t="n">
        <v>35.11</v>
      </c>
      <c r="M21" s="33" t="n">
        <v>26.53</v>
      </c>
      <c r="N21" s="33" t="n">
        <v>0.14</v>
      </c>
      <c r="O21" s="66" t="n">
        <v>72.90000000000001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20.8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2026-10-30</t>
        </is>
      </c>
      <c r="E22" s="33" t="n">
        <v>-104.12162</v>
      </c>
      <c r="F22" s="33" t="n">
        <v>-28.096</v>
      </c>
      <c r="G22" s="33" t="n">
        <v>-2.81</v>
      </c>
      <c r="H22" s="33" t="n">
        <v>102.50953</v>
      </c>
      <c r="I22" s="33">
        <f>IF(OR(E22="",R22="",R22&lt;=0,E22&lt;0),"",E22/R22)</f>
        <v/>
      </c>
      <c r="J22" s="66" t="n">
        <v>40.2</v>
      </c>
      <c r="K22" s="33" t="n">
        <v>-7.12</v>
      </c>
      <c r="L22" s="33" t="n">
        <v>-183.96</v>
      </c>
      <c r="M22" s="33" t="n">
        <v>-288.16</v>
      </c>
      <c r="N22" s="33" t="n"/>
      <c r="O22" s="66" t="n">
        <v>7.6</v>
      </c>
      <c r="P22" s="33" t="n">
        <v>-39.03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23.3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2026-10-30</t>
        </is>
      </c>
      <c r="E23" s="33" t="n">
        <v>24.903996</v>
      </c>
      <c r="F23" s="33" t="n">
        <v>149.979</v>
      </c>
      <c r="G23" s="33" t="n">
        <v>-7.84</v>
      </c>
      <c r="H23" s="33" t="n">
        <v>4.4110785</v>
      </c>
      <c r="I23" s="33">
        <f>IF(OR(E23="",R23="",R23&lt;=0,E23&lt;0),"",E23/R23)</f>
        <v/>
      </c>
      <c r="J23" s="66" t="n">
        <v>28.3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45.1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24.2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2026-10-30</t>
        </is>
      </c>
      <c r="E24" s="33" t="n">
        <v>24.923208</v>
      </c>
      <c r="F24" s="33" t="n">
        <v>29.484</v>
      </c>
      <c r="G24" s="33" t="n">
        <v>2.65</v>
      </c>
      <c r="H24" s="33" t="n">
        <v>3.4018276</v>
      </c>
      <c r="I24" s="33">
        <f>IF(OR(E24="",R24="",R24&lt;=0,E24&lt;0),"",E24/R24)</f>
        <v/>
      </c>
      <c r="J24" s="66" t="n">
        <v>46.1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2026-10-30</t>
        </is>
      </c>
      <c r="E25" s="33" t="n">
        <v>-8.805832000000001</v>
      </c>
      <c r="F25" s="33" t="n">
        <v>-5.874</v>
      </c>
      <c r="G25" s="33" t="n">
        <v>-33.86</v>
      </c>
      <c r="H25" s="33" t="n">
        <v>215.1762</v>
      </c>
      <c r="I25" s="33">
        <f>IF(OR(E25="",R25="",R25&lt;=0,E25&lt;0),"",E25/R25)</f>
        <v/>
      </c>
      <c r="J25" s="66" t="n">
        <v>25.7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11.6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24.2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2026-10-30</t>
        </is>
      </c>
      <c r="E26" s="33" t="n">
        <v>-23.819149</v>
      </c>
      <c r="F26" s="33" t="n">
        <v>-11.652</v>
      </c>
      <c r="G26" s="33" t="n">
        <v>-5.91</v>
      </c>
      <c r="H26" s="33" t="n">
        <v>3857.1604</v>
      </c>
      <c r="I26" s="33">
        <f>IF(OR(E26="",R26="",R26&lt;=0,E26&lt;0),"",E26/R26)</f>
        <v/>
      </c>
      <c r="J26" s="66" t="n">
        <v>34.1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24.7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12.5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2026-10-30</t>
        </is>
      </c>
      <c r="E27" s="33" t="n">
        <v>-11.424317</v>
      </c>
      <c r="F27" s="33" t="n">
        <v>-1.491</v>
      </c>
      <c r="G27" s="33" t="n">
        <v>-6.16</v>
      </c>
      <c r="H27" s="33" t="n">
        <v>2887.5906</v>
      </c>
      <c r="I27" s="33">
        <f>IF(OR(E27="",R27="",R27&lt;=0,E27&lt;0),"",E27/R27)</f>
        <v/>
      </c>
      <c r="J27" s="66" t="n">
        <v>30.9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19.7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20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2026-10-30</t>
        </is>
      </c>
      <c r="E28" s="33" t="n">
        <v>15.7623005</v>
      </c>
      <c r="F28" s="33" t="n">
        <v>6.361</v>
      </c>
      <c r="G28" s="33" t="n">
        <v>10.86</v>
      </c>
      <c r="H28" s="33" t="n">
        <v>3.7821658</v>
      </c>
      <c r="I28" s="33">
        <f>IF(OR(E28="",R28="",R28&lt;=0,E28&lt;0),"",E28/R28)</f>
        <v/>
      </c>
      <c r="J28" s="66" t="n">
        <v>67.59999999999999</v>
      </c>
      <c r="K28" s="33" t="n">
        <v>7.96</v>
      </c>
      <c r="L28" s="33" t="n">
        <v>80.40000000000001</v>
      </c>
      <c r="M28" s="33" t="n">
        <v>41.08</v>
      </c>
      <c r="N28" s="33" t="n">
        <v>0.8100000000000001</v>
      </c>
      <c r="O28" s="66" t="n">
        <v>91.09999999999999</v>
      </c>
      <c r="P28" s="33" t="n">
        <v>-11.72</v>
      </c>
      <c r="Q28" s="33" t="n">
        <v>-8.1</v>
      </c>
      <c r="R28" s="33" t="n">
        <v>-17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40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2026-10-30</t>
        </is>
      </c>
      <c r="E29" s="33" t="n">
        <v>13.129332</v>
      </c>
      <c r="F29" s="33" t="n">
        <v>8.122</v>
      </c>
      <c r="G29" s="33" t="n">
        <v>5.8</v>
      </c>
      <c r="H29" s="33" t="n">
        <v>3.7461987</v>
      </c>
      <c r="I29" s="33">
        <f>IF(OR(E29="",R29="",R29&lt;=0,E29&lt;0),"",E29/R29)</f>
        <v/>
      </c>
      <c r="J29" s="66" t="n">
        <v>67.3</v>
      </c>
      <c r="K29" s="33" t="n">
        <v>12.74</v>
      </c>
      <c r="L29" s="33" t="n">
        <v>52.34</v>
      </c>
      <c r="M29" s="33" t="n">
        <v>21.72</v>
      </c>
      <c r="N29" s="33" t="n">
        <v>0.55</v>
      </c>
      <c r="O29" s="66" t="n">
        <v>90.3</v>
      </c>
      <c r="P29" s="33" t="n">
        <v>-17.55</v>
      </c>
      <c r="Q29" s="33" t="n">
        <v>19.7</v>
      </c>
      <c r="R29" s="33" t="n">
        <v>21.5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46.7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2026-10-30</t>
        </is>
      </c>
      <c r="E30" s="33" t="n">
        <v>8.854029000000001</v>
      </c>
      <c r="F30" s="33" t="n"/>
      <c r="G30" s="33" t="n">
        <v>13.76</v>
      </c>
      <c r="H30" s="33" t="n">
        <v>2.1461842</v>
      </c>
      <c r="I30" s="33">
        <f>IF(OR(E30="",R30="",R30&lt;=0,E30&lt;0),"",E30/R30)</f>
        <v/>
      </c>
      <c r="J30" s="66" t="n">
        <v>85.2</v>
      </c>
      <c r="K30" s="33" t="n">
        <v>7.41</v>
      </c>
      <c r="L30" s="33" t="n">
        <v>68.28</v>
      </c>
      <c r="M30" s="33" t="n">
        <v>29.53</v>
      </c>
      <c r="N30" s="33" t="n"/>
      <c r="O30" s="66" t="n">
        <v>87.40000000000001</v>
      </c>
      <c r="P30" s="33" t="n">
        <v>-15.47</v>
      </c>
      <c r="Q30" s="33" t="n">
        <v>17.1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2026-10-30</t>
        </is>
      </c>
      <c r="E31" s="33" t="n">
        <v>10.299098</v>
      </c>
      <c r="F31" s="33" t="n">
        <v>3.803</v>
      </c>
      <c r="G31" s="33" t="n">
        <v>11.78</v>
      </c>
      <c r="H31" s="33" t="n">
        <v>1.6108161</v>
      </c>
      <c r="I31" s="33">
        <f>IF(OR(E31="",R31="",R31&lt;=0,E31&lt;0),"",E31/R31)</f>
        <v/>
      </c>
      <c r="J31" s="66" t="n">
        <v>81.59999999999999</v>
      </c>
      <c r="K31" s="33" t="n">
        <v>11.84</v>
      </c>
      <c r="L31" s="33" t="n">
        <v>45.86</v>
      </c>
      <c r="M31" s="33" t="n">
        <v>18.97</v>
      </c>
      <c r="N31" s="33" t="n">
        <v>0.68</v>
      </c>
      <c r="O31" s="66" t="n">
        <v>82.7</v>
      </c>
      <c r="P31" s="33" t="n">
        <v>2.13</v>
      </c>
      <c r="Q31" s="33" t="n">
        <v>11.6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37.5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2026-10-30</t>
        </is>
      </c>
      <c r="E32" s="33" t="n">
        <v>-9.168744999999999</v>
      </c>
      <c r="F32" s="33" t="n">
        <v>-5.574</v>
      </c>
      <c r="G32" s="33" t="n">
        <v>-29.5</v>
      </c>
      <c r="H32" s="33" t="n">
        <v>2.5537143</v>
      </c>
      <c r="I32" s="33">
        <f>IF(OR(E32="",R32="",R32&lt;=0,E32&lt;0),"",E32/R32)</f>
        <v/>
      </c>
      <c r="J32" s="66" t="n">
        <v>40.8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8.6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15.8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2026-10-30</t>
        </is>
      </c>
      <c r="E33" s="33" t="n">
        <v>14.344967</v>
      </c>
      <c r="F33" s="33" t="n">
        <v>15.286</v>
      </c>
      <c r="G33" s="33" t="n">
        <v>3.88</v>
      </c>
      <c r="H33" s="33" t="n">
        <v>1.9853919</v>
      </c>
      <c r="I33" s="33">
        <f>IF(OR(E33="",R33="",R33&lt;=0,E33&lt;0),"",E33/R33)</f>
        <v/>
      </c>
      <c r="J33" s="66" t="n">
        <v>53.9</v>
      </c>
      <c r="K33" s="33" t="n">
        <v>11.7</v>
      </c>
      <c r="L33" s="33" t="n">
        <v>25.77</v>
      </c>
      <c r="M33" s="33" t="n">
        <v>7.7</v>
      </c>
      <c r="N33" s="33" t="n">
        <v>0.87</v>
      </c>
      <c r="O33" s="66" t="n">
        <v>68.3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29.2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2026-10-30</t>
        </is>
      </c>
      <c r="E34" s="33" t="n">
        <v>14.531319</v>
      </c>
      <c r="F34" s="33" t="n">
        <v>18.683</v>
      </c>
      <c r="G34" s="33" t="n">
        <v>3.27</v>
      </c>
      <c r="H34" s="33" t="n">
        <v>2.5070794</v>
      </c>
      <c r="I34" s="33">
        <f>IF(OR(E34="",R34="",R34&lt;=0,E34&lt;0),"",E34/R34)</f>
        <v/>
      </c>
      <c r="J34" s="66" t="n">
        <v>63</v>
      </c>
      <c r="K34" s="33" t="n">
        <v>7.06</v>
      </c>
      <c r="L34" s="33" t="n">
        <v>39.92</v>
      </c>
      <c r="M34" s="33" t="n">
        <v>8.210000000000001</v>
      </c>
      <c r="N34" s="33" t="n">
        <v>1.59</v>
      </c>
      <c r="O34" s="66" t="n">
        <v>64.59999999999999</v>
      </c>
      <c r="P34" s="33" t="n">
        <v>-2.67</v>
      </c>
      <c r="Q34" s="33" t="n">
        <v>16.2</v>
      </c>
      <c r="R34" s="33" t="n">
        <v>65.09999999999999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45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2026-10-30</t>
        </is>
      </c>
      <c r="E35" s="33" t="n">
        <v>22.507412</v>
      </c>
      <c r="F35" s="33" t="n">
        <v>26.148</v>
      </c>
      <c r="G35" s="33" t="n">
        <v>2.65</v>
      </c>
      <c r="H35" s="33" t="n">
        <v>4.7431154</v>
      </c>
      <c r="I35" s="33">
        <f>IF(OR(E35="",R35="",R35&lt;=0,E35&lt;0),"",E35/R35)</f>
        <v/>
      </c>
      <c r="J35" s="66" t="n">
        <v>31.6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46.5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56.7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2026-10-30</t>
        </is>
      </c>
      <c r="E36" s="33" t="n">
        <v>17.90247</v>
      </c>
      <c r="F36" s="33" t="n">
        <v>18.02</v>
      </c>
      <c r="G36" s="33" t="n">
        <v>3.92</v>
      </c>
      <c r="H36" s="33" t="n">
        <v>3.26</v>
      </c>
      <c r="I36" s="33">
        <f>IF(OR(E36="",R36="",R36&lt;=0,E36&lt;0),"",E36/R36)</f>
        <v/>
      </c>
      <c r="J36" s="33" t="n">
        <v>68.5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76.7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55.8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2026-10-30</t>
        </is>
      </c>
      <c r="E37" s="33" t="n">
        <v>22.666666</v>
      </c>
      <c r="F37" s="33" t="n">
        <v>87.261</v>
      </c>
      <c r="G37" s="33" t="n">
        <v>3.2</v>
      </c>
      <c r="H37" s="33" t="n">
        <v>4.1535654</v>
      </c>
      <c r="I37" s="33">
        <f>IF(OR(E37="",R37="",R37&lt;=0,E37&lt;0),"",E37/R37)</f>
        <v/>
      </c>
      <c r="J37" s="33" t="n">
        <v>32.3</v>
      </c>
      <c r="K37" s="33" t="n">
        <v>17.66</v>
      </c>
      <c r="L37" s="33" t="n">
        <v>40.12</v>
      </c>
      <c r="M37" s="33" t="n">
        <v>13.29</v>
      </c>
      <c r="N37" s="33" t="n">
        <v>0.32</v>
      </c>
      <c r="O37" s="33" t="n">
        <v>82.7</v>
      </c>
      <c r="P37" s="33" t="n">
        <v>4.1</v>
      </c>
      <c r="Q37" s="33" t="n">
        <v>14.3</v>
      </c>
      <c r="R37" s="33" t="n">
        <v>-2.2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37.5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2026-10-30</t>
        </is>
      </c>
      <c r="E38" s="33" t="n">
        <v>13.42438644896079</v>
      </c>
      <c r="F38" s="33" t="n">
        <v>11.88</v>
      </c>
      <c r="G38" s="33" t="n">
        <v>5.26</v>
      </c>
      <c r="H38" s="33" t="n">
        <v>1.97</v>
      </c>
      <c r="I38" s="33">
        <f>IF(OR(E38="",R38="",R38&lt;=0,E38&lt;0),"",E38/R38)</f>
        <v/>
      </c>
      <c r="J38" s="33" t="n">
        <v>75.8</v>
      </c>
      <c r="K38" s="33" t="n">
        <v>10.73</v>
      </c>
      <c r="L38" s="33" t="n">
        <v>30.18</v>
      </c>
      <c r="M38" s="33" t="n">
        <v>10.37</v>
      </c>
      <c r="N38" s="33" t="n">
        <v>-0.52</v>
      </c>
      <c r="O38" s="33" t="n">
        <v>60.2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67.5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2026-10-30</t>
        </is>
      </c>
      <c r="E39" s="33" t="n">
        <v>18.274244</v>
      </c>
      <c r="F39" s="33" t="n">
        <v>17.537</v>
      </c>
      <c r="G39" s="33" t="n">
        <v>4.17</v>
      </c>
      <c r="H39" s="33" t="n">
        <v>3.3756988</v>
      </c>
      <c r="I39" s="33">
        <f>IF(OR(E39="",R39="",R39&lt;=0,E39&lt;0),"",E39/R39)</f>
        <v/>
      </c>
      <c r="J39" s="33" t="n">
        <v>51.1</v>
      </c>
      <c r="K39" s="33" t="n">
        <v>10.58</v>
      </c>
      <c r="L39" s="33" t="n">
        <v>35.02</v>
      </c>
      <c r="M39" s="33" t="n">
        <v>14.07</v>
      </c>
      <c r="N39" s="33" t="n">
        <v>3.09</v>
      </c>
      <c r="O39" s="33" t="n">
        <v>55.6</v>
      </c>
      <c r="P39" s="33" t="n">
        <v>5.71</v>
      </c>
      <c r="Q39" s="33" t="n">
        <v>24.6</v>
      </c>
      <c r="R39" s="33" t="n">
        <v>2.7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26.7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2026-10-30</t>
        </is>
      </c>
      <c r="E40" s="33" t="n">
        <v>29.997805</v>
      </c>
      <c r="F40" s="33" t="n">
        <v>27.899</v>
      </c>
      <c r="G40" s="33" t="n">
        <v>3.4</v>
      </c>
      <c r="H40" s="33" t="n">
        <v>2.487296</v>
      </c>
      <c r="I40" s="33">
        <f>IF(OR(E40="",R40="",R40&lt;=0,E40&lt;0),"",E40/R40)</f>
        <v/>
      </c>
      <c r="J40" s="33" t="n">
        <v>60.2</v>
      </c>
      <c r="K40" s="33" t="n">
        <v>10.11</v>
      </c>
      <c r="L40" s="33" t="n">
        <v>15.76</v>
      </c>
      <c r="M40" s="33" t="n">
        <v>8.460000000000001</v>
      </c>
      <c r="N40" s="33" t="n">
        <v>1.44</v>
      </c>
      <c r="O40" s="33" t="n">
        <v>35.8</v>
      </c>
      <c r="P40" s="33" t="n">
        <v>18.6</v>
      </c>
      <c r="Q40" s="33" t="n">
        <v>57.4</v>
      </c>
      <c r="R40" s="33" t="n">
        <v>104.7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48.3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2026-10-30</t>
        </is>
      </c>
      <c r="E41" s="33" t="n">
        <v>14.734332</v>
      </c>
      <c r="F41" s="33" t="n">
        <v>13.1</v>
      </c>
      <c r="G41" s="33" t="n">
        <v>2.77</v>
      </c>
      <c r="H41" s="33" t="n">
        <v>0.90780544</v>
      </c>
      <c r="I41" s="33">
        <f>IF(OR(E41="",R41="",R41&lt;=0,E41&lt;0),"",E41/R41)</f>
        <v/>
      </c>
      <c r="J41" s="33" t="n">
        <v>71.7</v>
      </c>
      <c r="K41" s="33" t="n">
        <v>6.86</v>
      </c>
      <c r="L41" s="33" t="n">
        <v>12.91</v>
      </c>
      <c r="M41" s="33" t="n">
        <v>2.51</v>
      </c>
      <c r="N41" s="33" t="n">
        <v>2.23</v>
      </c>
      <c r="O41" s="33" t="n">
        <v>23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17.5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2026-10-30</t>
        </is>
      </c>
      <c r="E42" s="33" t="n">
        <v>22.26885</v>
      </c>
      <c r="F42" s="33" t="n">
        <v>23.314</v>
      </c>
      <c r="G42" s="33" t="n">
        <v>4.3</v>
      </c>
      <c r="H42" s="33" t="n">
        <v>4.898429</v>
      </c>
      <c r="I42" s="33">
        <f>IF(OR(E42="",R42="",R42&lt;=0,E42&lt;0),"",E42/R42)</f>
        <v/>
      </c>
      <c r="J42" s="33" t="n">
        <v>53.6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29.2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2026-10-30</t>
        </is>
      </c>
      <c r="E43" s="33" t="n">
        <v>18.576271</v>
      </c>
      <c r="F43" s="33" t="n">
        <v>22.616</v>
      </c>
      <c r="G43" s="33" t="n">
        <v>2.83</v>
      </c>
      <c r="H43" s="33" t="n">
        <v>4.2182174</v>
      </c>
      <c r="I43" s="33">
        <f>IF(OR(E43="",R43="",R43&lt;=0,E43&lt;0),"",E43/R43)</f>
        <v/>
      </c>
      <c r="J43" s="33" t="n">
        <v>58.1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60.8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55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2026-10-30</t>
        </is>
      </c>
      <c r="E44" s="33" t="n">
        <v>14.850216</v>
      </c>
      <c r="F44" s="33" t="n">
        <v>12.891</v>
      </c>
      <c r="G44" s="33" t="n">
        <v>1.79</v>
      </c>
      <c r="H44" s="33" t="n">
        <v>1.0931765</v>
      </c>
      <c r="I44" s="33">
        <f>IF(OR(E44="",R44="",R44&lt;=0,E44&lt;0),"",E44/R44)</f>
        <v/>
      </c>
      <c r="J44" s="33" t="n">
        <v>56.5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26.7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2026-10-30</t>
        </is>
      </c>
      <c r="E45" s="33" t="n">
        <v>60.247303</v>
      </c>
      <c r="F45" s="33" t="n">
        <v>27.628</v>
      </c>
      <c r="G45" s="33" t="n">
        <v>5.6</v>
      </c>
      <c r="H45" s="33" t="n">
        <v>9.950718</v>
      </c>
      <c r="I45" s="33">
        <f>IF(OR(E45="",R45="",R45&lt;=0,E45&lt;0),"",E45/R45)</f>
        <v/>
      </c>
      <c r="J45" s="33" t="n">
        <v>27.4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38.3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2026-10-30</t>
        </is>
      </c>
      <c r="E46" s="33" t="n">
        <v>49.96671</v>
      </c>
      <c r="F46" s="33" t="n">
        <v>27.011</v>
      </c>
      <c r="G46" s="33" t="n">
        <v>-1.47</v>
      </c>
      <c r="H46" s="33" t="n">
        <v>9.809862000000001</v>
      </c>
      <c r="I46" s="33">
        <f>IF(OR(E46="",R46="",R46&lt;=0,E46&lt;0),"",E46/R46)</f>
        <v/>
      </c>
      <c r="J46" s="33" t="n">
        <v>26.8</v>
      </c>
      <c r="K46" s="33" t="n">
        <v>5.44</v>
      </c>
      <c r="L46" s="33" t="n">
        <v>52</v>
      </c>
      <c r="M46" s="33" t="n">
        <v>-14.43</v>
      </c>
      <c r="N46" s="33" t="n">
        <v>5.13</v>
      </c>
      <c r="O46" s="33" t="n">
        <v>27.6</v>
      </c>
      <c r="P46" s="33" t="n">
        <v>8.27</v>
      </c>
      <c r="Q46" s="33" t="n">
        <v>10.4</v>
      </c>
      <c r="R46" s="33" t="n">
        <v>30.7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40.8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2026-10-30</t>
        </is>
      </c>
      <c r="E47" s="33" t="n">
        <v>42.49551</v>
      </c>
      <c r="F47" s="33" t="n">
        <v>21.706</v>
      </c>
      <c r="G47" s="33" t="n">
        <v>-1.73</v>
      </c>
      <c r="H47" s="33" t="n">
        <v>4.5664344</v>
      </c>
      <c r="I47" s="33">
        <f>IF(OR(E47="",R47="",R47&lt;=0,E47&lt;0),"",E47/R47)</f>
        <v/>
      </c>
      <c r="J47" s="33" t="n">
        <v>43.9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36.7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40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2026-10-30</t>
        </is>
      </c>
      <c r="E48" s="33" t="n">
        <v>18.286251</v>
      </c>
      <c r="F48" s="33" t="n">
        <v>19.573</v>
      </c>
      <c r="G48" s="33" t="n">
        <v>5.66</v>
      </c>
      <c r="H48" s="33" t="n">
        <v>3.4404893</v>
      </c>
      <c r="I48" s="33">
        <f>IF(OR(E48="",R48="",R48&lt;=0,E48&lt;0),"",E48/R48)</f>
        <v/>
      </c>
      <c r="J48" s="33" t="n">
        <v>83</v>
      </c>
      <c r="K48" s="33" t="n">
        <v>41.66</v>
      </c>
      <c r="L48" s="33" t="n">
        <v>25.7</v>
      </c>
      <c r="M48" s="33" t="n">
        <v>19.46</v>
      </c>
      <c r="N48" s="33" t="n">
        <v>-0.8100000000000001</v>
      </c>
      <c r="O48" s="33" t="n">
        <v>78.40000000000001</v>
      </c>
      <c r="P48" s="33" t="n">
        <v>30.03</v>
      </c>
      <c r="Q48" s="33" t="n">
        <v>53.7</v>
      </c>
      <c r="R48" s="33" t="n">
        <v>67.7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35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2026-10-30</t>
        </is>
      </c>
      <c r="E49" s="33" t="n">
        <v>17.202522</v>
      </c>
      <c r="F49" s="33" t="n">
        <v>13.724</v>
      </c>
      <c r="G49" s="33" t="n">
        <v>5.03</v>
      </c>
      <c r="H49" s="33" t="n">
        <v>1.4846177</v>
      </c>
      <c r="I49" s="33">
        <f>IF(OR(E49="",R49="",R49&lt;=0,E49&lt;0),"",E49/R49)</f>
        <v/>
      </c>
      <c r="J49" s="33" t="n">
        <v>84.8</v>
      </c>
      <c r="K49" s="33" t="n">
        <v>27.9</v>
      </c>
      <c r="L49" s="33" t="n">
        <v>19.59</v>
      </c>
      <c r="M49" s="33" t="n">
        <v>7.47</v>
      </c>
      <c r="N49" s="33" t="n">
        <v>-0.1</v>
      </c>
      <c r="O49" s="33" t="n">
        <v>60.2</v>
      </c>
      <c r="P49" s="33" t="n">
        <v>15.32</v>
      </c>
      <c r="Q49" s="33" t="n">
        <v>28.8</v>
      </c>
      <c r="R49" s="33" t="n">
        <v>35.4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30.8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2026-10-30</t>
        </is>
      </c>
      <c r="E50" s="33" t="n">
        <v>14.42104029085168</v>
      </c>
      <c r="F50" s="33" t="n">
        <v>17.692</v>
      </c>
      <c r="G50" s="33" t="n">
        <v>1.47</v>
      </c>
      <c r="H50" s="33" t="n">
        <v>2.0261962</v>
      </c>
      <c r="I50" s="33">
        <f>IF(OR(E50="",R50="",R50&lt;=0,E50&lt;0),"",E50/R50)</f>
        <v/>
      </c>
      <c r="J50" s="33" t="n">
        <v>65.2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25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2026-10-30</t>
        </is>
      </c>
      <c r="E51" s="33" t="n">
        <v>16.484549</v>
      </c>
      <c r="F51" s="33" t="n">
        <v>17.267</v>
      </c>
      <c r="G51" s="33" t="n">
        <v>5.35</v>
      </c>
      <c r="H51" s="33" t="n">
        <v>1.9505448</v>
      </c>
      <c r="I51" s="33">
        <f>IF(OR(E51="",R51="",R51&lt;=0,E51&lt;0),"",E51/R51)</f>
        <v/>
      </c>
      <c r="J51" s="33" t="n">
        <v>74</v>
      </c>
      <c r="K51" s="33" t="n">
        <v>5.87</v>
      </c>
      <c r="L51" s="33" t="n">
        <v>24.82</v>
      </c>
      <c r="M51" s="33" t="n">
        <v>10.43</v>
      </c>
      <c r="N51" s="33" t="n">
        <v>3.21</v>
      </c>
      <c r="O51" s="33" t="n">
        <v>37.4</v>
      </c>
      <c r="P51" s="33" t="n">
        <v>7.95</v>
      </c>
      <c r="Q51" s="33" t="n">
        <v>12.3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41.7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2026-10-30</t>
        </is>
      </c>
      <c r="E52" s="33" t="n">
        <v>23.146297</v>
      </c>
      <c r="F52" s="33" t="n">
        <v>22.177</v>
      </c>
      <c r="G52" s="33" t="n">
        <v>4.25</v>
      </c>
      <c r="H52" s="33" t="n">
        <v>3.8618226</v>
      </c>
      <c r="I52" s="33">
        <f>IF(OR(E52="",R52="",R52&lt;=0,E52&lt;0),"",E52/R52)</f>
        <v/>
      </c>
      <c r="J52" s="33" t="n">
        <v>57.5</v>
      </c>
      <c r="K52" s="33" t="n">
        <v>21.21</v>
      </c>
      <c r="L52" s="33" t="n">
        <v>34.99</v>
      </c>
      <c r="M52" s="33" t="n">
        <v>16.43</v>
      </c>
      <c r="N52" s="33" t="n">
        <v>0.67</v>
      </c>
      <c r="O52" s="33" t="n">
        <v>69.09999999999999</v>
      </c>
      <c r="P52" s="33" t="n">
        <v>10.06</v>
      </c>
      <c r="Q52" s="33" t="n">
        <v>17.7</v>
      </c>
      <c r="R52" s="33" t="n">
        <v>23.7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56.7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2026-10-30</t>
        </is>
      </c>
      <c r="E53" s="33" t="n">
        <v>22.4671431156451</v>
      </c>
      <c r="F53" s="33" t="n">
        <v>22.384</v>
      </c>
      <c r="G53" s="33" t="n">
        <v>1.85</v>
      </c>
      <c r="H53" s="33" t="n">
        <v>3.4956517</v>
      </c>
      <c r="I53" s="33">
        <f>IF(OR(E53="",R53="",R53&lt;=0,E53&lt;0),"",E53/R53)</f>
        <v/>
      </c>
      <c r="J53" s="33" t="n">
        <v>39.5</v>
      </c>
      <c r="K53" s="33" t="n">
        <v>10.59</v>
      </c>
      <c r="L53" s="33" t="n">
        <v>37.07</v>
      </c>
      <c r="M53" s="33" t="n">
        <v>6.46</v>
      </c>
      <c r="N53" s="33" t="n">
        <v>1.86</v>
      </c>
      <c r="O53" s="33" t="n">
        <v>54</v>
      </c>
      <c r="P53" s="33" t="n">
        <v>4.57</v>
      </c>
      <c r="Q53" s="33" t="n">
        <v>10.4</v>
      </c>
      <c r="R53" s="33" t="n">
        <v>-42.9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2026-10-30</t>
        </is>
      </c>
      <c r="E54" s="33" t="n">
        <v>24.839987</v>
      </c>
      <c r="F54" s="33" t="n">
        <v>32.62</v>
      </c>
      <c r="G54" s="33" t="n">
        <v>3.9</v>
      </c>
      <c r="H54" s="33" t="n">
        <v>13.65</v>
      </c>
      <c r="I54" s="33">
        <f>IF(OR(E54="",R54="",R54&lt;=0,E54&lt;0),"",E54/R54)</f>
        <v/>
      </c>
      <c r="J54" s="33" t="n">
        <v>62.6</v>
      </c>
      <c r="K54" s="33" t="n">
        <v>37.06</v>
      </c>
      <c r="L54" s="33" t="n">
        <v>54.34</v>
      </c>
      <c r="M54" s="33" t="n">
        <v>53.2</v>
      </c>
      <c r="N54" s="33" t="n">
        <v>-0.67</v>
      </c>
      <c r="O54" s="33" t="n">
        <v>87.90000000000001</v>
      </c>
      <c r="P54" s="33" t="n">
        <v>15.55</v>
      </c>
      <c r="Q54" s="33" t="n">
        <v>55.2</v>
      </c>
      <c r="R54" s="33" t="n">
        <v>133.5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60.8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2026-10-30</t>
        </is>
      </c>
      <c r="E55" s="33" t="n">
        <v>20.888037</v>
      </c>
      <c r="F55" s="33" t="n">
        <v>32.766</v>
      </c>
      <c r="G55" s="33" t="n">
        <v>1.83</v>
      </c>
      <c r="H55" s="33" t="n">
        <v>9.974205</v>
      </c>
      <c r="I55" s="33">
        <f>IF(OR(E55="",R55="",R55&lt;=0,E55&lt;0),"",E55/R55)</f>
        <v/>
      </c>
      <c r="J55" s="33" t="n">
        <v>47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73.3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49.2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2026-10-30</t>
        </is>
      </c>
      <c r="E56" s="33" t="n">
        <v>21.87912408374132</v>
      </c>
      <c r="F56" s="33" t="n">
        <v>31.046</v>
      </c>
      <c r="G56" s="33" t="n">
        <v>2.19</v>
      </c>
      <c r="H56" s="33" t="n">
        <v>11.41554</v>
      </c>
      <c r="I56" s="33">
        <f>IF(OR(E56="",R56="",R56&lt;=0,E56&lt;0),"",E56/R56)</f>
        <v/>
      </c>
      <c r="J56" s="33" t="n">
        <v>54.4</v>
      </c>
      <c r="K56" s="33" t="n">
        <v>44.1</v>
      </c>
      <c r="L56" s="33" t="n">
        <v>51.05</v>
      </c>
      <c r="M56" s="33" t="n">
        <v>25.02</v>
      </c>
      <c r="N56" s="33" t="n">
        <v>-0.37</v>
      </c>
      <c r="O56" s="33" t="n">
        <v>83.3</v>
      </c>
      <c r="P56" s="33" t="n">
        <v>10.06</v>
      </c>
      <c r="Q56" s="33" t="n">
        <v>54.4</v>
      </c>
      <c r="R56" s="33" t="n">
        <v>75.5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48.3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2026-10-30</t>
        </is>
      </c>
      <c r="E57" s="33" t="n">
        <v>24.65231216882722</v>
      </c>
      <c r="F57" s="33" t="n">
        <v>33.365</v>
      </c>
      <c r="G57" s="33" t="n">
        <v>1.96</v>
      </c>
      <c r="H57" s="33" t="n">
        <v>14.179303</v>
      </c>
      <c r="I57" s="33">
        <f>IF(OR(E57="",R57="",R57&lt;=0,E57&lt;0),"",E57/R57)</f>
        <v/>
      </c>
      <c r="J57" s="33" t="n">
        <v>42.1</v>
      </c>
      <c r="K57" s="33" t="n">
        <v>38.37</v>
      </c>
      <c r="L57" s="33" t="n">
        <v>61.47</v>
      </c>
      <c r="M57" s="33" t="n">
        <v>27.83</v>
      </c>
      <c r="N57" s="33" t="n">
        <v>0.15</v>
      </c>
      <c r="O57" s="33" t="n">
        <v>84.40000000000001</v>
      </c>
      <c r="P57" s="33" t="n">
        <v>8.960000000000001</v>
      </c>
      <c r="Q57" s="33" t="n">
        <v>28.9</v>
      </c>
      <c r="R57" s="33" t="n">
        <v>38.1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46.7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2026-10-30</t>
        </is>
      </c>
      <c r="E58" s="33" t="n"/>
      <c r="F58" s="33" t="n">
        <v>31.13</v>
      </c>
      <c r="G58" s="33" t="n">
        <v>1.21</v>
      </c>
      <c r="H58" s="33" t="n">
        <v>9.380000000000001</v>
      </c>
      <c r="I58" s="33">
        <f>IF(OR(E58="",R58="",R58&lt;=0,E58&lt;0),"",E58/R58)</f>
        <v/>
      </c>
      <c r="J58" s="33" t="n">
        <v>40.3</v>
      </c>
      <c r="K58" s="33" t="n">
        <v>23.3</v>
      </c>
      <c r="L58" s="33" t="n">
        <v>45.56</v>
      </c>
      <c r="M58" s="33" t="n">
        <v>11.32</v>
      </c>
      <c r="N58" s="33" t="n">
        <v>-0.53</v>
      </c>
      <c r="O58" s="33" t="n">
        <v>64.3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2026-10-30</t>
        </is>
      </c>
      <c r="E59" s="33" t="n">
        <v>22.695034</v>
      </c>
      <c r="F59" s="33" t="n">
        <v>26.089</v>
      </c>
      <c r="G59" s="33" t="n">
        <v>1.89</v>
      </c>
      <c r="H59" s="33" t="n">
        <v>8.443130999999999</v>
      </c>
      <c r="I59" s="33">
        <f>IF(OR(E59="",R59="",R59&lt;=0,E59&lt;0),"",E59/R59)</f>
        <v/>
      </c>
      <c r="J59" s="33" t="n">
        <v>55.4</v>
      </c>
      <c r="K59" s="33" t="n">
        <v>31.27</v>
      </c>
      <c r="L59" s="33" t="n">
        <v>59.31</v>
      </c>
      <c r="M59" s="33" t="n">
        <v>16</v>
      </c>
      <c r="N59" s="33" t="n">
        <v>-0.19</v>
      </c>
      <c r="O59" s="33" t="n">
        <v>79.59999999999999</v>
      </c>
      <c r="P59" s="33" t="n">
        <v>0.37</v>
      </c>
      <c r="Q59" s="33" t="n">
        <v>69.8</v>
      </c>
      <c r="R59" s="33" t="n">
        <v>377.9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50.8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2026-10-30</t>
        </is>
      </c>
      <c r="E60" s="33" t="n">
        <v>17.07965742897709</v>
      </c>
      <c r="F60" s="33" t="n">
        <v>33.91</v>
      </c>
      <c r="G60" s="33" t="n">
        <v>2.58</v>
      </c>
      <c r="H60" s="33" t="n">
        <v>8.730423999999999</v>
      </c>
      <c r="I60" s="33">
        <f>IF(OR(E60="",R60="",R60&lt;=0,E60&lt;0),"",E60/R60)</f>
        <v/>
      </c>
      <c r="J60" s="33" t="n">
        <v>54.4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63.6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50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2026-10-30</t>
        </is>
      </c>
      <c r="E61" s="33" t="n">
        <v>22.722084</v>
      </c>
      <c r="F61" s="33" t="n">
        <v>50.318</v>
      </c>
      <c r="G61" s="33" t="n"/>
      <c r="H61" s="33" t="n">
        <v>10.791525</v>
      </c>
      <c r="I61" s="33">
        <f>IF(OR(E61="",R61="",R61&lt;=0,E61&lt;0),"",E61/R61)</f>
        <v/>
      </c>
      <c r="J61" s="33" t="n">
        <v>30.7</v>
      </c>
      <c r="K61" s="33" t="n">
        <v>7.81</v>
      </c>
      <c r="L61" s="33" t="n">
        <v>50.97</v>
      </c>
      <c r="M61" s="33" t="n"/>
      <c r="N61" s="33" t="n">
        <v>-1.32</v>
      </c>
      <c r="O61" s="33" t="n">
        <v>63.1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24.2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2026-10-30</t>
        </is>
      </c>
      <c r="E62" s="33" t="n">
        <v>12.499725</v>
      </c>
      <c r="F62" s="33" t="n">
        <v>23.024</v>
      </c>
      <c r="G62" s="33" t="n">
        <v>1.04</v>
      </c>
      <c r="H62" s="33" t="n">
        <v>4.063684</v>
      </c>
      <c r="I62" s="33">
        <f>IF(OR(E62="",R62="",R62&lt;=0,E62&lt;0),"",E62/R62)</f>
        <v/>
      </c>
      <c r="J62" s="33" t="n">
        <v>55.9</v>
      </c>
      <c r="K62" s="33" t="n">
        <v>10.07</v>
      </c>
      <c r="L62" s="33" t="n">
        <v>49.31</v>
      </c>
      <c r="M62" s="33" t="n">
        <v>4.21</v>
      </c>
      <c r="N62" s="33" t="n">
        <v>-2.98</v>
      </c>
      <c r="O62" s="33" t="n">
        <v>57.8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45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2026-10-30</t>
        </is>
      </c>
      <c r="E63" s="33" t="n">
        <v>27.371666</v>
      </c>
      <c r="F63" s="33" t="n">
        <v>27.18</v>
      </c>
      <c r="G63" s="33" t="n">
        <v>2.18</v>
      </c>
      <c r="H63" s="33" t="n">
        <v>6.564797</v>
      </c>
      <c r="I63" s="33">
        <f>IF(OR(E63="",R63="",R63&lt;=0,E63&lt;0),"",E63/R63)</f>
        <v/>
      </c>
      <c r="J63" s="33" t="n">
        <v>56.2</v>
      </c>
      <c r="K63" s="33" t="n">
        <v>11.41</v>
      </c>
      <c r="L63" s="33" t="n">
        <v>47.26</v>
      </c>
      <c r="M63" s="33" t="n">
        <v>14.34</v>
      </c>
      <c r="N63" s="33" t="n">
        <v>2.97</v>
      </c>
      <c r="O63" s="33" t="n">
        <v>55.2</v>
      </c>
      <c r="P63" s="33" t="n">
        <v>-0.88</v>
      </c>
      <c r="Q63" s="33" t="n">
        <v>24.6</v>
      </c>
      <c r="R63" s="33" t="n">
        <v>123.8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52.5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2026-10-30</t>
        </is>
      </c>
      <c r="E64" s="33" t="n">
        <v>11.339684</v>
      </c>
      <c r="F64" s="33" t="n">
        <v>17.211</v>
      </c>
      <c r="G64" s="33" t="n">
        <v>3.37</v>
      </c>
      <c r="H64" s="33" t="n">
        <v>3.10711</v>
      </c>
      <c r="I64" s="33">
        <f>IF(OR(E64="",R64="",R64&lt;=0,E64&lt;0),"",E64/R64)</f>
        <v/>
      </c>
      <c r="J64" s="33" t="n">
        <v>76.7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45.1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39.2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2026-10-30</t>
        </is>
      </c>
      <c r="E65" s="33" t="n">
        <v>13.170124</v>
      </c>
      <c r="F65" s="33" t="n">
        <v>5.522</v>
      </c>
      <c r="G65" s="33" t="n">
        <v>6.84</v>
      </c>
      <c r="H65" s="33" t="n">
        <v>1.8614767</v>
      </c>
      <c r="I65" s="33">
        <f>IF(OR(E65="",R65="",R65&lt;=0,E65&lt;0),"",E65/R65)</f>
        <v/>
      </c>
      <c r="J65" s="33" t="n">
        <v>84.2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55.4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27.5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2026-10-30</t>
        </is>
      </c>
      <c r="E66" s="33" t="n">
        <v>7.485297</v>
      </c>
      <c r="F66" s="33" t="n">
        <v>17.023</v>
      </c>
      <c r="G66" s="33" t="n">
        <v>-7.08</v>
      </c>
      <c r="H66" s="33" t="n">
        <v>0.94721466</v>
      </c>
      <c r="I66" s="33">
        <f>IF(OR(E66="",R66="",R66&lt;=0,E66&lt;0),"",E66/R66)</f>
        <v/>
      </c>
      <c r="J66" s="33" t="n">
        <v>68.5</v>
      </c>
      <c r="K66" s="33" t="n">
        <v>4.22</v>
      </c>
      <c r="L66" s="33" t="n">
        <v>16.11</v>
      </c>
      <c r="M66" s="33" t="n">
        <v>-6.71</v>
      </c>
      <c r="N66" s="33" t="n">
        <v>2.95</v>
      </c>
      <c r="O66" s="33" t="n">
        <v>21.7</v>
      </c>
      <c r="P66" s="33" t="n">
        <v>-4.72</v>
      </c>
      <c r="Q66" s="33" t="n">
        <v>48.8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40.8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2026-10-30</t>
        </is>
      </c>
      <c r="E67" s="33" t="n">
        <v>33.13967</v>
      </c>
      <c r="F67" s="33" t="n">
        <v>42.924</v>
      </c>
      <c r="G67" s="33" t="n">
        <v>1.96</v>
      </c>
      <c r="H67" s="33" t="n">
        <v>14.598864</v>
      </c>
      <c r="I67" s="33">
        <f>IF(OR(E67="",R67="",R67&lt;=0,E67&lt;0),"",E67/R67)</f>
        <v/>
      </c>
      <c r="J67" s="33" t="n">
        <v>25.3</v>
      </c>
      <c r="K67" s="33" t="n">
        <v>13.98</v>
      </c>
      <c r="L67" s="33" t="n">
        <v>85.68000000000001</v>
      </c>
      <c r="M67" s="33" t="n">
        <v>28.65</v>
      </c>
      <c r="N67" s="33" t="n">
        <v>0.57</v>
      </c>
      <c r="O67" s="33" t="n">
        <v>84.40000000000001</v>
      </c>
      <c r="P67" s="33" t="n">
        <v>14.14</v>
      </c>
      <c r="Q67" s="33" t="n">
        <v>22</v>
      </c>
      <c r="R67" s="33" t="n">
        <v>0.9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55.8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2026-10-30</t>
        </is>
      </c>
      <c r="E68" s="33" t="n">
        <v>25.000189</v>
      </c>
      <c r="F68" s="33" t="n">
        <v>48.746</v>
      </c>
      <c r="G68" s="33" t="n">
        <v>3.09</v>
      </c>
      <c r="H68" s="33" t="n">
        <v>9.452738999999999</v>
      </c>
      <c r="I68" s="33">
        <f>IF(OR(E68="",R68="",R68&lt;=0,E68&lt;0),"",E68/R68)</f>
        <v/>
      </c>
      <c r="J68" s="33" t="n">
        <v>53.9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58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42.5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2026-10-30</t>
        </is>
      </c>
      <c r="E69" s="33" t="n">
        <v>71.59859988466228</v>
      </c>
      <c r="F69" s="33" t="n">
        <v>226.496</v>
      </c>
      <c r="G69" s="33" t="n">
        <v>0.67</v>
      </c>
      <c r="H69" s="33" t="n">
        <v>42.40924</v>
      </c>
      <c r="I69" s="33">
        <f>IF(OR(E69="",R69="",R69&lt;=0,E69&lt;0),"",E69/R69)</f>
        <v/>
      </c>
      <c r="J69" s="33" t="n">
        <v>22.9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78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45.8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2026-10-30</t>
        </is>
      </c>
      <c r="E70" s="33" t="n">
        <v>17.254436</v>
      </c>
      <c r="F70" s="33" t="n">
        <v>16.132</v>
      </c>
      <c r="G70" s="33" t="n">
        <v>2.38</v>
      </c>
      <c r="H70" s="33" t="n">
        <v>12.429118</v>
      </c>
      <c r="I70" s="33">
        <f>IF(OR(E70="",R70="",R70&lt;=0,E70&lt;0),"",E70/R70)</f>
        <v/>
      </c>
      <c r="J70" s="33" t="n">
        <v>61</v>
      </c>
      <c r="K70" s="33" t="n">
        <v>29.36</v>
      </c>
      <c r="L70" s="33" t="n">
        <v>65.84999999999999</v>
      </c>
      <c r="M70" s="33" t="n">
        <v>29.58</v>
      </c>
      <c r="N70" s="33" t="n">
        <v>-0.89</v>
      </c>
      <c r="O70" s="33" t="n">
        <v>96.90000000000001</v>
      </c>
      <c r="P70" s="33" t="n">
        <v>18.94</v>
      </c>
      <c r="Q70" s="33" t="n">
        <v>50.9</v>
      </c>
      <c r="R70" s="33" t="n">
        <v>68.7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60.8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2026-10-30</t>
        </is>
      </c>
      <c r="E71" s="33" t="n">
        <v>29.161745</v>
      </c>
      <c r="F71" s="33" t="n">
        <v>29.739</v>
      </c>
      <c r="G71" s="33" t="n">
        <v>0.83</v>
      </c>
      <c r="H71" s="33" t="n">
        <v>5.953639</v>
      </c>
      <c r="I71" s="33">
        <f>IF(OR(E71="",R71="",R71&lt;=0,E71&lt;0),"",E71/R71)</f>
        <v/>
      </c>
      <c r="J71" s="33" t="n">
        <v>33.2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57.5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49.2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2026-10-30</t>
        </is>
      </c>
      <c r="E72" s="33" t="n">
        <v>15.74971</v>
      </c>
      <c r="F72" s="33" t="n">
        <v>12.386</v>
      </c>
      <c r="G72" s="33" t="n">
        <v>3.45</v>
      </c>
      <c r="H72" s="33" t="n">
        <v>3.3261938</v>
      </c>
      <c r="I72" s="33">
        <f>IF(OR(E72="",R72="",R72&lt;=0,E72&lt;0),"",E72/R72)</f>
        <v/>
      </c>
      <c r="J72" s="33" t="n">
        <v>66.8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40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2026-10-30</t>
        </is>
      </c>
      <c r="E73" s="33" t="n">
        <v>24.438145</v>
      </c>
      <c r="F73" s="33" t="n">
        <v>33.31</v>
      </c>
      <c r="G73" s="33" t="n">
        <v>1.61</v>
      </c>
      <c r="H73" s="33" t="n">
        <v>10.88973</v>
      </c>
      <c r="I73" s="33">
        <f>IF(OR(E73="",R73="",R73&lt;=0,E73&lt;0),"",E73/R73)</f>
        <v/>
      </c>
      <c r="J73" s="33" t="n">
        <v>42.7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46.7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2026-10-30</t>
        </is>
      </c>
      <c r="E74" s="33" t="n">
        <v>18.79498</v>
      </c>
      <c r="F74" s="33" t="n">
        <v>11.136</v>
      </c>
      <c r="G74" s="33" t="n">
        <v>4.9</v>
      </c>
      <c r="H74" s="33" t="n">
        <v>5.259571</v>
      </c>
      <c r="I74" s="33">
        <f>IF(OR(E74="",R74="",R74&lt;=0,E74&lt;0),"",E74/R74)</f>
        <v/>
      </c>
      <c r="J74" s="33" t="n">
        <v>69.8</v>
      </c>
      <c r="K74" s="33" t="n">
        <v>8.390000000000001</v>
      </c>
      <c r="L74" s="33" t="n">
        <v>31.71</v>
      </c>
      <c r="M74" s="33" t="n">
        <v>25.76</v>
      </c>
      <c r="N74" s="33" t="n">
        <v>-0.6</v>
      </c>
      <c r="O74" s="33" t="n">
        <v>73.8</v>
      </c>
      <c r="P74" s="33" t="n">
        <v>-5.19</v>
      </c>
      <c r="Q74" s="33" t="n">
        <v>25.6</v>
      </c>
      <c r="R74" s="33" t="n"/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59.2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2026-10-30</t>
        </is>
      </c>
      <c r="E75" s="33" t="n">
        <v>16.611294</v>
      </c>
      <c r="F75" s="33" t="n">
        <v>32.192</v>
      </c>
      <c r="G75" s="33" t="n">
        <v>2.55</v>
      </c>
      <c r="H75" s="33" t="n">
        <v>17.322515</v>
      </c>
      <c r="I75" s="33">
        <f>IF(OR(E75="",R75="",R75&lt;=0,E75&lt;0),"",E75/R75)</f>
        <v/>
      </c>
      <c r="J75" s="33" t="n">
        <v>61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87.7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24.2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2026-10-30</t>
        </is>
      </c>
      <c r="E76" s="33" t="n">
        <v>27.50618715160735</v>
      </c>
      <c r="F76" s="33" t="n">
        <v>67.64700000000001</v>
      </c>
      <c r="G76" s="33" t="n">
        <v>0.99</v>
      </c>
      <c r="H76" s="33" t="n">
        <v>18.479359</v>
      </c>
      <c r="I76" s="33">
        <f>IF(OR(E76="",R76="",R76&lt;=0,E76&lt;0),"",E76/R76)</f>
        <v/>
      </c>
      <c r="J76" s="33" t="n">
        <v>35.8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46.2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65.8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2026-10-30</t>
        </is>
      </c>
      <c r="E77" s="33" t="n">
        <v>39.84863</v>
      </c>
      <c r="F77" s="33" t="n">
        <v>172.311</v>
      </c>
      <c r="G77" s="33" t="n">
        <v>0.62</v>
      </c>
      <c r="H77" s="33" t="n">
        <v>36.857246</v>
      </c>
      <c r="I77" s="33">
        <f>IF(OR(E77="",R77="",R77&lt;=0,E77&lt;0),"",E77/R77)</f>
        <v/>
      </c>
      <c r="J77" s="33" t="n">
        <v>35.1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71.7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51.7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2026-10-30</t>
        </is>
      </c>
      <c r="E78" s="33" t="n">
        <v>4.59716989605811</v>
      </c>
      <c r="F78" s="33" t="n">
        <v>15.074</v>
      </c>
      <c r="G78" s="33" t="n">
        <v>6.91</v>
      </c>
      <c r="H78" s="33" t="n">
        <v>8.214902</v>
      </c>
      <c r="I78" s="33">
        <f>IF(OR(E78="",R78="",R78&lt;=0,E78&lt;0),"",E78/R78)</f>
        <v/>
      </c>
      <c r="J78" s="33" t="n">
        <v>83.59999999999999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92.59999999999999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55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2026-10-30</t>
        </is>
      </c>
      <c r="E79" s="33" t="n">
        <v>17.78649543892173</v>
      </c>
      <c r="F79" s="33" t="n">
        <v>33.969</v>
      </c>
      <c r="G79" s="33" t="n">
        <v>-2.52</v>
      </c>
      <c r="H79" s="33" t="n">
        <v>5.743726</v>
      </c>
      <c r="I79" s="33">
        <f>IF(OR(E79="",R79="",R79&lt;=0,E79&lt;0),"",E79/R79)</f>
        <v/>
      </c>
      <c r="J79" s="33" t="n">
        <v>53.1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38.5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40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2026-10-30</t>
        </is>
      </c>
      <c r="E80" s="33" t="n">
        <v>29.08147605342951</v>
      </c>
      <c r="F80" s="33" t="n">
        <v>101.679</v>
      </c>
      <c r="G80" s="33" t="n">
        <v>0.39</v>
      </c>
      <c r="H80" s="33" t="n">
        <v>25.292871</v>
      </c>
      <c r="I80" s="33">
        <f>IF(OR(E80="",R80="",R80&lt;=0,E80&lt;0),"",E80/R80)</f>
        <v/>
      </c>
      <c r="J80" s="33" t="n">
        <v>22.8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59.4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55.8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2026-10-30</t>
        </is>
      </c>
      <c r="E81" s="33" t="n">
        <v>16.05946479405532</v>
      </c>
      <c r="F81" s="33" t="n">
        <v>21.902</v>
      </c>
      <c r="G81" s="33" t="n">
        <v>0.03</v>
      </c>
      <c r="H81" s="33" t="n">
        <v>2.4974623</v>
      </c>
      <c r="I81" s="33">
        <f>IF(OR(E81="",R81="",R81&lt;=0,E81&lt;0),"",E81/R81)</f>
        <v/>
      </c>
      <c r="J81" s="33" t="n">
        <v>62.9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24.2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2026-10-30</t>
        </is>
      </c>
      <c r="E82" s="33" t="n">
        <v>14.776183</v>
      </c>
      <c r="F82" s="33" t="n">
        <v>-202.375</v>
      </c>
      <c r="G82" s="33" t="n">
        <v>-10.41</v>
      </c>
      <c r="H82" s="33" t="n">
        <v>9.687782</v>
      </c>
      <c r="I82" s="33">
        <f>IF(OR(E82="",R82="",R82&lt;=0,E82&lt;0),"",E82/R82)</f>
        <v/>
      </c>
      <c r="J82" s="33" t="n">
        <v>56.9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27.5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2026-10-30</t>
        </is>
      </c>
      <c r="E83" s="33" t="n">
        <v>-30.117645</v>
      </c>
      <c r="F83" s="33" t="n">
        <v>-3.269</v>
      </c>
      <c r="G83" s="33" t="n">
        <v>-4.91</v>
      </c>
      <c r="H83" s="33" t="n">
        <v>517.26984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27.5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2026-10-30</t>
        </is>
      </c>
      <c r="E84" s="33" t="n">
        <v>32.21711</v>
      </c>
      <c r="F84" s="33" t="n">
        <v>47.202</v>
      </c>
      <c r="G84" s="33" t="n">
        <v>2.43</v>
      </c>
      <c r="H84" s="33" t="n">
        <v>20.131401</v>
      </c>
      <c r="I84" s="33">
        <f>IF(OR(E84="",R84="",R84&lt;=0,E84&lt;0),"",E84/R84)</f>
        <v/>
      </c>
      <c r="J84" s="33" t="n">
        <v>54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80.8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2026-10-30</t>
        </is>
      </c>
      <c r="E85" s="33" t="n">
        <v>19.39906901528043</v>
      </c>
      <c r="F85" s="33" t="n">
        <v>23.785</v>
      </c>
      <c r="G85" s="33" t="n">
        <v>3.12</v>
      </c>
      <c r="H85" s="33" t="n">
        <v>6.4656553</v>
      </c>
      <c r="I85" s="33">
        <f>IF(OR(E85="",R85="",R85&lt;=0,E85&lt;0),"",E85/R85)</f>
        <v/>
      </c>
      <c r="J85" s="33" t="n">
        <v>64.3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51.7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2026-10-30</t>
        </is>
      </c>
      <c r="E86" s="33" t="n">
        <v>26.83508</v>
      </c>
      <c r="F86" s="33" t="n">
        <v>48.96</v>
      </c>
      <c r="G86" s="33" t="n">
        <v>1.8</v>
      </c>
      <c r="H86" s="33" t="n">
        <v>7.497778</v>
      </c>
      <c r="I86" s="33">
        <f>IF(OR(E86="",R86="",R86&lt;=0,E86&lt;0),"",E86/R86)</f>
        <v/>
      </c>
      <c r="J86" s="33" t="n">
        <v>46.8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61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24.2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2026-10-30</t>
        </is>
      </c>
      <c r="E87" s="33" t="n">
        <v>22.423115</v>
      </c>
      <c r="F87" s="33" t="n">
        <v>19.713</v>
      </c>
      <c r="G87" s="33" t="n">
        <v>2.38</v>
      </c>
      <c r="H87" s="33" t="n">
        <v>5.891266</v>
      </c>
      <c r="I87" s="33">
        <f>IF(OR(E87="",R87="",R87&lt;=0,E87&lt;0),"",E87/R87)</f>
        <v/>
      </c>
      <c r="J87" s="33" t="n">
        <v>72.09999999999999</v>
      </c>
      <c r="K87" s="33" t="n">
        <v>14.81</v>
      </c>
      <c r="L87" s="33" t="n">
        <v>39.21</v>
      </c>
      <c r="M87" s="33" t="n">
        <v>14.02</v>
      </c>
      <c r="N87" s="33" t="n">
        <v>1.15</v>
      </c>
      <c r="O87" s="33" t="n">
        <v>61.5</v>
      </c>
      <c r="P87" s="33" t="n">
        <v>22.31</v>
      </c>
      <c r="Q87" s="33" t="n">
        <v>65.09999999999999</v>
      </c>
      <c r="R87" s="33" t="n">
        <v>63.3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68.3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2026-10-30</t>
        </is>
      </c>
      <c r="E88" s="33" t="n">
        <v>15.25584866315523</v>
      </c>
      <c r="F88" s="33" t="n">
        <v>13.171</v>
      </c>
      <c r="G88" s="33" t="n">
        <v>5.4</v>
      </c>
      <c r="H88" s="33" t="n">
        <v>3.0863836</v>
      </c>
      <c r="I88" s="33">
        <f>IF(OR(E88="",R88="",R88&lt;=0,E88&lt;0),"",E88/R88)</f>
        <v/>
      </c>
      <c r="J88" s="33" t="n">
        <v>73.5</v>
      </c>
      <c r="K88" s="33" t="n">
        <v>14.8</v>
      </c>
      <c r="L88" s="33" t="n">
        <v>36.24</v>
      </c>
      <c r="M88" s="33" t="n">
        <v>16.67</v>
      </c>
      <c r="N88" s="33" t="n">
        <v>0.76</v>
      </c>
      <c r="O88" s="33" t="n">
        <v>59</v>
      </c>
      <c r="P88" s="33" t="n">
        <v>1.97</v>
      </c>
      <c r="Q88" s="33" t="n">
        <v>11.9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46.7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2026-10-30</t>
        </is>
      </c>
      <c r="E89" s="33" t="n">
        <v>27.021173</v>
      </c>
      <c r="F89" s="33" t="n">
        <v>26.978</v>
      </c>
      <c r="G89" s="33" t="n">
        <v>2.27</v>
      </c>
      <c r="H89" s="33" t="n">
        <v>5.9436145</v>
      </c>
      <c r="I89" s="33">
        <f>IF(OR(E89="",R89="",R89&lt;=0,E89&lt;0),"",E89/R89)</f>
        <v/>
      </c>
      <c r="J89" s="33" t="n">
        <v>55.1</v>
      </c>
      <c r="K89" s="33" t="n">
        <v>8.31</v>
      </c>
      <c r="L89" s="33" t="n">
        <v>37.05</v>
      </c>
      <c r="M89" s="33" t="n">
        <v>13.52</v>
      </c>
      <c r="N89" s="33" t="n">
        <v>1.24</v>
      </c>
      <c r="O89" s="33" t="n">
        <v>44.8</v>
      </c>
      <c r="P89" s="33" t="n">
        <v>3.27</v>
      </c>
      <c r="Q89" s="33" t="n">
        <v>18.4</v>
      </c>
      <c r="R89" s="33" t="n">
        <v>58.1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43.3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2026-10-30</t>
        </is>
      </c>
      <c r="E90" s="33" t="n">
        <v>6.280547091483869</v>
      </c>
      <c r="F90" s="33" t="n">
        <v>10.113</v>
      </c>
      <c r="G90" s="33" t="n">
        <v>-33.44</v>
      </c>
      <c r="H90" s="33" t="n">
        <v>0.53371936</v>
      </c>
      <c r="I90" s="33">
        <f>IF(OR(E90="",R90="",R90&lt;=0,E90&lt;0),"",E90/R90)</f>
        <v/>
      </c>
      <c r="J90" s="33" t="n">
        <v>76.8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36.6</v>
      </c>
      <c r="P90" s="33" t="n">
        <v>76.34</v>
      </c>
      <c r="Q90" s="33" t="n">
        <v>93.2</v>
      </c>
      <c r="R90" s="33" t="n">
        <v>503.7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55.8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2026-10-30</t>
        </is>
      </c>
      <c r="E91" s="33" t="n">
        <v>13.92881778214235</v>
      </c>
      <c r="F91" s="33" t="n">
        <v>18.394</v>
      </c>
      <c r="G91" s="33" t="n">
        <v>3.22</v>
      </c>
      <c r="H91" s="33" t="n">
        <v>1.7607331</v>
      </c>
      <c r="I91" s="33">
        <f>IF(OR(E91="",R91="",R91&lt;=0,E91&lt;0),"",E91/R91)</f>
        <v/>
      </c>
      <c r="J91" s="33" t="n">
        <v>62.3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54.7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87.5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2026-10-30</t>
        </is>
      </c>
      <c r="E92" s="33" t="n">
        <v>11.513801</v>
      </c>
      <c r="F92" s="33" t="n">
        <v>13.398</v>
      </c>
      <c r="G92" s="33" t="n">
        <v>5.74</v>
      </c>
      <c r="H92" s="33" t="n">
        <v>1.7278507</v>
      </c>
      <c r="I92" s="33">
        <f>IF(OR(E92="",R92="",R92&lt;=0,E92&lt;0),"",E92/R92)</f>
        <v/>
      </c>
      <c r="J92" s="33" t="n">
        <v>79.8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41.6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90.8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2026-10-30</t>
        </is>
      </c>
      <c r="E93" s="33" t="n">
        <v>23.65890394615258</v>
      </c>
      <c r="F93" s="33" t="n">
        <v>19.095</v>
      </c>
      <c r="G93" s="33" t="n">
        <v>1.54</v>
      </c>
      <c r="H93" s="33" t="n">
        <v>11.205366</v>
      </c>
      <c r="I93" s="33">
        <f>IF(OR(E93="",R93="",R93&lt;=0,E93&lt;0),"",E93/R93)</f>
        <v/>
      </c>
      <c r="J93" s="33" t="n">
        <v>60.8</v>
      </c>
      <c r="K93" s="33" t="n">
        <v>20.89</v>
      </c>
      <c r="L93" s="33" t="n">
        <v>67.66</v>
      </c>
      <c r="M93" s="33" t="n">
        <v>17.31</v>
      </c>
      <c r="N93" s="33" t="n">
        <v>-0.04</v>
      </c>
      <c r="O93" s="33" t="n">
        <v>91.90000000000001</v>
      </c>
      <c r="P93" s="33" t="n">
        <v>16.12</v>
      </c>
      <c r="Q93" s="33" t="n">
        <v>18.8</v>
      </c>
      <c r="R93" s="33" t="n">
        <v>32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2026-10-30</t>
        </is>
      </c>
      <c r="E94" s="33" t="n">
        <v>18.403214</v>
      </c>
      <c r="F94" s="33" t="n">
        <v>18.295</v>
      </c>
      <c r="G94" s="33" t="n">
        <v>0.58</v>
      </c>
      <c r="H94" s="33" t="n">
        <v>7.2702203</v>
      </c>
      <c r="I94" s="33">
        <f>IF(OR(E94="",R94="",R94&lt;=0,E94&lt;0),"",E94/R94)</f>
        <v/>
      </c>
      <c r="J94" s="33" t="n">
        <v>56</v>
      </c>
      <c r="K94" s="33" t="n">
        <v>14.81</v>
      </c>
      <c r="L94" s="33" t="n">
        <v>60.86</v>
      </c>
      <c r="M94" s="33" t="n">
        <v>4.19</v>
      </c>
      <c r="N94" s="33" t="n">
        <v>-0.67</v>
      </c>
      <c r="O94" s="33" t="n">
        <v>81.90000000000001</v>
      </c>
      <c r="P94" s="33" t="n">
        <v>12.51</v>
      </c>
      <c r="Q94" s="33" t="n">
        <v>24.7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35.8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2026-10-30</t>
        </is>
      </c>
      <c r="E95" s="33" t="n">
        <v>22.766712</v>
      </c>
      <c r="F95" s="33" t="n">
        <v>16.329</v>
      </c>
      <c r="G95" s="33" t="n">
        <v>-0.1</v>
      </c>
      <c r="H95" s="33" t="n">
        <v>3.3498654</v>
      </c>
      <c r="I95" s="33">
        <f>IF(OR(E95="",R95="",R95&lt;=0,E95&lt;0),"",E95/R95)</f>
        <v/>
      </c>
      <c r="J95" s="33" t="n">
        <v>71.2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45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2026-10-30</t>
        </is>
      </c>
      <c r="E96" s="33" t="n">
        <v>17.2809</v>
      </c>
      <c r="F96" s="33" t="n">
        <v>14.019</v>
      </c>
      <c r="G96" s="33" t="n">
        <v>1.82</v>
      </c>
      <c r="H96" s="33" t="n">
        <v>6.508254</v>
      </c>
      <c r="I96" s="33">
        <f>IF(OR(E96="",R96="",R96&lt;=0,E96&lt;0),"",E96/R96)</f>
        <v/>
      </c>
      <c r="J96" s="33" t="n">
        <v>60.8</v>
      </c>
      <c r="K96" s="33" t="n">
        <v>18.21</v>
      </c>
      <c r="L96" s="33" t="n">
        <v>81.03</v>
      </c>
      <c r="M96" s="33" t="n">
        <v>11.86</v>
      </c>
      <c r="N96" s="33" t="n">
        <v>0.28</v>
      </c>
      <c r="O96" s="33" t="n">
        <v>91.90000000000001</v>
      </c>
      <c r="P96" s="33" t="n">
        <v>19.89</v>
      </c>
      <c r="Q96" s="33" t="n">
        <v>26.1</v>
      </c>
      <c r="R96" s="33" t="n">
        <v>2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45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2026-10-30</t>
        </is>
      </c>
      <c r="E97" s="33" t="n">
        <v>13.15243392038939</v>
      </c>
      <c r="F97" s="33" t="n">
        <v>16.247</v>
      </c>
      <c r="G97" s="33" t="n">
        <v>-7.32</v>
      </c>
      <c r="H97" s="33" t="n">
        <v>5.463928</v>
      </c>
      <c r="I97" s="33">
        <f>IF(OR(E97="",R97="",R97&lt;=0,E97&lt;0),"",E97/R97)</f>
        <v/>
      </c>
      <c r="J97" s="33" t="n">
        <v>79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39.2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2026-10-30</t>
        </is>
      </c>
      <c r="E98" s="33" t="n">
        <v>-42.439472</v>
      </c>
      <c r="F98" s="33" t="n">
        <v>14.1</v>
      </c>
      <c r="G98" s="33" t="n">
        <v>-15.18</v>
      </c>
      <c r="H98" s="33" t="n">
        <v>28.608747</v>
      </c>
      <c r="I98" s="33">
        <f>IF(OR(E98="",R98="",R98&lt;=0,E98&lt;0),"",E98/R98)</f>
        <v/>
      </c>
      <c r="J98" s="33" t="n">
        <v>30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44.4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53.3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2026-10-30</t>
        </is>
      </c>
      <c r="E99" s="33" t="n">
        <v>-22.307251</v>
      </c>
      <c r="F99" s="33" t="n">
        <v>5.7</v>
      </c>
      <c r="G99" s="33" t="n">
        <v>-84.2</v>
      </c>
      <c r="H99" s="33" t="n">
        <v>6.066345</v>
      </c>
      <c r="I99" s="33">
        <f>IF(OR(E99="",R99="",R99&lt;=0,E99&lt;0),"",E99/R99)</f>
        <v/>
      </c>
      <c r="J99" s="33" t="n">
        <v>38.8</v>
      </c>
      <c r="K99" s="33" t="n">
        <v>-1.91</v>
      </c>
      <c r="L99" s="33" t="n">
        <v>21.65</v>
      </c>
      <c r="M99" s="33" t="n">
        <v>-510.79</v>
      </c>
      <c r="N99" s="33" t="n"/>
      <c r="O99" s="33" t="n">
        <v>30.8</v>
      </c>
      <c r="P99" s="33" t="n">
        <v>122.64</v>
      </c>
      <c r="Q99" s="33" t="n">
        <v>322.4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28.3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2026-10-30</t>
        </is>
      </c>
      <c r="E100" s="33" t="n">
        <v>80.73298</v>
      </c>
      <c r="F100" s="33" t="n">
        <v>3.8</v>
      </c>
      <c r="G100" s="33" t="n">
        <v>-22.68</v>
      </c>
      <c r="H100" s="33" t="n">
        <v>9.589689</v>
      </c>
      <c r="I100" s="33">
        <f>IF(OR(E100="",R100="",R100&lt;=0,E100&lt;0),"",E100/R100)</f>
        <v/>
      </c>
      <c r="J100" s="33" t="n">
        <v>48.8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35.8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28.3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2026-10-30</t>
        </is>
      </c>
      <c r="E101" s="33" t="n">
        <v>-5.982464</v>
      </c>
      <c r="F101" s="33" t="n">
        <v>4.2</v>
      </c>
      <c r="G101" s="33" t="n">
        <v>-24.38</v>
      </c>
      <c r="H101" s="33" t="n">
        <v>13.635399</v>
      </c>
      <c r="I101" s="33">
        <f>IF(OR(E101="",R101="",R101&lt;=0,E101&lt;0),"",E101/R101)</f>
        <v/>
      </c>
      <c r="J101" s="33" t="n">
        <v>38.8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44.4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40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2026-10-30</t>
        </is>
      </c>
      <c r="E102" s="33" t="n">
        <v>32.933495</v>
      </c>
      <c r="F102" s="33" t="n">
        <v>9</v>
      </c>
      <c r="G102" s="33" t="n">
        <v>-49.79</v>
      </c>
      <c r="H102" s="33" t="n">
        <v>15.724616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18.1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36.7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2026-10-30</t>
        </is>
      </c>
      <c r="E103" s="33" t="n">
        <v>-4.302914</v>
      </c>
      <c r="F103" s="33" t="n">
        <v>2</v>
      </c>
      <c r="G103" s="33" t="n">
        <v>-53.69</v>
      </c>
      <c r="H103" s="33" t="n">
        <v>2.847066</v>
      </c>
      <c r="I103" s="33">
        <f>IF(OR(E103="",R103="",R103&lt;=0,E103&lt;0),"",E103/R103)</f>
        <v/>
      </c>
      <c r="J103" s="33" t="n">
        <v>52.5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42.5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40.8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2026-10-30</t>
        </is>
      </c>
      <c r="E104" s="33" t="n">
        <v>-17.852348</v>
      </c>
      <c r="F104" s="33" t="n">
        <v>1.4</v>
      </c>
      <c r="G104" s="33" t="n">
        <v>-115.94</v>
      </c>
      <c r="H104" s="33" t="n">
        <v>2.2250986</v>
      </c>
      <c r="I104" s="33">
        <f>IF(OR(E104="",R104="",R104&lt;=0,E104&lt;0),"",E104/R104)</f>
        <v/>
      </c>
      <c r="J104" s="33" t="n">
        <v>50</v>
      </c>
      <c r="K104" s="33" t="n">
        <v>-8.5</v>
      </c>
      <c r="L104" s="33" t="n">
        <v>0.67</v>
      </c>
      <c r="M104" s="33" t="n">
        <v>-257.98</v>
      </c>
      <c r="N104" s="33" t="n">
        <v>2.97</v>
      </c>
      <c r="O104" s="33" t="n">
        <v>34.4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43.3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2026-10-30</t>
        </is>
      </c>
      <c r="E105" s="33" t="n">
        <v>-11.397548</v>
      </c>
      <c r="F105" s="33" t="n">
        <v>8.9</v>
      </c>
      <c r="G105" s="33" t="n">
        <v>-18.11</v>
      </c>
      <c r="H105" s="33" t="n">
        <v>22.742409</v>
      </c>
      <c r="I105" s="33">
        <f>IF(OR(E105="",R105="",R105&lt;=0,E105&lt;0),"",E105/R105)</f>
        <v/>
      </c>
      <c r="J105" s="33" t="n">
        <v>37.5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49.2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38.3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2026-10-30</t>
        </is>
      </c>
      <c r="E106" s="33" t="n">
        <v>-5.1823897</v>
      </c>
      <c r="F106" s="33" t="n">
        <v>2.3</v>
      </c>
      <c r="G106" s="33" t="n">
        <v>-32.17</v>
      </c>
      <c r="H106" s="33" t="n">
        <v>6.7620254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35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2026-10-30</t>
        </is>
      </c>
      <c r="E107" s="33" t="n">
        <v>-13.161484</v>
      </c>
      <c r="F107" s="33" t="n">
        <v>3.3</v>
      </c>
      <c r="G107" s="33" t="n">
        <v>-23.31</v>
      </c>
      <c r="H107" s="33" t="n">
        <v>6.9792824</v>
      </c>
      <c r="I107" s="33">
        <f>IF(OR(E107="",R107="",R107&lt;=0,E107&lt;0),"",E107/R107)</f>
        <v/>
      </c>
      <c r="J107" s="33" t="n">
        <v>50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32.5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40.8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2026-10-30</t>
        </is>
      </c>
      <c r="E108" s="33" t="n">
        <v>-48.55605</v>
      </c>
      <c r="F108" s="33" t="n">
        <v>9.5</v>
      </c>
      <c r="G108" s="33" t="n">
        <v>-43.14</v>
      </c>
      <c r="H108" s="33" t="n">
        <v>35.143745</v>
      </c>
      <c r="I108" s="33">
        <f>IF(OR(E108="",R108="",R108&lt;=0,E108&lt;0),"",E108/R108)</f>
        <v/>
      </c>
      <c r="J108" s="33" t="n">
        <v>22.5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39.2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30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2026-10-30</t>
        </is>
      </c>
      <c r="E109" s="33" t="n">
        <v>79.25246</v>
      </c>
      <c r="F109" s="33" t="n">
        <v>137.8</v>
      </c>
      <c r="G109" s="33" t="n">
        <v>0.75</v>
      </c>
      <c r="H109" s="33" t="n">
        <v>72.291534</v>
      </c>
      <c r="I109" s="33">
        <f>IF(OR(E109="",R109="",R109&lt;=0,E109&lt;0),"",E109/R109)</f>
        <v/>
      </c>
      <c r="J109" s="33" t="n">
        <v>37.1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87.5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5</v>
      </c>
      <c r="Y109" s="33">
        <f>IFERROR((AVERAGE(T109,U109,V109,W109,X109)-1)*25,"")</f>
        <v/>
      </c>
      <c r="Z109" s="33" t="n">
        <v>5</v>
      </c>
      <c r="AA109" s="33" t="n">
        <v>3</v>
      </c>
      <c r="AB109" s="33" t="n">
        <v>3</v>
      </c>
      <c r="AC109" s="71" t="n">
        <v>61.7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2026-10-30</t>
        </is>
      </c>
      <c r="E110" s="33" t="n">
        <v>102.5014402952235</v>
      </c>
      <c r="F110" s="33" t="n">
        <v>97.90000000000001</v>
      </c>
      <c r="G110" s="33" t="n">
        <v>1.12</v>
      </c>
      <c r="H110" s="33" t="n">
        <v>19.688948</v>
      </c>
      <c r="I110" s="33">
        <f>IF(OR(E110="",R110="",R110&lt;=0,E110&lt;0),"",E110/R110)</f>
        <v/>
      </c>
      <c r="J110" s="33" t="n">
        <v>30.1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20.7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5</v>
      </c>
      <c r="Y110" s="33">
        <f>IFERROR((AVERAGE(T110,U110,V110,W110,X110)-1)*25,"")</f>
        <v/>
      </c>
      <c r="Z110" s="33" t="n">
        <v>5</v>
      </c>
      <c r="AA110" s="33" t="n">
        <v>5</v>
      </c>
      <c r="AB110" s="33" t="n">
        <v>3</v>
      </c>
      <c r="AC110" s="71" t="n">
        <v>90.8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5</v>
      </c>
      <c r="AF110" s="33" t="n">
        <v>5</v>
      </c>
      <c r="AG110" s="33" t="n">
        <v>4</v>
      </c>
      <c r="AH110" s="33" t="n">
        <v>3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2026-10-30</t>
        </is>
      </c>
      <c r="E111" s="33" t="n">
        <v>20.887087</v>
      </c>
      <c r="F111" s="33" t="n">
        <v>24.7</v>
      </c>
      <c r="G111" s="33" t="n">
        <v>4.38</v>
      </c>
      <c r="H111" s="33" t="n">
        <v>7.0268483</v>
      </c>
      <c r="I111" s="33">
        <f>IF(OR(E111="",R111="",R111&lt;=0,E111&lt;0),"",E111/R111)</f>
        <v/>
      </c>
      <c r="J111" s="33" t="n">
        <v>67.7</v>
      </c>
      <c r="K111" s="33" t="n">
        <v>5.33</v>
      </c>
      <c r="L111" s="33" t="n">
        <v>73.2</v>
      </c>
      <c r="M111" s="33" t="n">
        <v>30.78</v>
      </c>
      <c r="N111" s="33" t="n">
        <v>1.29</v>
      </c>
      <c r="O111" s="33" t="n">
        <v>53.2</v>
      </c>
      <c r="P111" s="33" t="n">
        <v>22.38</v>
      </c>
      <c r="Q111" s="33" t="n">
        <v>20.5</v>
      </c>
      <c r="R111" s="33" t="n"/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4</v>
      </c>
      <c r="Y111" s="33">
        <f>IFERROR((AVERAGE(T111,U111,V111,W111,X111)-1)*25,"")</f>
        <v/>
      </c>
      <c r="Z111" s="33" t="n">
        <v>2</v>
      </c>
      <c r="AA111" s="33" t="n">
        <v>5</v>
      </c>
      <c r="AB111" s="33" t="n">
        <v>5</v>
      </c>
      <c r="AC111" s="71" t="n">
        <v>84.2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5</v>
      </c>
      <c r="AF111" s="33" t="n">
        <v>4</v>
      </c>
      <c r="AG111" s="33" t="n">
        <v>4</v>
      </c>
      <c r="AH111" s="33" t="n">
        <v>3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2026-10-30</t>
        </is>
      </c>
      <c r="E112" s="33" t="n">
        <v>14.228323</v>
      </c>
      <c r="F112" s="33" t="n">
        <v>14.6</v>
      </c>
      <c r="G112" s="33" t="n">
        <v>8.08</v>
      </c>
      <c r="H112" s="33" t="n">
        <v>4.2702794</v>
      </c>
      <c r="I112" s="33">
        <f>IF(OR(E112="",R112="",R112&lt;=0,E112&lt;0),"",E112/R112)</f>
        <v/>
      </c>
      <c r="J112" s="33" t="n">
        <v>82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57.5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3</v>
      </c>
      <c r="AA112" s="33" t="n">
        <v>4</v>
      </c>
      <c r="AB112" s="33" t="n">
        <v>5</v>
      </c>
      <c r="AC112" s="71" t="n">
        <v>63.3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5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2026-10-30</t>
        </is>
      </c>
      <c r="E113" s="33" t="n">
        <v>21.885923</v>
      </c>
      <c r="F113" s="33" t="n">
        <v>33.165</v>
      </c>
      <c r="G113" s="33" t="n">
        <v>2.83</v>
      </c>
      <c r="H113" s="33" t="n">
        <v>7.8878508</v>
      </c>
      <c r="I113" s="33">
        <f>IF(OR(E113="",R113="",R113&lt;=0,E113&lt;0),"",E113/R113)</f>
        <v/>
      </c>
      <c r="J113" s="33" t="n">
        <v>54.9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76.2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53.3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2026-10-30</t>
        </is>
      </c>
      <c r="E114" s="33" t="n">
        <v>9.766674</v>
      </c>
      <c r="F114" s="33" t="n">
        <v>17.317</v>
      </c>
      <c r="G114" s="33" t="n">
        <v>0.17</v>
      </c>
      <c r="H114" s="33" t="n">
        <v>2.2410367</v>
      </c>
      <c r="I114" s="33">
        <f>IF(OR(E114="",R114="",R114&lt;=0,E114&lt;0),"",E114/R114)</f>
        <v/>
      </c>
      <c r="J114" s="33" t="n">
        <v>64.3</v>
      </c>
      <c r="K114" s="33" t="n">
        <v>8.779999999999999</v>
      </c>
      <c r="L114" s="33" t="n">
        <v>22.22</v>
      </c>
      <c r="M114" s="33" t="n">
        <v>0.39</v>
      </c>
      <c r="N114" s="33" t="n">
        <v>1.55</v>
      </c>
      <c r="O114" s="33" t="n">
        <v>38.1</v>
      </c>
      <c r="P114" s="33" t="n">
        <v>5.22</v>
      </c>
      <c r="Q114" s="33" t="n">
        <v>59.9</v>
      </c>
      <c r="R114" s="33" t="n">
        <v>59.8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36.7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2026-10-30</t>
        </is>
      </c>
      <c r="E115" s="33" t="n">
        <v>33.905907</v>
      </c>
      <c r="F115" s="33" t="n">
        <v>57.502</v>
      </c>
      <c r="G115" s="33" t="n">
        <v>0.99</v>
      </c>
      <c r="H115" s="33" t="n">
        <v>17.954872</v>
      </c>
      <c r="I115" s="33">
        <f>IF(OR(E115="",R115="",R115&lt;=0,E115&lt;0),"",E115/R115)</f>
        <v/>
      </c>
      <c r="J115" s="33" t="n">
        <v>34.8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58.2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35.8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2026-10-30</t>
        </is>
      </c>
      <c r="E116" s="33" t="n">
        <v>17.16753908884642</v>
      </c>
      <c r="F116" s="33" t="n">
        <v>55.828</v>
      </c>
      <c r="G116" s="33" t="n">
        <v>1.59</v>
      </c>
      <c r="H116" s="33" t="n">
        <v>17.389788</v>
      </c>
      <c r="I116" s="33">
        <f>IF(OR(E116="",R116="",R116&lt;=0,E116&lt;0),"",E116/R116)</f>
        <v/>
      </c>
      <c r="J116" s="33" t="n">
        <v>60.4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51.7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2026-10-30</t>
        </is>
      </c>
      <c r="E117" s="33" t="n">
        <v>13.27259508845624</v>
      </c>
      <c r="F117" s="33" t="n">
        <v>17.14</v>
      </c>
      <c r="G117" s="33" t="n">
        <v>3.33</v>
      </c>
      <c r="H117" s="33" t="n">
        <v>1.0206294</v>
      </c>
      <c r="I117" s="33">
        <f>IF(OR(E117="",R117="",R117&lt;=0,E117&lt;0),"",E117/R117)</f>
        <v/>
      </c>
      <c r="J117" s="33" t="n">
        <v>70.59999999999999</v>
      </c>
      <c r="K117" s="33" t="n">
        <v>11.09</v>
      </c>
      <c r="L117" s="33" t="n">
        <v>9.67</v>
      </c>
      <c r="M117" s="33" t="n">
        <v>3.4</v>
      </c>
      <c r="N117" s="33" t="n">
        <v>1.32</v>
      </c>
      <c r="O117" s="33" t="n">
        <v>39.1</v>
      </c>
      <c r="P117" s="33" t="n">
        <v>-0.6899999999999999</v>
      </c>
      <c r="Q117" s="33" t="n">
        <v>24.8</v>
      </c>
      <c r="R117" s="33" t="n">
        <v>32.2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37.5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2026-10-30</t>
        </is>
      </c>
      <c r="E118" s="33" t="n">
        <v>30.99392042450012</v>
      </c>
      <c r="F118" s="33" t="n">
        <v>116.989</v>
      </c>
      <c r="G118" s="33" t="n">
        <v>0.31</v>
      </c>
      <c r="H118" s="33" t="n">
        <v>9.798664</v>
      </c>
      <c r="I118" s="33">
        <f>IF(OR(E118="",R118="",R118&lt;=0,E118&lt;0),"",E118/R118)</f>
        <v/>
      </c>
      <c r="J118" s="33" t="n">
        <v>17.8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54.7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2026-10-30</t>
        </is>
      </c>
      <c r="E119" s="33" t="n">
        <v>78.95733</v>
      </c>
      <c r="F119" s="33" t="n">
        <v>85.5</v>
      </c>
      <c r="G119" s="33" t="n">
        <v>1.27</v>
      </c>
      <c r="H119" s="33" t="n">
        <v>21.331005</v>
      </c>
      <c r="I119" s="33">
        <f>IF(OR(E119="",R119="",R119&lt;=0,E119&lt;0),"",E119/R119)</f>
        <v/>
      </c>
      <c r="J119" s="33" t="n">
        <v>38.8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57.5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2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75.8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2026-10-30</t>
        </is>
      </c>
      <c r="E120" s="33" t="n">
        <v>157.5205669241901</v>
      </c>
      <c r="F120" s="33" t="n">
        <v>172.9</v>
      </c>
      <c r="G120" s="33" t="n">
        <v>0.6</v>
      </c>
      <c r="H120" s="33" t="n">
        <v>47.259884</v>
      </c>
      <c r="I120" s="33">
        <f>IF(OR(E120="",R120="",R120&lt;=0,E120&lt;0),"",E120/R120)</f>
        <v/>
      </c>
      <c r="J120" s="33" t="n">
        <v>12.5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52.5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92.5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2026-10-30</t>
        </is>
      </c>
      <c r="E121" s="33" t="n">
        <v>45.05896041326436</v>
      </c>
      <c r="F121" s="33" t="n">
        <v>43.5</v>
      </c>
      <c r="G121" s="33" t="n">
        <v>2.34</v>
      </c>
      <c r="H121" s="33" t="n">
        <v>10.1216135</v>
      </c>
      <c r="I121" s="33">
        <f>IF(OR(E121="",R121="",R121&lt;=0,E121&lt;0),"",E121/R121)</f>
        <v/>
      </c>
      <c r="J121" s="33" t="n">
        <v>46.7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48.5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66.7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2026-10-30</t>
        </is>
      </c>
      <c r="E122" s="33" t="n">
        <v>15.08971423926203</v>
      </c>
      <c r="F122" s="33" t="n">
        <v>16.5</v>
      </c>
      <c r="G122" s="33" t="n">
        <v>5.07</v>
      </c>
      <c r="H122" s="33" t="n">
        <v>4.156565</v>
      </c>
      <c r="I122" s="33">
        <f>IF(OR(E122="",R122="",R122&lt;=0,E122&lt;0),"",E122/R122)</f>
        <v/>
      </c>
      <c r="J122" s="33" t="n">
        <v>83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60.5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3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2026-10-30</t>
        </is>
      </c>
      <c r="E123" s="61" t="n">
        <v>61.8199761910188</v>
      </c>
      <c r="F123" s="61" t="n">
        <v>-52.994</v>
      </c>
      <c r="G123" s="62" t="n">
        <v>0.34</v>
      </c>
      <c r="H123" s="61" t="n">
        <v>6.7553062</v>
      </c>
      <c r="I123" s="33">
        <f>IF(OR(E123="",R123="",R123&lt;=0,E123&lt;0),"",E123/R123)</f>
        <v/>
      </c>
      <c r="J123" s="63" t="n">
        <v>41.7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22.1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35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2026-10-30</t>
        </is>
      </c>
      <c r="E124" s="61" t="n">
        <v>36.58613</v>
      </c>
      <c r="F124" s="61" t="n">
        <v>-123.632</v>
      </c>
      <c r="G124" s="62" t="n">
        <v>-0.13</v>
      </c>
      <c r="H124" s="61" t="n">
        <v>7.1423945</v>
      </c>
      <c r="I124" s="33">
        <f>IF(OR(E124="",R124="",R124&lt;=0,E124&lt;0),"",E124/R124)</f>
        <v/>
      </c>
      <c r="J124" s="63" t="n">
        <v>48.2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37.7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51.7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2026-10-30</t>
        </is>
      </c>
      <c r="E125" s="61" t="n">
        <v>149.32819</v>
      </c>
      <c r="F125" s="61" t="n">
        <v>-27.198</v>
      </c>
      <c r="G125" s="62" t="n">
        <v>0.74</v>
      </c>
      <c r="H125" s="61" t="n">
        <v>10.78134</v>
      </c>
      <c r="I125" s="33">
        <f>IF(OR(E125="",R125="",R125&lt;=0,E125&lt;0),"",E125/R125)</f>
        <v/>
      </c>
      <c r="J125" s="63" t="n">
        <v>30.7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45.1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29.2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2026-10-30</t>
        </is>
      </c>
      <c r="E126" s="61" t="n">
        <v>19.565475</v>
      </c>
      <c r="F126" s="61" t="n">
        <v>21.882</v>
      </c>
      <c r="G126" s="62" t="n">
        <v>2.85</v>
      </c>
      <c r="H126" s="61" t="n">
        <v>4.180722</v>
      </c>
      <c r="I126" s="33">
        <f>IF(OR(E126="",R126="",R126&lt;=0,E126&lt;0),"",E126/R126)</f>
        <v/>
      </c>
      <c r="J126" s="63" t="n">
        <v>69</v>
      </c>
      <c r="K126" s="62" t="n">
        <v>8.539999999999999</v>
      </c>
      <c r="L126" s="62" t="n">
        <v>45.02</v>
      </c>
      <c r="M126" s="62" t="n">
        <v>11.92</v>
      </c>
      <c r="N126" s="61" t="n">
        <v>0.63</v>
      </c>
      <c r="O126" s="63" t="n">
        <v>53.8</v>
      </c>
      <c r="P126" s="62" t="n">
        <v>7.4</v>
      </c>
      <c r="Q126" s="62" t="n">
        <v>20.3</v>
      </c>
      <c r="R126" s="62" t="n">
        <v>24.1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52.5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2026-10-30</t>
        </is>
      </c>
      <c r="E127" s="33" t="n">
        <v>14.28587960834933</v>
      </c>
      <c r="F127" s="33" t="n">
        <v>14.192</v>
      </c>
      <c r="G127" s="33" t="n">
        <v>4.53</v>
      </c>
      <c r="H127" s="33" t="n">
        <v>3.1558588</v>
      </c>
      <c r="I127" s="33">
        <f>IF(OR(E127="",R127="",R127&lt;=0,E127&lt;0),"",E127/R127)</f>
        <v/>
      </c>
      <c r="J127" s="33" t="n">
        <v>73.09999999999999</v>
      </c>
      <c r="K127" s="33" t="n">
        <v>18.42</v>
      </c>
      <c r="L127" s="33" t="n">
        <v>23.13</v>
      </c>
      <c r="M127" s="33" t="n">
        <v>14.31</v>
      </c>
      <c r="N127" s="33" t="n">
        <v>-1.32</v>
      </c>
      <c r="O127" s="33" t="n">
        <v>75.40000000000001</v>
      </c>
      <c r="P127" s="33" t="n">
        <v>23.23</v>
      </c>
      <c r="Q127" s="33" t="n">
        <v>22.5</v>
      </c>
      <c r="R127" s="33" t="n">
        <v>12.7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20.8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2026-10-30</t>
        </is>
      </c>
      <c r="E128" s="33" t="n">
        <v>18.629864</v>
      </c>
      <c r="F128" s="33" t="n">
        <v>22.199</v>
      </c>
      <c r="G128" s="33" t="n">
        <v>-2.4</v>
      </c>
      <c r="H128" s="33" t="n">
        <v>2.836579</v>
      </c>
      <c r="I128" s="33">
        <f>IF(OR(E128="",R128="",R128&lt;=0,E128&lt;0),"",E128/R128)</f>
        <v/>
      </c>
      <c r="J128" s="33" t="n">
        <v>57.7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44.9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37.5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2026-10-30</t>
        </is>
      </c>
      <c r="F129" s="33" t="n">
        <v>31.66</v>
      </c>
      <c r="G129" s="33" t="n">
        <v>2.21</v>
      </c>
      <c r="H129" s="33" t="n">
        <v>13.54</v>
      </c>
      <c r="I129" s="33">
        <f>IF(OR(E129="",R129="",R129&lt;=0,E129&lt;0),"",E129/R129)</f>
        <v/>
      </c>
      <c r="J129" s="33" t="n">
        <v>35.2</v>
      </c>
      <c r="K129" s="33" t="n">
        <v>29.89</v>
      </c>
      <c r="L129" s="33" t="n">
        <v>64.72</v>
      </c>
      <c r="M129" s="33" t="n">
        <v>29.92</v>
      </c>
      <c r="N129" s="33" t="n">
        <v>-0.64</v>
      </c>
      <c r="O129" s="33" t="n">
        <v>89.7</v>
      </c>
      <c r="P129" s="33" t="n">
        <v>-6.48</v>
      </c>
      <c r="Q129" s="33" t="n">
        <v>113.5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29.2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2026-10-30</t>
        </is>
      </c>
      <c r="E130" s="33" t="n">
        <v>20.350807</v>
      </c>
      <c r="F130" s="33" t="n">
        <v>29.111</v>
      </c>
      <c r="G130" s="33" t="n">
        <v>0.54</v>
      </c>
      <c r="H130" s="33" t="n">
        <v>6.855124</v>
      </c>
      <c r="I130" s="33">
        <f>IF(OR(E130="",R130="",R130&lt;=0,E130&lt;0),"",E130/R130)</f>
        <v/>
      </c>
      <c r="J130" s="33" t="n">
        <v>50.4</v>
      </c>
      <c r="K130" s="33" t="n">
        <v>6.08</v>
      </c>
      <c r="L130" s="33" t="n">
        <v>50.18</v>
      </c>
      <c r="M130" s="33" t="n">
        <v>3.73</v>
      </c>
      <c r="N130" s="33" t="n">
        <v>-1.47</v>
      </c>
      <c r="O130" s="33" t="n">
        <v>49.8</v>
      </c>
      <c r="P130" s="33" t="n">
        <v>1.62</v>
      </c>
      <c r="Q130" s="33" t="n">
        <v>38.4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41.7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2026-10-30</t>
        </is>
      </c>
      <c r="E131" s="33" t="n">
        <v>14.160826</v>
      </c>
      <c r="F131" s="33" t="n">
        <v>27.146</v>
      </c>
      <c r="G131" s="33" t="n">
        <v>0.78</v>
      </c>
      <c r="H131" s="33" t="n">
        <v>4.324221</v>
      </c>
      <c r="I131" s="33">
        <f>IF(OR(E131="",R131="",R131&lt;=0,E131&lt;0),"",E131/R131)</f>
        <v/>
      </c>
      <c r="J131" s="33" t="n">
        <v>59.7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51.5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22.5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2026-10-30</t>
        </is>
      </c>
      <c r="E132" s="33" t="n">
        <v>-66.298996</v>
      </c>
      <c r="F132" s="33" t="n">
        <v>-26.574</v>
      </c>
      <c r="G132" s="33" t="n">
        <v>-3.09</v>
      </c>
      <c r="H132" s="33" t="n">
        <v>60.04245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3.8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29.2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2026-10-30</t>
        </is>
      </c>
      <c r="E133" s="33" t="n">
        <v>27.93890523192619</v>
      </c>
      <c r="F133" s="33" t="n">
        <v>157.308</v>
      </c>
      <c r="G133" s="33" t="n">
        <v>1.25</v>
      </c>
      <c r="H133" s="33" t="n">
        <v>19.973036</v>
      </c>
      <c r="I133" s="33">
        <f>IF(OR(E133="",R133="",R133&lt;=0,E133&lt;0),"",E133/R133)</f>
        <v/>
      </c>
      <c r="J133" s="33" t="n">
        <v>35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65.7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44.2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2026-10-30</t>
        </is>
      </c>
      <c r="E134" s="33" t="n">
        <v>21.788933</v>
      </c>
      <c r="F134" s="33" t="n">
        <v>26.634</v>
      </c>
      <c r="G134" s="33" t="n">
        <v>3.45</v>
      </c>
      <c r="H134" s="33" t="n">
        <v>11.387507</v>
      </c>
      <c r="I134" s="33">
        <f>IF(OR(E134="",R134="",R134&lt;=0,E134&lt;0),"",E134/R134)</f>
        <v/>
      </c>
      <c r="J134" s="33" t="n">
        <v>64.3</v>
      </c>
      <c r="K134" s="33" t="n">
        <v>17.02</v>
      </c>
      <c r="L134" s="33" t="n">
        <v>79.91</v>
      </c>
      <c r="M134" s="33" t="n">
        <v>39.31</v>
      </c>
      <c r="N134" s="33" t="n">
        <v>-2.24</v>
      </c>
      <c r="O134" s="33" t="n">
        <v>84.3</v>
      </c>
      <c r="P134" s="33" t="n">
        <v>15.88</v>
      </c>
      <c r="Q134" s="33" t="n">
        <v>22.3</v>
      </c>
      <c r="R134" s="33" t="n">
        <v>54.1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35.8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2026-10-30</t>
        </is>
      </c>
      <c r="E135" s="33" t="n">
        <v>12.03256959835754</v>
      </c>
      <c r="F135" s="33" t="n">
        <v>27.646</v>
      </c>
      <c r="G135" s="33" t="n">
        <v>2.86</v>
      </c>
      <c r="H135" s="33" t="n">
        <v>10.551015</v>
      </c>
      <c r="I135" s="33">
        <f>IF(OR(E135="",R135="",R135&lt;=0,E135&lt;0),"",E135/R135)</f>
        <v/>
      </c>
      <c r="J135" s="33" t="n">
        <v>51</v>
      </c>
      <c r="K135" s="33" t="n">
        <v>65.98999999999999</v>
      </c>
      <c r="L135" s="33" t="n">
        <v>50.35</v>
      </c>
      <c r="M135" s="33" t="n">
        <v>30.13</v>
      </c>
      <c r="N135" s="33" t="n">
        <v>0.19</v>
      </c>
      <c r="O135" s="33" t="n">
        <v>83.40000000000001</v>
      </c>
      <c r="P135" s="33" t="n">
        <v>18.2</v>
      </c>
      <c r="Q135" s="33" t="n">
        <v>61</v>
      </c>
      <c r="R135" s="33" t="n">
        <v>220.8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50.8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2026-10-30</t>
        </is>
      </c>
      <c r="E136" s="33" t="n">
        <v>-1568.2258</v>
      </c>
      <c r="F136" s="33" t="n">
        <v>-53.8</v>
      </c>
      <c r="G136" s="33" t="n">
        <v>-2.06</v>
      </c>
      <c r="H136" s="33" t="n">
        <v>9.250059</v>
      </c>
      <c r="I136" s="33">
        <f>IF(OR(E136="",R136="",R136&lt;=0,E136&lt;0),"",E136/R136)</f>
        <v/>
      </c>
      <c r="J136" s="33" t="n">
        <v>42.7</v>
      </c>
      <c r="K136" s="33" t="n">
        <v>-11.32</v>
      </c>
      <c r="L136" s="33" t="n">
        <v>63.98</v>
      </c>
      <c r="M136" s="33" t="n">
        <v>-19.06</v>
      </c>
      <c r="O136" s="33" t="n">
        <v>14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3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64.2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4</v>
      </c>
      <c r="AF136" s="33" t="n">
        <v>5</v>
      </c>
      <c r="AG136" s="33" t="n">
        <v>2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2026-10-30</t>
        </is>
      </c>
      <c r="E137" s="33" t="n">
        <v>19.220526</v>
      </c>
      <c r="F137" s="33" t="n">
        <v>24.073</v>
      </c>
      <c r="G137" s="33" t="n">
        <v>-10.28</v>
      </c>
      <c r="H137" s="33" t="n">
        <v>9.288527999999999</v>
      </c>
      <c r="I137" s="33">
        <f>IF(OR(E137="",R137="",R137&lt;=0,E137&lt;0),"",E137/R137)</f>
        <v/>
      </c>
      <c r="J137" s="33" t="n">
        <v>46.4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35.2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55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2026-10-30</t>
        </is>
      </c>
      <c r="E138" s="33" t="n">
        <v>46.538124</v>
      </c>
      <c r="F138" s="33" t="n">
        <v>-17.174</v>
      </c>
      <c r="G138" s="33" t="n">
        <v>-23.24</v>
      </c>
      <c r="H138" s="33" t="n">
        <v>0.79768145</v>
      </c>
      <c r="I138" s="33">
        <f>IF(OR(E138="",R138="",R138&lt;=0,E138&lt;0),"",E138/R138)</f>
        <v/>
      </c>
      <c r="J138" s="33" t="n">
        <v>51.8</v>
      </c>
      <c r="K138" s="33" t="n">
        <v>-12.78</v>
      </c>
      <c r="L138" s="33" t="n">
        <v>5.9</v>
      </c>
      <c r="M138" s="33" t="n">
        <v>-18.54</v>
      </c>
      <c r="O138" s="33" t="n">
        <v>17.7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28.3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2026-10-30</t>
        </is>
      </c>
      <c r="E139" s="33" t="n">
        <v>13.911042</v>
      </c>
      <c r="F139" s="33" t="n">
        <v>12.567</v>
      </c>
      <c r="G139" s="33" t="n">
        <v>6.41</v>
      </c>
      <c r="H139" s="33" t="n">
        <v>1.5469338</v>
      </c>
      <c r="I139" s="33">
        <f>IF(OR(E139="",R139="",R139&lt;=0,E139&lt;0),"",E139/R139)</f>
        <v/>
      </c>
      <c r="J139" s="33" t="n">
        <v>79.40000000000001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72.09999999999999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49.2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2026-10-30</t>
        </is>
      </c>
      <c r="E140" s="33" t="n">
        <v>35.073814</v>
      </c>
      <c r="F140" s="33" t="n">
        <v>6.367</v>
      </c>
      <c r="G140" s="33" t="n">
        <v>-2.26</v>
      </c>
      <c r="H140" s="33" t="n">
        <v>0.77898157</v>
      </c>
      <c r="I140" s="33">
        <f>IF(OR(E140="",R140="",R140&lt;=0,E140&lt;0),"",E140/R140)</f>
        <v/>
      </c>
      <c r="J140" s="33" t="n">
        <v>61.3</v>
      </c>
      <c r="K140" s="33" t="n">
        <v>-0.68</v>
      </c>
      <c r="L140" s="33" t="n">
        <v>25.15</v>
      </c>
      <c r="M140" s="33" t="n">
        <v>-1.76</v>
      </c>
      <c r="N140" s="33" t="n">
        <v>0.92</v>
      </c>
      <c r="O140" s="33" t="n">
        <v>48.6</v>
      </c>
      <c r="P140" s="33" t="n">
        <v>-0.28</v>
      </c>
      <c r="Q140" s="33" t="n">
        <v>20.9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13.3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2026-10-30</t>
        </is>
      </c>
      <c r="E141" s="33" t="n">
        <v>9.418995000000001</v>
      </c>
      <c r="F141" s="33" t="n">
        <v>22.783</v>
      </c>
      <c r="G141" s="33" t="n">
        <v>-9.26</v>
      </c>
      <c r="H141" s="33" t="n">
        <v>0.7525455</v>
      </c>
      <c r="I141" s="33">
        <f>IF(OR(E141="",R141="",R141&lt;=0,E141&lt;0),"",E141/R141)</f>
        <v/>
      </c>
      <c r="J141" s="33" t="n">
        <v>57.3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47.1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15.8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2026-10-30</t>
        </is>
      </c>
      <c r="E142" s="33" t="n">
        <v>70.53173</v>
      </c>
      <c r="F142" s="33" t="n">
        <v>10</v>
      </c>
      <c r="G142" s="33" t="n">
        <v>-85.28</v>
      </c>
      <c r="H142" s="33" t="n">
        <v>4.297163</v>
      </c>
      <c r="I142" s="33">
        <f>IF(OR(E142="",R142="",R142&lt;=0,E142&lt;0),"",E142/R142)</f>
        <v/>
      </c>
      <c r="J142" s="33" t="n">
        <v>32.5</v>
      </c>
      <c r="K142" s="33" t="n">
        <v>-3.71</v>
      </c>
      <c r="L142" s="33" t="n">
        <v>85.91</v>
      </c>
      <c r="M142" s="33" t="n">
        <v>-366.45</v>
      </c>
      <c r="O142" s="33" t="n">
        <v>57.5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36.7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2026-10-30</t>
        </is>
      </c>
      <c r="E143" s="33" t="n">
        <v>-2.8431</v>
      </c>
      <c r="F143" s="33" t="n">
        <v>0.6</v>
      </c>
      <c r="G143" s="33" t="n">
        <v>-38.6</v>
      </c>
      <c r="H143" s="33" t="n">
        <v>261.40457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33.92</v>
      </c>
      <c r="M143" s="33" t="n">
        <v>-10091.25</v>
      </c>
      <c r="O143" s="33" t="n">
        <v>34.2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42.5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2026-10-30</t>
        </is>
      </c>
      <c r="E144" s="33" t="n">
        <v>-20.786667</v>
      </c>
      <c r="F144" s="33" t="n">
        <v>1.3</v>
      </c>
      <c r="G144" s="33" t="n">
        <v>-23.51</v>
      </c>
      <c r="H144" s="33" t="n">
        <v>1.5488018</v>
      </c>
      <c r="I144" s="33">
        <f>IF(OR(E144="",R144="",R144&lt;=0,E144&lt;0),"",E144/R144)</f>
        <v/>
      </c>
      <c r="J144" s="33" t="n">
        <v>63.8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36.9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42.5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2026-10-30</t>
        </is>
      </c>
      <c r="E145" s="33" t="n">
        <v>25.834581</v>
      </c>
      <c r="F145" s="33" t="n">
        <v>27.198</v>
      </c>
      <c r="G145" s="33" t="n">
        <v>2.69</v>
      </c>
      <c r="H145" s="33" t="n">
        <v>13.105714</v>
      </c>
      <c r="I145" s="33">
        <f>IF(OR(E145="",R145="",R145&lt;=0,E145&lt;0),"",E145/R145)</f>
        <v/>
      </c>
      <c r="J145" s="33" t="n">
        <v>52</v>
      </c>
      <c r="K145" s="33" t="n">
        <v>22.09</v>
      </c>
      <c r="L145" s="33" t="n">
        <v>60.24</v>
      </c>
      <c r="M145" s="33" t="n">
        <v>35.24</v>
      </c>
      <c r="N145" s="33" t="n">
        <v>0.51</v>
      </c>
      <c r="O145" s="33" t="n">
        <v>75.09999999999999</v>
      </c>
      <c r="P145" s="33" t="n">
        <v>-4.07</v>
      </c>
      <c r="Q145" s="33" t="n">
        <v>27.7</v>
      </c>
      <c r="R145" s="33" t="n">
        <v>77.8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2026-10-30</t>
        </is>
      </c>
      <c r="E146" s="33" t="n">
        <v>16.098965</v>
      </c>
      <c r="F146" s="33" t="n">
        <v>16.809</v>
      </c>
      <c r="G146" s="33" t="n">
        <v>5.95</v>
      </c>
      <c r="H146" s="33" t="n">
        <v>3.9736552</v>
      </c>
      <c r="I146" s="33">
        <f>IF(OR(E146="",R146="",R146&lt;=0,E146&lt;0),"",E146/R146)</f>
        <v/>
      </c>
      <c r="J146" s="33" t="n">
        <v>66.90000000000001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61.4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2026-10-30</t>
        </is>
      </c>
      <c r="E147" s="33" t="n">
        <v>25.006393</v>
      </c>
      <c r="F147" s="33" t="n">
        <v>31.316</v>
      </c>
      <c r="G147" s="33" t="n">
        <v>2.47</v>
      </c>
      <c r="H147" s="33" t="n">
        <v>14.403365</v>
      </c>
      <c r="I147" s="33">
        <f>IF(OR(E147="",R147="",R147&lt;=0,E147&lt;0),"",E147/R147)</f>
        <v/>
      </c>
      <c r="J147" s="33" t="n">
        <v>47.5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70.2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2026-10-30</t>
        </is>
      </c>
      <c r="E148" s="33" t="n">
        <v>17.497234</v>
      </c>
      <c r="F148" s="33" t="n">
        <v>14.235</v>
      </c>
      <c r="G148" s="33" t="n">
        <v>1.25</v>
      </c>
      <c r="H148" s="33" t="n">
        <v>3.0220609</v>
      </c>
      <c r="I148" s="33">
        <f>IF(OR(E148="",R148="",R148&lt;=0,E148&lt;0),"",E148/R148)</f>
        <v/>
      </c>
      <c r="J148" s="33" t="n">
        <v>63.3</v>
      </c>
      <c r="K148" s="33" t="n">
        <v>2.59</v>
      </c>
      <c r="L148" s="33" t="n">
        <v>35.36</v>
      </c>
      <c r="M148" s="33" t="n">
        <v>3.77</v>
      </c>
      <c r="N148" s="33" t="n">
        <v>-0.7</v>
      </c>
      <c r="O148" s="33" t="n">
        <v>31.4</v>
      </c>
      <c r="P148" s="33" t="n">
        <v>-9.890000000000001</v>
      </c>
      <c r="Q148" s="33" t="n">
        <v>17.9</v>
      </c>
      <c r="R148" s="33" t="n">
        <v>22.8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43.3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2026-10-30</t>
        </is>
      </c>
      <c r="E149" s="33" t="n">
        <v>14.010744</v>
      </c>
      <c r="F149" s="33" t="n">
        <v>13.822</v>
      </c>
      <c r="G149" s="33" t="n">
        <v>5.15</v>
      </c>
      <c r="H149" s="33" t="n">
        <v>4.6875863</v>
      </c>
      <c r="I149" s="33">
        <f>IF(OR(E149="",R149="",R149&lt;=0,E149&lt;0),"",E149/R149)</f>
        <v/>
      </c>
      <c r="J149" s="33" t="n">
        <v>70.8</v>
      </c>
      <c r="K149" s="33" t="n">
        <v>13.38</v>
      </c>
      <c r="L149" s="33" t="n">
        <v>56.46</v>
      </c>
      <c r="M149" s="33" t="n">
        <v>24.16</v>
      </c>
      <c r="N149" s="33" t="n">
        <v>1.31</v>
      </c>
      <c r="O149" s="33" t="n">
        <v>57.4</v>
      </c>
      <c r="P149" s="33" t="n">
        <v>-2.42</v>
      </c>
      <c r="Q149" s="33" t="n">
        <v>19.3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43.3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2026-10-30</t>
        </is>
      </c>
      <c r="E150" s="33" t="n">
        <v>17.49331127068182</v>
      </c>
      <c r="F150" s="33" t="n">
        <v>32.651</v>
      </c>
      <c r="G150" s="33" t="n">
        <v>2.68</v>
      </c>
      <c r="H150" s="33" t="n">
        <v>8.097479999999999</v>
      </c>
      <c r="I150" s="33">
        <f>IF(OR(E150="",R150="",R150&lt;=0,E150&lt;0),"",E150/R150)</f>
        <v/>
      </c>
      <c r="J150" s="33" t="n">
        <v>47.5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41.7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39.2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2026-10-30</t>
        </is>
      </c>
      <c r="E151" s="33" t="n">
        <v>15.509532</v>
      </c>
      <c r="F151" s="33" t="n">
        <v>14.429</v>
      </c>
      <c r="G151" s="33" t="n">
        <v>5.45</v>
      </c>
      <c r="H151" s="33" t="n">
        <v>4.445461</v>
      </c>
      <c r="I151" s="33">
        <f>IF(OR(E151="",R151="",R151&lt;=0,E151&lt;0),"",E151/R151)</f>
        <v/>
      </c>
      <c r="J151" s="33" t="n">
        <v>67.8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53.1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35.8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2026-10-30</t>
        </is>
      </c>
      <c r="E152" s="33" t="n">
        <v>14.690073</v>
      </c>
      <c r="F152" s="33" t="n">
        <v>15.154</v>
      </c>
      <c r="G152" s="33" t="n">
        <v>2.01</v>
      </c>
      <c r="H152" s="33" t="n">
        <v>5.0675917</v>
      </c>
      <c r="I152" s="33">
        <f>IF(OR(E152="",R152="",R152&lt;=0,E152&lt;0),"",E152/R152)</f>
        <v/>
      </c>
      <c r="J152" s="33" t="n">
        <v>56.9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39.4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2026-10-30</t>
        </is>
      </c>
      <c r="E153" s="33" t="n">
        <v>11.26479586832963</v>
      </c>
      <c r="F153" s="33" t="n">
        <v>23.387</v>
      </c>
      <c r="G153" s="33" t="n">
        <v>3.13</v>
      </c>
      <c r="H153" s="33" t="n">
        <v>9.463022</v>
      </c>
      <c r="I153" s="33">
        <f>IF(OR(E153="",R153="",R153&lt;=0,E153&lt;0),"",E153/R153)</f>
        <v/>
      </c>
      <c r="J153" s="33" t="n">
        <v>64.40000000000001</v>
      </c>
      <c r="K153" s="33" t="n">
        <v>54.87</v>
      </c>
      <c r="L153" s="33" t="n">
        <v>52.6</v>
      </c>
      <c r="M153" s="33" t="n">
        <v>29.62</v>
      </c>
      <c r="N153" s="33" t="n">
        <v>-0.06</v>
      </c>
      <c r="O153" s="33" t="n">
        <v>82.8</v>
      </c>
      <c r="P153" s="33" t="n">
        <v>27.35</v>
      </c>
      <c r="Q153" s="33" t="n">
        <v>55.5</v>
      </c>
      <c r="R153" s="33" t="n">
        <v>161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35.8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2026-10-30</t>
        </is>
      </c>
      <c r="E154" s="33" t="n">
        <v>74.80319</v>
      </c>
      <c r="F154" s="33" t="n">
        <v>75.59999999999999</v>
      </c>
      <c r="G154" s="33" t="n">
        <v>1.38</v>
      </c>
      <c r="H154" s="33" t="n">
        <v>26.019789</v>
      </c>
      <c r="I154" s="33">
        <f>IF(OR(E154="",R154="",R154&lt;=0,E154&lt;0),"",E154/R154)</f>
        <v/>
      </c>
      <c r="J154" s="33" t="n">
        <v>24.4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57.5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2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87.5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2026-10-30</t>
        </is>
      </c>
      <c r="E155" s="33" t="n">
        <v>11.251283</v>
      </c>
      <c r="F155" s="33" t="n"/>
      <c r="G155" s="33" t="n">
        <v>4.11</v>
      </c>
      <c r="H155" s="33" t="n">
        <v>11.316854</v>
      </c>
      <c r="I155" s="33">
        <f>IF(OR(E155="",R155="",R155&lt;=0,E155&lt;0),"",E155/R155)</f>
        <v/>
      </c>
      <c r="J155" s="33" t="n">
        <v>75.5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90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5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26.7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5</v>
      </c>
      <c r="AF155" s="33" t="n">
        <v>5</v>
      </c>
      <c r="AG155" s="33" t="n">
        <v>4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2026-10-30</t>
        </is>
      </c>
      <c r="E156" s="33" t="n">
        <v>9.106586999999999</v>
      </c>
      <c r="F156" s="33" t="n">
        <v>9.199999999999999</v>
      </c>
      <c r="G156" s="33" t="n">
        <v>10.86</v>
      </c>
      <c r="H156" s="33" t="n">
        <v>3.754124</v>
      </c>
      <c r="I156" s="33">
        <f>IF(OR(E156="",R156="",R156&lt;=0,E156&lt;0),"",E156/R156)</f>
        <v/>
      </c>
      <c r="J156" s="33" t="n">
        <v>80.59999999999999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88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4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42.5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2026-10-30</t>
        </is>
      </c>
      <c r="E157" s="33" t="n">
        <v>34.986828</v>
      </c>
      <c r="F157" s="33" t="n">
        <v>31.4</v>
      </c>
      <c r="G157" s="33" t="n">
        <v>3.14</v>
      </c>
      <c r="H157" s="33" t="n">
        <v>12.610893</v>
      </c>
      <c r="I157" s="33">
        <f>IF(OR(E157="",R157="",R157&lt;=0,E157&lt;0),"",E157/R157)</f>
        <v/>
      </c>
      <c r="J157" s="33" t="n">
        <v>51.5</v>
      </c>
      <c r="K157" s="33" t="n">
        <v>32.8</v>
      </c>
      <c r="L157" s="33" t="n">
        <v>79.75</v>
      </c>
      <c r="M157" s="33" t="n">
        <v>39.55</v>
      </c>
      <c r="N157" s="33" t="n">
        <v>-1.56</v>
      </c>
      <c r="O157" s="33" t="n">
        <v>81.5</v>
      </c>
      <c r="P157" s="33" t="n">
        <v>15.46</v>
      </c>
      <c r="Q157" s="33" t="n">
        <v>20.5</v>
      </c>
      <c r="R157" s="33" t="n">
        <v>34.1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2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87.5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2026-10-30</t>
        </is>
      </c>
      <c r="E158" s="33" t="n">
        <v>45.54571581742874</v>
      </c>
      <c r="F158" s="33" t="n">
        <v>49.8</v>
      </c>
      <c r="G158" s="33" t="n">
        <v>2.01</v>
      </c>
      <c r="H158" s="33" t="n">
        <v>11.535584</v>
      </c>
      <c r="I158" s="33">
        <f>IF(OR(E158="",R158="",R158&lt;=0,E158&lt;0),"",E158/R158)</f>
        <v/>
      </c>
      <c r="J158" s="33" t="n">
        <v>42.7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49.5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5</v>
      </c>
      <c r="AA158" s="33" t="n">
        <v>5</v>
      </c>
      <c r="AB158" s="33" t="n">
        <v>3</v>
      </c>
      <c r="AC158" s="33" t="n">
        <v>77.5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2026-10-30</t>
        </is>
      </c>
      <c r="E159" s="33" t="n">
        <v>13.60497604733575</v>
      </c>
      <c r="F159" s="33" t="n">
        <v>10.4</v>
      </c>
      <c r="G159" s="33" t="n">
        <v>9.43</v>
      </c>
      <c r="H159" s="33" t="n">
        <v>4.258856</v>
      </c>
      <c r="I159" s="33">
        <f>IF(OR(E159="",R159="",R159&lt;=0,E159&lt;0),"",E159/R159)</f>
        <v/>
      </c>
      <c r="J159" s="33" t="n">
        <v>89.5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77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3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38.3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4</v>
      </c>
      <c r="AH159" s="33" t="n">
        <v>2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2026-10-30</t>
        </is>
      </c>
      <c r="E160" s="33" t="n">
        <v>15.10621808691015</v>
      </c>
      <c r="F160" s="33" t="n">
        <v>16.7</v>
      </c>
      <c r="G160" s="33" t="n">
        <v>5.98</v>
      </c>
      <c r="H160" s="33" t="n">
        <v>4.6819973</v>
      </c>
      <c r="I160" s="33">
        <f>IF(OR(E160="",R160="",R160&lt;=0,E160&lt;0),"",E160/R160)</f>
        <v/>
      </c>
      <c r="J160" s="33" t="n">
        <v>78.8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61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3</v>
      </c>
      <c r="W160" s="33" t="n">
        <v>4</v>
      </c>
      <c r="X160" s="33" t="n">
        <v>3</v>
      </c>
      <c r="Y160" s="33">
        <f>IFERROR((AVERAGE(T160,U160,V160,W160,X160)-1)*25,"")</f>
        <v/>
      </c>
      <c r="Z160" s="33" t="n">
        <v>5</v>
      </c>
      <c r="AA160" s="33" t="n">
        <v>5</v>
      </c>
      <c r="AB160" s="33" t="n">
        <v>3</v>
      </c>
      <c r="AC160" s="33" t="n">
        <v>78.3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4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2026-10-30</t>
        </is>
      </c>
      <c r="E161" s="33" t="n">
        <v>17.70756803771692</v>
      </c>
      <c r="F161" s="33" t="n">
        <v>17.9</v>
      </c>
      <c r="G161" s="33" t="n">
        <v>5.39</v>
      </c>
      <c r="H161" s="33" t="n">
        <v>6.6818295</v>
      </c>
      <c r="I161" s="33">
        <f>IF(OR(E161="",R161="",R161&lt;=0,E161&lt;0),"",E161/R161)</f>
        <v/>
      </c>
      <c r="J161" s="33" t="n">
        <v>76.40000000000001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87.5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2</v>
      </c>
      <c r="Y161" s="33">
        <f>IFERROR((AVERAGE(T161,U161,V161,W161,X161)-1)*25,"")</f>
        <v/>
      </c>
      <c r="Z161" s="33" t="n">
        <v>3</v>
      </c>
      <c r="AA161" s="33" t="n">
        <v>1</v>
      </c>
      <c r="AB161" s="33" t="n">
        <v>5</v>
      </c>
      <c r="AC161" s="33" t="n">
        <v>43.3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3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2026-10-30</t>
        </is>
      </c>
      <c r="E162" s="33" t="n">
        <v>185.02908</v>
      </c>
      <c r="F162" s="33" t="n">
        <v>475</v>
      </c>
      <c r="G162" s="33" t="n">
        <v>0.21</v>
      </c>
      <c r="H162" s="33" t="n">
        <v>15.219938</v>
      </c>
      <c r="I162" s="33">
        <f>IF(OR(E162="",R162="",R162&lt;=0,E162&lt;0),"",E162/R162)</f>
        <v/>
      </c>
      <c r="J162" s="33" t="n">
        <v>12.4</v>
      </c>
      <c r="K162" s="33" t="n">
        <v>2.41</v>
      </c>
      <c r="L162" s="33" t="n">
        <v>19.29</v>
      </c>
      <c r="M162" s="33" t="n">
        <v>3.18</v>
      </c>
      <c r="N162" s="33" t="n">
        <v>-2.95</v>
      </c>
      <c r="O162" s="33" t="n">
        <v>39.5</v>
      </c>
      <c r="P162" s="33" t="n">
        <v>5.19</v>
      </c>
      <c r="Q162" s="33" t="n">
        <v>-0.2</v>
      </c>
      <c r="R162" s="33" t="n">
        <v>-42.7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2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55.8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2026-10-30</t>
        </is>
      </c>
      <c r="E163" s="33" t="n">
        <v>35.99922</v>
      </c>
      <c r="F163" s="33" t="n">
        <v>37.4</v>
      </c>
      <c r="G163" s="33" t="n">
        <v>2.72</v>
      </c>
      <c r="H163" s="33" t="n">
        <v>10.763146</v>
      </c>
      <c r="I163" s="33">
        <f>IF(OR(E163="",R163="",R163&lt;=0,E163&lt;0),"",E163/R163)</f>
        <v/>
      </c>
      <c r="J163" s="33" t="n">
        <v>44.6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62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2026-10-30</t>
        </is>
      </c>
      <c r="E164" s="33" t="n">
        <v>57.604332</v>
      </c>
      <c r="F164" s="33" t="n">
        <v>-47.4</v>
      </c>
      <c r="G164" s="33" t="n">
        <v>-2.19</v>
      </c>
      <c r="H164" s="33" t="n">
        <v>57.239376</v>
      </c>
      <c r="I164" s="33">
        <f>IF(OR(E164="",R164="",R164&lt;=0,E164&lt;0),"",E164/R164)</f>
        <v/>
      </c>
      <c r="J164" s="33" t="n">
        <v>30.2</v>
      </c>
      <c r="K164" s="33" t="n">
        <v>-0.23</v>
      </c>
      <c r="L164" s="33" t="n">
        <v>56.76</v>
      </c>
      <c r="M164" s="33" t="n">
        <v>-125.32</v>
      </c>
      <c r="N164" s="33" t="n">
        <v>-4.31</v>
      </c>
      <c r="O164" s="33" t="n">
        <v>36.5</v>
      </c>
      <c r="P164" s="33" t="n">
        <v>34.1</v>
      </c>
      <c r="Q164" s="33" t="n">
        <v>161.4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2026-10-30</t>
        </is>
      </c>
      <c r="E165" s="33" t="n">
        <v>18.524107</v>
      </c>
      <c r="F165" s="33" t="n">
        <v>31.463</v>
      </c>
      <c r="G165" s="33" t="n">
        <v>2.18</v>
      </c>
      <c r="H165" s="33" t="n">
        <v>3.4795837</v>
      </c>
      <c r="I165" s="33">
        <f>IF(OR(E165="",R165="",R165&lt;=0,E165&lt;0),"",E165/R165)</f>
        <v/>
      </c>
      <c r="J165" s="33" t="n">
        <v>54.9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46.3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37.5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2026-10-30</t>
        </is>
      </c>
      <c r="E166" s="33" t="n">
        <v>21.07595</v>
      </c>
      <c r="F166" s="33" t="n">
        <v>74.27</v>
      </c>
      <c r="G166" s="33" t="n">
        <v>1.48</v>
      </c>
      <c r="H166" s="33" t="n">
        <v>4.1533914</v>
      </c>
      <c r="I166" s="33">
        <f>IF(OR(E166="",R166="",R166&lt;=0,E166&lt;0),"",E166/R166)</f>
        <v/>
      </c>
      <c r="J166" s="33" t="n">
        <v>38.5</v>
      </c>
      <c r="K166" s="33" t="n">
        <v>-2.28</v>
      </c>
      <c r="L166" s="33" t="n">
        <v>44.37</v>
      </c>
      <c r="M166" s="33" t="n">
        <v>6.13</v>
      </c>
      <c r="N166" s="33" t="n">
        <v>-5.54</v>
      </c>
      <c r="O166" s="33" t="n">
        <v>40.9</v>
      </c>
      <c r="P166" s="33" t="n">
        <v>-17.71</v>
      </c>
      <c r="Q166" s="33" t="n">
        <v>37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56.7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2026-10-30</t>
        </is>
      </c>
      <c r="E167" s="33" t="n">
        <v>14.10389</v>
      </c>
      <c r="F167" s="33" t="n">
        <v>7.495</v>
      </c>
      <c r="G167" s="33" t="n">
        <v>-1.61</v>
      </c>
      <c r="H167" s="33" t="n">
        <v>1.300284</v>
      </c>
      <c r="I167" s="33">
        <f>IF(OR(E167="",R167="",R167&lt;=0,E167&lt;0),"",E167/R167)</f>
        <v/>
      </c>
      <c r="J167" s="33" t="n">
        <v>76.3</v>
      </c>
      <c r="K167" s="33" t="n">
        <v>7.85</v>
      </c>
      <c r="L167" s="33" t="n">
        <v>16.56</v>
      </c>
      <c r="M167" s="33" t="n">
        <v>-2.09</v>
      </c>
      <c r="N167" s="33" t="n">
        <v>0.24</v>
      </c>
      <c r="O167" s="33" t="n">
        <v>35.5</v>
      </c>
      <c r="P167" s="33" t="n">
        <v>-1.84</v>
      </c>
      <c r="Q167" s="33" t="n">
        <v>0.2</v>
      </c>
      <c r="R167" s="33" t="n">
        <v>50.6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37.5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2026-10-30</t>
        </is>
      </c>
      <c r="E168" s="33" t="n">
        <v>18.239092</v>
      </c>
      <c r="F168" s="33" t="n">
        <v>18.9</v>
      </c>
      <c r="G168" s="33" t="n">
        <v>-3.15</v>
      </c>
      <c r="H168" s="33" t="n">
        <v>3.58</v>
      </c>
      <c r="I168" s="33">
        <f>IF(OR(E168="",R168="",R168&lt;=0,E168&lt;0),"",E168/R168)</f>
        <v/>
      </c>
      <c r="J168" s="33" t="n">
        <v>66.09999999999999</v>
      </c>
      <c r="K168" s="33" t="n">
        <v>8.449999999999999</v>
      </c>
      <c r="L168" s="33" t="n">
        <v>20.8</v>
      </c>
      <c r="M168" s="33" t="n">
        <v>-11.29</v>
      </c>
      <c r="N168" s="33" t="n">
        <v>1.85</v>
      </c>
      <c r="O168" s="33" t="n">
        <v>31.7</v>
      </c>
      <c r="P168" s="33" t="n">
        <v>-1.28</v>
      </c>
      <c r="Q168" s="33" t="n">
        <v>44.8</v>
      </c>
      <c r="R168" s="33" t="n">
        <v>148.4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70.8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2026-10-30</t>
        </is>
      </c>
      <c r="E169" s="33" t="n">
        <v>9.474506999999999</v>
      </c>
      <c r="F169" s="33" t="n">
        <v>21.8</v>
      </c>
      <c r="G169" s="33" t="n">
        <v>5.77</v>
      </c>
      <c r="H169" s="33" t="n">
        <v>6.3510575</v>
      </c>
      <c r="I169" s="33">
        <f>IF(OR(E169="",R169="",R169&lt;=0,E169&lt;0),"",E169/R169)</f>
        <v/>
      </c>
      <c r="J169" s="33" t="n">
        <v>83.7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85.5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3</v>
      </c>
      <c r="Y169" s="33">
        <f>IFERROR((AVERAGE(T169,U169,V169,W169,X169)-1)*25,"")</f>
        <v/>
      </c>
      <c r="Z169" s="33" t="n">
        <v>5</v>
      </c>
      <c r="AA169" s="33" t="n">
        <v>1</v>
      </c>
      <c r="AB169" s="33" t="n">
        <v>3</v>
      </c>
      <c r="AC169" s="33" t="n">
        <v>46.7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1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2026-10-30</t>
        </is>
      </c>
      <c r="E170" s="33" t="n">
        <v>18.31381030440697</v>
      </c>
      <c r="F170" s="33" t="n">
        <v>19.981</v>
      </c>
      <c r="G170" s="33" t="n">
        <v>4.25</v>
      </c>
      <c r="H170" s="33" t="n">
        <v>5.2560883</v>
      </c>
      <c r="I170" s="33">
        <f>IF(OR(E170="",R170="",R170&lt;=0,E170&lt;0),"",E170/R170)</f>
        <v/>
      </c>
      <c r="J170" s="33" t="n">
        <v>62.3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79.7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99.2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2026-10-30</t>
        </is>
      </c>
      <c r="E171" s="33" t="n">
        <v>19.127975</v>
      </c>
      <c r="F171" s="33" t="n">
        <v>17.474</v>
      </c>
      <c r="G171" s="33" t="n">
        <v>-16.99</v>
      </c>
      <c r="H171" s="33" t="n">
        <v>5.5082374</v>
      </c>
      <c r="I171" s="33">
        <f>IF(OR(E171="",R171="",R171&lt;=0,E171&lt;0),"",E171/R171)</f>
        <v/>
      </c>
      <c r="J171" s="33" t="n">
        <v>56.2</v>
      </c>
      <c r="L171" s="33" t="n">
        <v>29.1</v>
      </c>
      <c r="M171" s="33" t="n">
        <v>-93.56999999999999</v>
      </c>
      <c r="N171" s="33" t="n">
        <v>-0.12</v>
      </c>
      <c r="O171" s="33" t="n">
        <v>54.2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60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2026-10-30</t>
        </is>
      </c>
      <c r="F172" s="33" t="n">
        <v>21.091</v>
      </c>
      <c r="G172" s="33" t="n">
        <v>-8.609999999999999</v>
      </c>
      <c r="H172" s="33" t="n">
        <v>6.9033732</v>
      </c>
      <c r="I172" s="33">
        <f>IF(OR(E172="",R172="",R172&lt;=0,E172&lt;0),"",E172/R172)</f>
        <v/>
      </c>
      <c r="J172" s="33" t="n">
        <v>31.2</v>
      </c>
      <c r="L172" s="33" t="n">
        <v>14.06</v>
      </c>
      <c r="M172" s="33" t="n">
        <v>-59.41</v>
      </c>
      <c r="N172" s="33" t="n">
        <v>-0.5</v>
      </c>
      <c r="O172" s="33" t="n">
        <v>41.7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45.8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2026-10-30</t>
        </is>
      </c>
      <c r="E173" s="33" t="n">
        <v>23.961739</v>
      </c>
      <c r="F173" s="33" t="n">
        <v>9.119999999999999</v>
      </c>
      <c r="G173" s="33" t="n">
        <v>-8.75</v>
      </c>
      <c r="H173" s="33" t="n">
        <v>4.52</v>
      </c>
      <c r="I173" s="33">
        <f>IF(OR(E173="",R173="",R173&lt;=0,E173&lt;0),"",E173/R173)</f>
        <v/>
      </c>
      <c r="J173" s="33" t="n">
        <v>70.8</v>
      </c>
      <c r="L173" s="33" t="n">
        <v>21.82</v>
      </c>
      <c r="M173" s="33" t="n">
        <v>-39.56</v>
      </c>
      <c r="N173" s="33" t="n">
        <v>0.23</v>
      </c>
      <c r="O173" s="33" t="n">
        <v>46.7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36.7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2026-10-30</t>
        </is>
      </c>
      <c r="E174" s="33" t="n">
        <v>24.604755</v>
      </c>
      <c r="F174" s="33" t="n">
        <v>27.3</v>
      </c>
      <c r="G174" s="33" t="n">
        <v>3.96</v>
      </c>
      <c r="H174" s="33" t="n">
        <v>14.767205</v>
      </c>
      <c r="I174" s="33">
        <f>IF(OR(E174="",R174="",R174&lt;=0,E174&lt;0),"",E174/R174)</f>
        <v/>
      </c>
      <c r="J174" s="33" t="n">
        <v>62.2</v>
      </c>
      <c r="K174" s="33" t="n">
        <v>14.8</v>
      </c>
      <c r="L174" s="33" t="n">
        <v>90.98999999999999</v>
      </c>
      <c r="M174" s="33" t="n">
        <v>58.44</v>
      </c>
      <c r="O174" s="33" t="n">
        <v>84.7</v>
      </c>
      <c r="P174" s="33" t="n">
        <v>48.79</v>
      </c>
      <c r="Q174" s="33" t="n">
        <v>11.8</v>
      </c>
      <c r="R174" s="33" t="n">
        <v>19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3</v>
      </c>
      <c r="Y174" s="33">
        <f>IFERROR((AVERAGE(T174,U174,V174,W174,X174)-1)*25,"")</f>
        <v/>
      </c>
      <c r="Z174" s="33" t="n">
        <v>5</v>
      </c>
      <c r="AA174" s="33" t="n">
        <v>2</v>
      </c>
      <c r="AB174" s="33" t="n">
        <v>3</v>
      </c>
      <c r="AC174" s="33" t="n">
        <v>68.3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2026-10-30</t>
        </is>
      </c>
      <c r="E175" s="33" t="n">
        <v>44.53673</v>
      </c>
      <c r="G175" s="33" t="n">
        <v>-5.32</v>
      </c>
      <c r="H175" s="33" t="n">
        <v>10.22</v>
      </c>
      <c r="I175" s="33">
        <f>IF(OR(E175="",R175="",R175&lt;=0,E175&lt;0),"",E175/R175)</f>
        <v/>
      </c>
      <c r="J175" s="33" t="n">
        <v>21.6</v>
      </c>
      <c r="L175" s="33" t="n">
        <v>40.7</v>
      </c>
      <c r="M175" s="33" t="n">
        <v>-54.41</v>
      </c>
      <c r="O175" s="33" t="n">
        <v>41.5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20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2026-10-30</t>
        </is>
      </c>
      <c r="E176" s="33" t="n">
        <v>-1.3342037</v>
      </c>
      <c r="F176" s="33" t="n">
        <v>-0.119</v>
      </c>
      <c r="G176" s="33" t="n">
        <v>-76.64</v>
      </c>
      <c r="H176" s="33" t="n">
        <v>28.435076</v>
      </c>
      <c r="I176" s="33">
        <f>IF(OR(E176="",R176="",R176&lt;=0,E176&lt;0),"",E176/R176)</f>
        <v/>
      </c>
      <c r="J176" s="33" t="n">
        <v>21.1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2026-10-30</t>
        </is>
      </c>
      <c r="E177" s="33" t="n">
        <v>11.750001</v>
      </c>
      <c r="F177" s="33" t="n">
        <v>13.723</v>
      </c>
      <c r="G177" s="33" t="n">
        <v>-0.28</v>
      </c>
      <c r="H177" s="33" t="n">
        <v>0.9252555</v>
      </c>
      <c r="I177" s="33">
        <f>IF(OR(E177="",R177="",R177&lt;=0,E177&lt;0),"",E177/R177)</f>
        <v/>
      </c>
      <c r="J177" s="33" t="n">
        <v>70.5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57.5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42.5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2026-10-30</t>
        </is>
      </c>
      <c r="E178" s="33" t="n">
        <v>33.39632582561879</v>
      </c>
      <c r="F178" s="33" t="n">
        <v>17.152</v>
      </c>
      <c r="G178" s="33" t="n">
        <v>3.47</v>
      </c>
      <c r="H178" s="33" t="n">
        <v>5.7098184</v>
      </c>
      <c r="I178" s="33">
        <f>IF(OR(E178="",R178="",R178&lt;=0,E178&lt;0),"",E178/R178)</f>
        <v/>
      </c>
      <c r="J178" s="33" t="n">
        <v>56.3</v>
      </c>
      <c r="L178" s="33" t="n">
        <v>39.67</v>
      </c>
      <c r="M178" s="33" t="n">
        <v>19.82</v>
      </c>
      <c r="N178" s="33" t="n">
        <v>-3</v>
      </c>
      <c r="O178" s="33" t="n">
        <v>81.8</v>
      </c>
      <c r="P178" s="33" t="n">
        <v>0.23</v>
      </c>
      <c r="Q178" s="33" t="n">
        <v>14.9</v>
      </c>
      <c r="R178" s="33" t="n">
        <v>46.7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35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2026-10-30</t>
        </is>
      </c>
      <c r="E179" s="33" t="n">
        <v>20.1670227824252</v>
      </c>
      <c r="F179" s="33" t="n">
        <v>16.088</v>
      </c>
      <c r="G179" s="33" t="n">
        <v>2.55</v>
      </c>
      <c r="H179" s="33" t="n">
        <v>1.8249097</v>
      </c>
      <c r="I179" s="33">
        <f>IF(OR(E179="",R179="",R179&lt;=0,E179&lt;0),"",E179/R179)</f>
        <v/>
      </c>
      <c r="J179" s="33" t="n">
        <v>57.5</v>
      </c>
      <c r="L179" s="33" t="n">
        <v>35.16</v>
      </c>
      <c r="M179" s="33" t="n">
        <v>4.66</v>
      </c>
      <c r="N179" s="33" t="n">
        <v>0.86</v>
      </c>
      <c r="O179" s="33" t="n">
        <v>61.7</v>
      </c>
      <c r="P179" s="33" t="n">
        <v>-0.84</v>
      </c>
      <c r="Q179" s="33" t="n">
        <v>9</v>
      </c>
      <c r="R179" s="33" t="n">
        <v>19.9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40.8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2026-10-30</t>
        </is>
      </c>
      <c r="E180" s="33" t="n">
        <v>50.43665299999999</v>
      </c>
      <c r="F180" s="33" t="n">
        <v>63.005</v>
      </c>
      <c r="G180" s="33" t="n">
        <v>3.24</v>
      </c>
      <c r="H180" s="33" t="n">
        <v>8.589363000000001</v>
      </c>
      <c r="I180" s="33">
        <f>IF(OR(E180="",R180="",R180&lt;=0,E180&lt;0),"",E180/R180)</f>
        <v/>
      </c>
      <c r="J180" s="33" t="n">
        <v>46.8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66.3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20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2026-10-30</t>
        </is>
      </c>
      <c r="E181" s="33" t="n">
        <v>24.508173</v>
      </c>
      <c r="F181" s="33" t="n">
        <v>23.99</v>
      </c>
      <c r="G181" s="33" t="n">
        <v>1.68</v>
      </c>
      <c r="H181" s="33" t="n">
        <v>7.9</v>
      </c>
      <c r="I181" s="33">
        <f>IF(OR(E181="",R181="",R181&lt;=0,E181&lt;0),"",E181/R181)</f>
        <v/>
      </c>
      <c r="J181" s="33" t="n">
        <v>40.2</v>
      </c>
      <c r="L181" s="33" t="n">
        <v>72.92</v>
      </c>
      <c r="M181" s="33" t="n">
        <v>13.24</v>
      </c>
      <c r="N181" s="33" t="n">
        <v>0.4</v>
      </c>
      <c r="O181" s="33" t="n">
        <v>88.59999999999999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65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2026-10-30</t>
        </is>
      </c>
      <c r="E182" s="33" t="n">
        <v>36.157917</v>
      </c>
      <c r="F182" s="33" t="n">
        <v>14.371</v>
      </c>
      <c r="H182" s="33" t="n">
        <v>2.802338</v>
      </c>
      <c r="I182" s="33">
        <f>IF(OR(E182="",R182="",R182&lt;=0,E182&lt;0),"",E182/R182)</f>
        <v/>
      </c>
      <c r="J182" s="33" t="n">
        <v>44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35.8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2026-10-30</t>
        </is>
      </c>
      <c r="E183" s="33" t="n">
        <v>8.072421</v>
      </c>
      <c r="F183" s="33" t="n">
        <v>6.925</v>
      </c>
      <c r="G183" s="33" t="n">
        <v>22.36</v>
      </c>
      <c r="H183" s="33" t="n">
        <v>0.3754709</v>
      </c>
      <c r="I183" s="33">
        <f>IF(OR(E183="",R183="",R183&lt;=0,E183&lt;0),"",E183/R183)</f>
        <v/>
      </c>
      <c r="J183" s="33" t="n">
        <v>88.40000000000001</v>
      </c>
      <c r="L183" s="33" t="n">
        <v>26.28</v>
      </c>
      <c r="M183" s="33" t="n">
        <v>8.4</v>
      </c>
      <c r="N183" s="33" t="n">
        <v>4.27</v>
      </c>
      <c r="O183" s="33" t="n">
        <v>37.6</v>
      </c>
      <c r="P183" s="33" t="n">
        <v>0.48</v>
      </c>
      <c r="Q183" s="33" t="n">
        <v>4.8</v>
      </c>
      <c r="R183" s="33" t="n">
        <v>-13.3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24.2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2026-10-30</t>
        </is>
      </c>
      <c r="E184" s="33" t="n">
        <v>15.335615</v>
      </c>
      <c r="F184" s="33" t="n">
        <v>771.26</v>
      </c>
      <c r="G184" s="33" t="n">
        <v>-67.52</v>
      </c>
      <c r="H184" s="33" t="n">
        <v>3.24</v>
      </c>
      <c r="I184" s="33">
        <f>IF(OR(E184="",R184="",R184&lt;=0,E184&lt;0),"",E184/R184)</f>
        <v/>
      </c>
      <c r="J184" s="33" t="n">
        <v>35.2</v>
      </c>
      <c r="L184" s="33" t="n">
        <v>35.71</v>
      </c>
      <c r="M184" s="33" t="n">
        <v>-218.82</v>
      </c>
      <c r="N184" s="33" t="n">
        <v>-181.82</v>
      </c>
      <c r="O184" s="33" t="n">
        <v>52.3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0.8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2026-10-30</t>
        </is>
      </c>
      <c r="E185" s="33" t="n">
        <v>34.703785</v>
      </c>
      <c r="F185" s="33" t="n">
        <v>33.921</v>
      </c>
      <c r="G185" s="33" t="n">
        <v>2.36</v>
      </c>
      <c r="H185" s="33" t="n">
        <v>13.185681</v>
      </c>
      <c r="I185" s="33">
        <f>IF(OR(E185="",R185="",R185&lt;=0,E185&lt;0),"",E185/R185)</f>
        <v/>
      </c>
      <c r="J185" s="33" t="n">
        <v>38.3</v>
      </c>
      <c r="K185" s="33" t="n">
        <v>18.24</v>
      </c>
      <c r="L185" s="33" t="n">
        <v>66.64</v>
      </c>
      <c r="M185" s="33" t="n">
        <v>31.08</v>
      </c>
      <c r="N185" s="33" t="n">
        <v>-0.9</v>
      </c>
      <c r="O185" s="33" t="n">
        <v>96.2</v>
      </c>
      <c r="P185" s="33" t="n">
        <v>17.39</v>
      </c>
      <c r="Q185" s="33" t="n">
        <v>21.7</v>
      </c>
      <c r="R185" s="33" t="n">
        <v>-25.8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35.8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2026-10-30</t>
        </is>
      </c>
      <c r="E186" s="33" t="n">
        <v>-16.222351</v>
      </c>
      <c r="F186" s="33" t="n">
        <v>-9.196</v>
      </c>
      <c r="G186" s="33" t="n">
        <v>-7.8</v>
      </c>
      <c r="H186" s="33" t="n">
        <v>3.2275128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63.36</v>
      </c>
      <c r="M186" s="33" t="n">
        <v>-25.17</v>
      </c>
      <c r="O186" s="33" t="n">
        <v>43.2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40.8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2026-10-30</t>
        </is>
      </c>
      <c r="E187" s="33" t="n">
        <v>14.475869</v>
      </c>
      <c r="F187" s="33" t="n">
        <v>10.54</v>
      </c>
      <c r="G187" s="33" t="n">
        <v>7.12</v>
      </c>
      <c r="H187" s="33" t="n">
        <v>3.3312168</v>
      </c>
      <c r="I187" s="33">
        <f>IF(OR(E187="",R187="",R187&lt;=0,E187&lt;0),"",E187/R187)</f>
        <v/>
      </c>
      <c r="J187" s="33" t="n">
        <v>80.8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94.40000000000001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31.7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2026-10-30</t>
        </is>
      </c>
      <c r="E188" s="33" t="n">
        <v>-39.845</v>
      </c>
      <c r="F188" s="33" t="n">
        <v>-66.914</v>
      </c>
      <c r="G188" s="33" t="n">
        <v>-3.8</v>
      </c>
      <c r="H188" s="33" t="n">
        <v>9.146236999999999</v>
      </c>
      <c r="I188" s="33">
        <f>IF(OR(E188="",R188="",R188&lt;=0,E188&lt;0),"",E188/R188)</f>
        <v/>
      </c>
      <c r="J188" s="33" t="n">
        <v>41.7</v>
      </c>
      <c r="K188" s="33" t="n">
        <v>-10.29</v>
      </c>
      <c r="L188" s="33" t="n">
        <v>47.65</v>
      </c>
      <c r="M188" s="33" t="n">
        <v>-34.76</v>
      </c>
      <c r="O188" s="33" t="n">
        <v>42.3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2026-10-30</t>
        </is>
      </c>
      <c r="E189" s="33" t="n">
        <v>70.63952999999999</v>
      </c>
      <c r="G189" s="33" t="n">
        <v>0.25</v>
      </c>
      <c r="H189" s="33" t="n">
        <v>33.61</v>
      </c>
      <c r="I189" s="33">
        <f>IF(OR(E189="",R189="",R189&lt;=0,E189&lt;0),"",E189/R189)</f>
        <v/>
      </c>
      <c r="J189" s="33" t="n">
        <v>19.7</v>
      </c>
      <c r="L189" s="33" t="n">
        <v>48.38</v>
      </c>
      <c r="M189" s="33" t="n">
        <v>8.43</v>
      </c>
      <c r="O189" s="33" t="n">
        <v>72.3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10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2026-10-30</t>
        </is>
      </c>
      <c r="E190" s="33" t="n">
        <v>74.04494558142318</v>
      </c>
      <c r="F190" s="33" t="n">
        <v>42.109</v>
      </c>
      <c r="G190" s="33" t="n">
        <v>0.08</v>
      </c>
      <c r="H190" s="33" t="n">
        <v>7.790076</v>
      </c>
      <c r="I190" s="33">
        <f>IF(OR(E190="",R190="",R190&lt;=0,E190&lt;0),"",E190/R190)</f>
        <v/>
      </c>
      <c r="J190" s="33" t="n">
        <v>26.9</v>
      </c>
      <c r="L190" s="33" t="n">
        <v>32.25</v>
      </c>
      <c r="M190" s="33" t="n">
        <v>0.82</v>
      </c>
      <c r="N190" s="33" t="n">
        <v>-0.46</v>
      </c>
      <c r="O190" s="33" t="n">
        <v>59.8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51.7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2026-10-30</t>
        </is>
      </c>
      <c r="E191" s="33" t="n">
        <v>39.961067</v>
      </c>
      <c r="F191" s="33" t="n">
        <v>11.013</v>
      </c>
      <c r="G191" s="33" t="n">
        <v>4.67</v>
      </c>
      <c r="H191" s="33" t="n">
        <v>1.6057215</v>
      </c>
      <c r="I191" s="33">
        <f>IF(OR(E191="",R191="",R191&lt;=0,E191&lt;0),"",E191/R191)</f>
        <v/>
      </c>
      <c r="J191" s="33" t="n">
        <v>66.5</v>
      </c>
      <c r="L191" s="33" t="n">
        <v>32.29</v>
      </c>
      <c r="M191" s="33" t="n">
        <v>7.49</v>
      </c>
      <c r="N191" s="33" t="n">
        <v>-0.97</v>
      </c>
      <c r="O191" s="33" t="n">
        <v>63.4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43.3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2026-10-30</t>
        </is>
      </c>
      <c r="E192" s="33" t="n">
        <v>29.27166</v>
      </c>
      <c r="F192" s="33" t="n">
        <v>11.838</v>
      </c>
      <c r="G192" s="33" t="n">
        <v>3.75</v>
      </c>
      <c r="H192" s="33" t="n">
        <v>2.9816582</v>
      </c>
      <c r="I192" s="33">
        <f>IF(OR(E192="",R192="",R192&lt;=0,E192&lt;0),"",E192/R192)</f>
        <v/>
      </c>
      <c r="J192" s="33" t="n">
        <v>52.7</v>
      </c>
      <c r="L192" s="33" t="n">
        <v>38.53</v>
      </c>
      <c r="M192" s="33" t="n">
        <v>11.18</v>
      </c>
      <c r="N192" s="33" t="n">
        <v>0.41</v>
      </c>
      <c r="O192" s="33" t="n">
        <v>72.3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48.3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2026-10-30</t>
        </is>
      </c>
      <c r="E193" s="33" t="n">
        <v>28.837711</v>
      </c>
      <c r="F193" s="33" t="n">
        <v>24.657</v>
      </c>
      <c r="G193" s="33" t="n">
        <v>3.05</v>
      </c>
      <c r="H193" s="33" t="n">
        <v>4.37781</v>
      </c>
      <c r="I193" s="33">
        <f>IF(OR(E193="",R193="",R193&lt;=0,E193&lt;0),"",E193/R193)</f>
        <v/>
      </c>
      <c r="J193" s="33" t="n">
        <v>48.3</v>
      </c>
      <c r="L193" s="33" t="n">
        <v>30.61</v>
      </c>
      <c r="M193" s="33" t="n">
        <v>13.33</v>
      </c>
      <c r="N193" s="33" t="n">
        <v>0.07000000000000001</v>
      </c>
      <c r="O193" s="33" t="n">
        <v>66.5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50.8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2026-10-30</t>
        </is>
      </c>
      <c r="E194" s="33" t="n">
        <v>15.157031</v>
      </c>
      <c r="F194" s="33" t="n">
        <v>10.717</v>
      </c>
      <c r="G194" s="33" t="n">
        <v>5.03</v>
      </c>
      <c r="H194" s="33" t="n">
        <v>1.610682</v>
      </c>
      <c r="I194" s="33">
        <f>IF(OR(E194="",R194="",R194&lt;=0,E194&lt;0),"",E194/R194)</f>
        <v/>
      </c>
      <c r="J194" s="33" t="n">
        <v>69.40000000000001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63.4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46.7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2026-10-30</t>
        </is>
      </c>
      <c r="E195" s="33" t="n">
        <v>12.013546</v>
      </c>
      <c r="F195" s="33" t="n">
        <v>12.507</v>
      </c>
      <c r="G195" s="33" t="n">
        <v>4.51</v>
      </c>
      <c r="H195" s="33" t="n">
        <v>1.7065142</v>
      </c>
      <c r="I195" s="33">
        <f>IF(OR(E195="",R195="",R195&lt;=0,E195&lt;0),"",E195/R195)</f>
        <v/>
      </c>
      <c r="J195" s="33" t="n">
        <v>74.2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56.2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36.7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2026-10-30</t>
        </is>
      </c>
      <c r="E196" s="33" t="n">
        <v>25.59416</v>
      </c>
      <c r="F196" s="33" t="n">
        <v>22.426</v>
      </c>
      <c r="G196" s="33" t="n">
        <v>1.9</v>
      </c>
      <c r="H196" s="33" t="n">
        <v>2.5185094</v>
      </c>
      <c r="I196" s="33">
        <f>IF(OR(E196="",R196="",R196&lt;=0,E196&lt;0),"",E196/R196)</f>
        <v/>
      </c>
      <c r="J196" s="33" t="n">
        <v>54.6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59.3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70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2026-10-30</t>
        </is>
      </c>
      <c r="E197" s="33" t="n">
        <v>33.283943</v>
      </c>
      <c r="F197" s="33" t="n">
        <v>29.202</v>
      </c>
      <c r="G197" s="33" t="n">
        <v>2.08</v>
      </c>
      <c r="H197" s="33" t="n">
        <v>5.3379035</v>
      </c>
      <c r="I197" s="33">
        <f>IF(OR(E197="",R197="",R197&lt;=0,E197&lt;0),"",E197/R197)</f>
        <v/>
      </c>
      <c r="J197" s="33" t="n">
        <v>46.4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79.59999999999999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46.7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2026-10-30</t>
        </is>
      </c>
      <c r="E198" s="33" t="n">
        <v>29.958101</v>
      </c>
      <c r="F198" s="33" t="n">
        <v>31.888</v>
      </c>
      <c r="G198" s="33" t="n">
        <v>-1.05</v>
      </c>
      <c r="H198" s="33" t="n">
        <v>2.1738713</v>
      </c>
      <c r="I198" s="33">
        <f>IF(OR(E198="",R198="",R198&lt;=0,E198&lt;0),"",E198/R198)</f>
        <v/>
      </c>
      <c r="J198" s="33" t="n">
        <v>47.4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62.2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40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2026-10-30</t>
        </is>
      </c>
      <c r="E199" s="33" t="n">
        <v>27.52085</v>
      </c>
      <c r="F199" s="33" t="n">
        <v>35.857</v>
      </c>
      <c r="G199" s="33" t="n">
        <v>2.87</v>
      </c>
      <c r="H199" s="33" t="n">
        <v>8.59557</v>
      </c>
      <c r="I199" s="33">
        <f>IF(OR(E199="",R199="",R199&lt;=0,E199&lt;0),"",E199/R199)</f>
        <v/>
      </c>
      <c r="J199" s="33" t="n">
        <v>46.1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93.3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45.8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2026-10-30</t>
        </is>
      </c>
      <c r="E200" s="33" t="n">
        <v>42.66730955025986</v>
      </c>
      <c r="H200" s="33" t="n">
        <v>15.07527</v>
      </c>
      <c r="I200" s="33">
        <f>IF(OR(E200="",R200="",R200&lt;=0,E200&lt;0),"",E200/R200)</f>
        <v/>
      </c>
      <c r="J200" s="33" t="n">
        <v>40.6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67.5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2026-10-30</t>
        </is>
      </c>
      <c r="E201" s="33" t="n">
        <v>-235.44</v>
      </c>
      <c r="F201" s="33" t="n">
        <v>-35.594</v>
      </c>
      <c r="G201" s="33" t="n">
        <v>-3.89</v>
      </c>
      <c r="H201" s="33" t="n">
        <v>10.357216</v>
      </c>
      <c r="I201" s="33">
        <f>IF(OR(E201="",R201="",R201&lt;=0,E201&lt;0),"",E201/R201)</f>
        <v/>
      </c>
      <c r="J201" s="33" t="n">
        <v>37.6</v>
      </c>
      <c r="K201" s="33" t="n">
        <v>-12.62</v>
      </c>
      <c r="L201" s="33" t="n">
        <v>46.62</v>
      </c>
      <c r="M201" s="33" t="n">
        <v>-40.25</v>
      </c>
      <c r="O201" s="33" t="n">
        <v>39.1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55.8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2026-10-30</t>
        </is>
      </c>
      <c r="E202" s="33" t="n">
        <v>14.647211</v>
      </c>
      <c r="G202" s="33" t="n">
        <v>-0.32</v>
      </c>
      <c r="H202" s="33" t="n">
        <v>30.36</v>
      </c>
      <c r="I202" s="33">
        <f>IF(OR(E202="",R202="",R202&lt;=0,E202&lt;0),"",E202/R202)</f>
        <v/>
      </c>
      <c r="J202" s="33" t="n">
        <v>46.1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63.2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25.8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2026-10-30</t>
        </is>
      </c>
      <c r="E203" s="33" t="n">
        <v>-5.6862564</v>
      </c>
      <c r="F203" s="33" t="n">
        <v>-4.872</v>
      </c>
      <c r="G203" s="33" t="n">
        <v>-18.31</v>
      </c>
      <c r="H203" s="33" t="n">
        <v>29.509892</v>
      </c>
      <c r="I203" s="33">
        <f>IF(OR(E203="",R203="",R203&lt;=0,E203&lt;0),"",E203/R203)</f>
        <v/>
      </c>
      <c r="J203" s="33" t="n">
        <v>25.4</v>
      </c>
      <c r="K203" s="33" t="n">
        <v>-51.65</v>
      </c>
      <c r="L203" s="33" t="n">
        <v>27.22</v>
      </c>
      <c r="M203" s="33" t="n">
        <v>-540.1900000000001</v>
      </c>
      <c r="O203" s="33" t="n">
        <v>9.300000000000001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36.7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2026-10-30</t>
        </is>
      </c>
      <c r="E204" s="33" t="n">
        <v>15.98248</v>
      </c>
      <c r="G204" s="33" t="n">
        <v>-8.300000000000001</v>
      </c>
      <c r="H204" s="33" t="n">
        <v>2.36</v>
      </c>
      <c r="I204" s="33">
        <f>IF(OR(E204="",R204="",R204&lt;=0,E204&lt;0),"",E204/R204)</f>
        <v/>
      </c>
      <c r="J204" s="33" t="n">
        <v>56.9</v>
      </c>
      <c r="L204" s="33" t="n">
        <v>24.49</v>
      </c>
      <c r="M204" s="33" t="n">
        <v>-19.56</v>
      </c>
      <c r="O204" s="33" t="n">
        <v>21.3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0.8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2026-10-30</t>
        </is>
      </c>
      <c r="E205" s="33" t="n">
        <v>19.51295</v>
      </c>
      <c r="F205" s="33" t="n">
        <v>18.936</v>
      </c>
      <c r="G205" s="33" t="n">
        <v>3.75</v>
      </c>
      <c r="H205" s="33" t="n">
        <v>2.6322682</v>
      </c>
      <c r="I205" s="33">
        <f>IF(OR(E205="",R205="",R205&lt;=0,E205&lt;0),"",E205/R205)</f>
        <v/>
      </c>
      <c r="J205" s="33" t="n">
        <v>63.5</v>
      </c>
      <c r="L205" s="33" t="n">
        <v>49.05</v>
      </c>
      <c r="M205" s="33" t="n">
        <v>9.880000000000001</v>
      </c>
      <c r="N205" s="33" t="n">
        <v>0.7</v>
      </c>
      <c r="O205" s="33" t="n">
        <v>80.8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43.3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2026-10-30</t>
        </is>
      </c>
      <c r="E206" s="33" t="n">
        <v>12.052369</v>
      </c>
      <c r="F206" s="33" t="n">
        <v>-15.315</v>
      </c>
      <c r="G206" s="33" t="n">
        <v>7.72</v>
      </c>
      <c r="H206" s="33" t="n">
        <v>2.5072896</v>
      </c>
      <c r="I206" s="33">
        <f>IF(OR(E206="",R206="",R206&lt;=0,E206&lt;0),"",E206/R206)</f>
        <v/>
      </c>
      <c r="J206" s="33" t="n">
        <v>82.2</v>
      </c>
      <c r="K206" s="33" t="n">
        <v>-3.65</v>
      </c>
      <c r="L206" s="33" t="n">
        <v>48.55</v>
      </c>
      <c r="M206" s="33" t="n">
        <v>19.36</v>
      </c>
      <c r="O206" s="33" t="n">
        <v>68.2</v>
      </c>
      <c r="P206" s="33" t="n">
        <v>0.44</v>
      </c>
      <c r="Q206" s="33" t="n">
        <v>-2.4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33.3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2026-10-30</t>
        </is>
      </c>
      <c r="E207" s="33" t="n">
        <v>36.04633</v>
      </c>
      <c r="F207" s="33" t="n">
        <v>79.756</v>
      </c>
      <c r="G207" s="33" t="n">
        <v>-1.68</v>
      </c>
      <c r="H207" s="33" t="n">
        <v>5.053344</v>
      </c>
      <c r="I207" s="33">
        <f>IF(OR(E207="",R207="",R207&lt;=0,E207&lt;0),"",E207/R207)</f>
        <v/>
      </c>
      <c r="J207" s="33" t="n">
        <v>41.6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48.9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2026-10-30</t>
        </is>
      </c>
      <c r="E208" s="33" t="n">
        <v>31.19992734496513</v>
      </c>
      <c r="F208" s="33" t="n">
        <v>32.447</v>
      </c>
      <c r="G208" s="33" t="n">
        <v>-0.7</v>
      </c>
      <c r="H208" s="33" t="n">
        <v>3.191363</v>
      </c>
      <c r="I208" s="33">
        <f>IF(OR(E208="",R208="",R208&lt;=0,E208&lt;0),"",E208/R208)</f>
        <v/>
      </c>
      <c r="J208" s="33" t="n">
        <v>39.1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46.1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2026-10-30</t>
        </is>
      </c>
      <c r="E209" s="33" t="n">
        <v>-10.329546</v>
      </c>
      <c r="F209" s="33" t="n">
        <v>-4.429</v>
      </c>
      <c r="G209" s="33" t="n">
        <v>-22.72</v>
      </c>
      <c r="H209" s="33" t="n">
        <v>9.701943999999999</v>
      </c>
      <c r="I209" s="33">
        <f>IF(OR(E209="",R209="",R209&lt;=0,E209&lt;0),"",E209/R209)</f>
        <v/>
      </c>
      <c r="J209" s="33" t="n">
        <v>29.1</v>
      </c>
      <c r="K209" s="33" t="n">
        <v>-17.01</v>
      </c>
      <c r="L209" s="33" t="n">
        <v>9.75</v>
      </c>
      <c r="M209" s="33" t="n">
        <v>-220.44</v>
      </c>
      <c r="O209" s="33" t="n">
        <v>11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17.5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2026-10-30</t>
        </is>
      </c>
      <c r="E210" s="33" t="n">
        <v>-316.00003</v>
      </c>
      <c r="F210" s="33" t="n">
        <v>-14.331</v>
      </c>
      <c r="G210" s="33" t="n">
        <v>-4.67</v>
      </c>
      <c r="H210" s="33" t="n">
        <v>21.137793</v>
      </c>
      <c r="I210" s="33">
        <f>IF(OR(E210="",R210="",R210&lt;=0,E210&lt;0),"",E210/R210)</f>
        <v/>
      </c>
      <c r="J210" s="33" t="n">
        <v>32.2</v>
      </c>
      <c r="K210" s="33" t="n">
        <v>-7.96</v>
      </c>
      <c r="L210" s="33" t="n">
        <v>43.72</v>
      </c>
      <c r="M210" s="33" t="n">
        <v>-98.81</v>
      </c>
      <c r="O210" s="33" t="n">
        <v>38.5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23.3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2026-10-30</t>
        </is>
      </c>
      <c r="E211" s="33" t="n">
        <v>-69.545456</v>
      </c>
      <c r="F211" s="33" t="n">
        <v>-18.616</v>
      </c>
      <c r="G211" s="33" t="n">
        <v>-6.71</v>
      </c>
      <c r="H211" s="33" t="n">
        <v>23.997002</v>
      </c>
      <c r="I211" s="33">
        <f>IF(OR(E211="",R211="",R211&lt;=0,E211&lt;0),"",E211/R211)</f>
        <v/>
      </c>
      <c r="J211" s="33" t="n">
        <v>31.6</v>
      </c>
      <c r="K211" s="33" t="n">
        <v>-6.02</v>
      </c>
      <c r="L211" s="33" t="n">
        <v>34.76</v>
      </c>
      <c r="M211" s="33" t="n">
        <v>-160.98</v>
      </c>
      <c r="O211" s="33" t="n">
        <v>30.5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2026-10-30</t>
        </is>
      </c>
      <c r="E212" s="33" t="n">
        <v>365.33334</v>
      </c>
      <c r="F212" s="33" t="n">
        <v>-38.651</v>
      </c>
      <c r="G212" s="33" t="n">
        <v>-1.31</v>
      </c>
      <c r="H212" s="33" t="n">
        <v>4.6959443</v>
      </c>
      <c r="I212" s="33">
        <f>IF(OR(E212="",R212="",R212&lt;=0,E212&lt;0),"",E212/R212)</f>
        <v/>
      </c>
      <c r="J212" s="33" t="n">
        <v>47.4</v>
      </c>
      <c r="L212" s="33" t="n">
        <v>59.3</v>
      </c>
      <c r="M212" s="33" t="n">
        <v>-6.14</v>
      </c>
      <c r="N212" s="33" t="n"/>
      <c r="O212" s="33" t="n">
        <v>61.3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0.8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2026-10-30</t>
        </is>
      </c>
      <c r="E213" s="33" t="n">
        <v>-4.5068493</v>
      </c>
      <c r="F213" s="33" t="n">
        <v>-3.656</v>
      </c>
      <c r="G213" s="33" t="n">
        <v>-22.61</v>
      </c>
      <c r="H213" s="33" t="n">
        <v>13.707457</v>
      </c>
      <c r="I213" s="33">
        <f>IF(OR(E213="",R213="",R213&lt;=0,E213&lt;0),"",E213/R213)</f>
        <v/>
      </c>
      <c r="J213" s="33" t="n">
        <v>26.4</v>
      </c>
      <c r="K213" s="33" t="n">
        <v>-39.17</v>
      </c>
      <c r="L213" s="33" t="n">
        <v>28.75</v>
      </c>
      <c r="M213" s="33" t="n">
        <v>-309.96</v>
      </c>
      <c r="O213" s="33" t="n">
        <v>14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34.2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2026-10-30</t>
        </is>
      </c>
      <c r="E214" s="33" t="n">
        <v>21.11194118653978</v>
      </c>
      <c r="F214" s="33" t="n">
        <v>37.969</v>
      </c>
      <c r="G214" s="33" t="n">
        <v>1.56</v>
      </c>
      <c r="H214" s="33" t="n">
        <v>5.594701</v>
      </c>
      <c r="I214" s="33">
        <f>IF(OR(E214="",R214="",R214&lt;=0,E214&lt;0),"",E214/R214)</f>
        <v/>
      </c>
      <c r="J214" s="33" t="n">
        <v>41.8</v>
      </c>
      <c r="K214" s="33" t="n">
        <v>4.18</v>
      </c>
      <c r="L214" s="33" t="n">
        <v>48.09</v>
      </c>
      <c r="M214" s="33" t="n">
        <v>8.710000000000001</v>
      </c>
      <c r="N214" s="33" t="n">
        <v>0.57</v>
      </c>
      <c r="O214" s="33" t="n">
        <v>36.9</v>
      </c>
      <c r="P214" s="33" t="n">
        <v>-2.95</v>
      </c>
      <c r="Q214" s="33" t="n">
        <v>29.2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38.3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2026-10-30</t>
        </is>
      </c>
      <c r="E215" s="33" t="n">
        <v>14.51788</v>
      </c>
      <c r="F215" s="33" t="n">
        <v>13.516</v>
      </c>
      <c r="G215" s="33" t="n">
        <v>10.63</v>
      </c>
      <c r="H215" s="33" t="n">
        <v>2.578972</v>
      </c>
      <c r="I215" s="33">
        <f>IF(OR(E215="",R215="",R215&lt;=0,E215&lt;0),"",E215/R215)</f>
        <v/>
      </c>
      <c r="J215" s="33" t="n">
        <v>85.90000000000001</v>
      </c>
      <c r="L215" s="33" t="n">
        <v>39.38</v>
      </c>
      <c r="M215" s="33" t="n">
        <v>27.41</v>
      </c>
      <c r="N215" s="33" t="n">
        <v>1.38</v>
      </c>
      <c r="O215" s="33" t="n">
        <v>50.8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34.2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  <row r="216">
      <c r="A216" s="33" t="inlineStr">
        <is>
          <t>SHOP</t>
        </is>
      </c>
      <c r="B216" s="33" t="inlineStr">
        <is>
          <t>Shopify Inc.</t>
        </is>
      </c>
      <c r="C216" s="33" t="inlineStr">
        <is>
          <t>10 Models, Software &amp; Applications / AI commerce</t>
        </is>
      </c>
      <c r="D216" s="33" t="inlineStr">
        <is>
          <t>2026-10-30</t>
        </is>
      </c>
      <c r="E216" s="33" t="n">
        <v>63.683884</v>
      </c>
      <c r="F216" s="33" t="n">
        <v>89.3</v>
      </c>
      <c r="G216" s="33" t="n">
        <v>1.17</v>
      </c>
      <c r="H216" s="33" t="n">
        <v>15.181992</v>
      </c>
      <c r="I216" s="33">
        <f>IF(OR(E216="",R216="",R216&lt;=0,E216&lt;0),"",E216/R216)</f>
        <v/>
      </c>
      <c r="J216" s="33" t="n">
        <v>30.3</v>
      </c>
      <c r="K216" s="33" t="n">
        <v>11.67</v>
      </c>
      <c r="L216" s="33" t="n">
        <v>47.77</v>
      </c>
      <c r="M216" s="33" t="n">
        <v>17.73</v>
      </c>
      <c r="N216" s="33" t="n">
        <v>-1.99</v>
      </c>
      <c r="O216" s="33" t="n">
        <v>46.5</v>
      </c>
      <c r="P216" s="33" t="n">
        <v>27.31</v>
      </c>
      <c r="Q216" s="33" t="n">
        <v>33.7</v>
      </c>
      <c r="R216" s="33" t="n">
        <v>30</v>
      </c>
      <c r="S216" s="33">
        <f>IFERROR(AVERAGE(IFERROR(IF(P216="","",IF(P216&gt;=40,100,IF(P216&gt;=30,90,IF(P216&gt;=20,75,IF(P216&gt;=15,60,IF(P216&gt;=10,45,IF(P216&gt;=5,30,15))))))),""),IFERROR(IF(Q216="","",IF(Q216&gt;=40,100,IF(Q216&gt;=30,90,IF(Q216&gt;=20,75,IF(Q216&gt;=10,60,IF(Q216&gt;=5,45,IF(Q216&gt;=0,30,15))))))),""),IFERROR(IF(R216="","",IF(R216&gt;=40,100,IF(R216&gt;=30,90,IF(R216&gt;=20,75,IF(R216&gt;=10,60,IF(R216&gt;=0,45,IF(R216&gt;=-10,30,15))))))),"")),"")</f>
        <v/>
      </c>
      <c r="T216" s="33" t="n">
        <v>1</v>
      </c>
      <c r="U216" s="33" t="n">
        <v>4</v>
      </c>
      <c r="V216" s="33" t="n">
        <v>4</v>
      </c>
      <c r="W216" s="33" t="n">
        <v>3</v>
      </c>
      <c r="X216" s="33" t="n">
        <v>3</v>
      </c>
      <c r="Y216" s="33">
        <f>IFERROR((AVERAGE(T216,U216,V216,W216,X216)-1)*25,"")</f>
        <v/>
      </c>
      <c r="Z216" s="33" t="n">
        <v>4</v>
      </c>
      <c r="AA216" s="33" t="n">
        <v>4</v>
      </c>
      <c r="AB216" s="33" t="n">
        <v>3</v>
      </c>
      <c r="AC216" s="33" t="n">
        <v>70</v>
      </c>
      <c r="AD216" s="33">
        <f>IFERROR(AVERAGE(IFERROR(IF(Z216="","",Z216*20),""),IFERROR(IF(AA216="","",AA216*20),""),IFERROR(IF(AB216="","",AB216*20),""),IFERROR(IF(AC216="","",IF(AC216&gt;=85,100,IF(AC216&gt;=70,90,IF(AC216&gt;=55,75,IF(AC216&gt;=40,60,IF(AC216&gt;=25,40,20)))))),"")),"")</f>
        <v/>
      </c>
      <c r="AE216" s="33" t="n">
        <v>5</v>
      </c>
      <c r="AF216" s="33" t="n">
        <v>5</v>
      </c>
      <c r="AG216" s="33" t="n">
        <v>5</v>
      </c>
      <c r="AH216" s="33" t="n">
        <v>3</v>
      </c>
      <c r="AI216" s="33">
        <f>IFERROR((AVERAGE(AE216,AF216,AG216,AH216,AL216)-1)*25,"")</f>
        <v/>
      </c>
      <c r="AJ216" s="33">
        <f>IFERROR(J216*Weights!$B$4 + O216*Weights!$B$5 + S216*Weights!$B$6 + Y216*Weights!$B$7 + AD216*Weights!$B$8 + AI216*Weights!$B$9,"")</f>
        <v/>
      </c>
      <c r="AK216" s="33">
        <f>IF(AJ216="","",IF(AJ216&gt;=85,"✓✓✓",IF(AJ216&gt;=70,"✓✓",IF(AJ216&gt;=55,"✓",IF(AJ216&gt;=40,"?","✗")))))</f>
        <v/>
      </c>
      <c r="AL216" s="33" t="n">
        <v>4</v>
      </c>
    </row>
    <row r="217">
      <c r="A217" s="33" t="inlineStr">
        <is>
          <t>LMND</t>
        </is>
      </c>
      <c r="B217" s="33" t="inlineStr">
        <is>
          <t>Lemonade, Inc.</t>
        </is>
      </c>
      <c r="C217" s="33" t="inlineStr">
        <is>
          <t>10 Models, Software &amp; Applications / AI-native vertical applications</t>
        </is>
      </c>
      <c r="D217" s="33" t="inlineStr">
        <is>
          <t>2026-10-30</t>
        </is>
      </c>
      <c r="E217" s="33" t="n">
        <v>-49.373566</v>
      </c>
      <c r="F217" s="33" t="n">
        <v>420.1</v>
      </c>
      <c r="G217" s="33" t="n">
        <v>0.24</v>
      </c>
      <c r="H217" s="33" t="n">
        <v>3.4098172</v>
      </c>
      <c r="I217" s="33">
        <f>IF(OR(E217="",R217="",R217&lt;=0,E217&lt;0),"",E217/R217)</f>
        <v/>
      </c>
      <c r="J217" s="33" t="n">
        <v>27.6</v>
      </c>
      <c r="K217" s="33" t="n">
        <v>-21.08</v>
      </c>
      <c r="L217" s="33" t="n">
        <v>51.65</v>
      </c>
      <c r="M217" s="33" t="n">
        <v>0.83</v>
      </c>
      <c r="O217" s="33" t="n">
        <v>10</v>
      </c>
      <c r="P217" s="33" t="n">
        <v>42.19</v>
      </c>
      <c r="Q217" s="33" t="n">
        <v>79.40000000000001</v>
      </c>
      <c r="S217" s="33">
        <f>IFERROR(AVERAGE(IFERROR(IF(P217="","",IF(P217&gt;=40,100,IF(P217&gt;=30,90,IF(P217&gt;=20,75,IF(P217&gt;=15,60,IF(P217&gt;=10,45,IF(P217&gt;=5,30,15))))))),""),IFERROR(IF(Q217="","",IF(Q217&gt;=40,100,IF(Q217&gt;=30,90,IF(Q217&gt;=20,75,IF(Q217&gt;=10,60,IF(Q217&gt;=5,45,IF(Q217&gt;=0,30,15))))))),""),IFERROR(IF(R217="","",IF(R217&gt;=40,100,IF(R217&gt;=30,90,IF(R217&gt;=20,75,IF(R217&gt;=10,60,IF(R217&gt;=0,45,IF(R217&gt;=-10,30,15))))))),"")),"")</f>
        <v/>
      </c>
      <c r="T217" s="33" t="n">
        <v>1</v>
      </c>
      <c r="U217" s="33" t="n">
        <v>1</v>
      </c>
      <c r="V217" s="33" t="n">
        <v>3</v>
      </c>
      <c r="W217" s="33" t="n">
        <v>4</v>
      </c>
      <c r="X217" s="33" t="n">
        <v>4</v>
      </c>
      <c r="Y217" s="33">
        <f>IFERROR((AVERAGE(T217,U217,V217,W217,X217)-1)*25,"")</f>
        <v/>
      </c>
      <c r="Z217" s="33" t="n">
        <v>1</v>
      </c>
      <c r="AA217" s="33" t="n">
        <v>1</v>
      </c>
      <c r="AB217" s="33" t="n">
        <v>3</v>
      </c>
      <c r="AC217" s="33" t="n">
        <v>20</v>
      </c>
      <c r="AD217" s="33">
        <f>IFERROR(AVERAGE(IFERROR(IF(Z217="","",Z217*20),""),IFERROR(IF(AA217="","",AA217*20),""),IFERROR(IF(AB217="","",AB217*20),""),IFERROR(IF(AC217="","",IF(AC217&gt;=85,100,IF(AC217&gt;=70,90,IF(AC217&gt;=55,75,IF(AC217&gt;=40,60,IF(AC217&gt;=25,40,20)))))),"")),"")</f>
        <v/>
      </c>
      <c r="AE217" s="33" t="n">
        <v>5</v>
      </c>
      <c r="AF217" s="33" t="n">
        <v>4</v>
      </c>
      <c r="AG217" s="33" t="n">
        <v>4</v>
      </c>
      <c r="AH217" s="33" t="n">
        <v>3</v>
      </c>
      <c r="AI217" s="33">
        <f>IFERROR((AVERAGE(AE217,AF217,AG217,AH217,AL217)-1)*25,"")</f>
        <v/>
      </c>
      <c r="AJ217" s="33">
        <f>IFERROR(J217*Weights!$B$4 + O217*Weights!$B$5 + S217*Weights!$B$6 + Y217*Weights!$B$7 + AD217*Weights!$B$8 + AI217*Weights!$B$9,"")</f>
        <v/>
      </c>
      <c r="AK217" s="33">
        <f>IF(AJ217="","",IF(AJ217&gt;=85,"✓✓✓",IF(AJ217&gt;=70,"✓✓",IF(AJ217&gt;=55,"✓",IF(AJ217&gt;=40,"?","✗")))))</f>
        <v/>
      </c>
      <c r="AL217" s="33" t="n">
        <v>4</v>
      </c>
    </row>
    <row r="218">
      <c r="A218" s="33" t="inlineStr">
        <is>
          <t>UPST</t>
        </is>
      </c>
      <c r="B218" s="33" t="inlineStr">
        <is>
          <t>Upstart Holdings, Inc.</t>
        </is>
      </c>
      <c r="C218" s="33" t="inlineStr">
        <is>
          <t>10 Models, Software &amp; Applications / AI-native vertical applications</t>
        </is>
      </c>
      <c r="D218" s="33" t="inlineStr">
        <is>
          <t>2026-10-30</t>
        </is>
      </c>
      <c r="E218" s="33" t="n">
        <v>6.42813</v>
      </c>
      <c r="F218" s="33" t="n">
        <v>-13.2</v>
      </c>
      <c r="G218" s="33" t="n">
        <v>-13.87</v>
      </c>
      <c r="H218" s="33" t="n">
        <v>1.710823</v>
      </c>
      <c r="I218" s="33">
        <f>IF(OR(E218="",R218="",R218&lt;=0,E218&lt;0),"",E218/R218)</f>
        <v/>
      </c>
      <c r="J218" s="33" t="n">
        <v>75.90000000000001</v>
      </c>
      <c r="K218" s="33" t="n">
        <v>7.57</v>
      </c>
      <c r="L218" s="33" t="n">
        <v>83.04000000000001</v>
      </c>
      <c r="M218" s="33" t="n">
        <v>-23.73</v>
      </c>
      <c r="N218" s="33" t="n">
        <v>13.9</v>
      </c>
      <c r="O218" s="33" t="n">
        <v>36.2</v>
      </c>
      <c r="P218" s="33" t="n">
        <v>6.92</v>
      </c>
      <c r="Q218" s="33" t="n">
        <v>42.3</v>
      </c>
      <c r="R218" s="33" t="n">
        <v>195</v>
      </c>
      <c r="S218" s="33">
        <f>IFERROR(AVERAGE(IFERROR(IF(P218="","",IF(P218&gt;=40,100,IF(P218&gt;=30,90,IF(P218&gt;=20,75,IF(P218&gt;=15,60,IF(P218&gt;=10,45,IF(P218&gt;=5,30,15))))))),""),IFERROR(IF(Q218="","",IF(Q218&gt;=40,100,IF(Q218&gt;=30,90,IF(Q218&gt;=20,75,IF(Q218&gt;=10,60,IF(Q218&gt;=5,45,IF(Q218&gt;=0,30,15))))))),""),IFERROR(IF(R218="","",IF(R218&gt;=40,100,IF(R218&gt;=30,90,IF(R218&gt;=20,75,IF(R218&gt;=10,60,IF(R218&gt;=0,45,IF(R218&gt;=-10,30,15))))))),"")),"")</f>
        <v/>
      </c>
      <c r="T218" s="33" t="n">
        <v>2</v>
      </c>
      <c r="U218" s="33" t="n">
        <v>3</v>
      </c>
      <c r="V218" s="33" t="n">
        <v>3</v>
      </c>
      <c r="W218" s="33" t="n">
        <v>4</v>
      </c>
      <c r="X218" s="33" t="n">
        <v>4</v>
      </c>
      <c r="Y218" s="33">
        <f>IFERROR((AVERAGE(T218,U218,V218,W218,X218)-1)*25,"")</f>
        <v/>
      </c>
      <c r="Z218" s="33" t="n">
        <v>3</v>
      </c>
      <c r="AA218" s="33" t="n">
        <v>1</v>
      </c>
      <c r="AB218" s="33" t="n">
        <v>5</v>
      </c>
      <c r="AC218" s="33" t="n">
        <v>29.2</v>
      </c>
      <c r="AD218" s="33">
        <f>IFERROR(AVERAGE(IFERROR(IF(Z218="","",Z218*20),""),IFERROR(IF(AA218="","",AA218*20),""),IFERROR(IF(AB218="","",AB218*20),""),IFERROR(IF(AC218="","",IF(AC218&gt;=85,100,IF(AC218&gt;=70,90,IF(AC218&gt;=55,75,IF(AC218&gt;=40,60,IF(AC218&gt;=25,40,20)))))),"")),"")</f>
        <v/>
      </c>
      <c r="AE218" s="33" t="n">
        <v>3</v>
      </c>
      <c r="AF218" s="33" t="n">
        <v>5</v>
      </c>
      <c r="AG218" s="33" t="n">
        <v>2</v>
      </c>
      <c r="AH218" s="33" t="n">
        <v>2</v>
      </c>
      <c r="AI218" s="33">
        <f>IFERROR((AVERAGE(AE218,AF218,AG218,AH218,AL218)-1)*25,"")</f>
        <v/>
      </c>
      <c r="AJ218" s="33">
        <f>IFERROR(J218*Weights!$B$4 + O218*Weights!$B$5 + S218*Weights!$B$6 + Y218*Weights!$B$7 + AD218*Weights!$B$8 + AI218*Weights!$B$9,"")</f>
        <v/>
      </c>
      <c r="AK218" s="33">
        <f>IF(AJ218="","",IF(AJ218&gt;=85,"✓✓✓",IF(AJ218&gt;=70,"✓✓",IF(AJ218&gt;=55,"✓",IF(AJ218&gt;=40,"?","✗")))))</f>
        <v/>
      </c>
      <c r="AL218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21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s="33" t="inlineStr">
        <is>
          <t>2026-10-10</t>
        </is>
      </c>
      <c r="B3088" s="33" t="inlineStr">
        <is>
          <t>VRT</t>
        </is>
      </c>
      <c r="C3088" s="33" t="inlineStr">
        <is>
          <t>M3-Insider</t>
        </is>
      </c>
      <c r="D3088" s="33" t="inlineStr">
        <is>
          <t>2</t>
        </is>
      </c>
      <c r="E3088" s="33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s="33" t="inlineStr">
        <is>
          <t>per-stock/VRT/filings/4_*.xml via parse_form4.py; DEF 14A filed 2026-04-24 beneficial-ownership table and footnotes</t>
        </is>
      </c>
      <c r="G3088" s="33" t="inlineStr">
        <is>
          <t>Med</t>
        </is>
      </c>
    </row>
    <row r="3089">
      <c r="A3089" s="33" t="inlineStr">
        <is>
          <t>2026-10-10</t>
        </is>
      </c>
      <c r="B3089" s="33" t="inlineStr">
        <is>
          <t>VRT</t>
        </is>
      </c>
      <c r="C3089" s="33" t="inlineStr">
        <is>
          <t>Baseline (first log)</t>
        </is>
      </c>
      <c r="D3089" s="33" t="inlineStr">
        <is>
          <t>-</t>
        </is>
      </c>
      <c r="E3089" s="33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s="33" t="inlineStr">
        <is>
          <t>context-2026-09-21.md; 10-K FY2025 (filed 2026-02-13); 10-Q q/e 2026-06-30</t>
        </is>
      </c>
      <c r="G3089" s="33" t="inlineStr">
        <is>
          <t>Med</t>
        </is>
      </c>
      <c r="H3089" s="33" t="inlineStr">
        <is>
          <t>Review</t>
        </is>
      </c>
    </row>
    <row r="3090">
      <c r="A3090" s="33" t="inlineStr">
        <is>
          <t>2026-10-11</t>
        </is>
      </c>
      <c r="B3090" s="33" t="inlineStr">
        <is>
          <t>VRT</t>
        </is>
      </c>
      <c r="C3090" s="33" t="inlineStr">
        <is>
          <t>R1-CustConc</t>
        </is>
      </c>
      <c r="D3090" s="33" t="inlineStr">
        <is>
          <t>4</t>
        </is>
      </c>
      <c r="E3090" s="33" t="inlineStr">
        <is>
          <t>Re-rate 3-&gt;4 (Dom-approved 2026-10-11). The FY2025 10-K discloses no customer at 10% or more of sales; accounting rules require that disclosure when one exists, so none is inferred (the filing does not state it affirmatively). The prior 3 ('top customer 25-40%') matched no filing fact. Literal band is 5; held to 4 because demand comes from a small group of hyperscale and colocation buyers whose combined share is undisclosed, and the 10-K's own risk factor says that with fewer, larger customers the loss of one 'could have an outsized impact'. Contrast WDC (3), where the filing shows top-10 customers at 73% and rising.</t>
        </is>
      </c>
      <c r="F3090" s="33" t="inlineStr">
        <is>
          <t>10-K FY2025 (filed 2026-02-13, acc. 0001674101-26-000008) Item 1A and segment note</t>
        </is>
      </c>
      <c r="G3090" s="33" t="inlineStr">
        <is>
          <t>Med</t>
        </is>
      </c>
      <c r="H3090" s="33" t="inlineStr">
        <is>
          <t>Re-rate</t>
        </is>
      </c>
    </row>
    <row r="3091">
      <c r="A3091" s="33" t="inlineStr">
        <is>
          <t>2026-10-11</t>
        </is>
      </c>
      <c r="B3091" s="33" t="inlineStr">
        <is>
          <t>MU</t>
        </is>
      </c>
      <c r="C3091" s="33" t="inlineStr">
        <is>
          <t>EPS YoY (objective)</t>
        </is>
      </c>
      <c r="D3091" s="33" t="n">
        <v>1077.8</v>
      </c>
      <c r="E3091" s="33" t="inlineStr">
        <is>
          <t>Rule-15 ruling, WRITTEN: Operational memory super-cycle, no one-off: FY2026 revenue $133,188M vs $37,378M, operating income $99,340M (75% of revenue) vs $9,770M, net income $84,969M vs $8,539M - net income is below operating income, so nothing non-operating inflates it. Fiscal Q4 (q/e 2026-09-03) GAAP YoY +1077.8% per yfinance earningsQuarterlyGrowth; quarterly statements in yfinance still lag at 2026-05-31, so the Q4 quarter itself was not decomposed.</t>
        </is>
      </c>
      <c r="F3091" s="33" t="inlineStr">
        <is>
          <t>10-K FY2026 (filed 2026-10-09, acc. 0000723125-26-000023) consolidated statements of operations; yfinance 2026-10-11</t>
        </is>
      </c>
      <c r="G3091" s="33" t="inlineStr">
        <is>
          <t>Med-High</t>
        </is>
      </c>
      <c r="H3091" s="33" t="inlineStr">
        <is>
          <t>Objective refresh</t>
        </is>
      </c>
    </row>
    <row r="3092">
      <c r="A3092" s="33" t="inlineStr">
        <is>
          <t>2026-10-11</t>
        </is>
      </c>
      <c r="B3092" s="33" t="inlineStr">
        <is>
          <t>TER</t>
        </is>
      </c>
      <c r="C3092" s="33" t="inlineStr">
        <is>
          <t>EPS YoY (objective)</t>
        </is>
      </c>
      <c r="D3092" s="33" t="n">
        <v>377.9</v>
      </c>
      <c r="E3092" s="33" t="inlineStr">
        <is>
          <t>Rule-15 ruling, WRITTEN: Operational: Q2 2026 revenue $1,329.0M vs $651.8M (+104%), income from operations $440.8M vs $93.1M (+373%), net income $374.5M vs $78.4M (+377.9%); unusual items -$3.0M; tax rate 15.1% vs 12.7% (works against the jump). Same basis as the 2026-06-24 ruling.</t>
        </is>
      </c>
      <c r="F3092" s="33" t="inlineStr">
        <is>
          <t>10-Q q/e 2026-06-28 (filed 2026-07-31, acc. 0001193125-26-327715) via yfinance quarterly statements</t>
        </is>
      </c>
      <c r="G3092" s="33" t="inlineStr">
        <is>
          <t>Med-High</t>
        </is>
      </c>
      <c r="H3092" s="33" t="inlineStr">
        <is>
          <t>Objective refresh</t>
        </is>
      </c>
    </row>
    <row r="3093">
      <c r="A3093" s="33" t="inlineStr">
        <is>
          <t>2026-10-11</t>
        </is>
      </c>
      <c r="B3093" s="33" t="inlineStr">
        <is>
          <t>SMCI</t>
        </is>
      </c>
      <c r="C3093" s="33" t="inlineStr">
        <is>
          <t>EPS YoY (objective)</t>
        </is>
      </c>
      <c r="D3093" s="33" t="n">
        <v>503.7</v>
      </c>
      <c r="E3093" s="33" t="inlineStr">
        <is>
          <t>Rule-15 ruling, WRITTEN: Operational AI-server ramp: fiscal Q4 2026 net sales $11,119.8M vs $5,756.9M (+93%), income from operations $1,488.1M vs $228.4M (+552%), net income $1,178.2M vs $195.2M (+503.7%); tax rate 19.7% vs 8.7% (works against the jump). FY2026 income from operations $2,770.5M vs $1,253.0M.</t>
        </is>
      </c>
      <c r="F3093" s="33" t="inlineStr">
        <is>
          <t>10-K FY2026 (filed 2026-08-31, acc. 0001375365-26-000022); yfinance quarterly statements</t>
        </is>
      </c>
      <c r="G3093" s="33" t="inlineStr">
        <is>
          <t>Med-High</t>
        </is>
      </c>
      <c r="H3093" s="33" t="inlineStr">
        <is>
          <t>Objective refresh</t>
        </is>
      </c>
    </row>
    <row r="3094">
      <c r="A3094" s="33" t="inlineStr">
        <is>
          <t>2026-10-11</t>
        </is>
      </c>
      <c r="B3094" s="33" t="inlineStr">
        <is>
          <t>HPE</t>
        </is>
      </c>
      <c r="C3094" s="33" t="inlineStr">
        <is>
          <t>EPS YoY (objective)</t>
        </is>
      </c>
      <c r="D3094" s="33" t="n">
        <v>404.9</v>
      </c>
      <c r="E3094" s="33" t="inlineStr">
        <is>
          <t>Rule-15 ruling, WRITTEN: Carries the 2026-09-07 ruling into the overrides file so the refresh stops withholding it: Q3 FY26 net earnings $1,540M vs $305M = +404.9%; earnings from operations up +464% ($1,393M vs $247M per that ruling). Note a $373M other-income item this year vs -$180M last year (21% of pre-tax); the operating line still carries the change.</t>
        </is>
      </c>
      <c r="F3094" s="33" t="inlineStr">
        <is>
          <t>Rating Audit 2026-09-07 EPS YoY (objective); yfinance quarterly statements 2026-10-11</t>
        </is>
      </c>
      <c r="G3094" s="33" t="inlineStr">
        <is>
          <t>Med</t>
        </is>
      </c>
      <c r="H3094" s="33" t="inlineStr">
        <is>
          <t>Objective refresh</t>
        </is>
      </c>
    </row>
    <row r="3095">
      <c r="A3095" s="33" t="inlineStr">
        <is>
          <t>2026-10-11</t>
        </is>
      </c>
      <c r="B3095" s="33" t="inlineStr">
        <is>
          <t>UMC</t>
        </is>
      </c>
      <c r="C3095" s="33" t="inlineStr">
        <is>
          <t>EPS YoY (objective)</t>
        </is>
      </c>
      <c r="E3095" s="33" t="inlineStr">
        <is>
          <t>Rule-15 blank: Q2 2026 net income NT$42.26B vs NT$8.90B (+375%) is dominated by net non-operating income of about NT$30.24B (a net expense of NT$0.67B a year earlier) - roughly two-thirds of pre-tax income of NT$45.19B, attributed by management to investment and dividend income. Operating income rose about 38% YoY (NT$14.9B vs NT$10.8B). The cell held a stale 107.9.</t>
        </is>
      </c>
      <c r="F3095" s="33" t="inlineStr">
        <is>
          <t>UMC Q2 2026 results, Form 6-K Ex-99 (sec.gov/Archives/edgar/data/0001033767/000119312526322027/umc-ex99.htm); Q2 2026 call</t>
        </is>
      </c>
      <c r="G3095" s="33" t="inlineStr">
        <is>
          <t>High</t>
        </is>
      </c>
      <c r="H3095" s="33" t="inlineStr">
        <is>
          <t>Objective refresh</t>
        </is>
      </c>
    </row>
    <row r="3096">
      <c r="A3096" s="33" t="inlineStr">
        <is>
          <t>2026-10-12</t>
        </is>
      </c>
      <c r="B3096" s="33" t="inlineStr">
        <is>
          <t>SPCX</t>
        </is>
      </c>
      <c r="C3096" s="33" t="inlineStr">
        <is>
          <t>R3-BS</t>
        </is>
      </c>
      <c r="D3096" s="33" t="inlineStr">
        <is>
          <t>4</t>
        </is>
      </c>
      <c r="E3096" s="33" t="inlineStr">
        <is>
          <t>Re-rate 5-&gt;4 (Dom-approved 2026-10-12). Band 5 is 'net cash, strong FCF generation, no debt concerns'. Net cash still held at the last filing ($93.5B cash vs $38.4B debt at 2026-06-30), but the other two conditions fail: free cash flow is about -141% of revenue on ~$57B annualized capex, and the credit market is pricing concern - five-year CDS ~195bp, a record, from ~110bp in June; 50-year bonds reported at 85 cents; rated BBB. Since the filing: ~$8B cash committed to spectrum and early talks to borrow ~$40B for Nvidia chips. Band 4 while net cash holds; the Q3 balance sheet may argue for 3. Same strong-FCF clause that moved GOOGL (2026-10-06).</t>
        </is>
      </c>
      <c r="F3096" s="33" t="inlineStr">
        <is>
          <t>10-Q q/e 2026-06-30 (acc. 0001628280-26-052535) balance sheet; Advisor Perspectives/Bloomberg 2026-10-07; Axios 2026-10-09; context-2026-10-12.md</t>
        </is>
      </c>
      <c r="G3096" s="33" t="inlineStr">
        <is>
          <t>Med-High</t>
        </is>
      </c>
      <c r="H3096" s="33" t="inlineStr">
        <is>
          <t>Re-rate</t>
        </is>
      </c>
    </row>
    <row r="3097">
      <c r="A3097" s="33" t="inlineStr">
        <is>
          <t>2026-10-12</t>
        </is>
      </c>
      <c r="B3097" s="33" t="inlineStr">
        <is>
          <t>SPCX</t>
        </is>
      </c>
      <c r="C3097" s="33" t="inlineStr">
        <is>
          <t>D1-AIRev</t>
        </is>
      </c>
      <c r="D3097" s="33" t="inlineStr">
        <is>
          <t>4</t>
        </is>
      </c>
      <c r="E3097" s="33" t="inlineStr">
        <is>
          <t>HELD at 4; rationale corrected (Dom-approved 2026-10-12). The 2026-09-08 row used the whole AI segment, $2,561M / $7,814M = 32.8%. The 10-Q defines that segment as X advertising plus AI solutions and infrastructure; advertising was $367M in Q2 2026. AI Solutions &amp; Infrastructure alone = $2,194M = 28.1% of revenue (band 4, 25-50%); X ads are excluded under the 2026-10-10 ad-platform convention. Also corrected: Cursor was ~$4B+ annualized at June 2026 (Dealroom, press-reported, pre-close), not ~$1B as that row and briefing stated - roughly $1B a quarter consolidating from 2026-08-14, which would lift the share toward 36-40%. Note AI Solutions &amp; Infrastructure rose from $475M in Q1 to $2,194M in Q2; buyers undisclosed.</t>
        </is>
      </c>
      <c r="F3097" s="33" t="inlineStr">
        <is>
          <t>10-Q q/e 2026-06-30 segment description and revenue-by-type table; context-2026-10-12.md</t>
        </is>
      </c>
      <c r="G3097" s="33" t="inlineStr">
        <is>
          <t>High</t>
        </is>
      </c>
      <c r="H3097" s="33" t="inlineStr">
        <is>
          <t>Review</t>
        </is>
      </c>
    </row>
    <row r="3098">
      <c r="A3098" s="33" t="inlineStr">
        <is>
          <t>2026-10-16</t>
        </is>
      </c>
      <c r="B3098" s="33" t="inlineStr">
        <is>
          <t>TSLA</t>
        </is>
      </c>
      <c r="C3098" s="33" t="inlineStr">
        <is>
          <t>D1</t>
        </is>
      </c>
      <c r="D3098" s="33" t="n">
        <v>1</v>
      </c>
      <c r="E3098" s="33" t="inlineStr">
        <is>
          <t>Reaffirmed: robotaxi revenue unreported/immaterial vs ~$28B/qtr; Optimus pre-revenue. Austin fleet ~300 Cybercabs (TX registrations 10/10) is scale, not yet revenue.</t>
        </is>
      </c>
      <c r="F3098" s="33" t="inlineStr">
        <is>
          <t>per-stock/TSLA/context-2026-10-16.md</t>
        </is>
      </c>
      <c r="G3098" s="33" t="inlineStr">
        <is>
          <t>High</t>
        </is>
      </c>
      <c r="H3098" s="33" t="inlineStr">
        <is>
          <t>Review</t>
        </is>
      </c>
    </row>
    <row r="3099">
      <c r="A3099" s="33" t="inlineStr">
        <is>
          <t>2026-10-16</t>
        </is>
      </c>
      <c r="B3099" s="33" t="inlineStr">
        <is>
          <t>TSLA</t>
        </is>
      </c>
      <c r="C3099" s="33" t="inlineStr">
        <is>
          <t>D3</t>
        </is>
      </c>
      <c r="D3099" s="33" t="n">
        <v>3</v>
      </c>
      <c r="E3099" s="33" t="inlineStr">
        <is>
          <t>Reaffirmed: fleet scale strengthens the data case; camera-only bet + NHTSA Cybercab audit unchanged.</t>
        </is>
      </c>
      <c r="F3099" s="33" t="inlineStr">
        <is>
          <t>per-stock/TSLA/context-2026-10-16.md</t>
        </is>
      </c>
      <c r="G3099" s="33" t="inlineStr">
        <is>
          <t>Medium</t>
        </is>
      </c>
      <c r="H3099" s="33" t="inlineStr">
        <is>
          <t>Review</t>
        </is>
      </c>
    </row>
    <row r="3100">
      <c r="A3100" s="33" t="inlineStr">
        <is>
          <t>2026-10-16</t>
        </is>
      </c>
      <c r="B3100" s="33" t="inlineStr">
        <is>
          <t>TSLA</t>
        </is>
      </c>
      <c r="C3100" s="33" t="inlineStr">
        <is>
          <t>D4</t>
        </is>
      </c>
      <c r="D3100" s="33" t="n">
        <v>4</v>
      </c>
      <c r="E3100" s="33" t="inlineStr">
        <is>
          <t>Reaffirmed pending Q3 (10/21): Cybercab 8x and Optimus "several hundred/wk" are registrations + unverified reports; 5 needs company confirmation.</t>
        </is>
      </c>
      <c r="F3100" s="33" t="inlineStr">
        <is>
          <t>per-stock/TSLA/context-2026-10-16.md</t>
        </is>
      </c>
      <c r="G3100" s="33" t="inlineStr">
        <is>
          <t>Medium</t>
        </is>
      </c>
      <c r="H3100" s="33" t="inlineStr">
        <is>
          <t>Review</t>
        </is>
      </c>
    </row>
    <row r="3101">
      <c r="A3101" s="33" t="inlineStr">
        <is>
          <t>2026-10-16</t>
        </is>
      </c>
      <c r="B3101" s="33" t="inlineStr">
        <is>
          <t>TSLA</t>
        </is>
      </c>
      <c r="C3101" s="33" t="inlineStr">
        <is>
          <t>D5</t>
        </is>
      </c>
      <c r="D3101" s="33" t="n">
        <v>1</v>
      </c>
      <c r="E3101" s="33" t="inlineStr">
        <is>
          <t>Reaffirmed: Layer 10 stays on supplier lens per Dom 2026-10-16 (buyer-lens rubric change declined); no hyperscaler revenue.</t>
        </is>
      </c>
      <c r="F3101" s="33" t="inlineStr">
        <is>
          <t>per-stock/TSLA/context-2026-10-16.md</t>
        </is>
      </c>
      <c r="G3101" s="33" t="inlineStr">
        <is>
          <t>High</t>
        </is>
      </c>
      <c r="H3101" s="33" t="inlineStr">
        <is>
          <t>Review</t>
        </is>
      </c>
    </row>
    <row r="3102">
      <c r="A3102" s="33" t="inlineStr">
        <is>
          <t>2026-10-16</t>
        </is>
      </c>
      <c r="B3102" s="33" t="inlineStr">
        <is>
          <t>TSLA</t>
        </is>
      </c>
      <c r="C3102" s="33" t="inlineStr">
        <is>
          <t>M1</t>
        </is>
      </c>
      <c r="D3102" s="33" t="n">
        <v>2</v>
      </c>
      <c r="E3102" s="33" t="inlineStr">
        <is>
          <t>Reaffirmed: Q3 operating-income estimates cut ~56% (S&amp;P preview); revisit after print.</t>
        </is>
      </c>
      <c r="F3102" s="33" t="inlineStr">
        <is>
          <t>per-stock/TSLA/context-2026-10-16.md</t>
        </is>
      </c>
      <c r="G3102" s="33" t="inlineStr">
        <is>
          <t>Medium</t>
        </is>
      </c>
      <c r="H3102" s="33" t="inlineStr">
        <is>
          <t>Review</t>
        </is>
      </c>
    </row>
    <row r="3103">
      <c r="A3103" s="33" t="inlineStr">
        <is>
          <t>2026-10-16</t>
        </is>
      </c>
      <c r="B3103" s="33" t="inlineStr">
        <is>
          <t>TSLA</t>
        </is>
      </c>
      <c r="C3103" s="33" t="inlineStr">
        <is>
          <t>M2</t>
        </is>
      </c>
      <c r="D3103" s="33" t="n">
        <v>2</v>
      </c>
      <c r="E3103" s="33" t="inlineStr">
        <is>
          <t>Reaffirmed: 6mo -12.2% vs QQQ +9.8%, XLY -6.6%, SMH +17.1% (yfinance 2026-10-16).</t>
        </is>
      </c>
      <c r="F3103" s="33" t="inlineStr">
        <is>
          <t>per-stock/TSLA/context-2026-10-16.md</t>
        </is>
      </c>
      <c r="G3103" s="33" t="inlineStr">
        <is>
          <t>High</t>
        </is>
      </c>
      <c r="H3103" s="33" t="inlineStr">
        <is>
          <t>Review</t>
        </is>
      </c>
    </row>
    <row r="3104">
      <c r="A3104" s="33" t="inlineStr">
        <is>
          <t>2026-10-16</t>
        </is>
      </c>
      <c r="B3104" s="33" t="inlineStr">
        <is>
          <t>TSLA</t>
        </is>
      </c>
      <c r="C3104" s="33" t="inlineStr">
        <is>
          <t>M3</t>
        </is>
      </c>
      <c r="D3104" s="33" t="n">
        <v>3</v>
      </c>
      <c r="E3104" s="33" t="inlineStr">
        <is>
          <t>Reaffirmed: only Form 4 since June is CFO Taneja RSU vest + sale of ~2,606 sh 9/8 (0001104659-26-106432); no open-market buys.</t>
        </is>
      </c>
      <c r="F3104" s="33" t="inlineStr">
        <is>
          <t>per-stock/TSLA/context-2026-10-16.md</t>
        </is>
      </c>
      <c r="G3104" s="33" t="inlineStr">
        <is>
          <t>High</t>
        </is>
      </c>
      <c r="H3104" s="33" t="inlineStr">
        <is>
          <t>Review</t>
        </is>
      </c>
    </row>
    <row r="3105">
      <c r="A3105" s="33" t="inlineStr">
        <is>
          <t>2026-10-16</t>
        </is>
      </c>
      <c r="B3105" s="33" t="inlineStr">
        <is>
          <t>TSLA</t>
        </is>
      </c>
      <c r="C3105" s="33" t="inlineStr">
        <is>
          <t>R3</t>
        </is>
      </c>
      <c r="D3105" s="33" t="n">
        <v>4</v>
      </c>
      <c r="E3105" s="33" t="inlineStr">
        <is>
          <t>Reaffirmed, watch: $30B undrawn credit lines (8-K 9/29) + ~-$9.8B consensus 2026 FCF; still net cash (~$43.5B at Q2). Re-test on Q3 cash.</t>
        </is>
      </c>
      <c r="F3105" s="33" t="inlineStr">
        <is>
          <t>per-stock/TSLA/context-2026-10-16.md</t>
        </is>
      </c>
      <c r="G3105" s="33" t="inlineStr">
        <is>
          <t>Medium</t>
        </is>
      </c>
      <c r="H3105" s="33" t="inlineStr">
        <is>
          <t>Review</t>
        </is>
      </c>
    </row>
    <row r="3106">
      <c r="A3106" s="33" t="inlineStr">
        <is>
          <t>2026-10-16</t>
        </is>
      </c>
      <c r="B3106" s="33" t="inlineStr">
        <is>
          <t>TSLA</t>
        </is>
      </c>
      <c r="C3106" s="33" t="inlineStr">
        <is>
          <t>R4</t>
        </is>
      </c>
      <c r="D3106" s="33" t="n">
        <v>2</v>
      </c>
      <c r="E3106" s="33" t="inlineStr">
        <is>
          <t>Reaffirmed: no new securities docket in RECAP (2026-10-16); W.D. Tex. class action + Benavides appeal + NHTSA Cybercab audit unchanged.</t>
        </is>
      </c>
      <c r="F3106" s="33" t="inlineStr">
        <is>
          <t>per-stock/TSLA/context-2026-10-16.md</t>
        </is>
      </c>
      <c r="G3106" s="33" t="inlineStr">
        <is>
          <t>Medium</t>
        </is>
      </c>
      <c r="H3106" s="33" t="inlineStr">
        <is>
          <t>Review</t>
        </is>
      </c>
    </row>
    <row r="3107">
      <c r="A3107" s="33" t="inlineStr">
        <is>
          <t>2026-10-16</t>
        </is>
      </c>
      <c r="B3107" s="33" t="inlineStr">
        <is>
          <t>RDDT</t>
        </is>
      </c>
      <c r="C3107" s="33" t="inlineStr">
        <is>
          <t>M2</t>
        </is>
      </c>
      <c r="D3107" s="33" t="n">
        <v>3</v>
      </c>
      <c r="E3107" s="33" t="inlineStr">
        <is>
          <t>4-&gt;3. 6mo -6.2% vs XLC (benchmark set 2026-10-06) -7.1%: +0.9pp, inside ±5pp (yfinance 2026-10-16). 3mo read weaker.</t>
        </is>
      </c>
      <c r="F3107" s="33" t="inlineStr">
        <is>
          <t>per-stock/RDDT/context-2026-10-16.md</t>
        </is>
      </c>
      <c r="G3107" s="33" t="inlineStr">
        <is>
          <t>Med</t>
        </is>
      </c>
      <c r="H3107" s="33" t="inlineStr">
        <is>
          <t>Update</t>
        </is>
      </c>
    </row>
    <row r="3108">
      <c r="A3108" s="33" t="inlineStr">
        <is>
          <t>2026-10-16</t>
        </is>
      </c>
      <c r="B3108" s="33" t="inlineStr">
        <is>
          <t>RDDT</t>
        </is>
      </c>
      <c r="C3108" s="33" t="inlineStr">
        <is>
          <t>D1,D2,D3,D4,D5,M1,M3,R1,R2,R3,R4,R5</t>
        </is>
      </c>
      <c r="E3108" s="33" t="inlineStr">
        <is>
          <t>Reaffirmed in AI-adopter progress review (D4/D5 held pending Layer-10 cohort stress test).</t>
        </is>
      </c>
      <c r="F3108" s="33" t="inlineStr">
        <is>
          <t>per-stock/RDDT/context-2026-10-16.md</t>
        </is>
      </c>
      <c r="G3108" s="33" t="inlineStr">
        <is>
          <t>Med</t>
        </is>
      </c>
      <c r="H3108" s="33" t="inlineStr">
        <is>
          <t>Review</t>
        </is>
      </c>
    </row>
    <row r="3109">
      <c r="A3109" s="33" t="inlineStr">
        <is>
          <t>2026-10-16</t>
        </is>
      </c>
      <c r="B3109" s="33" t="inlineStr">
        <is>
          <t>PLTR</t>
        </is>
      </c>
      <c r="C3109" s="33" t="inlineStr">
        <is>
          <t>M2</t>
        </is>
      </c>
      <c r="D3109" s="33" t="n">
        <v>3</v>
      </c>
      <c r="E3109" s="33" t="inlineStr">
        <is>
          <t>2-&gt;3. 6mo +26.4% vs IGV +22.1%: +4.3pp, inside ±5pp (yfinance 2026-10-16; includes -7.6% day on 10-16 with IGV -5.2%).</t>
        </is>
      </c>
      <c r="F3109" s="33" t="inlineStr">
        <is>
          <t>per-stock/PLTR/context-2026-10-16.md</t>
        </is>
      </c>
      <c r="G3109" s="33" t="inlineStr">
        <is>
          <t>Med</t>
        </is>
      </c>
      <c r="H3109" s="33" t="inlineStr">
        <is>
          <t>Update</t>
        </is>
      </c>
    </row>
    <row r="3110">
      <c r="A3110" s="33" t="inlineStr">
        <is>
          <t>2026-10-16</t>
        </is>
      </c>
      <c r="B3110" s="33" t="inlineStr">
        <is>
          <t>PLTR</t>
        </is>
      </c>
      <c r="C3110" s="33" t="inlineStr">
        <is>
          <t>D1,D2,D3,D4,D5,M1,M3,R1,R2,R3,R4,R5</t>
        </is>
      </c>
      <c r="E3110" s="33" t="inlineStr">
        <is>
          <t>Reaffirmed in AI-adopter progress review (D4/D5 held pending Layer-10 cohort stress test).</t>
        </is>
      </c>
      <c r="F3110" s="33" t="inlineStr">
        <is>
          <t>per-stock/PLTR/context-2026-10-16.md</t>
        </is>
      </c>
      <c r="G3110" s="33" t="inlineStr">
        <is>
          <t>Med</t>
        </is>
      </c>
      <c r="H3110" s="33" t="inlineStr">
        <is>
          <t>Review</t>
        </is>
      </c>
    </row>
    <row r="3111">
      <c r="A3111" s="33" t="inlineStr">
        <is>
          <t>2026-10-16</t>
        </is>
      </c>
      <c r="B3111" s="33" t="inlineStr">
        <is>
          <t>TEM</t>
        </is>
      </c>
      <c r="C3111" s="33" t="inlineStr">
        <is>
          <t>D1</t>
        </is>
      </c>
      <c r="D3111" s="33" t="n">
        <v>3</v>
      </c>
      <c r="E3111" s="33" t="inlineStr">
        <is>
          <t>5-&gt;3. Resolves the 2026-09-07 scrutiny flag: discrete AI line (Data &amp; Applications) is $93.2M = 24.4% of Q2 revenue, the 10-25% band; ~76% Diagnostics is AI-enabled lab testing, the rubric AI-adjacent failure mode.</t>
        </is>
      </c>
      <c r="F3111" s="33" t="inlineStr">
        <is>
          <t>per-stock/TEM/context-2026-10-16.md</t>
        </is>
      </c>
      <c r="G3111" s="33" t="inlineStr">
        <is>
          <t>Med</t>
        </is>
      </c>
      <c r="H3111" s="33" t="inlineStr">
        <is>
          <t>Update</t>
        </is>
      </c>
    </row>
    <row r="3112">
      <c r="A3112" s="33" t="inlineStr">
        <is>
          <t>2026-10-16</t>
        </is>
      </c>
      <c r="B3112" s="33" t="inlineStr">
        <is>
          <t>TEM</t>
        </is>
      </c>
      <c r="C3112" s="33" t="inlineStr">
        <is>
          <t>R1</t>
        </is>
      </c>
      <c r="D3112" s="33" t="n">
        <v>4</v>
      </c>
      <c r="E3112" s="33" t="inlineStr">
        <is>
          <t>3-&gt;4. No customer &gt;10% disclosed; largest data deal (AZ/Pathos) ~4% of revenue. Held below 5: Medicare payer share unquantified.</t>
        </is>
      </c>
      <c r="F3112" s="33" t="inlineStr">
        <is>
          <t>per-stock/TEM/context-2026-10-16.md</t>
        </is>
      </c>
      <c r="G3112" s="33" t="inlineStr">
        <is>
          <t>Low</t>
        </is>
      </c>
      <c r="H3112" s="33" t="inlineStr">
        <is>
          <t>Update</t>
        </is>
      </c>
    </row>
    <row r="3113">
      <c r="A3113" s="33" t="inlineStr">
        <is>
          <t>2026-10-16</t>
        </is>
      </c>
      <c r="B3113" s="33" t="inlineStr">
        <is>
          <t>TEM</t>
        </is>
      </c>
      <c r="C3113" s="33" t="inlineStr">
        <is>
          <t>R3</t>
        </is>
      </c>
      <c r="D3113" s="33" t="n">
        <v>2</v>
      </c>
      <c r="E3113" s="33" t="inlineStr">
        <is>
          <t>4-&gt;2. Correction: not net cash. $1.17B convertible notes + $188M convertible note vs $600M cash + $216M marketable shares = ~$545M net debt, ~8x FY26 adj-EBITDA guide; H1 FCF ~-$102M. No maturity wall (2030/2032), so not 1.</t>
        </is>
      </c>
      <c r="F3113" s="33" t="inlineStr">
        <is>
          <t>per-stock/TEM/context-2026-10-16.md</t>
        </is>
      </c>
      <c r="G3113" s="33" t="inlineStr">
        <is>
          <t>Med</t>
        </is>
      </c>
      <c r="H3113" s="33" t="inlineStr">
        <is>
          <t>Update</t>
        </is>
      </c>
    </row>
    <row r="3114">
      <c r="A3114" s="33" t="inlineStr">
        <is>
          <t>2026-10-16</t>
        </is>
      </c>
      <c r="B3114" s="33" t="inlineStr">
        <is>
          <t>TEM</t>
        </is>
      </c>
      <c r="C3114" s="33" t="inlineStr">
        <is>
          <t>R4</t>
        </is>
      </c>
      <c r="D3114" s="33" t="n">
        <v>2</v>
      </c>
      <c r="E3114" s="33" t="inlineStr">
        <is>
          <t>3-&gt;2. Active EDNY civil investigative demand (False Claims Act / Anti-Kickback, Medicare 14-day rule; production ongoing), 4 Illinois GIPA class actions (from 2026-02-12), Guardant injunction-seeking patent suits = "active regulatory investigations".</t>
        </is>
      </c>
      <c r="F3114" s="33" t="inlineStr">
        <is>
          <t>per-stock/TEM/context-2026-10-16.md</t>
        </is>
      </c>
      <c r="G3114" s="33" t="inlineStr">
        <is>
          <t>Med</t>
        </is>
      </c>
      <c r="H3114" s="33" t="inlineStr">
        <is>
          <t>Update</t>
        </is>
      </c>
    </row>
    <row r="3115">
      <c r="A3115" s="33" t="inlineStr">
        <is>
          <t>2026-10-16</t>
        </is>
      </c>
      <c r="B3115" s="33" t="inlineStr">
        <is>
          <t>TEM</t>
        </is>
      </c>
      <c r="C3115" s="33" t="inlineStr">
        <is>
          <t>D2,D3,D4,D5,M1,M2,M3,R2,R5</t>
        </is>
      </c>
      <c r="E3115" s="33" t="inlineStr">
        <is>
          <t>Reaffirmed in AI-adopter progress review (D4/D5 held pending Layer-10 cohort stress test).</t>
        </is>
      </c>
      <c r="F3115" s="33" t="inlineStr">
        <is>
          <t>per-stock/TEM/context-2026-10-16.md</t>
        </is>
      </c>
      <c r="G3115" s="33" t="inlineStr">
        <is>
          <t>Med</t>
        </is>
      </c>
      <c r="H3115" s="33" t="inlineStr">
        <is>
          <t>Review</t>
        </is>
      </c>
    </row>
    <row r="3116">
      <c r="A3116" s="33" t="inlineStr">
        <is>
          <t>2026-10-16</t>
        </is>
      </c>
      <c r="B3116" s="33" t="inlineStr">
        <is>
          <t>NOW</t>
        </is>
      </c>
      <c r="C3116" s="33" t="inlineStr">
        <is>
          <t>M2</t>
        </is>
      </c>
      <c r="D3116" s="33" t="n">
        <v>5</v>
      </c>
      <c r="E3116" s="33" t="inlineStr">
        <is>
          <t>1-&gt;5. 6mo +45.4% vs IGV +22.1%: +23.3pp (&gt;20pp) (yfinance 2026-10-16).</t>
        </is>
      </c>
      <c r="F3116" s="33" t="inlineStr">
        <is>
          <t>per-stock/NOW/context-2026-10-16.md</t>
        </is>
      </c>
      <c r="G3116" s="33" t="inlineStr">
        <is>
          <t>High</t>
        </is>
      </c>
      <c r="H3116" s="33" t="inlineStr">
        <is>
          <t>Update</t>
        </is>
      </c>
    </row>
    <row r="3117">
      <c r="A3117" s="33" t="inlineStr">
        <is>
          <t>2026-10-16</t>
        </is>
      </c>
      <c r="B3117" s="33" t="inlineStr">
        <is>
          <t>NOW</t>
        </is>
      </c>
      <c r="C3117" s="33" t="inlineStr">
        <is>
          <t>M3</t>
        </is>
      </c>
      <c r="D3117" s="33" t="n">
        <v>5</v>
      </c>
      <c r="E3117" s="33" t="inlineStr">
        <is>
          <t>3-&gt;5. CEO McDermott open-market purchase 2026-02-27, 28,682 sh at $104.60-105.96 (~$3.0M), not 10b5-1: single-buyer &gt;$1M path (yfinance insider_transactions; Form 4).</t>
        </is>
      </c>
      <c r="F3117" s="33" t="inlineStr">
        <is>
          <t>per-stock/NOW/context-2026-10-16.md</t>
        </is>
      </c>
      <c r="G3117" s="33" t="inlineStr">
        <is>
          <t>High</t>
        </is>
      </c>
      <c r="H3117" s="33" t="inlineStr">
        <is>
          <t>Update</t>
        </is>
      </c>
    </row>
    <row r="3118">
      <c r="A3118" s="33" t="inlineStr">
        <is>
          <t>2026-10-16</t>
        </is>
      </c>
      <c r="B3118" s="33" t="inlineStr">
        <is>
          <t>NOW</t>
        </is>
      </c>
      <c r="C3118" s="33" t="inlineStr">
        <is>
          <t>R1</t>
        </is>
      </c>
      <c r="D3118" s="33" t="n">
        <v>5</v>
      </c>
      <c r="E3118" s="33" t="inlineStr">
        <is>
          <t>4-&gt;5. Largest customer (US federal channel partner/SI) 13% of revenue, below the 15% line; rising from 11%, watch.</t>
        </is>
      </c>
      <c r="F3118" s="33" t="inlineStr">
        <is>
          <t>per-stock/NOW/context-2026-10-16.md</t>
        </is>
      </c>
      <c r="G3118" s="33" t="inlineStr">
        <is>
          <t>Med</t>
        </is>
      </c>
      <c r="H3118" s="33" t="inlineStr">
        <is>
          <t>Update</t>
        </is>
      </c>
    </row>
    <row r="3119">
      <c r="A3119" s="33" t="inlineStr">
        <is>
          <t>2026-10-16</t>
        </is>
      </c>
      <c r="B3119" s="33" t="inlineStr">
        <is>
          <t>NOW</t>
        </is>
      </c>
      <c r="C3119" s="33" t="inlineStr">
        <is>
          <t>R3</t>
        </is>
      </c>
      <c r="D3119" s="33" t="n">
        <v>4</v>
      </c>
      <c r="E3119" s="33" t="inlineStr">
        <is>
          <t>5-&gt;4. No longer net cash after Armis (~$7.6B cash): ~$0.9B net debt, ND/EBITDA ~1.3x, notes 2028-2056 well spread.</t>
        </is>
      </c>
      <c r="F3119" s="33" t="inlineStr">
        <is>
          <t>per-stock/NOW/context-2026-10-16.md</t>
        </is>
      </c>
      <c r="G3119" s="33" t="inlineStr">
        <is>
          <t>High</t>
        </is>
      </c>
      <c r="H3119" s="33" t="inlineStr">
        <is>
          <t>Update</t>
        </is>
      </c>
    </row>
    <row r="3120">
      <c r="A3120" s="33" t="inlineStr">
        <is>
          <t>2026-10-16</t>
        </is>
      </c>
      <c r="B3120" s="33" t="inlineStr">
        <is>
          <t>NOW</t>
        </is>
      </c>
      <c r="C3120" s="33" t="inlineStr">
        <is>
          <t>R4</t>
        </is>
      </c>
      <c r="D3120" s="33" t="n">
        <v>2</v>
      </c>
      <c r="E3120" s="33" t="inlineStr">
        <is>
          <t>4-&gt;2. Literal band: active DOJ investigation into 2023 hiring of the Army CIO, Army Suspension &amp; Debarment Office notified; company "cannot predict" impact. 2024 matter, no escalation; 3 defensible. Docket check skipped (CourtListener timeout).</t>
        </is>
      </c>
      <c r="F3120" s="33" t="inlineStr">
        <is>
          <t>per-stock/NOW/context-2026-10-16.md</t>
        </is>
      </c>
      <c r="G3120" s="33" t="inlineStr">
        <is>
          <t>Med</t>
        </is>
      </c>
      <c r="H3120" s="33" t="inlineStr">
        <is>
          <t>Update</t>
        </is>
      </c>
    </row>
    <row r="3121">
      <c r="A3121" s="33" t="inlineStr">
        <is>
          <t>2026-10-16</t>
        </is>
      </c>
      <c r="B3121" s="33" t="inlineStr">
        <is>
          <t>NOW</t>
        </is>
      </c>
      <c r="C3121" s="33" t="inlineStr">
        <is>
          <t>D1,D2,D3,D4,D5,M1,R2,R5</t>
        </is>
      </c>
      <c r="E3121" s="33" t="inlineStr">
        <is>
          <t>Reaffirmed in AI-adopter progress review (D4/D5 held pending Layer-10 cohort stress test).</t>
        </is>
      </c>
      <c r="F3121" s="33" t="inlineStr">
        <is>
          <t>per-stock/NOW/context-2026-10-16.md</t>
        </is>
      </c>
      <c r="G3121" s="33" t="inlineStr">
        <is>
          <t>Med</t>
        </is>
      </c>
      <c r="H3121" s="33" t="inlineStr">
        <is>
          <t>Review</t>
        </is>
      </c>
    </row>
    <row r="3122">
      <c r="A3122" s="33" t="inlineStr">
        <is>
          <t>2026-10-16</t>
        </is>
      </c>
      <c r="B3122" s="33" t="inlineStr">
        <is>
          <t>APP</t>
        </is>
      </c>
      <c r="C3122" s="33" t="inlineStr">
        <is>
          <t>R1</t>
        </is>
      </c>
      <c r="D3122" s="33" t="n">
        <v>5</v>
      </c>
      <c r="E3122" s="33" t="inlineStr">
        <is>
          <t>4-&gt;5. Literal band: no customer &gt;=10% of revenue; the prior 4 reflected platform dependence (Apple/Google/Meta), which R1 does not measure.</t>
        </is>
      </c>
      <c r="F3122" s="33" t="inlineStr">
        <is>
          <t>per-stock/APP/context-2026-10-16.md</t>
        </is>
      </c>
      <c r="G3122" s="33" t="inlineStr">
        <is>
          <t>Med</t>
        </is>
      </c>
      <c r="H3122" s="33" t="inlineStr">
        <is>
          <t>Update</t>
        </is>
      </c>
    </row>
    <row r="3123">
      <c r="A3123" s="33" t="inlineStr">
        <is>
          <t>2026-10-16</t>
        </is>
      </c>
      <c r="B3123" s="33" t="inlineStr">
        <is>
          <t>APP</t>
        </is>
      </c>
      <c r="C3123" s="33" t="inlineStr">
        <is>
          <t>R3</t>
        </is>
      </c>
      <c r="D3123" s="33" t="n">
        <v>4</v>
      </c>
      <c r="E3123" s="33" t="inlineStr">
        <is>
          <t>5-&gt;4. Band 5 requires net cash; APP is ~$462M net debt (cash $3,053M vs debt $3,515M), ND/EBITDA ~0.09. Economically trivial leverage.</t>
        </is>
      </c>
      <c r="F3123" s="33" t="inlineStr">
        <is>
          <t>per-stock/APP/context-2026-10-16.md</t>
        </is>
      </c>
      <c r="G3123" s="33" t="inlineStr">
        <is>
          <t>Med</t>
        </is>
      </c>
      <c r="H3123" s="33" t="inlineStr">
        <is>
          <t>Update</t>
        </is>
      </c>
    </row>
    <row r="3124">
      <c r="A3124" s="33" t="inlineStr">
        <is>
          <t>2026-10-16</t>
        </is>
      </c>
      <c r="B3124" s="33" t="inlineStr">
        <is>
          <t>APP</t>
        </is>
      </c>
      <c r="C3124" s="33" t="inlineStr">
        <is>
          <t>D1,D2,D3,D4,D5,M1,M2,M3,R2,R4,R5</t>
        </is>
      </c>
      <c r="E3124" s="33" t="inlineStr">
        <is>
          <t>Reaffirmed in AI-adopter progress review (D4/D5 held pending Layer-10 cohort stress test).</t>
        </is>
      </c>
      <c r="F3124" s="33" t="inlineStr">
        <is>
          <t>per-stock/APP/context-2026-10-16.md</t>
        </is>
      </c>
      <c r="G3124" s="33" t="inlineStr">
        <is>
          <t>Med</t>
        </is>
      </c>
      <c r="H3124" s="33" t="inlineStr">
        <is>
          <t>Review</t>
        </is>
      </c>
    </row>
    <row r="3125">
      <c r="A3125" s="33" t="inlineStr">
        <is>
          <t>2026-10-16</t>
        </is>
      </c>
      <c r="B3125" s="33" t="inlineStr">
        <is>
          <t>CRM</t>
        </is>
      </c>
      <c r="C3125" s="33" t="inlineStr">
        <is>
          <t>M1</t>
        </is>
      </c>
      <c r="D3125" s="33" t="n">
        <v>3</v>
      </c>
      <c r="E3125" s="33" t="inlineStr">
        <is>
          <t>4-&gt;3. Mixed: current Q +2.5% (35 up/5 down) but next Q -2.2% (32 down); FY27 rise is the Anthropic mark (about flat ex-gain) (yfinance eps_trend/revisions 2026-10-16).</t>
        </is>
      </c>
      <c r="F3125" s="33" t="inlineStr">
        <is>
          <t>per-stock/CRM/context-2026-10-16.md</t>
        </is>
      </c>
      <c r="G3125" s="33" t="inlineStr">
        <is>
          <t>Med</t>
        </is>
      </c>
      <c r="H3125" s="33" t="inlineStr">
        <is>
          <t>Update</t>
        </is>
      </c>
    </row>
    <row r="3126">
      <c r="A3126" s="33" t="inlineStr">
        <is>
          <t>2026-10-16</t>
        </is>
      </c>
      <c r="B3126" s="33" t="inlineStr">
        <is>
          <t>CRM</t>
        </is>
      </c>
      <c r="C3126" s="33" t="inlineStr">
        <is>
          <t>M2</t>
        </is>
      </c>
      <c r="D3126" s="33" t="n">
        <v>4</v>
      </c>
      <c r="E3126" s="33" t="inlineStr">
        <is>
          <t>2-&gt;4. 6mo +32.4% vs IGV +22.1%: +10.3pp, 5-20 band (yfinance 2026-10-16).</t>
        </is>
      </c>
      <c r="F3126" s="33" t="inlineStr">
        <is>
          <t>per-stock/CRM/context-2026-10-16.md</t>
        </is>
      </c>
      <c r="G3126" s="33" t="inlineStr">
        <is>
          <t>High</t>
        </is>
      </c>
      <c r="H3126" s="33" t="inlineStr">
        <is>
          <t>Update</t>
        </is>
      </c>
    </row>
    <row r="3127">
      <c r="A3127" s="33" t="inlineStr">
        <is>
          <t>2026-10-16</t>
        </is>
      </c>
      <c r="B3127" s="33" t="inlineStr">
        <is>
          <t>CRM</t>
        </is>
      </c>
      <c r="C3127" s="33" t="inlineStr">
        <is>
          <t>R1</t>
        </is>
      </c>
      <c r="D3127" s="33" t="n">
        <v>5</v>
      </c>
      <c r="E3127" s="33" t="inlineStr">
        <is>
          <t>4-&gt;5. 10-Q: no single customer reaches 10% of revenue; band 5 = none &gt;15%.</t>
        </is>
      </c>
      <c r="F3127" s="33" t="inlineStr">
        <is>
          <t>per-stock/CRM/context-2026-10-16.md</t>
        </is>
      </c>
      <c r="G3127" s="33" t="inlineStr">
        <is>
          <t>High</t>
        </is>
      </c>
      <c r="H3127" s="33" t="inlineStr">
        <is>
          <t>Update</t>
        </is>
      </c>
    </row>
    <row r="3128">
      <c r="A3128" s="33" t="inlineStr">
        <is>
          <t>2026-10-16</t>
        </is>
      </c>
      <c r="B3128" s="33" t="inlineStr">
        <is>
          <t>CRM</t>
        </is>
      </c>
      <c r="C3128" s="33" t="inlineStr">
        <is>
          <t>D1,D2,D3,D4,D5,M3,R2,R3,R4,R5</t>
        </is>
      </c>
      <c r="E3128" s="33" t="inlineStr">
        <is>
          <t>Reaffirmed in AI-adopter progress review (D4/D5 held pending Layer-10 cohort stress test).</t>
        </is>
      </c>
      <c r="F3128" s="33" t="inlineStr">
        <is>
          <t>per-stock/CRM/context-2026-10-16.md</t>
        </is>
      </c>
      <c r="G3128" s="33" t="inlineStr">
        <is>
          <t>Med</t>
        </is>
      </c>
      <c r="H3128" s="33" t="inlineStr">
        <is>
          <t>Review</t>
        </is>
      </c>
    </row>
    <row r="3129">
      <c r="A3129" s="33" t="inlineStr">
        <is>
          <t>2026-10-16</t>
        </is>
      </c>
      <c r="B3129" s="33" t="inlineStr">
        <is>
          <t>HOOD</t>
        </is>
      </c>
      <c r="C3129" s="33" t="inlineStr">
        <is>
          <t>M1</t>
        </is>
      </c>
      <c r="D3129" s="33" t="n">
        <v>5</v>
      </c>
      <c r="E3129" s="33" t="inlineStr">
        <is>
          <t>4-&gt;5. FY26 EPS consensus +13.8% and FY27 +11.4% over 90d; 11 up / 3 down in 30d (yfinance 2026-10-16). Q2 beat partly a one-time gain (see rule-15 ruling).</t>
        </is>
      </c>
      <c r="F3129" s="33" t="inlineStr">
        <is>
          <t>per-stock/HOOD/context-2026-10-16.md</t>
        </is>
      </c>
      <c r="G3129" s="33" t="inlineStr">
        <is>
          <t>Med</t>
        </is>
      </c>
      <c r="H3129" s="33" t="inlineStr">
        <is>
          <t>Update</t>
        </is>
      </c>
    </row>
    <row r="3130">
      <c r="A3130" s="33" t="inlineStr">
        <is>
          <t>2026-10-16</t>
        </is>
      </c>
      <c r="B3130" s="33" t="inlineStr">
        <is>
          <t>HOOD</t>
        </is>
      </c>
      <c r="C3130" s="33" t="inlineStr">
        <is>
          <t>M2</t>
        </is>
      </c>
      <c r="D3130" s="33" t="n">
        <v>2</v>
      </c>
      <c r="E3130" s="33" t="inlineStr">
        <is>
          <t>5-&gt;2. 6mo +7.7% vs IGV +22.1%: -14.4pp, 5-20 band (yfinance 2026-10-16); vs XLF would be 3.</t>
        </is>
      </c>
      <c r="F3130" s="33" t="inlineStr">
        <is>
          <t>per-stock/HOOD/context-2026-10-16.md</t>
        </is>
      </c>
      <c r="G3130" s="33" t="inlineStr">
        <is>
          <t>High</t>
        </is>
      </c>
      <c r="H3130" s="33" t="inlineStr">
        <is>
          <t>Update</t>
        </is>
      </c>
    </row>
    <row r="3131">
      <c r="A3131" s="33" t="inlineStr">
        <is>
          <t>2026-10-16</t>
        </is>
      </c>
      <c r="B3131" s="33" t="inlineStr">
        <is>
          <t>HOOD</t>
        </is>
      </c>
      <c r="C3131" s="33" t="inlineStr">
        <is>
          <t>D1,D2,D3,D4,D5,M3,R1,R2,R3,R4,R5</t>
        </is>
      </c>
      <c r="E3131" s="33" t="inlineStr">
        <is>
          <t>Reaffirmed in AI-adopter progress review (D4/D5 held pending Layer-10 cohort stress test).</t>
        </is>
      </c>
      <c r="F3131" s="33" t="inlineStr">
        <is>
          <t>per-stock/HOOD/context-2026-10-16.md</t>
        </is>
      </c>
      <c r="G3131" s="33" t="inlineStr">
        <is>
          <t>Med</t>
        </is>
      </c>
      <c r="H3131" s="33" t="inlineStr">
        <is>
          <t>Review</t>
        </is>
      </c>
    </row>
    <row r="3132">
      <c r="A3132" s="33" t="inlineStr">
        <is>
          <t>2026-10-16</t>
        </is>
      </c>
      <c r="B3132" s="33" t="inlineStr">
        <is>
          <t>UPST</t>
        </is>
      </c>
      <c r="C3132" s="33" t="inlineStr">
        <is>
          <t>D1</t>
        </is>
      </c>
      <c r="D3132" s="33" t="n">
        <v>2</v>
      </c>
      <c r="E3132" s="33" t="inlineStr">
        <is>
          <t>AI-enabled lending fees, not AI-infrastructure revenue; ad-platform-style baseline 2 by analogy (91% of loans fully automated). Extending that convention to lenders is Dom's call.</t>
        </is>
      </c>
      <c r="F3132" s="33" t="inlineStr">
        <is>
          <t>per-stock/UPST/context-2026-10-16.md</t>
        </is>
      </c>
      <c r="G3132" s="33" t="inlineStr">
        <is>
          <t>Med</t>
        </is>
      </c>
      <c r="H3132" s="33" t="inlineStr">
        <is>
          <t>Initial</t>
        </is>
      </c>
    </row>
    <row r="3133">
      <c r="A3133" s="33" t="inlineStr">
        <is>
          <t>2026-10-16</t>
        </is>
      </c>
      <c r="B3133" s="33" t="inlineStr">
        <is>
          <t>UPST</t>
        </is>
      </c>
      <c r="C3133" s="33" t="inlineStr">
        <is>
          <t>D2</t>
        </is>
      </c>
      <c r="D3133" s="33" t="n">
        <v>3</v>
      </c>
      <c r="E3133" s="33" t="inlineStr">
        <is>
          <t>Mid-chain marketplace; lending-partner integration switching costs, but borrowers rate-shop and funders can withdraw.</t>
        </is>
      </c>
      <c r="F3133" s="33" t="inlineStr">
        <is>
          <t>per-stock/UPST/context-2026-10-16.md</t>
        </is>
      </c>
      <c r="G3133" s="33" t="inlineStr">
        <is>
          <t>Low</t>
        </is>
      </c>
      <c r="H3133" s="33" t="inlineStr">
        <is>
          <t>Initial</t>
        </is>
      </c>
    </row>
    <row r="3134">
      <c r="A3134" s="33" t="inlineStr">
        <is>
          <t>2026-10-16</t>
        </is>
      </c>
      <c r="B3134" s="33" t="inlineStr">
        <is>
          <t>UPST</t>
        </is>
      </c>
      <c r="C3134" s="33" t="inlineStr">
        <is>
          <t>D3</t>
        </is>
      </c>
      <c r="D3134" s="33" t="n">
        <v>3</v>
      </c>
      <c r="E3134" s="33" t="inlineStr">
        <is>
          <t>Real data/model edge (claimed 2.74x vs FICO, company-defined), but price-taker on funding in 2022-23.</t>
        </is>
      </c>
      <c r="F3134" s="33" t="inlineStr">
        <is>
          <t>per-stock/UPST/context-2026-10-16.md</t>
        </is>
      </c>
      <c r="G3134" s="33" t="inlineStr">
        <is>
          <t>Med</t>
        </is>
      </c>
      <c r="H3134" s="33" t="inlineStr">
        <is>
          <t>Initial</t>
        </is>
      </c>
    </row>
    <row r="3135">
      <c r="A3135" s="33" t="inlineStr">
        <is>
          <t>2026-10-16</t>
        </is>
      </c>
      <c r="B3135" s="33" t="inlineStr">
        <is>
          <t>UPST</t>
        </is>
      </c>
      <c r="C3135" s="33" t="inlineStr">
        <is>
          <t>D4</t>
        </is>
      </c>
      <c r="D3135" s="33" t="n">
        <v>4</v>
      </c>
      <c r="E3135" s="33" t="inlineStr">
        <is>
          <t>Active expansion: HELOC, auto, Cash Line, OCC conditional bank charter 2026-07-23, ~$5B new funding capacity (Castlelake up to $4B).</t>
        </is>
      </c>
      <c r="F3135" s="33" t="inlineStr">
        <is>
          <t>per-stock/UPST/context-2026-10-16.md</t>
        </is>
      </c>
      <c r="G3135" s="33" t="inlineStr">
        <is>
          <t>Med</t>
        </is>
      </c>
      <c r="H3135" s="33" t="inlineStr">
        <is>
          <t>Initial</t>
        </is>
      </c>
    </row>
    <row r="3136">
      <c r="A3136" s="33" t="inlineStr">
        <is>
          <t>2026-10-16</t>
        </is>
      </c>
      <c r="B3136" s="33" t="inlineStr">
        <is>
          <t>UPST</t>
        </is>
      </c>
      <c r="C3136" s="33" t="inlineStr">
        <is>
          <t>D5</t>
        </is>
      </c>
      <c r="D3136" s="33" t="n">
        <v>1</v>
      </c>
      <c r="E3136" s="33" t="inlineStr">
        <is>
          <t>Layer-10 supplier lens: no hyperscaler revenue; customers are banks/credit unions.</t>
        </is>
      </c>
      <c r="F3136" s="33" t="inlineStr">
        <is>
          <t>per-stock/UPST/context-2026-10-16.md</t>
        </is>
      </c>
      <c r="G3136" s="33" t="inlineStr">
        <is>
          <t>High</t>
        </is>
      </c>
      <c r="H3136" s="33" t="inlineStr">
        <is>
          <t>Initial</t>
        </is>
      </c>
    </row>
    <row r="3137">
      <c r="A3137" s="33" t="inlineStr">
        <is>
          <t>2026-10-16</t>
        </is>
      </c>
      <c r="B3137" s="33" t="inlineStr">
        <is>
          <t>UPST</t>
        </is>
      </c>
      <c r="C3137" s="33" t="inlineStr">
        <is>
          <t>M1</t>
        </is>
      </c>
      <c r="D3137" s="33" t="n">
        <v>3</v>
      </c>
      <c r="E3137" s="33" t="inlineStr">
        <is>
          <t>Mixed 90d: next Q 0.812-&gt;0.738 cut, FY26 2.315-&gt;2.291, FY27 3.37-&gt;3.57 raised (yfinance 2026-10-16).</t>
        </is>
      </c>
      <c r="F3137" s="33" t="inlineStr">
        <is>
          <t>per-stock/UPST/context-2026-10-16.md</t>
        </is>
      </c>
      <c r="G3137" s="33" t="inlineStr">
        <is>
          <t>Med</t>
        </is>
      </c>
      <c r="H3137" s="33" t="inlineStr">
        <is>
          <t>Initial</t>
        </is>
      </c>
    </row>
    <row r="3138">
      <c r="A3138" s="33" t="inlineStr">
        <is>
          <t>2026-10-16</t>
        </is>
      </c>
      <c r="B3138" s="33" t="inlineStr">
        <is>
          <t>UPST</t>
        </is>
      </c>
      <c r="C3138" s="33" t="inlineStr">
        <is>
          <t>M2</t>
        </is>
      </c>
      <c r="D3138" s="33" t="n">
        <v>1</v>
      </c>
      <c r="E3138" s="33" t="inlineStr">
        <is>
          <t>6mo -32.5% vs IGV +22.1% (and XLF): lags &gt;20pp (yfinance 2026-10-16).</t>
        </is>
      </c>
      <c r="F3138" s="33" t="inlineStr">
        <is>
          <t>per-stock/UPST/context-2026-10-16.md</t>
        </is>
      </c>
      <c r="G3138" s="33" t="inlineStr">
        <is>
          <t>High</t>
        </is>
      </c>
      <c r="H3138" s="33" t="inlineStr">
        <is>
          <t>Initial</t>
        </is>
      </c>
    </row>
    <row r="3139">
      <c r="A3139" s="33" t="inlineStr">
        <is>
          <t>2026-10-16</t>
        </is>
      </c>
      <c r="B3139" s="33" t="inlineStr">
        <is>
          <t>UPST</t>
        </is>
      </c>
      <c r="C3139" s="33" t="inlineStr">
        <is>
          <t>M3</t>
        </is>
      </c>
      <c r="D3139" s="33" t="n">
        <v>5</v>
      </c>
      <c r="E3139" s="33" t="inlineStr">
        <is>
          <t>&gt;=2 open-market buyers in 12mo: Girouard ~$5.0M 2026-05-07; Gu ~$1.38M 2026-05-13, ~$1.28M 2026-09-10 (yfinance insider_transactions).</t>
        </is>
      </c>
      <c r="F3139" s="33" t="inlineStr">
        <is>
          <t>per-stock/UPST/context-2026-10-16.md</t>
        </is>
      </c>
      <c r="G3139" s="33" t="inlineStr">
        <is>
          <t>High</t>
        </is>
      </c>
      <c r="H3139" s="33" t="inlineStr">
        <is>
          <t>Initial</t>
        </is>
      </c>
    </row>
    <row r="3140">
      <c r="A3140" s="33" t="inlineStr">
        <is>
          <t>2026-10-16</t>
        </is>
      </c>
      <c r="B3140" s="33" t="inlineStr">
        <is>
          <t>UPST</t>
        </is>
      </c>
      <c r="C3140" s="33" t="inlineStr">
        <is>
          <t>R1</t>
        </is>
      </c>
      <c r="D3140" s="33" t="n">
        <v>3</v>
      </c>
      <c r="E3140" s="33" t="inlineStr">
        <is>
          <t>Customer A = 36% of Q2 revenue (25-40% band) (10-Q Note 2).</t>
        </is>
      </c>
      <c r="F3140" s="33" t="inlineStr">
        <is>
          <t>per-stock/UPST/context-2026-10-16.md</t>
        </is>
      </c>
      <c r="G3140" s="33" t="inlineStr">
        <is>
          <t>High</t>
        </is>
      </c>
      <c r="H3140" s="33" t="inlineStr">
        <is>
          <t>Initial</t>
        </is>
      </c>
    </row>
    <row r="3141">
      <c r="A3141" s="33" t="inlineStr">
        <is>
          <t>2026-10-16</t>
        </is>
      </c>
      <c r="B3141" s="33" t="inlineStr">
        <is>
          <t>UPST</t>
        </is>
      </c>
      <c r="C3141" s="33" t="inlineStr">
        <is>
          <t>R2</t>
        </is>
      </c>
      <c r="D3141" s="33" t="n">
        <v>5</v>
      </c>
      <c r="E3141" s="33" t="inlineStr">
        <is>
          <t>US-only consumer lending; worst plausible geographic shock ~0% of revenue.</t>
        </is>
      </c>
      <c r="F3141" s="33" t="inlineStr">
        <is>
          <t>per-stock/UPST/context-2026-10-16.md</t>
        </is>
      </c>
      <c r="G3141" s="33" t="inlineStr">
        <is>
          <t>High</t>
        </is>
      </c>
      <c r="H3141" s="33" t="inlineStr">
        <is>
          <t>Initial</t>
        </is>
      </c>
    </row>
    <row r="3142">
      <c r="A3142" s="33" t="inlineStr">
        <is>
          <t>2026-10-16</t>
        </is>
      </c>
      <c r="B3142" s="33" t="inlineStr">
        <is>
          <t>UPST</t>
        </is>
      </c>
      <c r="C3142" s="33" t="inlineStr">
        <is>
          <t>R3</t>
        </is>
      </c>
      <c r="D3142" s="33" t="n">
        <v>2</v>
      </c>
      <c r="E3142" s="33" t="inlineStr">
        <is>
          <t>$1.69B convertible principal vs $456M cash (~4.2x FY26 adj-EBITDA guide) plus secured facilities; H1 operating cash flow -$270M; maturities 2029-32.</t>
        </is>
      </c>
      <c r="F3142" s="33" t="inlineStr">
        <is>
          <t>per-stock/UPST/context-2026-10-16.md</t>
        </is>
      </c>
      <c r="G3142" s="33" t="inlineStr">
        <is>
          <t>Med</t>
        </is>
      </c>
      <c r="H3142" s="33" t="inlineStr">
        <is>
          <t>Initial</t>
        </is>
      </c>
    </row>
    <row r="3143">
      <c r="A3143" s="33" t="inlineStr">
        <is>
          <t>2026-10-16</t>
        </is>
      </c>
      <c r="B3143" s="33" t="inlineStr">
        <is>
          <t>UPST</t>
        </is>
      </c>
      <c r="C3143" s="33" t="inlineStr">
        <is>
          <t>R4</t>
        </is>
      </c>
      <c r="D3143" s="33" t="n">
        <v>2</v>
      </c>
      <c r="E3143" s="33" t="inlineStr">
        <is>
          <t>Class-certified 2022 securities action (S.D. Ohio) + Dunn v. Upstart 3:26-cv-02974 (N.D. Cal., 2026-04-07) alleging overstated model accuracy (allegation; absent from Q2 10-Q legal note) + true-lender regulatory scrutiny.</t>
        </is>
      </c>
      <c r="F3143" s="33" t="inlineStr">
        <is>
          <t>per-stock/UPST/context-2026-10-16.md</t>
        </is>
      </c>
      <c r="G3143" s="33" t="inlineStr">
        <is>
          <t>Med</t>
        </is>
      </c>
      <c r="H3143" s="33" t="inlineStr">
        <is>
          <t>Initial</t>
        </is>
      </c>
    </row>
    <row r="3144">
      <c r="A3144" s="33" t="inlineStr">
        <is>
          <t>2026-10-16</t>
        </is>
      </c>
      <c r="B3144" s="33" t="inlineStr">
        <is>
          <t>UPST</t>
        </is>
      </c>
      <c r="C3144" s="33" t="inlineStr">
        <is>
          <t>R5</t>
        </is>
      </c>
      <c r="D3144" s="33" t="n">
        <v>4</v>
      </c>
      <c r="E3144" s="33" t="inlineStr">
        <is>
          <t>AI-native beneficiary; competition from other ML underwriters, not model-layer automation of its output.</t>
        </is>
      </c>
      <c r="F3144" s="33" t="inlineStr">
        <is>
          <t>per-stock/UPST/context-2026-10-16.md</t>
        </is>
      </c>
      <c r="G3144" s="33" t="inlineStr">
        <is>
          <t>Med</t>
        </is>
      </c>
      <c r="H3144" s="33" t="inlineStr">
        <is>
          <t>Initial</t>
        </is>
      </c>
    </row>
    <row r="3145">
      <c r="A3145" s="33" t="inlineStr">
        <is>
          <t>2026-10-16</t>
        </is>
      </c>
      <c r="B3145" s="33" t="inlineStr">
        <is>
          <t>LMND</t>
        </is>
      </c>
      <c r="C3145" s="33" t="inlineStr">
        <is>
          <t>D1</t>
        </is>
      </c>
      <c r="D3145" s="33" t="n">
        <v>1</v>
      </c>
      <c r="E3145" s="33" t="inlineStr">
        <is>
          <t>Revenue is insurance premium; no AI-tied revenue. AI shows up as cost (LAE ratio 5% vs ~9% industry), not revenue.</t>
        </is>
      </c>
      <c r="F3145" s="33" t="inlineStr">
        <is>
          <t>per-stock/LMND/context-2026-10-16.md</t>
        </is>
      </c>
      <c r="G3145" s="33" t="inlineStr">
        <is>
          <t>High</t>
        </is>
      </c>
      <c r="H3145" s="33" t="inlineStr">
        <is>
          <t>Initial</t>
        </is>
      </c>
    </row>
    <row r="3146">
      <c r="A3146" s="33" t="inlineStr">
        <is>
          <t>2026-10-16</t>
        </is>
      </c>
      <c r="B3146" s="33" t="inlineStr">
        <is>
          <t>LMND</t>
        </is>
      </c>
      <c r="C3146" s="33" t="inlineStr">
        <is>
          <t>D2</t>
        </is>
      </c>
      <c r="D3146" s="33" t="n">
        <v>1</v>
      </c>
      <c r="E3146" s="33" t="inlineStr">
        <is>
          <t>Downstream consumer insurance, cheap switching; 85% dollar retention only stickiness. HOOD precedent argues 2.</t>
        </is>
      </c>
      <c r="F3146" s="33" t="inlineStr">
        <is>
          <t>per-stock/LMND/context-2026-10-16.md</t>
        </is>
      </c>
      <c r="G3146" s="33" t="inlineStr">
        <is>
          <t>Med</t>
        </is>
      </c>
      <c r="H3146" s="33" t="inlineStr">
        <is>
          <t>Initial</t>
        </is>
      </c>
    </row>
    <row r="3147">
      <c r="A3147" s="33" t="inlineStr">
        <is>
          <t>2026-10-16</t>
        </is>
      </c>
      <c r="B3147" s="33" t="inlineStr">
        <is>
          <t>LMND</t>
        </is>
      </c>
      <c r="C3147" s="33" t="inlineStr">
        <is>
          <t>D3</t>
        </is>
      </c>
      <c r="D3147" s="33" t="n">
        <v>3</v>
      </c>
      <c r="E3147" s="33" t="inlineStr">
        <is>
          <t>Demonstrated claims-cost edge and +23% customers, but no pricing power, small scale, incumbents adopting AI.</t>
        </is>
      </c>
      <c r="F3147" s="33" t="inlineStr">
        <is>
          <t>per-stock/LMND/context-2026-10-16.md</t>
        </is>
      </c>
      <c r="G3147" s="33" t="inlineStr">
        <is>
          <t>Low</t>
        </is>
      </c>
      <c r="H3147" s="33" t="inlineStr">
        <is>
          <t>Initial</t>
        </is>
      </c>
    </row>
    <row r="3148">
      <c r="A3148" s="33" t="inlineStr">
        <is>
          <t>2026-10-16</t>
        </is>
      </c>
      <c r="B3148" s="33" t="inlineStr">
        <is>
          <t>LMND</t>
        </is>
      </c>
      <c r="C3148" s="33" t="inlineStr">
        <is>
          <t>D4</t>
        </is>
      </c>
      <c r="D3148" s="33" t="n">
        <v>4</v>
      </c>
      <c r="E3148" s="33" t="inlineStr">
        <is>
          <t>Funded expansion: in-force premium +32%, Car into new states, Hannover Re facility up to $250M (8-K 2026-06-24).</t>
        </is>
      </c>
      <c r="F3148" s="33" t="inlineStr">
        <is>
          <t>per-stock/LMND/context-2026-10-16.md</t>
        </is>
      </c>
      <c r="G3148" s="33" t="inlineStr">
        <is>
          <t>Med</t>
        </is>
      </c>
      <c r="H3148" s="33" t="inlineStr">
        <is>
          <t>Initial</t>
        </is>
      </c>
    </row>
    <row r="3149">
      <c r="A3149" s="33" t="inlineStr">
        <is>
          <t>2026-10-16</t>
        </is>
      </c>
      <c r="B3149" s="33" t="inlineStr">
        <is>
          <t>LMND</t>
        </is>
      </c>
      <c r="C3149" s="33" t="inlineStr">
        <is>
          <t>D5</t>
        </is>
      </c>
      <c r="D3149" s="33" t="n">
        <v>1</v>
      </c>
      <c r="E3149" s="33" t="inlineStr">
        <is>
          <t>Layer-10 supplier lens: no hyperscaler revenue.</t>
        </is>
      </c>
      <c r="F3149" s="33" t="inlineStr">
        <is>
          <t>per-stock/LMND/context-2026-10-16.md</t>
        </is>
      </c>
      <c r="G3149" s="33" t="inlineStr">
        <is>
          <t>High</t>
        </is>
      </c>
      <c r="H3149" s="33" t="inlineStr">
        <is>
          <t>Initial</t>
        </is>
      </c>
    </row>
    <row r="3150">
      <c r="A3150" s="33" t="inlineStr">
        <is>
          <t>2026-10-16</t>
        </is>
      </c>
      <c r="B3150" s="33" t="inlineStr">
        <is>
          <t>LMND</t>
        </is>
      </c>
      <c r="C3150" s="33" t="inlineStr">
        <is>
          <t>M1</t>
        </is>
      </c>
      <c r="D3150" s="33" t="n">
        <v>1</v>
      </c>
      <c r="E3150" s="33" t="inlineStr">
        <is>
          <t>Broad cuts over 90d: FY26 -1.73-&gt;-1.85, FY27 -0.82-&gt;-1.10; current Q 8 down / 2 up in 30d (yfinance 2026-10-16).</t>
        </is>
      </c>
      <c r="F3150" s="33" t="inlineStr">
        <is>
          <t>per-stock/LMND/context-2026-10-16.md</t>
        </is>
      </c>
      <c r="G3150" s="33" t="inlineStr">
        <is>
          <t>High</t>
        </is>
      </c>
      <c r="H3150" s="33" t="inlineStr">
        <is>
          <t>Initial</t>
        </is>
      </c>
    </row>
    <row r="3151">
      <c r="A3151" s="33" t="inlineStr">
        <is>
          <t>2026-10-16</t>
        </is>
      </c>
      <c r="B3151" s="33" t="inlineStr">
        <is>
          <t>LMND</t>
        </is>
      </c>
      <c r="C3151" s="33" t="inlineStr">
        <is>
          <t>M2</t>
        </is>
      </c>
      <c r="D3151" s="33" t="n">
        <v>1</v>
      </c>
      <c r="E3151" s="33" t="inlineStr">
        <is>
          <t>6mo -38.4% vs IGV +22.1% and KIE: lags &gt;20pp (yfinance 2026-10-16).</t>
        </is>
      </c>
      <c r="F3151" s="33" t="inlineStr">
        <is>
          <t>per-stock/LMND/context-2026-10-16.md</t>
        </is>
      </c>
      <c r="G3151" s="33" t="inlineStr">
        <is>
          <t>High</t>
        </is>
      </c>
      <c r="H3151" s="33" t="inlineStr">
        <is>
          <t>Initial</t>
        </is>
      </c>
    </row>
    <row r="3152">
      <c r="A3152" s="33" t="inlineStr">
        <is>
          <t>2026-10-16</t>
        </is>
      </c>
      <c r="B3152" s="33" t="inlineStr">
        <is>
          <t>LMND</t>
        </is>
      </c>
      <c r="C3152" s="33" t="inlineStr">
        <is>
          <t>M3</t>
        </is>
      </c>
      <c r="D3152" s="33" t="n">
        <v>3</v>
      </c>
      <c r="E3152" s="33" t="inlineStr">
        <is>
          <t>No open-market buys; sales are sell-to-cover/10b5-1 plus one ~12.5% discretionary sale (single exec, below band-2 multi-exec threshold). Oct 2025-Mar 2026 Form 4s not pulled.</t>
        </is>
      </c>
      <c r="F3152" s="33" t="inlineStr">
        <is>
          <t>per-stock/LMND/context-2026-10-16.md</t>
        </is>
      </c>
      <c r="G3152" s="33" t="inlineStr">
        <is>
          <t>Med</t>
        </is>
      </c>
      <c r="H3152" s="33" t="inlineStr">
        <is>
          <t>Initial</t>
        </is>
      </c>
    </row>
    <row r="3153">
      <c r="A3153" s="33" t="inlineStr">
        <is>
          <t>2026-10-16</t>
        </is>
      </c>
      <c r="B3153" s="33" t="inlineStr">
        <is>
          <t>LMND</t>
        </is>
      </c>
      <c r="C3153" s="33" t="inlineStr">
        <is>
          <t>R1</t>
        </is>
      </c>
      <c r="D3153" s="33" t="n">
        <v>5</v>
      </c>
      <c r="E3153" s="33" t="inlineStr">
        <is>
          <t>Millions of retail policyholders; no customer &gt;15%.</t>
        </is>
      </c>
      <c r="F3153" s="33" t="inlineStr">
        <is>
          <t>per-stock/LMND/context-2026-10-16.md</t>
        </is>
      </c>
      <c r="G3153" s="33" t="inlineStr">
        <is>
          <t>High</t>
        </is>
      </c>
      <c r="H3153" s="33" t="inlineStr">
        <is>
          <t>Initial</t>
        </is>
      </c>
    </row>
    <row r="3154">
      <c r="A3154" s="33" t="inlineStr">
        <is>
          <t>2026-10-16</t>
        </is>
      </c>
      <c r="B3154" s="33" t="inlineStr">
        <is>
          <t>LMND</t>
        </is>
      </c>
      <c r="C3154" s="33" t="inlineStr">
        <is>
          <t>R2</t>
        </is>
      </c>
      <c r="D3154" s="33" t="n">
        <v>4</v>
      </c>
      <c r="E3154" s="33" t="inlineStr">
        <is>
          <t>Revenue US-dominant plus EU/UK; Israel R&amp;D/ops is a staff (not production-asset) leg per CAMT treatment. Dom's call if it counts as an asset leg.</t>
        </is>
      </c>
      <c r="F3154" s="33" t="inlineStr">
        <is>
          <t>per-stock/LMND/context-2026-10-16.md</t>
        </is>
      </c>
      <c r="G3154" s="33" t="inlineStr">
        <is>
          <t>Low</t>
        </is>
      </c>
      <c r="H3154" s="33" t="inlineStr">
        <is>
          <t>Initial</t>
        </is>
      </c>
    </row>
    <row r="3155">
      <c r="A3155" s="33" t="inlineStr">
        <is>
          <t>2026-10-16</t>
        </is>
      </c>
      <c r="B3155" s="33" t="inlineStr">
        <is>
          <t>LMND</t>
        </is>
      </c>
      <c r="C3155" s="33" t="inlineStr">
        <is>
          <t>R3</t>
        </is>
      </c>
      <c r="D3155" s="33" t="n">
        <v>4</v>
      </c>
      <c r="E3155" s="33" t="inlineStr">
        <is>
          <t>~$1.2B cash+investments vs $226M debt (net cash), but FCF ~0, SBC ~$95M/yr and insurance capital needs.</t>
        </is>
      </c>
      <c r="F3155" s="33" t="inlineStr">
        <is>
          <t>per-stock/LMND/context-2026-10-16.md</t>
        </is>
      </c>
      <c r="G3155" s="33" t="inlineStr">
        <is>
          <t>Med</t>
        </is>
      </c>
      <c r="H3155" s="33" t="inlineStr">
        <is>
          <t>Initial</t>
        </is>
      </c>
    </row>
    <row r="3156">
      <c r="A3156" s="33" t="inlineStr">
        <is>
          <t>2026-10-16</t>
        </is>
      </c>
      <c r="B3156" s="33" t="inlineStr">
        <is>
          <t>LMND</t>
        </is>
      </c>
      <c r="C3156" s="33" t="inlineStr">
        <is>
          <t>R4</t>
        </is>
      </c>
      <c r="D3156" s="33" t="n">
        <v>3</v>
      </c>
      <c r="E3156" s="33" t="inlineStr">
        <is>
          <t>Settled, immaterial privacy class actions; AI-in-underwriting regulation. Docket check skipped (CourtListener timeout) - provisional.</t>
        </is>
      </c>
      <c r="F3156" s="33" t="inlineStr">
        <is>
          <t>per-stock/LMND/context-2026-10-16.md</t>
        </is>
      </c>
      <c r="G3156" s="33" t="inlineStr">
        <is>
          <t>Low</t>
        </is>
      </c>
      <c r="H3156" s="33" t="inlineStr">
        <is>
          <t>Initial</t>
        </is>
      </c>
    </row>
    <row r="3157">
      <c r="A3157" s="33" t="inlineStr">
        <is>
          <t>2026-10-16</t>
        </is>
      </c>
      <c r="B3157" s="33" t="inlineStr">
        <is>
          <t>LMND</t>
        </is>
      </c>
      <c r="C3157" s="33" t="inlineStr">
        <is>
          <t>R5</t>
        </is>
      </c>
      <c r="D3157" s="33" t="n">
        <v>4</v>
      </c>
      <c r="E3157" s="33" t="inlineStr">
        <is>
          <t>AI-native beneficiary; licensing + risk capital are structural barriers; AV pool shrink touches only Car (~17% of premium).</t>
        </is>
      </c>
      <c r="F3157" s="33" t="inlineStr">
        <is>
          <t>per-stock/LMND/context-2026-10-16.md</t>
        </is>
      </c>
      <c r="G3157" s="33" t="inlineStr">
        <is>
          <t>Med</t>
        </is>
      </c>
      <c r="H3157" s="33" t="inlineStr">
        <is>
          <t>Initial</t>
        </is>
      </c>
    </row>
    <row r="3158">
      <c r="A3158" s="33" t="inlineStr">
        <is>
          <t>2026-10-16</t>
        </is>
      </c>
      <c r="B3158" s="33" t="inlineStr">
        <is>
          <t>SHOP</t>
        </is>
      </c>
      <c r="C3158" s="33" t="inlineStr">
        <is>
          <t>D1</t>
        </is>
      </c>
      <c r="D3158" s="33" t="n">
        <v>1</v>
      </c>
      <c r="E3158" s="33" t="inlineStr">
        <is>
          <t>No AI revenue line; AI appears in the 10-Q only as cost (subscription COGS +$37M, R&amp;D +$34M, p.32-33); agentic volume 'small relative to total GMV' (Q2 call).</t>
        </is>
      </c>
      <c r="F3158" s="33" t="inlineStr">
        <is>
          <t>per-stock/SHOP/context-2026-10-16.md</t>
        </is>
      </c>
      <c r="G3158" s="33" t="inlineStr">
        <is>
          <t>Med</t>
        </is>
      </c>
      <c r="H3158" s="33" t="inlineStr">
        <is>
          <t>Initial</t>
        </is>
      </c>
    </row>
    <row r="3159">
      <c r="A3159" s="33" t="inlineStr">
        <is>
          <t>2026-10-16</t>
        </is>
      </c>
      <c r="B3159" s="33" t="inlineStr">
        <is>
          <t>SHOP</t>
        </is>
      </c>
      <c r="C3159" s="33" t="inlineStr">
        <is>
          <t>D2</t>
        </is>
      </c>
      <c r="D3159" s="33" t="n">
        <v>4</v>
      </c>
      <c r="E3159" s="33" t="inlineStr">
        <is>
          <t>Becoming the checkout/catalog layer agents route through (Meta Muse via Shop Pay 2026-09-22, UCP with Google, Catalog &gt;1B products); few viable rivals.</t>
        </is>
      </c>
      <c r="F3159" s="33" t="inlineStr">
        <is>
          <t>per-stock/SHOP/context-2026-10-16.md</t>
        </is>
      </c>
      <c r="G3159" s="33" t="inlineStr">
        <is>
          <t>Med</t>
        </is>
      </c>
      <c r="H3159" s="33" t="inlineStr">
        <is>
          <t>Initial</t>
        </is>
      </c>
    </row>
    <row r="3160">
      <c r="A3160" s="33" t="inlineStr">
        <is>
          <t>2026-10-16</t>
        </is>
      </c>
      <c r="B3160" s="33" t="inlineStr">
        <is>
          <t>SHOP</t>
        </is>
      </c>
      <c r="C3160" s="33" t="inlineStr">
        <is>
          <t>D3</t>
        </is>
      </c>
      <c r="D3160" s="33" t="n">
        <v>4</v>
      </c>
      <c r="E3160" s="33" t="inlineStr">
        <is>
          <t>Shop Pay network, app ecosystem, switching costs; 92%/97% retention for &gt;$1M/&gt;$10M GMV merchants; passes the down-40% bias check.</t>
        </is>
      </c>
      <c r="F3160" s="33" t="inlineStr">
        <is>
          <t>per-stock/SHOP/context-2026-10-16.md</t>
        </is>
      </c>
      <c r="G3160" s="33" t="inlineStr">
        <is>
          <t>Med</t>
        </is>
      </c>
      <c r="H3160" s="33" t="inlineStr">
        <is>
          <t>Initial</t>
        </is>
      </c>
    </row>
    <row r="3161">
      <c r="A3161" s="33" t="inlineStr">
        <is>
          <t>2026-10-16</t>
        </is>
      </c>
      <c r="B3161" s="33" t="inlineStr">
        <is>
          <t>SHOP</t>
        </is>
      </c>
      <c r="C3161" s="33" t="inlineStr">
        <is>
          <t>D4</t>
        </is>
      </c>
      <c r="D3161" s="33" t="n">
        <v>3</v>
      </c>
      <c r="E3161" s="33" t="inlineStr">
        <is>
          <t>Asset-light software, H1 capex ~$9M; steady-state.</t>
        </is>
      </c>
      <c r="F3161" s="33" t="inlineStr">
        <is>
          <t>per-stock/SHOP/context-2026-10-16.md</t>
        </is>
      </c>
      <c r="G3161" s="33" t="inlineStr">
        <is>
          <t>High</t>
        </is>
      </c>
      <c r="H3161" s="33" t="inlineStr">
        <is>
          <t>Initial</t>
        </is>
      </c>
    </row>
    <row r="3162">
      <c r="A3162" s="33" t="inlineStr">
        <is>
          <t>2026-10-16</t>
        </is>
      </c>
      <c r="B3162" s="33" t="inlineStr">
        <is>
          <t>SHOP</t>
        </is>
      </c>
      <c r="C3162" s="33" t="inlineStr">
        <is>
          <t>D5</t>
        </is>
      </c>
      <c r="D3162" s="33" t="n">
        <v>1</v>
      </c>
      <c r="E3162" s="33" t="inlineStr">
        <is>
          <t>Layer-10 supplier lens: no hyperscaler revenue; Google/Meta/Microsoft/OpenAI are channel partners.</t>
        </is>
      </c>
      <c r="F3162" s="33" t="inlineStr">
        <is>
          <t>per-stock/SHOP/context-2026-10-16.md</t>
        </is>
      </c>
      <c r="G3162" s="33" t="inlineStr">
        <is>
          <t>High</t>
        </is>
      </c>
      <c r="H3162" s="33" t="inlineStr">
        <is>
          <t>Initial</t>
        </is>
      </c>
    </row>
    <row r="3163">
      <c r="A3163" s="33" t="inlineStr">
        <is>
          <t>2026-10-16</t>
        </is>
      </c>
      <c r="B3163" s="33" t="inlineStr">
        <is>
          <t>SHOP</t>
        </is>
      </c>
      <c r="C3163" s="33" t="inlineStr">
        <is>
          <t>M1</t>
        </is>
      </c>
      <c r="D3163" s="33" t="n">
        <v>4</v>
      </c>
      <c r="E3163" s="33" t="inlineStr">
        <is>
          <t>FY26 EPS 1.846-&gt;1.911 (+3.5%) over 90d, 3 up / 0 down in 30d (yfinance 2026-10-16); 5 arguable.</t>
        </is>
      </c>
      <c r="F3163" s="33" t="inlineStr">
        <is>
          <t>per-stock/SHOP/context-2026-10-16.md</t>
        </is>
      </c>
      <c r="G3163" s="33" t="inlineStr">
        <is>
          <t>Med</t>
        </is>
      </c>
      <c r="H3163" s="33" t="inlineStr">
        <is>
          <t>Initial</t>
        </is>
      </c>
    </row>
    <row r="3164">
      <c r="A3164" s="33" t="inlineStr">
        <is>
          <t>2026-10-16</t>
        </is>
      </c>
      <c r="B3164" s="33" t="inlineStr">
        <is>
          <t>SHOP</t>
        </is>
      </c>
      <c r="C3164" s="33" t="inlineStr">
        <is>
          <t>M2</t>
        </is>
      </c>
      <c r="D3164" s="33" t="n">
        <v>4</v>
      </c>
      <c r="E3164" s="33" t="inlineStr">
        <is>
          <t>6mo +28.7% vs IGV +22.1%: +6.6pp, 5-20 band (yfinance 2026-10-16); 3mo would read 5.</t>
        </is>
      </c>
      <c r="F3164" s="33" t="inlineStr">
        <is>
          <t>per-stock/SHOP/context-2026-10-16.md</t>
        </is>
      </c>
      <c r="G3164" s="33" t="inlineStr">
        <is>
          <t>High</t>
        </is>
      </c>
      <c r="H3164" s="33" t="inlineStr">
        <is>
          <t>Initial</t>
        </is>
      </c>
    </row>
    <row r="3165">
      <c r="A3165" s="33" t="inlineStr">
        <is>
          <t>2026-10-16</t>
        </is>
      </c>
      <c r="B3165" s="33" t="inlineStr">
        <is>
          <t>SHOP</t>
        </is>
      </c>
      <c r="C3165" s="33" t="inlineStr">
        <is>
          <t>M3</t>
        </is>
      </c>
      <c r="D3165" s="33" t="n">
        <v>3</v>
      </c>
      <c r="E3165" s="33" t="inlineStr">
        <is>
          <t>No open-market buys; Lutke ~$68M sales under 10b5-1, officers sell-to-cover = routine. Only Jul-Oct 2026 window verified.</t>
        </is>
      </c>
      <c r="F3165" s="33" t="inlineStr">
        <is>
          <t>per-stock/SHOP/context-2026-10-16.md</t>
        </is>
      </c>
      <c r="G3165" s="33" t="inlineStr">
        <is>
          <t>Med</t>
        </is>
      </c>
      <c r="H3165" s="33" t="inlineStr">
        <is>
          <t>Initial</t>
        </is>
      </c>
    </row>
    <row r="3166">
      <c r="A3166" s="33" t="inlineStr">
        <is>
          <t>2026-10-16</t>
        </is>
      </c>
      <c r="B3166" s="33" t="inlineStr">
        <is>
          <t>SHOP</t>
        </is>
      </c>
      <c r="C3166" s="33" t="inlineStr">
        <is>
          <t>R1</t>
        </is>
      </c>
      <c r="D3166" s="33" t="n">
        <v>5</v>
      </c>
      <c r="E3166" s="33" t="inlineStr">
        <is>
          <t>No merchant ever &gt;5% of revenue (10-K p.7).</t>
        </is>
      </c>
      <c r="F3166" s="33" t="inlineStr">
        <is>
          <t>per-stock/SHOP/context-2026-10-16.md</t>
        </is>
      </c>
      <c r="G3166" s="33" t="inlineStr">
        <is>
          <t>High</t>
        </is>
      </c>
      <c r="H3166" s="33" t="inlineStr">
        <is>
          <t>Initial</t>
        </is>
      </c>
    </row>
    <row r="3167">
      <c r="A3167" s="33" t="inlineStr">
        <is>
          <t>2026-10-16</t>
        </is>
      </c>
      <c r="B3167" s="33" t="inlineStr">
        <is>
          <t>SHOP</t>
        </is>
      </c>
      <c r="C3167" s="33" t="inlineStr">
        <is>
          <t>R2</t>
        </is>
      </c>
      <c r="D3167" s="33" t="n">
        <v>5</v>
      </c>
      <c r="E3167" s="33" t="inlineStr">
        <is>
          <t>US merchants 63%, EMEA 21%, APAC 10%; no risk-geography/asset leg; worst shock is US consumer/tariff, not geographic.</t>
        </is>
      </c>
      <c r="F3167" s="33" t="inlineStr">
        <is>
          <t>per-stock/SHOP/context-2026-10-16.md</t>
        </is>
      </c>
      <c r="G3167" s="33" t="inlineStr">
        <is>
          <t>Med</t>
        </is>
      </c>
      <c r="H3167" s="33" t="inlineStr">
        <is>
          <t>Initial</t>
        </is>
      </c>
    </row>
    <row r="3168">
      <c r="A3168" s="33" t="inlineStr">
        <is>
          <t>2026-10-16</t>
        </is>
      </c>
      <c r="B3168" s="33" t="inlineStr">
        <is>
          <t>SHOP</t>
        </is>
      </c>
      <c r="C3168" s="33" t="inlineStr">
        <is>
          <t>R3</t>
        </is>
      </c>
      <c r="D3168" s="33" t="n">
        <v>5</v>
      </c>
      <c r="E3168" s="33" t="inlineStr">
        <is>
          <t>$4.9B cash+securities vs $0.18B debt; FCF margin ~18%; watch fast-growing Shopify Capital book.</t>
        </is>
      </c>
      <c r="F3168" s="33" t="inlineStr">
        <is>
          <t>per-stock/SHOP/context-2026-10-16.md</t>
        </is>
      </c>
      <c r="G3168" s="33" t="inlineStr">
        <is>
          <t>High</t>
        </is>
      </c>
      <c r="H3168" s="33" t="inlineStr">
        <is>
          <t>Initial</t>
        </is>
      </c>
    </row>
    <row r="3169">
      <c r="A3169" s="33" t="inlineStr">
        <is>
          <t>2026-10-16</t>
        </is>
      </c>
      <c r="B3169" s="33" t="inlineStr">
        <is>
          <t>SHOP</t>
        </is>
      </c>
      <c r="C3169" s="33" t="inlineStr">
        <is>
          <t>R4</t>
        </is>
      </c>
      <c r="D3169" s="33" t="n">
        <v>3</v>
      </c>
      <c r="E3169" s="33" t="inlineStr">
        <is>
          <t>Sezzle antitrust (0:25-cv-02395 D.Minn.) and Briskin privacy class action survived dismissal; company deems immaterial (10-Q p.41). 2026-09-15 grand-jury records subpoena (Shopify recipient, not target).</t>
        </is>
      </c>
      <c r="F3169" s="33" t="inlineStr">
        <is>
          <t>per-stock/SHOP/context-2026-10-16.md</t>
        </is>
      </c>
      <c r="G3169" s="33" t="inlineStr">
        <is>
          <t>Med</t>
        </is>
      </c>
      <c r="H3169" s="33" t="inlineStr">
        <is>
          <t>Initial</t>
        </is>
      </c>
    </row>
    <row r="3170">
      <c r="A3170" s="33" t="inlineStr">
        <is>
          <t>2026-10-16</t>
        </is>
      </c>
      <c r="B3170" s="33" t="inlineStr">
        <is>
          <t>SHOP</t>
        </is>
      </c>
      <c r="C3170" s="33" t="inlineStr">
        <is>
          <t>R5</t>
        </is>
      </c>
      <c r="D3170" s="33" t="n">
        <v>4</v>
      </c>
      <c r="E3170" s="33" t="inlineStr">
        <is>
          <t>Agents so far plug into Shopify checkout/catalog at the same economics; risk agents later tax or own the customer. 3 defensible.</t>
        </is>
      </c>
      <c r="F3170" s="33" t="inlineStr">
        <is>
          <t>per-stock/SHOP/context-2026-10-16.md</t>
        </is>
      </c>
      <c r="G3170" s="33" t="inlineStr">
        <is>
          <t>Med</t>
        </is>
      </c>
      <c r="H3170" s="33" t="inlineStr">
        <is>
          <t>Initial</t>
        </is>
      </c>
    </row>
    <row r="3171">
      <c r="A3171" s="33" t="inlineStr">
        <is>
          <t>2026-10-16</t>
        </is>
      </c>
      <c r="B3171" s="33" t="inlineStr">
        <is>
          <t>TEM</t>
        </is>
      </c>
      <c r="C3171" s="33" t="inlineStr">
        <is>
          <t>EPS YoY</t>
        </is>
      </c>
      <c r="E3171" s="33" t="inlineStr">
        <is>
          <t>Rule-15 ruling: GAAP diluted EPS $0.03 vs $(0.25) dominated by $98.5M unrealized gains on Recursion/Personalis shares (vs $37.8M) and an $11.6M debt-extinguishment loss while operating loss widened ($(75.9)M vs $(61.8)M); ex-item YoY on negative bases is ill-defined -&gt; blank</t>
        </is>
      </c>
      <c r="F3171" s="33" t="inlineStr">
        <is>
          <t>10-Q q/e 2026-06-30, Stmt of Ops p.4 + marketable-securities note p.31-32 (per-stock/TEM/context-2026-10-16.md)</t>
        </is>
      </c>
      <c r="G3171" s="33" t="inlineStr">
        <is>
          <t>Med</t>
        </is>
      </c>
      <c r="H3171" s="33" t="inlineStr">
        <is>
          <t>objective</t>
        </is>
      </c>
    </row>
    <row r="3172">
      <c r="A3172" s="33" t="inlineStr">
        <is>
          <t>2026-10-16</t>
        </is>
      </c>
      <c r="B3172" s="33" t="inlineStr">
        <is>
          <t>NOW</t>
        </is>
      </c>
      <c r="C3172" s="33" t="inlineStr">
        <is>
          <t>EPS YoY</t>
        </is>
      </c>
      <c r="E3172" s="33" t="inlineStr">
        <is>
          <t>Rule-15 ruling: GAAP EPS $0.29 vs $0.37 (-22%) includes a $273M unrealized gain on strategic investments (~$0.26/sh pretax) offsetting Armis amortization/deal/severance charges and a $51M tax benefit; ex-gain EPS falls far more -&gt; GAAP figure not operational, blank</t>
        </is>
      </c>
      <c r="F3172" s="33" t="inlineStr">
        <is>
          <t>10-Q q/e 2026-06-30, Other income; 8-K erq2fy26.htm acc. 0001373715-26-000072 (per-stock/NOW/context-2026-10-16.md)</t>
        </is>
      </c>
      <c r="G3172" s="33" t="inlineStr">
        <is>
          <t>Med</t>
        </is>
      </c>
      <c r="H3172" s="33" t="inlineStr">
        <is>
          <t>objective</t>
        </is>
      </c>
    </row>
    <row r="3173">
      <c r="A3173" s="33" t="inlineStr">
        <is>
          <t>2026-10-16</t>
        </is>
      </c>
      <c r="B3173" s="33" t="inlineStr">
        <is>
          <t>HOOD</t>
        </is>
      </c>
      <c r="C3173" s="33" t="inlineStr">
        <is>
          <t>EPS YoY</t>
        </is>
      </c>
      <c r="D3173" s="33" t="n">
        <v>19</v>
      </c>
      <c r="E3173" s="33" t="inlineStr">
        <is>
          <t>Rule-15 ruling: GAAP EPS +48% includes $106M gain on deconsolidating Robinhood Ventures Fund I + $23M equity-securities gain ($129M pretax, ~18% of pretax, ~60% of the EPS increase); ex-item EPS ~$0.50 =&gt; ~+19% YoY (approx; ~$12M NCI attribution uncertain)</t>
        </is>
      </c>
      <c r="F3173" s="33" t="inlineStr">
        <is>
          <t>10-Q q/e 2026-06-30, MD&amp;A Other income + Note 4 (per-stock/HOOD/context-2026-10-16.md)</t>
        </is>
      </c>
      <c r="G3173" s="33" t="inlineStr">
        <is>
          <t>Med</t>
        </is>
      </c>
      <c r="H3173" s="33" t="inlineStr">
        <is>
          <t>objective</t>
        </is>
      </c>
    </row>
    <row r="3174">
      <c r="A3174" s="33" t="inlineStr">
        <is>
          <t>2026-10-16</t>
        </is>
      </c>
      <c r="B3174" s="33" t="inlineStr">
        <is>
          <t>SHOP</t>
        </is>
      </c>
      <c r="C3174" s="33" t="inlineStr">
        <is>
          <t>EPS YoY</t>
        </is>
      </c>
      <c r="D3174" s="33" t="n">
        <v>30</v>
      </c>
      <c r="E3174" s="33" t="inlineStr">
        <is>
          <t>Rule-15 ruling: GAAP NI $1,502M vs $906M includes net unrealized equity-investment gains $1,249M vs $681M (82% of the pretax increase); pretax income ex equity-investment gains $547M vs $421M = +30% (pretax basis proxy)</t>
        </is>
      </c>
      <c r="F3174" s="33" t="inlineStr">
        <is>
          <t>10-Q q/e 2026-06-30, p.7, p.14-15, MD&amp;A table p.30 (per-stock/SHOP/context-2026-10-16.md)</t>
        </is>
      </c>
      <c r="G3174" s="33" t="inlineStr">
        <is>
          <t>Med</t>
        </is>
      </c>
      <c r="H3174" s="33" t="inlineStr">
        <is>
          <t>objective</t>
        </is>
      </c>
    </row>
    <row r="3175">
      <c r="A3175" s="33" t="inlineStr">
        <is>
          <t>2026-10-16</t>
        </is>
      </c>
      <c r="B3175" s="33" t="inlineStr">
        <is>
          <t>PLTR</t>
        </is>
      </c>
      <c r="C3175" s="33" t="inlineStr">
        <is>
          <t>D5</t>
        </is>
      </c>
      <c r="D3175" s="33" t="n">
        <v>5</v>
      </c>
      <c r="E3175" s="33" t="inlineStr">
        <is>
          <t>3-&gt;5. Rule-38 Layer-10 adoption lens ("is AI demonstrably working for this business?"). Revenue +93%, US commercial +149%, NDR 157% as AIP rolls out; AI FDE agent shipped.</t>
        </is>
      </c>
      <c r="F3175" s="33" t="inlineStr">
        <is>
          <t>per-stock/PLTR/context-*.md (newest)</t>
        </is>
      </c>
      <c r="G3175" s="33" t="inlineStr">
        <is>
          <t>High</t>
        </is>
      </c>
      <c r="H3175" s="33" t="inlineStr">
        <is>
          <t>Re-rate</t>
        </is>
      </c>
    </row>
    <row r="3176">
      <c r="A3176" s="33" t="inlineStr">
        <is>
          <t>2026-10-16</t>
        </is>
      </c>
      <c r="B3176" s="33" t="inlineStr">
        <is>
          <t>APP</t>
        </is>
      </c>
      <c r="C3176" s="33" t="inlineStr">
        <is>
          <t>D5</t>
        </is>
      </c>
      <c r="D3176" s="33" t="n">
        <v>5</v>
      </c>
      <c r="E3176" s="33" t="inlineStr">
        <is>
          <t>2-&gt;5. Rule-38 Layer-10 adoption lens ("is AI demonstrably working for this business?"). All Q2 growth was AI-model yield: revenue per install +58% on installs -2%, ~84% adj EBITDA margin (10-Q MD&amp;A).</t>
        </is>
      </c>
      <c r="F3176" s="33" t="inlineStr">
        <is>
          <t>per-stock/APP/context-*.md (newest)</t>
        </is>
      </c>
      <c r="G3176" s="33" t="inlineStr">
        <is>
          <t>High</t>
        </is>
      </c>
      <c r="H3176" s="33" t="inlineStr">
        <is>
          <t>Re-rate</t>
        </is>
      </c>
    </row>
    <row r="3177">
      <c r="A3177" s="33" t="inlineStr">
        <is>
          <t>2026-10-16</t>
        </is>
      </c>
      <c r="B3177" s="33" t="inlineStr">
        <is>
          <t>RDDT</t>
        </is>
      </c>
      <c r="C3177" s="33" t="inlineStr">
        <is>
          <t>D5</t>
        </is>
      </c>
      <c r="D3177" s="33" t="n">
        <v>5</v>
      </c>
      <c r="E3177" s="33" t="inlineStr">
        <is>
          <t>2-&gt;5. Rule-38 Layer-10 adoption lens ("is AI demonstrably working for this business?"). Max AI campaigns: CPA -17%, conversions +27% (company figures), visible in results: revenue ~+60%, operating income $67.7M-&gt;$231.7M. One quarter suffices per rule 38.</t>
        </is>
      </c>
      <c r="F3177" s="33" t="inlineStr">
        <is>
          <t>per-stock/RDDT/context-*.md (newest)</t>
        </is>
      </c>
      <c r="G3177" s="33" t="inlineStr">
        <is>
          <t>Med</t>
        </is>
      </c>
      <c r="H3177" s="33" t="inlineStr">
        <is>
          <t>Re-rate</t>
        </is>
      </c>
    </row>
    <row r="3178">
      <c r="A3178" s="33" t="inlineStr">
        <is>
          <t>2026-10-16</t>
        </is>
      </c>
      <c r="B3178" s="33" t="inlineStr">
        <is>
          <t>SNOW</t>
        </is>
      </c>
      <c r="C3178" s="33" t="inlineStr">
        <is>
          <t>D5</t>
        </is>
      </c>
      <c r="D3178" s="33" t="n">
        <v>5</v>
      </c>
      <c r="E3178" s="33" t="inlineStr">
        <is>
          <t>3-&gt;5. Rule-38 Layer-10 adoption lens ("is AI demonstrably working for this business?"). Cortex Code accounts 4,400-&gt;7,100-&gt;9,100+ in two quarters; product revenue growth accelerated 3 straight quarters to +37%; FY guide raised 27%-&gt;31%-&gt;36%; op margin 11%-&gt;15.3%; mgmt credits ~half the acceleration to AI (8-K Ex-99.1 Q1/Q2 FY27).</t>
        </is>
      </c>
      <c r="F3178" s="33" t="inlineStr">
        <is>
          <t>per-stock/SNOW/context-*.md (newest)</t>
        </is>
      </c>
      <c r="G3178" s="33" t="inlineStr">
        <is>
          <t>Med</t>
        </is>
      </c>
      <c r="H3178" s="33" t="inlineStr">
        <is>
          <t>Re-rate</t>
        </is>
      </c>
    </row>
    <row r="3179">
      <c r="A3179" s="33" t="inlineStr">
        <is>
          <t>2026-10-16</t>
        </is>
      </c>
      <c r="B3179" s="33" t="inlineStr">
        <is>
          <t>SPCX</t>
        </is>
      </c>
      <c r="C3179" s="33" t="inlineStr">
        <is>
          <t>D5</t>
        </is>
      </c>
      <c r="D3179" s="33" t="n">
        <v>5</v>
      </c>
      <c r="E3179" s="33" t="inlineStr">
        <is>
          <t>5-&gt;5. Rule-38 Layer-10 adoption lens ("is AI demonstrably working for this business?"). AI Solutions &amp; Infrastructure revenue $475M-&gt;$2,194M Q1-&gt;Q2 (10-Q), total revenue $4.07B-&gt;$7.81B YoY. Dom set 5 on one quarter of evidence (2026-10-16); buyers undisclosed, Cursor/Grok Bot not yet in reported revenue - revisit at Q3 (~2026-11-05).</t>
        </is>
      </c>
      <c r="F3179" s="33" t="inlineStr">
        <is>
          <t>per-stock/SPCX/context-*.md (newest)</t>
        </is>
      </c>
      <c r="G3179" s="33" t="inlineStr">
        <is>
          <t>Med</t>
        </is>
      </c>
      <c r="H3179" s="33" t="inlineStr">
        <is>
          <t>Re-rate</t>
        </is>
      </c>
    </row>
    <row r="3180">
      <c r="A3180" s="33" t="inlineStr">
        <is>
          <t>2026-10-16</t>
        </is>
      </c>
      <c r="B3180" s="33" t="inlineStr">
        <is>
          <t>NOW</t>
        </is>
      </c>
      <c r="C3180" s="33" t="inlineStr">
        <is>
          <t>D5</t>
        </is>
      </c>
      <c r="D3180" s="33" t="n">
        <v>4</v>
      </c>
      <c r="E3180" s="33" t="inlineStr">
        <is>
          <t>3-&gt;4. Rule-38 Layer-10 adoption lens ("is AI demonstrably working for this business?"). AI ACV &gt;$1B (target &gt;=$1.5B), agentic deployments 9x in 9 months, AI SKUs carry 20-30% price uplift; but organic growth slowing (Q3 guide ~20% cc incl. Armis).</t>
        </is>
      </c>
      <c r="F3180" s="33" t="inlineStr">
        <is>
          <t>per-stock/NOW/context-*.md (newest)</t>
        </is>
      </c>
      <c r="G3180" s="33" t="inlineStr">
        <is>
          <t>Med</t>
        </is>
      </c>
      <c r="H3180" s="33" t="inlineStr">
        <is>
          <t>Re-rate</t>
        </is>
      </c>
    </row>
    <row r="3181">
      <c r="A3181" s="33" t="inlineStr">
        <is>
          <t>2026-10-16</t>
        </is>
      </c>
      <c r="B3181" s="33" t="inlineStr">
        <is>
          <t>UPST</t>
        </is>
      </c>
      <c r="C3181" s="33" t="inlineStr">
        <is>
          <t>D5</t>
        </is>
      </c>
      <c r="D3181" s="33" t="n">
        <v>4</v>
      </c>
      <c r="E3181" s="33" t="inlineStr">
        <is>
          <t>1-&gt;4. Rule-38 Layer-10 adoption lens ("is AI demonstrably working for this business?"). 91% of loans fully automated; model accuracy lead widening; originations +50%, revenue +42% (10-Q). Not 5: conversion rate fell 21.0%-&gt;19.7%; funding sets volume.</t>
        </is>
      </c>
      <c r="F3181" s="33" t="inlineStr">
        <is>
          <t>per-stock/UPST/context-*.md (newest)</t>
        </is>
      </c>
      <c r="G3181" s="33" t="inlineStr">
        <is>
          <t>Med</t>
        </is>
      </c>
      <c r="H3181" s="33" t="inlineStr">
        <is>
          <t>Re-rate</t>
        </is>
      </c>
    </row>
    <row r="3182">
      <c r="A3182" s="33" t="inlineStr">
        <is>
          <t>2026-10-16</t>
        </is>
      </c>
      <c r="B3182" s="33" t="inlineStr">
        <is>
          <t>LMND</t>
        </is>
      </c>
      <c r="C3182" s="33" t="inlineStr">
        <is>
          <t>D5</t>
        </is>
      </c>
      <c r="D3182" s="33" t="n">
        <v>4</v>
      </c>
      <c r="E3182" s="33" t="inlineStr">
        <is>
          <t>1-&gt;4. Rule-38 Layer-10 adoption lens ("is AI demonstrably working for this business?"). Claims-handling cost ratio 5% (record) vs ~9% industry; in-force premium per employee &gt;$1M. Not 5: still loss-making, revenue growth mostly reinsurance accounting.</t>
        </is>
      </c>
      <c r="F3182" s="33" t="inlineStr">
        <is>
          <t>per-stock/LMND/context-*.md (newest)</t>
        </is>
      </c>
      <c r="G3182" s="33" t="inlineStr">
        <is>
          <t>Med</t>
        </is>
      </c>
      <c r="H3182" s="33" t="inlineStr">
        <is>
          <t>Re-rate</t>
        </is>
      </c>
    </row>
    <row r="3183">
      <c r="A3183" s="33" t="inlineStr">
        <is>
          <t>2026-10-16</t>
        </is>
      </c>
      <c r="B3183" s="33" t="inlineStr">
        <is>
          <t>ADBE</t>
        </is>
      </c>
      <c r="C3183" s="33" t="inlineStr">
        <is>
          <t>D5</t>
        </is>
      </c>
      <c r="D3183" s="33" t="n">
        <v>4</v>
      </c>
      <c r="E3183" s="33" t="inlineStr">
        <is>
          <t>1-&gt;4. Rule-38 Layer-10 adoption lens ("is AI demonstrably working for this business?"). AI-first ARR &gt;$500M (3x YoY), Firefly ARR ~$300M; revenue growth +11%-&gt;+13% but partly Semrush; AI ~2% of total ARR (context-2026-09-08).</t>
        </is>
      </c>
      <c r="F3183" s="33" t="inlineStr">
        <is>
          <t>per-stock/ADBE/context-*.md (newest)</t>
        </is>
      </c>
      <c r="G3183" s="33" t="inlineStr">
        <is>
          <t>Med</t>
        </is>
      </c>
      <c r="H3183" s="33" t="inlineStr">
        <is>
          <t>Re-rate</t>
        </is>
      </c>
    </row>
    <row r="3184">
      <c r="A3184" s="33" t="inlineStr">
        <is>
          <t>2026-10-16</t>
        </is>
      </c>
      <c r="B3184" s="33" t="inlineStr">
        <is>
          <t>CRM</t>
        </is>
      </c>
      <c r="C3184" s="33" t="inlineStr">
        <is>
          <t>D5</t>
        </is>
      </c>
      <c r="D3184" s="33" t="n">
        <v>3</v>
      </c>
      <c r="E3184" s="33" t="inlineStr">
        <is>
          <t>3-&gt;3. Rule-38 Layer-10 adoption lens ("is AI demonstrably working for this business?"). Agentforce ARR &gt;$1.5B but definition widened twice and includes acquisitions (guard b); company growth ~11%, not accelerating.</t>
        </is>
      </c>
      <c r="F3184" s="33" t="inlineStr">
        <is>
          <t>per-stock/CRM/context-*.md (newest)</t>
        </is>
      </c>
      <c r="G3184" s="33" t="inlineStr">
        <is>
          <t>Med</t>
        </is>
      </c>
      <c r="H3184" s="33" t="inlineStr">
        <is>
          <t>Re-rate</t>
        </is>
      </c>
    </row>
    <row r="3185">
      <c r="A3185" s="33" t="inlineStr">
        <is>
          <t>2026-10-16</t>
        </is>
      </c>
      <c r="B3185" s="33" t="inlineStr">
        <is>
          <t>TEM</t>
        </is>
      </c>
      <c r="C3185" s="33" t="inlineStr">
        <is>
          <t>D5</t>
        </is>
      </c>
      <c r="D3185" s="33" t="n">
        <v>3</v>
      </c>
      <c r="E3185" s="33" t="inlineStr">
        <is>
          <t>3-&gt;3. Rule-38 Layer-10 adoption lens ("is AI demonstrably working for this business?"). Insights data licensing +36%, agentic Lens used by 19 of top 20 biopharma; operating loss widening.</t>
        </is>
      </c>
      <c r="F3185" s="33" t="inlineStr">
        <is>
          <t>per-stock/TEM/context-*.md (newest)</t>
        </is>
      </c>
      <c r="G3185" s="33" t="inlineStr">
        <is>
          <t>Med</t>
        </is>
      </c>
      <c r="H3185" s="33" t="inlineStr">
        <is>
          <t>Re-rate</t>
        </is>
      </c>
    </row>
    <row r="3186">
      <c r="A3186" s="33" t="inlineStr">
        <is>
          <t>2026-10-16</t>
        </is>
      </c>
      <c r="B3186" s="33" t="inlineStr">
        <is>
          <t>SHOP</t>
        </is>
      </c>
      <c r="C3186" s="33" t="inlineStr">
        <is>
          <t>D5</t>
        </is>
      </c>
      <c r="D3186" s="33" t="n">
        <v>3</v>
      </c>
      <c r="E3186" s="33" t="inlineStr">
        <is>
          <t>1-&gt;3. Rule-38 Layer-10 adoption lens ("is AI demonstrably working for this business?"). AI orders up ~3x YoY, Meta Muse checkout via Shop Pay; agentic volume "small relative to GMV"; no measured impact on results.</t>
        </is>
      </c>
      <c r="F3186" s="33" t="inlineStr">
        <is>
          <t>per-stock/SHOP/context-*.md (newest)</t>
        </is>
      </c>
      <c r="G3186" s="33" t="inlineStr">
        <is>
          <t>Med</t>
        </is>
      </c>
      <c r="H3186" s="33" t="inlineStr">
        <is>
          <t>Re-rate</t>
        </is>
      </c>
    </row>
    <row r="3187">
      <c r="A3187" s="33" t="inlineStr">
        <is>
          <t>2026-10-16</t>
        </is>
      </c>
      <c r="B3187" s="33" t="inlineStr">
        <is>
          <t>HOOD</t>
        </is>
      </c>
      <c r="C3187" s="33" t="inlineStr">
        <is>
          <t>D5</t>
        </is>
      </c>
      <c r="D3187" s="33" t="n">
        <v>3</v>
      </c>
      <c r="E3187" s="33" t="inlineStr">
        <is>
          <t>2-&gt;3. Rule-38 Layer-10 adoption lens ("is AI demonstrably working for this business?"). 100k+ agentic accounts, Robinhood Agents launched; ~0.03% of platform assets, no revenue impact.</t>
        </is>
      </c>
      <c r="F3187" s="33" t="inlineStr">
        <is>
          <t>per-stock/HOOD/context-*.md (newest)</t>
        </is>
      </c>
      <c r="G3187" s="33" t="inlineStr">
        <is>
          <t>Med</t>
        </is>
      </c>
      <c r="H3187" s="33" t="inlineStr">
        <is>
          <t>Re-rate</t>
        </is>
      </c>
    </row>
    <row r="3188">
      <c r="A3188" s="33" t="inlineStr">
        <is>
          <t>2026-10-16</t>
        </is>
      </c>
      <c r="B3188" s="33" t="inlineStr">
        <is>
          <t>WDAY</t>
        </is>
      </c>
      <c r="C3188" s="33" t="inlineStr">
        <is>
          <t>D5</t>
        </is>
      </c>
      <c r="D3188" s="33" t="n">
        <v>3</v>
      </c>
      <c r="E3188" s="33" t="inlineStr">
        <is>
          <t>1-&gt;3. Rule-38 Layer-10 adoption lens ("is AI demonstrably working for this business?"). AI ARR ~$600M (+200%), &gt;25% of new ACV, 5,500 customers on own agents; definition undisclosed and likely includes Paradox/Sana (guard b); subscription growth slowing 14.3%-&gt;13.9%-&gt;12% guide.</t>
        </is>
      </c>
      <c r="F3188" s="33" t="inlineStr">
        <is>
          <t>per-stock/WDAY/context-*.md (newest)</t>
        </is>
      </c>
      <c r="G3188" s="33" t="inlineStr">
        <is>
          <t>Med</t>
        </is>
      </c>
      <c r="H3188" s="33" t="inlineStr">
        <is>
          <t>Re-rate</t>
        </is>
      </c>
    </row>
    <row r="3189">
      <c r="A3189" s="33" t="inlineStr">
        <is>
          <t>2026-10-16</t>
        </is>
      </c>
      <c r="B3189" s="33" t="inlineStr">
        <is>
          <t>INTU</t>
        </is>
      </c>
      <c r="C3189" s="33" t="inlineStr">
        <is>
          <t>D5</t>
        </is>
      </c>
      <c r="D3189" s="33" t="n">
        <v>3</v>
      </c>
      <c r="E3189" s="33" t="inlineStr">
        <is>
          <t>1-&gt;3. Rule-38 Layer-10 adoption lens ("is AI demonstrably working for this business?"). 75% of Enterprise Suite customers use AI agents monthly; 30% less manual work, 4 days faster pay, TurboTax filing time -12%; no revenue/KPI impact quantified; FY27 guide +9-10%. "Big Bets +34%" is not an AI line.</t>
        </is>
      </c>
      <c r="F3189" s="33" t="inlineStr">
        <is>
          <t>per-stock/INTU/context-*.md (newest)</t>
        </is>
      </c>
      <c r="G3189" s="33" t="inlineStr">
        <is>
          <t>Med</t>
        </is>
      </c>
      <c r="H3189" s="33" t="inlineStr">
        <is>
          <t>Re-rate</t>
        </is>
      </c>
    </row>
    <row r="3190">
      <c r="A3190" s="33" t="inlineStr">
        <is>
          <t>2026-10-16</t>
        </is>
      </c>
      <c r="B3190" s="33" t="inlineStr">
        <is>
          <t>PATH</t>
        </is>
      </c>
      <c r="C3190" s="33" t="inlineStr">
        <is>
          <t>D5</t>
        </is>
      </c>
      <c r="D3190" s="33" t="n">
        <v>3</v>
      </c>
      <c r="E3190" s="33" t="inlineStr">
        <is>
          <t>2-&gt;3. Rule-38 Layer-10 adoption lens ("is AI demonstrably working for this business?"). 18 of top 20 deals included AI; coding agents cut implementation effort ~60%; no agentic ARR/revenue disclosed (context-2026-09-07).</t>
        </is>
      </c>
      <c r="F3190" s="33" t="inlineStr">
        <is>
          <t>per-stock/PATH/context-*.md (newest)</t>
        </is>
      </c>
      <c r="G3190" s="33" t="inlineStr">
        <is>
          <t>Med</t>
        </is>
      </c>
      <c r="H3190" s="33" t="inlineStr">
        <is>
          <t>Re-rate</t>
        </is>
      </c>
    </row>
    <row r="3191">
      <c r="A3191" s="33" t="inlineStr">
        <is>
          <t>2026-10-16</t>
        </is>
      </c>
      <c r="B3191" s="33" t="inlineStr">
        <is>
          <t>ZS</t>
        </is>
      </c>
      <c r="C3191" s="33" t="inlineStr">
        <is>
          <t>D5</t>
        </is>
      </c>
      <c r="D3191" s="33" t="n">
        <v>2</v>
      </c>
      <c r="E3191" s="33" t="inlineStr">
        <is>
          <t>2-&gt;2. Rule-38 Layer-10 adoption lens ("is AI demonstrably working for this business?"). AI evidence is buyer demand for Security-for-AI (D1 per guard c); no own-AI-use metric; organic ARR growth slowing +20%-&gt;~17%, NRR flat 115%.</t>
        </is>
      </c>
      <c r="F3191" s="33" t="inlineStr">
        <is>
          <t>per-stock/ZS/context-*.md (newest)</t>
        </is>
      </c>
      <c r="G3191" s="33" t="inlineStr">
        <is>
          <t>Med</t>
        </is>
      </c>
      <c r="H3191" s="33" t="inlineStr">
        <is>
          <t>Re-rate</t>
        </is>
      </c>
    </row>
    <row r="3192">
      <c r="A3192" s="33" t="inlineStr">
        <is>
          <t>2026-10-16</t>
        </is>
      </c>
      <c r="B3192" s="33" t="inlineStr">
        <is>
          <t>ADSK</t>
        </is>
      </c>
      <c r="C3192" s="33" t="inlineStr">
        <is>
          <t>D5</t>
        </is>
      </c>
      <c r="D3192" s="33" t="n">
        <v>2</v>
      </c>
      <c r="E3192" s="33" t="inlineStr">
        <is>
          <t>1-&gt;2. Rule-38 Layer-10 adoption lens ("is AI demonstrably working for this business?"). AI agents shipped at AU 2026 (Assistant, Neural CAD, Revit MCP preview) with no usage, revenue or KPI disclosed (AEC Magazine).</t>
        </is>
      </c>
      <c r="F3192" s="33" t="inlineStr">
        <is>
          <t>per-stock/ADSK/context-*.md (newest)</t>
        </is>
      </c>
      <c r="G3192" s="33" t="inlineStr">
        <is>
          <t>High</t>
        </is>
      </c>
      <c r="H3192" s="33" t="inlineStr">
        <is>
          <t>Re-rate</t>
        </is>
      </c>
    </row>
    <row r="3193">
      <c r="A3193" s="33" t="inlineStr">
        <is>
          <t>2026-10-16</t>
        </is>
      </c>
      <c r="B3193" s="33" t="inlineStr">
        <is>
          <t>FTNT</t>
        </is>
      </c>
      <c r="C3193" s="33" t="inlineStr">
        <is>
          <t>D5</t>
        </is>
      </c>
      <c r="D3193" s="33" t="n">
        <v>2</v>
      </c>
      <c r="E3193" s="33" t="inlineStr">
        <is>
          <t>1-&gt;2. Rule-38 Layer-10 adoption lens ("is AI demonstrably working for this business?"). No FortiAI revenue or adoption disclosed; strong product/billings growth is AI-workload firewall demand (D1), not own AI use.</t>
        </is>
      </c>
      <c r="F3193" s="33" t="inlineStr">
        <is>
          <t>per-stock/FTNT/context-*.md (newest)</t>
        </is>
      </c>
      <c r="G3193" s="33" t="inlineStr">
        <is>
          <t>Med</t>
        </is>
      </c>
      <c r="H3193" s="33" t="inlineStr">
        <is>
          <t>Re-rate</t>
        </is>
      </c>
    </row>
    <row r="3194">
      <c r="A3194" s="33" t="inlineStr">
        <is>
          <t>2026-10-16</t>
        </is>
      </c>
      <c r="B3194" s="33" t="inlineStr">
        <is>
          <t>PANW</t>
        </is>
      </c>
      <c r="C3194" s="33" t="inlineStr">
        <is>
          <t>D5</t>
        </is>
      </c>
      <c r="D3194" s="33" t="n">
        <v>2</v>
      </c>
      <c r="E3194" s="33" t="inlineStr">
        <is>
          <t>3-&gt;2. Rule-38 Layer-10 adoption lens ("is AI demonstrably working for this business?"). Prisma AIRS / agent identity / Console acquisition with no AI revenue or adoption disclosed; NGS ARR growth substantially acquired.</t>
        </is>
      </c>
      <c r="F3194" s="33" t="inlineStr">
        <is>
          <t>per-stock/PANW/context-*.md (newest)</t>
        </is>
      </c>
      <c r="G3194" s="33" t="inlineStr">
        <is>
          <t>Med</t>
        </is>
      </c>
      <c r="H3194" s="33" t="inlineStr">
        <is>
          <t>Re-rate</t>
        </is>
      </c>
    </row>
    <row r="3195">
      <c r="A3195" s="33" t="inlineStr">
        <is>
          <t>2026-10-16</t>
        </is>
      </c>
      <c r="B3195" s="33" t="inlineStr">
        <is>
          <t>CRWD</t>
        </is>
      </c>
      <c r="C3195" s="33" t="inlineStr">
        <is>
          <t>D5</t>
        </is>
      </c>
      <c r="D3195" s="33" t="n">
        <v>2</v>
      </c>
      <c r="E3195" s="33" t="inlineStr">
        <is>
          <t>3-&gt;2. Rule-38 Layer-10 adoption lens ("is AI demonstrably working for this business?"). Charlotte AI / agent identity launched without adoption metrics; Flex ARR and Mythos-driven demand are buyer demand (D1).</t>
        </is>
      </c>
      <c r="F3195" s="33" t="inlineStr">
        <is>
          <t>per-stock/CRWD/context-*.md (newest)</t>
        </is>
      </c>
      <c r="G3195" s="33" t="inlineStr">
        <is>
          <t>Med</t>
        </is>
      </c>
      <c r="H3195" s="33" t="inlineStr">
        <is>
          <t>Re-rate</t>
        </is>
      </c>
    </row>
    <row r="3196">
      <c r="A3196" s="33" t="inlineStr">
        <is>
          <t>2026-10-16</t>
        </is>
      </c>
      <c r="B3196" s="33" t="inlineStr">
        <is>
          <t>DDOG</t>
        </is>
      </c>
      <c r="C3196" s="33" t="inlineStr">
        <is>
          <t>D5</t>
        </is>
      </c>
      <c r="D3196" s="33" t="n">
        <v>2</v>
      </c>
      <c r="E3196" s="33" t="inlineStr">
        <is>
          <t>3-&gt;2. Rule-38 Layer-10 adoption lens ("is AI demonstrably working for this business?"). Bits AI SRE, Agent Builder, AI Guard launched without adoption numbers; growth from AI-native customers is D1; largest AI customer cutting usage.</t>
        </is>
      </c>
      <c r="F3196" s="33" t="inlineStr">
        <is>
          <t>per-stock/DDOG/context-*.md (newest)</t>
        </is>
      </c>
      <c r="G3196" s="33" t="inlineStr">
        <is>
          <t>Med</t>
        </is>
      </c>
      <c r="H3196" s="33" t="inlineStr">
        <is>
          <t>Re-rate</t>
        </is>
      </c>
    </row>
    <row r="3197">
      <c r="A3197" s="33" t="inlineStr">
        <is>
          <t>2026-10-16</t>
        </is>
      </c>
      <c r="B3197" s="33" t="inlineStr">
        <is>
          <t>MDB</t>
        </is>
      </c>
      <c r="C3197" s="33" t="inlineStr">
        <is>
          <t>D5</t>
        </is>
      </c>
      <c r="D3197" s="33" t="n">
        <v>2</v>
      </c>
      <c r="E3197" s="33" t="inlineStr">
        <is>
          <t>2-&gt;2. Rule-38 Layer-10 adoption lens ("is AI demonstrably working for this business?"). Voyage-powered AI capabilities GA; no AI-specific revenue or consumption disclosed; Atlas ~29% for three quarters.</t>
        </is>
      </c>
      <c r="F3197" s="33" t="inlineStr">
        <is>
          <t>per-stock/MDB/context-*.md (newest)</t>
        </is>
      </c>
      <c r="G3197" s="33" t="inlineStr">
        <is>
          <t>Med</t>
        </is>
      </c>
      <c r="H3197" s="33" t="inlineStr">
        <is>
          <t>Re-rate</t>
        </is>
      </c>
    </row>
    <row r="3198">
      <c r="A3198" s="33" t="inlineStr">
        <is>
          <t>2026-10-16</t>
        </is>
      </c>
      <c r="B3198" s="33" t="inlineStr">
        <is>
          <t>AAPL</t>
        </is>
      </c>
      <c r="C3198" s="33" t="inlineStr">
        <is>
          <t>D5</t>
        </is>
      </c>
      <c r="D3198" s="33" t="n">
        <v>2</v>
      </c>
      <c r="E3198" s="33" t="inlineStr">
        <is>
          <t>2-&gt;2. Rule-38 Layer-10 adoption lens ("is AI demonstrably working for this business?"). Siri AI announced on Google Gemini, broad availability FY27, blocked in EU; no AI revenue; growth not attributed to AI.</t>
        </is>
      </c>
      <c r="F3198" s="33" t="inlineStr">
        <is>
          <t>per-stock/AAPL/context-*.md (newest)</t>
        </is>
      </c>
      <c r="G3198" s="33" t="inlineStr">
        <is>
          <t>Med</t>
        </is>
      </c>
      <c r="H3198" s="33" t="inlineStr">
        <is>
          <t>Re-rate</t>
        </is>
      </c>
    </row>
    <row r="3199">
      <c r="A3199" s="33" t="inlineStr">
        <is>
          <t>2026-10-16</t>
        </is>
      </c>
      <c r="B3199" s="33" t="inlineStr">
        <is>
          <t>TSLA</t>
        </is>
      </c>
      <c r="C3199" s="33" t="inlineStr">
        <is>
          <t>D5</t>
        </is>
      </c>
      <c r="D3199" s="33" t="n">
        <v>2</v>
      </c>
      <c r="E3199" s="33" t="inlineStr">
        <is>
          <t>1-&gt;2. Rule-38 Layer-10 adoption lens ("is AI demonstrably working for this business?"). ~319 Cybercabs + ~420 Model Y robotaxis registered in Austin (third-party records); no ride counts or robotaxi revenue; Q3 deliveries ~-2%. Revisit at Q3 (2026-10-21).</t>
        </is>
      </c>
      <c r="F3199" s="33" t="inlineStr">
        <is>
          <t>per-stock/TSLA/context-*.md (newest)</t>
        </is>
      </c>
      <c r="G3199" s="33" t="inlineStr">
        <is>
          <t>Med</t>
        </is>
      </c>
      <c r="H3199" s="33" t="inlineStr">
        <is>
          <t>Re-rate</t>
        </is>
      </c>
    </row>
    <row r="3200">
      <c r="A3200" s="33" t="inlineStr">
        <is>
          <t>2026-10-16</t>
        </is>
      </c>
      <c r="B3200" s="33" t="inlineStr">
        <is>
          <t>WDAY</t>
        </is>
      </c>
      <c r="C3200" s="33" t="inlineStr">
        <is>
          <t>D3</t>
        </is>
      </c>
      <c r="D3200" s="33" t="n">
        <v>3</v>
      </c>
      <c r="E3200" s="33" t="inlineStr">
        <is>
          <t>2-&gt;3. Gross revenue retention ~97%, share stable (Gartner Leader, intl +17%); flexible terms are competitive pressure, not price-taking (10-Q MD&amp;A).</t>
        </is>
      </c>
      <c r="F3200" s="33" t="inlineStr">
        <is>
          <t>per-stock/WDAY/context-2026-10-16.md</t>
        </is>
      </c>
      <c r="G3200" s="33" t="inlineStr">
        <is>
          <t>Low</t>
        </is>
      </c>
      <c r="H3200" s="33" t="inlineStr">
        <is>
          <t>Update</t>
        </is>
      </c>
    </row>
    <row r="3201">
      <c r="A3201" s="33" t="inlineStr">
        <is>
          <t>2026-10-16</t>
        </is>
      </c>
      <c r="B3201" s="33" t="inlineStr">
        <is>
          <t>WDAY</t>
        </is>
      </c>
      <c r="C3201" s="33" t="inlineStr">
        <is>
          <t>M1</t>
        </is>
      </c>
      <c r="D3201" s="33" t="n">
        <v>5</v>
      </c>
      <c r="E3201" s="33" t="inlineStr">
        <is>
          <t>2-&gt;5. FY28 EPS $12.64-&gt;$13.23 (+4.6%) over 90d, 38 up / 1 down in 30d; three straight 5-6% beats (yfinance 2026-10-16).</t>
        </is>
      </c>
      <c r="F3201" s="33" t="inlineStr">
        <is>
          <t>per-stock/WDAY/context-2026-10-16.md</t>
        </is>
      </c>
      <c r="G3201" s="33" t="inlineStr">
        <is>
          <t>Med</t>
        </is>
      </c>
      <c r="H3201" s="33" t="inlineStr">
        <is>
          <t>Update</t>
        </is>
      </c>
    </row>
    <row r="3202">
      <c r="A3202" s="33" t="inlineStr">
        <is>
          <t>2026-10-16</t>
        </is>
      </c>
      <c r="B3202" s="33" t="inlineStr">
        <is>
          <t>WDAY</t>
        </is>
      </c>
      <c r="C3202" s="33" t="inlineStr">
        <is>
          <t>M2</t>
        </is>
      </c>
      <c r="D3202" s="33" t="n">
        <v>5</v>
      </c>
      <c r="E3202" s="33" t="inlineStr">
        <is>
          <t>1-&gt;5. 126d +54.1% vs IGV +22.7%; partly the Silver Lake take-private report (2026-08-13).</t>
        </is>
      </c>
      <c r="F3202" s="33" t="inlineStr">
        <is>
          <t>per-stock/WDAY/context-2026-10-16.md</t>
        </is>
      </c>
      <c r="G3202" s="33" t="inlineStr">
        <is>
          <t>High</t>
        </is>
      </c>
      <c r="H3202" s="33" t="inlineStr">
        <is>
          <t>Update</t>
        </is>
      </c>
    </row>
    <row r="3203">
      <c r="A3203" s="33" t="inlineStr">
        <is>
          <t>2026-10-16</t>
        </is>
      </c>
      <c r="B3203" s="33" t="inlineStr">
        <is>
          <t>WDAY</t>
        </is>
      </c>
      <c r="C3203" s="33" t="inlineStr">
        <is>
          <t>R3</t>
        </is>
      </c>
      <c r="D3203" s="33" t="n">
        <v>4</v>
      </c>
      <c r="E3203" s="33" t="inlineStr">
        <is>
          <t>5-&gt;4. Net cash only ~$0.4B pre-lease; $999M notes due within 12 months; H1 buybacks $2.93B (10-Q).</t>
        </is>
      </c>
      <c r="F3203" s="33" t="inlineStr">
        <is>
          <t>per-stock/WDAY/context-2026-10-16.md</t>
        </is>
      </c>
      <c r="G3203" s="33" t="inlineStr">
        <is>
          <t>Med</t>
        </is>
      </c>
      <c r="H3203" s="33" t="inlineStr">
        <is>
          <t>Update</t>
        </is>
      </c>
    </row>
    <row r="3204">
      <c r="A3204" s="33" t="inlineStr">
        <is>
          <t>2026-10-16</t>
        </is>
      </c>
      <c r="B3204" s="33" t="inlineStr">
        <is>
          <t>ADSK</t>
        </is>
      </c>
      <c r="C3204" s="33" t="inlineStr">
        <is>
          <t>M1</t>
        </is>
      </c>
      <c r="D3204" s="33" t="n">
        <v>3</v>
      </c>
      <c r="E3204" s="33" t="inlineStr">
        <is>
          <t>4-&gt;3. Current/next-Q EPS -2.6%/-3.4% over 90d after Q3 guide below consensus (MaintainX dilution); FY27 flat (yfinance 2026-10-16).</t>
        </is>
      </c>
      <c r="F3204" s="33" t="inlineStr">
        <is>
          <t>per-stock/ADSK/context-2026-10-16.md</t>
        </is>
      </c>
      <c r="G3204" s="33" t="inlineStr">
        <is>
          <t>Med</t>
        </is>
      </c>
      <c r="H3204" s="33" t="inlineStr">
        <is>
          <t>Update</t>
        </is>
      </c>
    </row>
    <row r="3205">
      <c r="A3205" s="33" t="inlineStr">
        <is>
          <t>2026-10-16</t>
        </is>
      </c>
      <c r="B3205" s="33" t="inlineStr">
        <is>
          <t>ADSK</t>
        </is>
      </c>
      <c r="C3205" s="33" t="inlineStr">
        <is>
          <t>M2</t>
        </is>
      </c>
      <c r="D3205" s="33" t="n">
        <v>1</v>
      </c>
      <c r="E3205" s="33" t="inlineStr">
        <is>
          <t>2-&gt;1. 126d -0.9% vs IGV +22.7%: -23.5pp (yfinance 2026-10-16).</t>
        </is>
      </c>
      <c r="F3205" s="33" t="inlineStr">
        <is>
          <t>per-stock/ADSK/context-2026-10-16.md</t>
        </is>
      </c>
      <c r="G3205" s="33" t="inlineStr">
        <is>
          <t>High</t>
        </is>
      </c>
      <c r="H3205" s="33" t="inlineStr">
        <is>
          <t>Update</t>
        </is>
      </c>
    </row>
    <row r="3206">
      <c r="A3206" s="33" t="inlineStr">
        <is>
          <t>2026-10-16</t>
        </is>
      </c>
      <c r="B3206" s="33" t="inlineStr">
        <is>
          <t>ADSK</t>
        </is>
      </c>
      <c r="C3206" s="33" t="inlineStr">
        <is>
          <t>R4</t>
        </is>
      </c>
      <c r="D3206" s="33" t="n">
        <v>3</v>
      </c>
      <c r="E3206" s="33" t="inlineStr">
        <is>
          <t>2-&gt;3. Correction: Barkasi securities class action dismissed with prejudice 2026-01-26 (appeal only); derivative suits ended; IP cases routine (10-Q Note 14).</t>
        </is>
      </c>
      <c r="F3206" s="33" t="inlineStr">
        <is>
          <t>per-stock/ADSK/context-2026-10-16.md</t>
        </is>
      </c>
      <c r="G3206" s="33" t="inlineStr">
        <is>
          <t>Med</t>
        </is>
      </c>
      <c r="H3206" s="33" t="inlineStr">
        <is>
          <t>Update</t>
        </is>
      </c>
    </row>
    <row r="3207">
      <c r="A3207" s="33" t="inlineStr">
        <is>
          <t>2026-10-16</t>
        </is>
      </c>
      <c r="B3207" s="33" t="inlineStr">
        <is>
          <t>INTU</t>
        </is>
      </c>
      <c r="C3207" s="33" t="inlineStr">
        <is>
          <t>R3</t>
        </is>
      </c>
      <c r="D3207" s="33" t="n">
        <v>4</v>
      </c>
      <c r="E3207" s="33" t="inlineStr">
        <is>
          <t>5-&gt;4. No longer net cash: debt $7.7B vs cash $7.2B after $1.75B notes + $5.5B buybacks; ND/EBITDA ~0.18 (8-K 2026-08-25).</t>
        </is>
      </c>
      <c r="F3207" s="33" t="inlineStr">
        <is>
          <t>per-stock/INTU/context-2026-10-16.md</t>
        </is>
      </c>
      <c r="G3207" s="33" t="inlineStr">
        <is>
          <t>Med</t>
        </is>
      </c>
      <c r="H3207" s="33" t="inlineStr">
        <is>
          <t>Update</t>
        </is>
      </c>
    </row>
    <row r="3208">
      <c r="A3208" s="33" t="inlineStr">
        <is>
          <t>2026-10-16</t>
        </is>
      </c>
      <c r="B3208" s="33" t="inlineStr">
        <is>
          <t>INTU</t>
        </is>
      </c>
      <c r="C3208" s="33" t="inlineStr">
        <is>
          <t>R4</t>
        </is>
      </c>
      <c r="D3208" s="33" t="n">
        <v>2</v>
      </c>
      <c r="E3208" s="33" t="inlineStr">
        <is>
          <t>3-&gt;2. Two filed securities class actions: Baldwin 3:26-cv-07086 (2026-07-10), Bruce 5:26-cv-08518 (2026-08-17), loss not estimable; Ontario class certified 2026-07-24; FTC order vacated (10-K Note 13).</t>
        </is>
      </c>
      <c r="F3208" s="33" t="inlineStr">
        <is>
          <t>per-stock/INTU/context-2026-10-16.md</t>
        </is>
      </c>
      <c r="G3208" s="33" t="inlineStr">
        <is>
          <t>Med</t>
        </is>
      </c>
      <c r="H3208" s="33" t="inlineStr">
        <is>
          <t>Update</t>
        </is>
      </c>
    </row>
    <row r="3209">
      <c r="A3209" s="33" t="inlineStr">
        <is>
          <t>2026-10-16</t>
        </is>
      </c>
      <c r="B3209" s="33" t="inlineStr">
        <is>
          <t>ZS</t>
        </is>
      </c>
      <c r="C3209" s="33" t="inlineStr">
        <is>
          <t>M1</t>
        </is>
      </c>
      <c r="D3209" s="33" t="n">
        <v>5</v>
      </c>
      <c r="E3209" s="33" t="inlineStr">
        <is>
          <t>1-&gt;5. FY27 EPS consensus $4.60-&gt;$4.91 (+6.8%) over 90d, 38 up / 0 down in 7d; guide above prior consensus (yfinance 2026-10-16).</t>
        </is>
      </c>
      <c r="F3209" s="33" t="inlineStr">
        <is>
          <t>per-stock/ZS/context-2026-10-16.md</t>
        </is>
      </c>
      <c r="G3209" s="33" t="inlineStr">
        <is>
          <t>High</t>
        </is>
      </c>
      <c r="H3209" s="33" t="inlineStr">
        <is>
          <t>Update</t>
        </is>
      </c>
    </row>
    <row r="3210">
      <c r="A3210" s="33" t="inlineStr">
        <is>
          <t>2026-10-16</t>
        </is>
      </c>
      <c r="B3210" s="33" t="inlineStr">
        <is>
          <t>ZS</t>
        </is>
      </c>
      <c r="C3210" s="33" t="inlineStr">
        <is>
          <t>M2</t>
        </is>
      </c>
      <c r="D3210" s="33" t="n">
        <v>5</v>
      </c>
      <c r="E3210" s="33" t="inlineStr">
        <is>
          <t>1-&gt;5. 126d +54.0% vs IGV +22.7% (yfinance 2026-10-16).</t>
        </is>
      </c>
      <c r="F3210" s="33" t="inlineStr">
        <is>
          <t>per-stock/ZS/context-2026-10-16.md</t>
        </is>
      </c>
      <c r="G3210" s="33" t="inlineStr">
        <is>
          <t>High</t>
        </is>
      </c>
      <c r="H3210" s="33" t="inlineStr">
        <is>
          <t>Update</t>
        </is>
      </c>
    </row>
    <row r="3211">
      <c r="A3211" s="33" t="inlineStr">
        <is>
          <t>2026-10-16</t>
        </is>
      </c>
      <c r="B3211" s="33" t="inlineStr">
        <is>
          <t>SNOW</t>
        </is>
      </c>
      <c r="C3211" s="33" t="inlineStr">
        <is>
          <t>M1</t>
        </is>
      </c>
      <c r="D3211" s="33" t="n">
        <v>5</v>
      </c>
      <c r="E3211" s="33" t="inlineStr">
        <is>
          <t>2-&gt;5. FY EPS consensus $1.94-&gt;$2.22 (+15%) over 90d, 43 up / 1 down in 30d; two beat-and-raise quarters (yfinance 2026-10-16).</t>
        </is>
      </c>
      <c r="F3211" s="33" t="inlineStr">
        <is>
          <t>per-stock/SNOW/context-2026-10-16.md</t>
        </is>
      </c>
      <c r="G3211" s="33" t="inlineStr">
        <is>
          <t>High</t>
        </is>
      </c>
      <c r="H3211" s="33" t="inlineStr">
        <is>
          <t>Update</t>
        </is>
      </c>
    </row>
    <row r="3212">
      <c r="A3212" s="33" t="inlineStr">
        <is>
          <t>2026-10-16</t>
        </is>
      </c>
      <c r="B3212" s="33" t="inlineStr">
        <is>
          <t>SNOW</t>
        </is>
      </c>
      <c r="C3212" s="33" t="inlineStr">
        <is>
          <t>M2</t>
        </is>
      </c>
      <c r="D3212" s="33" t="n">
        <v>5</v>
      </c>
      <c r="E3212" s="33" t="inlineStr">
        <is>
          <t>3-&gt;5. 126d +113.1% vs IGV +22.7% (yfinance 2026-10-16).</t>
        </is>
      </c>
      <c r="F3212" s="33" t="inlineStr">
        <is>
          <t>per-stock/SNOW/context-2026-10-16.md</t>
        </is>
      </c>
      <c r="G3212" s="33" t="inlineStr">
        <is>
          <t>High</t>
        </is>
      </c>
      <c r="H3212" s="33" t="inlineStr">
        <is>
          <t>Update</t>
        </is>
      </c>
    </row>
    <row r="3213">
      <c r="A3213" s="33" t="inlineStr">
        <is>
          <t>2026-10-16</t>
        </is>
      </c>
      <c r="B3213" s="33" t="inlineStr">
        <is>
          <t>SNOW</t>
        </is>
      </c>
      <c r="C3213" s="33" t="inlineStr">
        <is>
          <t>R1</t>
        </is>
      </c>
      <c r="D3213" s="33" t="n">
        <v>5</v>
      </c>
      <c r="E3213" s="33" t="inlineStr">
        <is>
          <t>4-&gt;5. No customer &gt;=10% of revenue or receivables (10-Q).</t>
        </is>
      </c>
      <c r="F3213" s="33" t="inlineStr">
        <is>
          <t>per-stock/SNOW/context-2026-10-16.md</t>
        </is>
      </c>
      <c r="G3213" s="33" t="inlineStr">
        <is>
          <t>High</t>
        </is>
      </c>
      <c r="H3213" s="33" t="inlineStr">
        <is>
          <t>Update</t>
        </is>
      </c>
    </row>
    <row r="3214">
      <c r="A3214" s="33" t="inlineStr">
        <is>
          <t>2026-10-16</t>
        </is>
      </c>
      <c r="B3214" s="33" t="inlineStr">
        <is>
          <t>SNOW</t>
        </is>
      </c>
      <c r="C3214" s="33" t="inlineStr">
        <is>
          <t>R2</t>
        </is>
      </c>
      <c r="D3214" s="33" t="n">
        <v>5</v>
      </c>
      <c r="E3214" s="33" t="inlineStr">
        <is>
          <t>4-&gt;5. US 74.5%, EMEA 16.7%, APAC 6.1%; no China, no non-US country &gt;10%; no risk leg applies (10-Q Note 3).</t>
        </is>
      </c>
      <c r="F3214" s="33" t="inlineStr">
        <is>
          <t>per-stock/SNOW/context-2026-10-16.md</t>
        </is>
      </c>
      <c r="G3214" s="33" t="inlineStr">
        <is>
          <t>Med</t>
        </is>
      </c>
      <c r="H3214" s="33" t="inlineStr">
        <is>
          <t>Update</t>
        </is>
      </c>
    </row>
    <row r="3215">
      <c r="A3215" s="33" t="inlineStr">
        <is>
          <t>2026-10-16</t>
        </is>
      </c>
      <c r="B3215" s="33" t="inlineStr">
        <is>
          <t>SNOW</t>
        </is>
      </c>
      <c r="C3215" s="33" t="inlineStr">
        <is>
          <t>R4</t>
        </is>
      </c>
      <c r="D3215" s="33" t="n">
        <v>3</v>
      </c>
      <c r="E3215" s="33" t="inlineStr">
        <is>
          <t>4-&gt;3. Pending: Patel 3:26-cv-01613 securities class action, 2024 class action now on appeal (9th Cir. 26-6773), data-breach MDL in discovery, LLM copyright class action; company calls none material (10-Q Part II Item 1).</t>
        </is>
      </c>
      <c r="F3215" s="33" t="inlineStr">
        <is>
          <t>per-stock/SNOW/context-2026-10-16.md</t>
        </is>
      </c>
      <c r="G3215" s="33" t="inlineStr">
        <is>
          <t>Med</t>
        </is>
      </c>
      <c r="H3215" s="33" t="inlineStr">
        <is>
          <t>Update</t>
        </is>
      </c>
    </row>
    <row r="3216">
      <c r="A3216" s="33" t="inlineStr">
        <is>
          <t>2026-10-16</t>
        </is>
      </c>
      <c r="B3216" s="33" t="inlineStr">
        <is>
          <t>NOW</t>
        </is>
      </c>
      <c r="C3216" s="33" t="inlineStr">
        <is>
          <t>R4</t>
        </is>
      </c>
      <c r="D3216" s="33" t="n">
        <v>3</v>
      </c>
      <c r="E3216" s="33" t="inlineStr">
        <is>
          <t>2-&gt;3. Dom's call: the DOJ investigation into the 2023 Army CIO hiring dates from 2024 with no escalation; company says no proceeding is likely to cause a material loss (10-Q Note 17) - 'pending matters, immaterial'. Docket re-check 2026-10-16 found no securities case.</t>
        </is>
      </c>
      <c r="F3216" s="33" t="inlineStr">
        <is>
          <t>per-stock/NOW/context-2026-10-16.md</t>
        </is>
      </c>
      <c r="G3216" s="33" t="inlineStr">
        <is>
          <t>Med</t>
        </is>
      </c>
      <c r="H3216" s="33" t="inlineStr">
        <is>
          <t>Update</t>
        </is>
      </c>
    </row>
    <row r="3217">
      <c r="A3217" s="33" t="inlineStr">
        <is>
          <t>2026-10-30</t>
        </is>
      </c>
      <c r="B3217" s="33" t="inlineStr">
        <is>
          <t>WDC</t>
        </is>
      </c>
      <c r="C3217" s="33" t="inlineStr">
        <is>
          <t>EPS YoY (objective)</t>
        </is>
      </c>
      <c r="D3217" s="33" t="inlineStr">
        <is>
          <t>161</t>
        </is>
      </c>
      <c r="E3217" s="33" t="inlineStr">
        <is>
          <t>Rule-15 ex-item value (Dom): non-GAAP EPS $4.64 vs $1.78 (+161%). GAAP +50.5% ($4.63 vs $3.07) understates growth because the prior-year quarter included a $611M Sandisk retained-interest gain; stake fully disposed by 2026-07-03. Prior-year quarter had 14 weeks. Replaces the expired blank for q/e 2026-07-03.</t>
        </is>
      </c>
      <c r="F3217" s="33" t="inlineStr">
        <is>
          <t>8-K Ex-99.1 filed 2026-10-22; 10-Q filed 2025-10-31</t>
        </is>
      </c>
      <c r="G3217" s="33" t="inlineStr">
        <is>
          <t>High</t>
        </is>
      </c>
      <c r="H3217" s="33" t="inlineStr">
        <is>
          <t>Objective refresh</t>
        </is>
      </c>
    </row>
    <row r="3218">
      <c r="A3218" s="33" t="inlineStr">
        <is>
          <t>2026-10-30</t>
        </is>
      </c>
      <c r="B3218" s="33" t="inlineStr">
        <is>
          <t>META</t>
        </is>
      </c>
      <c r="C3218" s="33" t="inlineStr">
        <is>
          <t>EPS YoY (objective)</t>
        </is>
      </c>
      <c r="D3218" s="33" t="inlineStr">
        <is>
          <t>2</t>
        </is>
      </c>
      <c r="E3218" s="33" t="inlineStr">
        <is>
          <t>Rule-15 ex-item value (Dom): EPS excluding one-offs $7.40 vs $7.25 (+2%). GAAP +265% ($3.83 vs $1.05) is dominated by the $15.93B Q3 2025 one-time tax charge and the $9.89B Q3 2026 state AG settlement charge. Same standard as WDC, same day.</t>
        </is>
      </c>
      <c r="F3218" s="33" t="inlineStr">
        <is>
          <t>8-K Ex-99.1 filed 2026-10-21; 8-K Ex-99.1 filed 2025-10-29</t>
        </is>
      </c>
      <c r="G3218" s="33" t="inlineStr">
        <is>
          <t>High</t>
        </is>
      </c>
      <c r="H3218" s="33" t="inlineStr">
        <is>
          <t>Objective refresh</t>
        </is>
      </c>
    </row>
    <row r="3219">
      <c r="A3219" s="33" t="inlineStr">
        <is>
          <t>2026-10-30</t>
        </is>
      </c>
      <c r="B3219" s="33" t="inlineStr">
        <is>
          <t>RDDT</t>
        </is>
      </c>
      <c r="C3219" s="33" t="inlineStr">
        <is>
          <t>R5</t>
        </is>
      </c>
      <c r="D3219" s="33" t="inlineStr">
        <is>
          <t>1</t>
        </is>
      </c>
      <c r="E3219" s="33" t="inlineStr">
        <is>
          <t>2-&gt;1 (Dom-approved). Q3 letter: search referrals 'down meaningfully', accelerating late in the quarter; &gt;1M referrals a week lost on average in October; company says DAUq could fall by a low-double-digit percentage in Q4; US DAUq -2% YoY. Band 1: AI tools produce the core output and active erosion is visible. Against: revenue +53%, logged-in and app DAUq up sequentially.</t>
        </is>
      </c>
      <c r="F3219" s="33" t="inlineStr">
        <is>
          <t>8-K Ex-99.2 filed 2026-10-29 (acc. 0001713445-26-000114); per-stock/RDDT/context-2026-10-29.md</t>
        </is>
      </c>
      <c r="G3219" s="33" t="inlineStr">
        <is>
          <t>Med</t>
        </is>
      </c>
      <c r="H3219" s="33" t="inlineStr">
        <is>
          <t>Update</t>
        </is>
      </c>
    </row>
    <row r="3220">
      <c r="A3220" s="33" t="inlineStr">
        <is>
          <t>2026-10-30</t>
        </is>
      </c>
      <c r="B3220" s="33" t="inlineStr">
        <is>
          <t>RDDT</t>
        </is>
      </c>
      <c r="C3220" s="33" t="inlineStr">
        <is>
          <t>D5</t>
        </is>
      </c>
      <c r="D3220" s="33" t="inlineStr">
        <is>
          <t>3</t>
        </is>
      </c>
      <c r="E3220" s="33" t="inlineStr">
        <is>
          <t>5-&gt;3 (Dom's call; Claude proposed 4). Rule-38 lens. Max campaign lift (CPA -17%, conversions +27%) is company-reported with no disclosed AI-attributable revenue, so band 5 is not met. Dom, from his work in media: AI helps the platform but is a local optimization and no better than Meta or Google, so it is not a differentiated growth engine. Filed evidence alone fits band 4; the step to 3 rests on Dom's industry judgment.</t>
        </is>
      </c>
      <c r="F3220" s="33" t="inlineStr">
        <is>
          <t>per-stock/RDDT/context-2026-10-16.md; per-stock/RDDT/context-2026-10-29.md; Dom industry context 2026-10-30</t>
        </is>
      </c>
      <c r="G3220" s="33" t="inlineStr">
        <is>
          <t>Med</t>
        </is>
      </c>
      <c r="H3220" s="33" t="inlineStr">
        <is>
          <t>Update</t>
        </is>
      </c>
    </row>
    <row r="3221">
      <c r="A3221" s="33" t="inlineStr">
        <is>
          <t>2026-10-30</t>
        </is>
      </c>
      <c r="B3221" s="33" t="inlineStr">
        <is>
          <t>RDDT</t>
        </is>
      </c>
      <c r="C3221" s="33" t="inlineStr">
        <is>
          <t>M2</t>
        </is>
      </c>
      <c r="D3221" s="33" t="inlineStr">
        <is>
          <t>1</t>
        </is>
      </c>
      <c r="E3221" s="33" t="inlineStr">
        <is>
          <t>3-&gt;1 (Dom-approved). Mechanical re-measure: 126-trading-day return -44.9% vs XLC -13.9%, a gap of -31.0pp, past the -20pp band-1 line. 63-day gap -30.7pp. Includes the -29% move on 2026-10-30 after the Q3 letter.</t>
        </is>
      </c>
      <c r="F3221" s="33" t="inlineStr">
        <is>
          <t>yfinance price history 2026-10-30; benchmark XLC set 2026-10-06</t>
        </is>
      </c>
      <c r="G3221" s="33" t="inlineStr">
        <is>
          <t>High</t>
        </is>
      </c>
      <c r="H3221" s="33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2026-10-30T22:54:35Z</dcterms:modified>
  <cp:revision>0</cp:revision>
</cp:coreProperties>
</file>