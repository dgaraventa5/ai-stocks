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(15%)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(30%)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(10%)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40" t="inlineStr">
        <is>
          <t>Forward P/E (lower = better)</t>
        </is>
      </c>
      <c r="B8" s="44" t="inlineStr">
        <is>
          <t>Threshold:</t>
        </is>
      </c>
      <c r="C8" s="45" t="inlineStr">
        <is>
          <t>≥0 → 100</t>
        </is>
      </c>
      <c r="D8" s="45" t="inlineStr">
        <is>
          <t>≥15 → 90</t>
        </is>
      </c>
      <c r="E8" s="45" t="inlineStr">
        <is>
          <t>≥20 → 75</t>
        </is>
      </c>
      <c r="F8" s="45" t="inlineStr">
        <is>
          <t>≥25 → 60</t>
        </is>
      </c>
      <c r="G8" s="45" t="inlineStr">
        <is>
          <t>≥30 → 45</t>
        </is>
      </c>
      <c r="H8" s="45" t="inlineStr">
        <is>
          <t>≥40 → 30</t>
        </is>
      </c>
      <c r="I8" s="45" t="inlineStr">
        <is>
          <t>≥60 → 15</t>
        </is>
      </c>
      <c r="J8" s="68" t="inlineStr">
        <is>
          <t>If Fwd P/E &lt; 0 (forward EPS estimate negative — losing money), returns 5 (worst band). Patched 2026-05-18.</t>
        </is>
      </c>
    </row>
    <row r="9" ht="15" customHeight="1" s="34">
      <c r="A9" s="40" t="inlineStr">
        <is>
          <t>EV/EBITDA (lower = better)</t>
        </is>
      </c>
      <c r="B9" s="44" t="inlineStr">
        <is>
          <t>Threshold:</t>
        </is>
      </c>
      <c r="C9" s="45" t="inlineStr">
        <is>
          <t>≥0 → 100</t>
        </is>
      </c>
      <c r="D9" s="45" t="inlineStr">
        <is>
          <t>≥10 → 90</t>
        </is>
      </c>
      <c r="E9" s="45" t="inlineStr">
        <is>
          <t>≥15 → 75</t>
        </is>
      </c>
      <c r="F9" s="45" t="inlineStr">
        <is>
          <t>≥20 → 60</t>
        </is>
      </c>
      <c r="G9" s="45" t="inlineStr">
        <is>
          <t>≥25 → 45</t>
        </is>
      </c>
      <c r="H9" s="45" t="inlineStr">
        <is>
          <t>≥35 → 30</t>
        </is>
      </c>
      <c r="I9" s="45" t="inlineStr">
        <is>
          <t>≥50 → 15</t>
        </is>
      </c>
      <c r="J9" s="68" t="inlineStr">
        <is>
          <t>If EV/EBITDA &lt; 0 (negative EBITDA — operations unprofitable), returns 5 (worst band). Patched 2026-05-18.</t>
        </is>
      </c>
    </row>
    <row r="10" ht="15" customHeight="1" s="34">
      <c r="A10" s="40" t="inlineStr">
        <is>
          <t>FCF Yield % (higher = better)</t>
        </is>
      </c>
      <c r="B10" s="44" t="inlineStr">
        <is>
          <t>Threshold:</t>
        </is>
      </c>
      <c r="C10" s="45" t="inlineStr">
        <is>
          <t>≥8 → 100</t>
        </is>
      </c>
      <c r="D10" s="45" t="inlineStr">
        <is>
          <t>≥6 → 90</t>
        </is>
      </c>
      <c r="E10" s="45" t="inlineStr">
        <is>
          <t>≥4 → 75</t>
        </is>
      </c>
      <c r="F10" s="45" t="inlineStr">
        <is>
          <t>≥2 → 60</t>
        </is>
      </c>
      <c r="G10" s="45" t="inlineStr">
        <is>
          <t>≥1 → 45</t>
        </is>
      </c>
      <c r="H10" s="45" t="inlineStr">
        <is>
          <t>≥0 → 30</t>
        </is>
      </c>
      <c r="I10" s="45" t="inlineStr">
        <is>
          <t>≥-2 → 15</t>
        </is>
      </c>
    </row>
    <row r="11" ht="15" customHeight="1" s="34">
      <c r="A11" s="40" t="inlineStr">
        <is>
          <t>Price / Sales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≥2 → 90</t>
        </is>
      </c>
      <c r="E11" s="45" t="inlineStr">
        <is>
          <t>≥4 → 75</t>
        </is>
      </c>
      <c r="F11" s="45" t="inlineStr">
        <is>
          <t>≥7 → 60</t>
        </is>
      </c>
      <c r="G11" s="45" t="inlineStr">
        <is>
          <t>≥10 → 45</t>
        </is>
      </c>
      <c r="H11" s="45" t="inlineStr">
        <is>
          <t>≥15 → 30</t>
        </is>
      </c>
      <c r="I11" s="45" t="inlineStr">
        <is>
          <t>≥25 → 15</t>
        </is>
      </c>
    </row>
    <row r="12">
      <c r="A12" s="33" t="inlineStr">
        <is>
          <t>PEG Ratio (lower = better)</t>
        </is>
      </c>
      <c r="B12" s="33" t="inlineStr">
        <is>
          <t>Threshold:</t>
        </is>
      </c>
      <c r="C12" s="33" t="inlineStr">
        <is>
          <t>≤0.5 → 100</t>
        </is>
      </c>
      <c r="D12" s="33" t="inlineStr">
        <is>
          <t>≤1.0 → 90</t>
        </is>
      </c>
      <c r="E12" s="33" t="inlineStr">
        <is>
          <t>≤1.5 → 75</t>
        </is>
      </c>
      <c r="F12" s="33" t="inlineStr">
        <is>
          <t>≤2.0 → 60</t>
        </is>
      </c>
      <c r="G12" s="33" t="inlineStr">
        <is>
          <t>≤2.5 → 45</t>
        </is>
      </c>
      <c r="H12" s="33" t="inlineStr">
        <is>
          <t>≤3.0 → 30</t>
        </is>
      </c>
      <c r="I12" s="33" t="inlineStr">
        <is>
          <t>&gt;3.0 → 15</t>
        </is>
      </c>
      <c r="J12" s="33" t="inlineStr">
        <is>
          <t>PEG = Fwd P/E ÷ EPS Growth %. Undefined when EPS growth ≤ 0 (excluded from avg).</t>
        </is>
      </c>
    </row>
    <row r="13" ht="15" customHeight="1" s="34"/>
    <row r="14" ht="15" customHeight="1" s="34">
      <c r="A14" s="43" t="inlineStr">
        <is>
          <t>QUALITY</t>
        </is>
      </c>
    </row>
    <row r="15" ht="15" customHeight="1" s="34">
      <c r="A15" s="40" t="inlineStr">
        <is>
          <t>ROIC % (higher = better)</t>
        </is>
      </c>
      <c r="B15" s="44" t="inlineStr">
        <is>
          <t>Threshold:</t>
        </is>
      </c>
      <c r="C15" s="45" t="inlineStr">
        <is>
          <t>≥25 → 100</t>
        </is>
      </c>
      <c r="D15" s="45" t="inlineStr">
        <is>
          <t>≥20 → 90</t>
        </is>
      </c>
      <c r="E15" s="45" t="inlineStr">
        <is>
          <t>≥15 → 75</t>
        </is>
      </c>
      <c r="F15" s="45" t="inlineStr">
        <is>
          <t>≥10 → 60</t>
        </is>
      </c>
      <c r="G15" s="45" t="inlineStr">
        <is>
          <t>≥5 → 45</t>
        </is>
      </c>
      <c r="H15" s="45" t="inlineStr">
        <is>
          <t>≥0 → 30</t>
        </is>
      </c>
      <c r="I15" s="45" t="inlineStr">
        <is>
          <t>≥-5 → 15</t>
        </is>
      </c>
    </row>
    <row r="16" ht="15" customHeight="1" s="34">
      <c r="A16" s="40" t="inlineStr">
        <is>
          <t>Gross Margin % (higher = better)</t>
        </is>
      </c>
      <c r="B16" s="44" t="inlineStr">
        <is>
          <t>Threshold:</t>
        </is>
      </c>
      <c r="C16" s="45" t="inlineStr">
        <is>
          <t>≥60 → 100</t>
        </is>
      </c>
      <c r="D16" s="45" t="inlineStr">
        <is>
          <t>≥50 → 90</t>
        </is>
      </c>
      <c r="E16" s="45" t="inlineStr">
        <is>
          <t>≥40 → 75</t>
        </is>
      </c>
      <c r="F16" s="45" t="inlineStr">
        <is>
          <t>≥30 → 60</t>
        </is>
      </c>
      <c r="G16" s="45" t="inlineStr">
        <is>
          <t>≥20 → 45</t>
        </is>
      </c>
      <c r="H16" s="45" t="inlineStr">
        <is>
          <t>≥10 → 30</t>
        </is>
      </c>
      <c r="I16" s="45" t="inlineStr">
        <is>
          <t>≥0 → 15</t>
        </is>
      </c>
    </row>
    <row r="17" ht="15" customHeight="1" s="34">
      <c r="A17" s="40" t="inlineStr">
        <is>
          <t>FCF Margin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≥-10 → 15</t>
        </is>
      </c>
    </row>
    <row r="18">
      <c r="A18" s="40" t="inlineStr">
        <is>
          <t>Net Debt / EBITDA (lower = better)</t>
        </is>
      </c>
      <c r="B18" s="44" t="inlineStr">
        <is>
          <t>Threshold:</t>
        </is>
      </c>
      <c r="C18" s="45" t="inlineStr">
        <is>
          <t>≥0 → 100</t>
        </is>
      </c>
      <c r="D18" s="45" t="inlineStr">
        <is>
          <t>≥1 → 90</t>
        </is>
      </c>
      <c r="E18" s="45" t="inlineStr">
        <is>
          <t>≥2 → 75</t>
        </is>
      </c>
      <c r="F18" s="45" t="inlineStr">
        <is>
          <t>≥3 → 60</t>
        </is>
      </c>
      <c r="G18" s="45" t="inlineStr">
        <is>
          <t>≥4 → 45</t>
        </is>
      </c>
      <c r="H18" s="45" t="inlineStr">
        <is>
          <t>≥5 → 30</t>
        </is>
      </c>
      <c r="I18" s="45" t="inlineStr">
        <is>
          <t>≥7 → 15</t>
        </is>
      </c>
      <c r="J18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19" ht="15" customHeight="1" s="34"/>
    <row r="20" ht="15" customHeight="1" s="34">
      <c r="A20" s="43" t="inlineStr">
        <is>
          <t>GROWTH</t>
        </is>
      </c>
    </row>
    <row r="21" ht="15" customHeight="1" s="34">
      <c r="A21" s="40" t="inlineStr">
        <is>
          <t>Revenue 3yr CAGR % (higher = better)</t>
        </is>
      </c>
      <c r="B21" s="44" t="inlineStr">
        <is>
          <t>Threshold:</t>
        </is>
      </c>
      <c r="C21" s="45" t="inlineStr">
        <is>
          <t>≥40 → 100</t>
        </is>
      </c>
      <c r="D21" s="45" t="inlineStr">
        <is>
          <t>≥30 → 90</t>
        </is>
      </c>
      <c r="E21" s="45" t="inlineStr">
        <is>
          <t>≥20 → 75</t>
        </is>
      </c>
      <c r="F21" s="45" t="inlineStr">
        <is>
          <t>≥15 → 60</t>
        </is>
      </c>
      <c r="G21" s="45" t="inlineStr">
        <is>
          <t>≥10 → 45</t>
        </is>
      </c>
      <c r="H21" s="45" t="inlineStr">
        <is>
          <t>≥5 → 30</t>
        </is>
      </c>
      <c r="I21" s="45" t="inlineStr">
        <is>
          <t>≥0 → 15</t>
        </is>
      </c>
    </row>
    <row r="22" ht="15" customHeight="1" s="34">
      <c r="A22" s="40" t="inlineStr">
        <is>
          <t>Revenue YoY % most recent qtr</t>
        </is>
      </c>
      <c r="B22" s="44" t="inlineStr">
        <is>
          <t>Threshold:</t>
        </is>
      </c>
      <c r="C22" s="45" t="inlineStr">
        <is>
          <t>≥40 → 100</t>
        </is>
      </c>
      <c r="D22" s="45" t="inlineStr">
        <is>
          <t>≥30 → 90</t>
        </is>
      </c>
      <c r="E22" s="45" t="inlineStr">
        <is>
          <t>≥20 → 75</t>
        </is>
      </c>
      <c r="F22" s="45" t="inlineStr">
        <is>
          <t>≥10 → 60</t>
        </is>
      </c>
      <c r="G22" s="45" t="inlineStr">
        <is>
          <t>≥5 → 45</t>
        </is>
      </c>
      <c r="H22" s="45" t="inlineStr">
        <is>
          <t>≥0 → 30</t>
        </is>
      </c>
      <c r="I22" s="45" t="inlineStr">
        <is>
          <t>≥-10 → 15</t>
        </is>
      </c>
    </row>
    <row r="23">
      <c r="A23" s="40" t="inlineStr">
        <is>
          <t>EPS Growth YoY %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≥10 → 60</t>
        </is>
      </c>
      <c r="G23" s="45" t="inlineStr">
        <is>
          <t>≥0 → 45</t>
        </is>
      </c>
      <c r="H23" s="45" t="inlineStr">
        <is>
          <t>≥-10 → 30</t>
        </is>
      </c>
      <c r="I23" s="45" t="inlineStr">
        <is>
          <t>≥-25 → 15</t>
        </is>
      </c>
    </row>
    <row r="24" ht="15" customHeight="1" s="34"/>
    <row r="25" ht="15" customHeight="1" s="34">
      <c r="A25" s="43" t="inlineStr">
        <is>
          <t>AI THESIS (subjective 1-5, score = rating × 20)</t>
        </is>
      </c>
    </row>
    <row r="26" ht="15" customHeight="1" s="34">
      <c r="A26" s="40" t="inlineStr">
        <is>
          <t>AI Revenue % of total (1=&lt;5%, 5=&gt;50%)</t>
        </is>
      </c>
    </row>
    <row r="27" ht="15" customHeight="1" s="34">
      <c r="A27" s="40" t="inlineStr">
        <is>
          <t>Supply Chain Position (1=downstream/commodity, 5=upstream/bottleneck)</t>
        </is>
      </c>
    </row>
    <row r="28" ht="15" customHeight="1" s="34">
      <c r="A28" s="40" t="inlineStr">
        <is>
          <t>Moat Strength (1=none, 5=durable)</t>
        </is>
      </c>
    </row>
    <row r="29" ht="15" customHeight="1" s="34">
      <c r="A29" s="40" t="inlineStr">
        <is>
          <t>Capacity Expansion (1=shrinking, 5=major buildout)</t>
        </is>
      </c>
    </row>
    <row r="30">
      <c r="A30" s="40" t="inlineStr">
        <is>
          <t>Hyperscaler Exposure (1=none, 5=multiple anchor customers)</t>
        </is>
      </c>
    </row>
    <row r="31" ht="15" customHeight="1" s="34"/>
    <row r="32" ht="15" customHeight="1" s="34">
      <c r="A32" s="43" t="inlineStr">
        <is>
          <t>MOMENTUM (subjective 1-5)</t>
        </is>
      </c>
    </row>
    <row r="33" ht="15" customHeight="1" s="34">
      <c r="A33" s="40" t="inlineStr">
        <is>
          <t>EPS Revisions last 90d (1=cuts, 5=raises)</t>
        </is>
      </c>
    </row>
    <row r="34" ht="15" customHeight="1" s="34">
      <c r="A34" s="40" t="inlineStr">
        <is>
          <t>Relative Strength vs Sector (1=lagging, 5=leading)</t>
        </is>
      </c>
    </row>
    <row r="35">
      <c r="A35" s="40" t="inlineStr">
        <is>
          <t>Insider Activity (1=heavy selling, 3=neutral, 5=buying)</t>
        </is>
      </c>
    </row>
    <row r="36" ht="15" customHeight="1" s="34"/>
    <row r="37" ht="15" customHeight="1" s="34">
      <c r="A37" s="43" t="inlineStr">
        <is>
          <t>RISK (subjective 1-5; 5 = LOW risk)</t>
        </is>
      </c>
    </row>
    <row r="38" ht="15" customHeight="1" s="34">
      <c r="A38" s="40" t="inlineStr">
        <is>
          <t>Customer Concentration (1=top customer&gt;50%, 5=diversified)</t>
        </is>
      </c>
    </row>
    <row r="39" ht="15" customHeight="1" s="34">
      <c r="A39" s="40" t="inlineStr">
        <is>
          <t>Geographic/Export Risk (1=high China/export, 5=domestic safe)</t>
        </is>
      </c>
    </row>
    <row r="40" ht="15" customHeight="1" s="34">
      <c r="A40" s="40" t="inlineStr">
        <is>
          <t>Balance Sheet Risk (1=stressed, 5=fortress)</t>
        </is>
      </c>
    </row>
    <row r="41">
      <c r="A41" s="40" t="inlineStr">
        <is>
          <t>Regulatory/Litigation Risk (1=major overhang, 5=clean)</t>
        </is>
      </c>
    </row>
  </sheetData>
  <mergeCells count="6">
    <mergeCell ref="A7:H7"/>
    <mergeCell ref="A24:H24"/>
    <mergeCell ref="A19:H19"/>
    <mergeCell ref="A13:H13"/>
    <mergeCell ref="A36:H36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J1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0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6" t="inlineStr">
        <is>
          <t>Momentum Score</t>
        </is>
      </c>
      <c r="AD1" s="57" t="inlineStr">
        <is>
          <t>Cust Conc</t>
        </is>
      </c>
      <c r="AE1" s="57" t="inlineStr">
        <is>
          <t>Geo Risk</t>
        </is>
      </c>
      <c r="AF1" s="57" t="inlineStr">
        <is>
          <t>BS Risk</t>
        </is>
      </c>
      <c r="AG1" s="57" t="inlineStr">
        <is>
          <t>Reg Risk</t>
        </is>
      </c>
      <c r="AH1" s="58" t="inlineStr">
        <is>
          <t>Risk Score</t>
        </is>
      </c>
      <c r="AI1" s="59" t="inlineStr">
        <is>
          <t>TOTAL</t>
        </is>
      </c>
      <c r="AJ1" s="59" t="inlineStr">
        <is>
          <t>Tier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2026-05-18</t>
        </is>
      </c>
      <c r="E2" s="61" t="n">
        <v>62.181526</v>
      </c>
      <c r="F2" s="61" t="n">
        <v>341.035</v>
      </c>
      <c r="G2" s="62" t="n">
        <v>0.36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10.84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4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63">
        <f>IFERROR(AVERAGE(Z2,AA2,AB2)*20,"")</f>
        <v/>
      </c>
      <c r="AD2" s="60" t="n">
        <v>3</v>
      </c>
      <c r="AE2" s="60" t="n">
        <v>4</v>
      </c>
      <c r="AF2" s="60" t="n">
        <v>3</v>
      </c>
      <c r="AG2" s="60" t="n">
        <v>4</v>
      </c>
      <c r="AH2" s="63">
        <f>IFERROR(AVERAGE(AD2,AE2,AF2,AG2)*20,"")</f>
        <v/>
      </c>
      <c r="AI2" s="64">
        <f>IFERROR(J2*Weights!$B$4 + O2*Weights!$B$5 + S2*Weights!$B$6 + Y2*Weights!$B$7 + AC2*Weights!$B$8 + AH2*Weights!$B$9,"")</f>
        <v/>
      </c>
      <c r="AJ2" s="65">
        <f>IF(AI2="","",IF(AI2&gt;=85,"✓✓✓",IF(AI2&gt;=70,"✓✓",IF(AI2&gt;=55,"✓",IF(AI2&gt;=40,"?","✗")))))</f>
        <v/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30.232</v>
      </c>
      <c r="G3" s="62" t="n">
        <v>-15.63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0,5,IF(F3&lt;=10,90,IF(F3&lt;=15,75,IF(F3&lt;=20,60,IF(F3&lt;=25,45,IF(F3&lt;=35,30,IF(F3&lt;=50,15,5)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-137.47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63">
        <f>IFERROR(AVERAGE(Z3,AA3,AB3)*20,"")</f>
        <v/>
      </c>
      <c r="AD3" s="60" t="n">
        <v>1</v>
      </c>
      <c r="AE3" s="60" t="n">
        <v>5</v>
      </c>
      <c r="AF3" s="60" t="n">
        <v>2</v>
      </c>
      <c r="AG3" s="60" t="n">
        <v>4</v>
      </c>
      <c r="AH3" s="63">
        <f>IFERROR(AVERAGE(AD3,AE3,AF3,AG3)*20,"")</f>
        <v/>
      </c>
      <c r="AI3" s="64">
        <f>IFERROR(J3*Weights!$B$4 + O3*Weights!$B$5 + S3*Weights!$B$6 + Y3*Weights!$B$7 + AC3*Weights!$B$8 + AH3*Weights!$B$9,"")</f>
        <v/>
      </c>
      <c r="AJ3" s="65">
        <f>IF(AI3="","",IF(AI3&gt;=85,"✓✓✓",IF(AI3&gt;=70,"✓✓",IF(AI3&gt;=55,"✓",IF(AI3&gt;=40,"?","✗")))))</f>
        <v/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1.51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18.12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63">
        <f>IFERROR(AVERAGE(Z4,AA4,AB4)*20,"")</f>
        <v/>
      </c>
      <c r="AD4" s="60" t="n">
        <v>3</v>
      </c>
      <c r="AE4" s="60" t="n">
        <v>4</v>
      </c>
      <c r="AF4" s="60" t="n">
        <v>4</v>
      </c>
      <c r="AG4" s="60" t="n">
        <v>5</v>
      </c>
      <c r="AH4" s="63">
        <f>IFERROR(AVERAGE(AD4,AE4,AF4,AG4)*20,"")</f>
        <v/>
      </c>
      <c r="AI4" s="64">
        <f>IFERROR(J4*Weights!$B$4 + O4*Weights!$B$5 + S4*Weights!$B$6 + Y4*Weights!$B$7 + AC4*Weights!$B$8 + AH4*Weights!$B$9,"")</f>
        <v/>
      </c>
      <c r="AJ4" s="65">
        <f>IF(AI4="","",IF(AI4&gt;=85,"✓✓✓",IF(AI4&gt;=70,"✓✓",IF(AI4&gt;=55,"✓",IF(AI4&gt;=40,"?","✗")))))</f>
        <v/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2026-05-18</t>
        </is>
      </c>
      <c r="E5" s="61" t="n">
        <v>40.513897</v>
      </c>
      <c r="F5" s="61" t="n">
        <v>81.13500000000001</v>
      </c>
      <c r="G5" s="62" t="n">
        <v>3.49</v>
      </c>
      <c r="H5" s="61" t="n">
        <v>6.777272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23.66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>
        <v>1768.1</v>
      </c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3</v>
      </c>
      <c r="U5" s="60" t="n">
        <v>5</v>
      </c>
      <c r="V5" s="60" t="n">
        <v>5</v>
      </c>
      <c r="W5" s="60" t="n">
        <v>4</v>
      </c>
      <c r="X5" s="60" t="n">
        <v>4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63">
        <f>IFERROR(AVERAGE(Z5,AA5,AB5)*20,"")</f>
        <v/>
      </c>
      <c r="AD5" s="60" t="n">
        <v>4</v>
      </c>
      <c r="AE5" s="60" t="n">
        <v>4</v>
      </c>
      <c r="AF5" s="60" t="n">
        <v>5</v>
      </c>
      <c r="AG5" s="60" t="n">
        <v>4</v>
      </c>
      <c r="AH5" s="63">
        <f>IFERROR(AVERAGE(AD5,AE5,AF5,AG5)*20,"")</f>
        <v/>
      </c>
      <c r="AI5" s="64">
        <f>IFERROR(J5*Weights!$B$4 + O5*Weights!$B$5 + S5*Weights!$B$6 + Y5*Weights!$B$7 + AC5*Weights!$B$8 + AH5*Weights!$B$9,"")</f>
        <v/>
      </c>
      <c r="AJ5" s="65">
        <f>IF(AI5="","",IF(AI5&gt;=85,"✓✓✓",IF(AI5&gt;=70,"✓✓",IF(AI5&gt;=55,"✓",IF(AI5&gt;=40,"?","✗")))))</f>
        <v/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2026-05-18</t>
        </is>
      </c>
      <c r="E6" s="61" t="n">
        <v>6.8372555</v>
      </c>
      <c r="F6" s="61" t="n">
        <v>22.102</v>
      </c>
      <c r="G6" s="62" t="n">
        <v>0.37</v>
      </c>
      <c r="H6" s="61" t="n">
        <v>13.605805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12.9</v>
      </c>
      <c r="L6" s="62" t="n">
        <v>58.44</v>
      </c>
      <c r="M6" s="62" t="n">
        <v>4.98</v>
      </c>
      <c r="N6" s="61" t="n">
        <v>-0.1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</v>
      </c>
      <c r="Q6" s="62" t="n">
        <v>196.3</v>
      </c>
      <c r="R6" s="62" t="n">
        <v>770.8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4</v>
      </c>
      <c r="U6" s="60" t="n">
        <v>5</v>
      </c>
      <c r="V6" s="60" t="n">
        <v>5</v>
      </c>
      <c r="W6" s="60" t="n">
        <v>4</v>
      </c>
      <c r="X6" s="60" t="n">
        <v>5</v>
      </c>
      <c r="Y6" s="63">
        <f>IFERROR(AVERAGE(T6,U6,V6,W6,X6)*20,"")</f>
        <v/>
      </c>
      <c r="Z6" s="60" t="n">
        <v>5</v>
      </c>
      <c r="AA6" s="60" t="n">
        <v>4</v>
      </c>
      <c r="AB6" s="60" t="n">
        <v>3</v>
      </c>
      <c r="AC6" s="63">
        <f>IFERROR(AVERAGE(Z6,AA6,AB6)*20,"")</f>
        <v/>
      </c>
      <c r="AD6" s="60" t="n">
        <v>3</v>
      </c>
      <c r="AE6" s="60" t="n">
        <v>2</v>
      </c>
      <c r="AF6" s="60" t="n">
        <v>4</v>
      </c>
      <c r="AG6" s="60" t="n">
        <v>3</v>
      </c>
      <c r="AH6" s="63">
        <f>IFERROR(AVERAGE(AD6,AE6,AF6,AG6)*20,"")</f>
        <v/>
      </c>
      <c r="AI6" s="64">
        <f>IFERROR(J6*Weights!$B$4 + O6*Weights!$B$5 + S6*Weights!$B$6 + Y6*Weights!$B$7 + AC6*Weights!$B$8 + AH6*Weights!$B$9,"")</f>
        <v/>
      </c>
      <c r="AJ6" s="65">
        <f>IF(AI6="","",IF(AI6&gt;=85,"✓✓✓",IF(AI6&gt;=70,"✓✓",IF(AI6&gt;=55,"✓",IF(AI6&gt;=40,"?","✗")))))</f>
        <v/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2026-05-17</t>
        </is>
      </c>
      <c r="E7" s="33" t="n">
        <v>19.7</v>
      </c>
      <c r="F7" s="33" t="n">
        <v>14.9</v>
      </c>
      <c r="G7" s="33" t="n">
        <v>-4.6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-15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4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66">
        <f>IFERROR(AVERAGE(Z7,AA7,AB7)*20,"")</f>
        <v/>
      </c>
      <c r="AD7" s="33" t="n">
        <v>4</v>
      </c>
      <c r="AE7" s="33" t="n">
        <v>5</v>
      </c>
      <c r="AF7" s="33" t="n">
        <v>3</v>
      </c>
      <c r="AG7" s="33" t="n">
        <v>4</v>
      </c>
      <c r="AH7" s="66">
        <f>IFERROR(AVERAGE(AD7,AE7,AF7,AG7)*20,"")</f>
        <v/>
      </c>
      <c r="AI7" s="64">
        <f>IFERROR(J7*Weights!$B$4 + O7*Weights!$B$5 + S7*Weights!$B$6 + Y7*Weights!$B$7 + AC7*Weights!$B$8 + AH7*Weights!$B$9,"")</f>
        <v/>
      </c>
      <c r="AJ7" s="65">
        <f>IF(AI7="","",IF(AI7&gt;=85,"✓✓✓",IF(AI7&gt;=70,"✓✓",IF(AI7&gt;=55,"✓",IF(AI7&gt;=40,"?","✗")))))</f>
        <v/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2026-05-18</t>
        </is>
      </c>
      <c r="E8" s="33" t="n">
        <v>19.518887</v>
      </c>
      <c r="F8" s="33" t="n">
        <v>40.713</v>
      </c>
      <c r="G8" s="33" t="n">
        <v>1.08</v>
      </c>
      <c r="H8" s="33" t="n">
        <v>24.888687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71.5</v>
      </c>
      <c r="L8" s="33" t="n">
        <v>71.06999999999999</v>
      </c>
      <c r="M8" s="33" t="n">
        <v>26.92</v>
      </c>
      <c r="N8" s="33" t="n">
        <v>-0.38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73.2</v>
      </c>
      <c r="R8" s="33" t="n">
        <v>94.5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66">
        <f>IFERROR(AVERAGE(Z8,AA8,AB8)*20,"")</f>
        <v/>
      </c>
      <c r="AD8" s="33" t="n">
        <v>4</v>
      </c>
      <c r="AE8" s="33" t="n">
        <v>2</v>
      </c>
      <c r="AF8" s="33" t="n">
        <v>5</v>
      </c>
      <c r="AG8" s="33" t="n">
        <v>4</v>
      </c>
      <c r="AH8" s="66">
        <f>IFERROR(AVERAGE(AD8,AE8,AF8,AG8)*20,"")</f>
        <v/>
      </c>
      <c r="AI8" s="64">
        <f>IFERROR(J8*Weights!$B$4 + O8*Weights!$B$5 + S8*Weights!$B$6 + Y8*Weights!$B$7 + AC8*Weights!$B$8 + AH8*Weights!$B$9,"")</f>
        <v/>
      </c>
      <c r="AJ8" s="65">
        <f>IF(AI8="","",IF(AI8&gt;=85,"✓✓✓",IF(AI8&gt;=70,"✓✓",IF(AI8&gt;=55,"✓",IF(AI8&gt;=40,"?","✗")))))</f>
        <v/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2026-05-18</t>
        </is>
      </c>
      <c r="E9" s="33" t="n">
        <v>32.73839</v>
      </c>
      <c r="F9" s="33" t="n">
        <v>91.93300000000001</v>
      </c>
      <c r="G9" s="33" t="n">
        <v>1.04</v>
      </c>
      <c r="H9" s="33" t="n">
        <v>18.463654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6.4</v>
      </c>
      <c r="L9" s="33" t="n">
        <v>53.06</v>
      </c>
      <c r="M9" s="33" t="n">
        <v>19.15</v>
      </c>
      <c r="N9" s="33" t="n">
        <v>-1.14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5</v>
      </c>
      <c r="U9" s="33" t="n">
        <v>4</v>
      </c>
      <c r="V9" s="33" t="n">
        <v>4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66">
        <f>IFERROR(AVERAGE(Z9,AA9,AB9)*20,"")</f>
        <v/>
      </c>
      <c r="AD9" s="33" t="n">
        <v>4</v>
      </c>
      <c r="AE9" s="33" t="n">
        <v>3</v>
      </c>
      <c r="AF9" s="33" t="n">
        <v>5</v>
      </c>
      <c r="AG9" s="33" t="n">
        <v>4</v>
      </c>
      <c r="AH9" s="66">
        <f>IFERROR(AVERAGE(AD9,AE9,AF9,AG9)*20,"")</f>
        <v/>
      </c>
      <c r="AI9" s="64">
        <f>IFERROR(J9*Weights!$B$4 + O9*Weights!$B$5 + S9*Weights!$B$6 + Y9*Weights!$B$7 + AC9*Weights!$B$8 + AH9*Weights!$B$9,"")</f>
        <v/>
      </c>
      <c r="AJ9" s="65">
        <f>IF(AI9="","",IF(AI9&gt;=85,"✓✓✓",IF(AI9&gt;=70,"✓✓",IF(AI9&gt;=55,"✓",IF(AI9&gt;=40,"?","✗")))))</f>
        <v/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2026-05-24</t>
        </is>
      </c>
      <c r="E10" s="33" t="n">
        <v>16.204311</v>
      </c>
      <c r="F10" s="33" t="n">
        <v>13.556</v>
      </c>
      <c r="G10" s="33" t="n">
        <v>-18.32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-57.01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4</v>
      </c>
      <c r="U10" s="33" t="n">
        <v>4</v>
      </c>
      <c r="V10" s="33" t="n">
        <v>4</v>
      </c>
      <c r="W10" s="33" t="n">
        <v>5</v>
      </c>
      <c r="X10" s="33" t="n">
        <v>5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66">
        <f>IFERROR(AVERAGE(Z10,AA10,AB10)*20,"")</f>
        <v/>
      </c>
      <c r="AD10" s="33" t="n">
        <v>5</v>
      </c>
      <c r="AE10" s="33" t="n">
        <v>5</v>
      </c>
      <c r="AF10" s="33" t="n">
        <v>3</v>
      </c>
      <c r="AG10" s="33" t="n">
        <v>2</v>
      </c>
      <c r="AH10" s="66">
        <f>IFERROR(AVERAGE(AD10,AE10,AF10,AG10)*20,"")</f>
        <v/>
      </c>
      <c r="AI10" s="64">
        <f>IFERROR(J10*Weights!$B$4 + O10*Weights!$B$5 + S10*Weights!$B$6 + Y10*Weights!$B$7 + AC10*Weights!$B$8 + AH10*Weights!$B$9,"")</f>
        <v/>
      </c>
      <c r="AJ10" s="65">
        <f>IF(AI10="","",IF(AI10&gt;=85,"✓✓✓",IF(AI10&gt;=70,"✓✓",IF(AI10&gt;=55,"✓",IF(AI10&gt;=40,"?","✗")))))</f>
        <v/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2026-05-18</t>
        </is>
      </c>
      <c r="E11" s="33" t="n">
        <v>18.176563</v>
      </c>
      <c r="F11" s="33" t="n">
        <v>13.189</v>
      </c>
      <c r="G11" s="33" t="n">
        <v>-10.21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-31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4</v>
      </c>
      <c r="U11" s="33" t="n">
        <v>5</v>
      </c>
      <c r="V11" s="33" t="n">
        <v>4</v>
      </c>
      <c r="W11" s="33" t="n">
        <v>5</v>
      </c>
      <c r="X11" s="33" t="n">
        <v>5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66">
        <f>IFERROR(AVERAGE(Z11,AA11,AB11)*20,"")</f>
        <v/>
      </c>
      <c r="AD11" s="33" t="n">
        <v>5</v>
      </c>
      <c r="AE11" s="33" t="n">
        <v>5</v>
      </c>
      <c r="AF11" s="33" t="n">
        <v>3</v>
      </c>
      <c r="AG11" s="33" t="n">
        <v>4</v>
      </c>
      <c r="AH11" s="66">
        <f>IFERROR(AVERAGE(AD11,AE11,AF11,AG11)*20,"")</f>
        <v/>
      </c>
      <c r="AI11" s="64">
        <f>IFERROR(J11*Weights!$B$4 + O11*Weights!$B$5 + S11*Weights!$B$6 + Y11*Weights!$B$7 + AC11*Weights!$B$8 + AH11*Weights!$B$9,"")</f>
        <v/>
      </c>
      <c r="AJ11" s="65">
        <f>IF(AI11="","",IF(AI11&gt;=85,"✓✓✓",IF(AI11&gt;=70,"✓✓",IF(AI11&gt;=55,"✓",IF(AI11&gt;=40,"?","✗")))))</f>
        <v/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2026-05-18</t>
        </is>
      </c>
      <c r="E12" s="33" t="n">
        <v>16.874216</v>
      </c>
      <c r="F12" s="33" t="n">
        <v>11.309</v>
      </c>
      <c r="G12" s="33" t="n">
        <v>-2.38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-6.87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4</v>
      </c>
      <c r="U12" s="33" t="n">
        <v>4</v>
      </c>
      <c r="V12" s="33" t="n">
        <v>4</v>
      </c>
      <c r="W12" s="33" t="n">
        <v>5</v>
      </c>
      <c r="X12" s="33" t="n">
        <v>4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66">
        <f>IFERROR(AVERAGE(Z12,AA12,AB12)*20,"")</f>
        <v/>
      </c>
      <c r="AD12" s="33" t="n">
        <v>5</v>
      </c>
      <c r="AE12" s="33" t="n">
        <v>5</v>
      </c>
      <c r="AF12" s="33" t="n">
        <v>3</v>
      </c>
      <c r="AG12" s="33" t="n">
        <v>4</v>
      </c>
      <c r="AH12" s="66">
        <f>IFERROR(AVERAGE(AD12,AE12,AF12,AG12)*20,"")</f>
        <v/>
      </c>
      <c r="AI12" s="64">
        <f>IFERROR(J12*Weights!$B$4 + O12*Weights!$B$5 + S12*Weights!$B$6 + Y12*Weights!$B$7 + AC12*Weights!$B$8 + AH12*Weights!$B$9,"")</f>
        <v/>
      </c>
      <c r="AJ12" s="65">
        <f>IF(AI12="","",IF(AI12&gt;=85,"✓✓✓",IF(AI12&gt;=70,"✓✓",IF(AI12&gt;=55,"✓",IF(AI12&gt;=40,"?","✗")))))</f>
        <v/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2026-05-18</t>
        </is>
      </c>
      <c r="E13" s="33" t="n">
        <v>18.818663</v>
      </c>
      <c r="F13" s="33" t="n">
        <v>13.035</v>
      </c>
      <c r="G13" s="33" t="n">
        <v>-3.79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-13.09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4</v>
      </c>
      <c r="U13" s="33" t="n">
        <v>5</v>
      </c>
      <c r="V13" s="33" t="n">
        <v>4</v>
      </c>
      <c r="W13" s="33" t="n">
        <v>5</v>
      </c>
      <c r="X13" s="33" t="n">
        <v>5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66">
        <f>IFERROR(AVERAGE(Z13,AA13,AB13)*20,"")</f>
        <v/>
      </c>
      <c r="AD13" s="33" t="n">
        <v>5</v>
      </c>
      <c r="AE13" s="33" t="n">
        <v>5</v>
      </c>
      <c r="AF13" s="33" t="n">
        <v>3</v>
      </c>
      <c r="AG13" s="33" t="n">
        <v>4</v>
      </c>
      <c r="AH13" s="66">
        <f>IFERROR(AVERAGE(AD13,AE13,AF13,AG13)*20,"")</f>
        <v/>
      </c>
      <c r="AI13" s="64">
        <f>IFERROR(J13*Weights!$B$4 + O13*Weights!$B$5 + S13*Weights!$B$6 + Y13*Weights!$B$7 + AC13*Weights!$B$8 + AH13*Weights!$B$9,"")</f>
        <v/>
      </c>
      <c r="AJ13" s="65">
        <f>IF(AI13="","",IF(AI13&gt;=85,"✓✓✓",IF(AI13&gt;=70,"✓✓",IF(AI13&gt;=55,"✓",IF(AI13&gt;=40,"?","✗")))))</f>
        <v/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2026-05-24</t>
        </is>
      </c>
      <c r="E14" s="33" t="n">
        <v>21.263996</v>
      </c>
      <c r="F14" s="33" t="n">
        <v>21.788</v>
      </c>
      <c r="G14" s="33" t="n">
        <v>-9.48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-66.22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4</v>
      </c>
      <c r="U14" s="33" t="n">
        <v>5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66">
        <f>IFERROR(AVERAGE(Z14,AA14,AB14)*20,"")</f>
        <v/>
      </c>
      <c r="AD14" s="33" t="n">
        <v>5</v>
      </c>
      <c r="AE14" s="33" t="n">
        <v>5</v>
      </c>
      <c r="AF14" s="33" t="n">
        <v>3</v>
      </c>
      <c r="AG14" s="33" t="n">
        <v>2</v>
      </c>
      <c r="AH14" s="66">
        <f>IFERROR(AVERAGE(AD14,AE14,AF14,AG14)*20,"")</f>
        <v/>
      </c>
      <c r="AI14" s="64">
        <f>IFERROR(J14*Weights!$B$4 + O14*Weights!$B$5 + S14*Weights!$B$6 + Y14*Weights!$B$7 + AC14*Weights!$B$8 + AH14*Weights!$B$9,"")</f>
        <v/>
      </c>
      <c r="AJ14" s="65">
        <f>IF(AI14="","",IF(AI14&gt;=85,"✓✓✓",IF(AI14&gt;=70,"✓✓",IF(AI14&gt;=55,"✓",IF(AI14&gt;=40,"?","✗")))))</f>
        <v/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2026-05-18</t>
        </is>
      </c>
      <c r="E15" s="33" t="n">
        <v>21.696606</v>
      </c>
      <c r="F15" s="33" t="n">
        <v>14.701</v>
      </c>
      <c r="G15" s="33" t="n">
        <v>-7.84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-29.45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5</v>
      </c>
      <c r="U15" s="33" t="n">
        <v>4</v>
      </c>
      <c r="V15" s="33" t="n">
        <v>4</v>
      </c>
      <c r="W15" s="33" t="n">
        <v>5</v>
      </c>
      <c r="X15" s="33" t="n">
        <v>5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66">
        <f>IFERROR(AVERAGE(Z15,AA15,AB15)*20,"")</f>
        <v/>
      </c>
      <c r="AD15" s="33" t="n">
        <v>5</v>
      </c>
      <c r="AE15" s="33" t="n">
        <v>5</v>
      </c>
      <c r="AF15" s="33" t="n">
        <v>3</v>
      </c>
      <c r="AG15" s="33" t="n">
        <v>4</v>
      </c>
      <c r="AH15" s="66">
        <f>IFERROR(AVERAGE(AD15,AE15,AF15,AG15)*20,"")</f>
        <v/>
      </c>
      <c r="AI15" s="64">
        <f>IFERROR(J15*Weights!$B$4 + O15*Weights!$B$5 + S15*Weights!$B$6 + Y15*Weights!$B$7 + AC15*Weights!$B$8 + AH15*Weights!$B$9,"")</f>
        <v/>
      </c>
      <c r="AJ15" s="65">
        <f>IF(AI15="","",IF(AI15&gt;=85,"✓✓✓",IF(AI15&gt;=70,"✓✓",IF(AI15&gt;=55,"✓",IF(AI15&gt;=40,"?","✗")))))</f>
        <v/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2026-05-18</t>
        </is>
      </c>
      <c r="E16" s="33" t="n">
        <v>16.477081</v>
      </c>
      <c r="F16" s="33" t="n">
        <v>12.403</v>
      </c>
      <c r="G16" s="33" t="n">
        <v>-6.15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-17.34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4</v>
      </c>
      <c r="U16" s="33" t="n">
        <v>4</v>
      </c>
      <c r="V16" s="33" t="n">
        <v>4</v>
      </c>
      <c r="W16" s="33" t="n">
        <v>5</v>
      </c>
      <c r="X16" s="33" t="n">
        <v>4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66">
        <f>IFERROR(AVERAGE(Z16,AA16,AB16)*20,"")</f>
        <v/>
      </c>
      <c r="AD16" s="33" t="n">
        <v>5</v>
      </c>
      <c r="AE16" s="33" t="n">
        <v>5</v>
      </c>
      <c r="AF16" s="33" t="n">
        <v>3</v>
      </c>
      <c r="AG16" s="33" t="n">
        <v>4</v>
      </c>
      <c r="AH16" s="66">
        <f>IFERROR(AVERAGE(AD16,AE16,AF16,AG16)*20,"")</f>
        <v/>
      </c>
      <c r="AI16" s="64">
        <f>IFERROR(J16*Weights!$B$4 + O16*Weights!$B$5 + S16*Weights!$B$6 + Y16*Weights!$B$7 + AC16*Weights!$B$8 + AH16*Weights!$B$9,"")</f>
        <v/>
      </c>
      <c r="AJ16" s="65">
        <f>IF(AI16="","",IF(AI16&gt;=85,"✓✓✓",IF(AI16&gt;=70,"✓✓",IF(AI16&gt;=55,"✓",IF(AI16&gt;=40,"?","✗")))))</f>
        <v/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2026-05-18</t>
        </is>
      </c>
      <c r="E17" s="33" t="n">
        <v>17.193558</v>
      </c>
      <c r="F17" s="33" t="n">
        <v>14.211</v>
      </c>
      <c r="G17" s="33" t="n">
        <v>-15.36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-50.54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3</v>
      </c>
      <c r="U17" s="33" t="n">
        <v>3</v>
      </c>
      <c r="V17" s="33" t="n">
        <v>4</v>
      </c>
      <c r="W17" s="33" t="n">
        <v>4</v>
      </c>
      <c r="X17" s="33" t="n">
        <v>4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66">
        <f>IFERROR(AVERAGE(Z17,AA17,AB17)*20,"")</f>
        <v/>
      </c>
      <c r="AD17" s="33" t="n">
        <v>5</v>
      </c>
      <c r="AE17" s="33" t="n">
        <v>5</v>
      </c>
      <c r="AF17" s="33" t="n">
        <v>3</v>
      </c>
      <c r="AG17" s="33" t="n">
        <v>4</v>
      </c>
      <c r="AH17" s="66">
        <f>IFERROR(AVERAGE(AD17,AE17,AF17,AG17)*20,"")</f>
        <v/>
      </c>
      <c r="AI17" s="64">
        <f>IFERROR(J17*Weights!$B$4 + O17*Weights!$B$5 + S17*Weights!$B$6 + Y17*Weights!$B$7 + AC17*Weights!$B$8 + AH17*Weights!$B$9,"")</f>
        <v/>
      </c>
      <c r="AJ17" s="65">
        <f>IF(AI17="","",IF(AI17&gt;=85,"✓✓✓",IF(AI17&gt;=70,"✓✓",IF(AI17&gt;=55,"✓",IF(AI17&gt;=40,"?","✗")))))</f>
        <v/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2026-05-18</t>
        </is>
      </c>
      <c r="E18" s="33" t="n">
        <v>12.375451</v>
      </c>
      <c r="F18" s="33" t="n">
        <v>10.141</v>
      </c>
      <c r="G18" s="33" t="n">
        <v>1.01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2.45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5</v>
      </c>
      <c r="U18" s="33" t="n">
        <v>5</v>
      </c>
      <c r="V18" s="33" t="n">
        <v>4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66">
        <f>IFERROR(AVERAGE(Z18,AA18,AB18)*20,"")</f>
        <v/>
      </c>
      <c r="AD18" s="33" t="n">
        <v>4</v>
      </c>
      <c r="AE18" s="33" t="n">
        <v>5</v>
      </c>
      <c r="AF18" s="33" t="n">
        <v>4</v>
      </c>
      <c r="AG18" s="33" t="n">
        <v>4</v>
      </c>
      <c r="AH18" s="66">
        <f>IFERROR(AVERAGE(AD18,AE18,AF18,AG18)*20,"")</f>
        <v/>
      </c>
      <c r="AI18" s="64">
        <f>IFERROR(J18*Weights!$B$4 + O18*Weights!$B$5 + S18*Weights!$B$6 + Y18*Weights!$B$7 + AC18*Weights!$B$8 + AH18*Weights!$B$9,"")</f>
        <v/>
      </c>
      <c r="AJ18" s="65">
        <f>IF(AI18="","",IF(AI18&gt;=85,"✓✓✓",IF(AI18&gt;=70,"✓✓",IF(AI18&gt;=55,"✓",IF(AI18&gt;=40,"?","✗")))))</f>
        <v/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2026-05-18</t>
        </is>
      </c>
      <c r="E19" s="33" t="n">
        <v>9.772385</v>
      </c>
      <c r="F19" s="33" t="n">
        <v>32.056</v>
      </c>
      <c r="G19" s="33" t="n">
        <v>9.08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42.86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5</v>
      </c>
      <c r="U19" s="33" t="n">
        <v>5</v>
      </c>
      <c r="V19" s="33" t="n">
        <v>4</v>
      </c>
      <c r="W19" s="33" t="n">
        <v>5</v>
      </c>
      <c r="X19" s="33" t="n">
        <v>5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66">
        <f>IFERROR(AVERAGE(Z19,AA19,AB19)*20,"")</f>
        <v/>
      </c>
      <c r="AD19" s="33" t="n">
        <v>3</v>
      </c>
      <c r="AE19" s="33" t="n">
        <v>5</v>
      </c>
      <c r="AF19" s="33" t="n">
        <v>2</v>
      </c>
      <c r="AG19" s="33" t="n">
        <v>4</v>
      </c>
      <c r="AH19" s="66">
        <f>IFERROR(AVERAGE(AD19,AE19,AF19,AG19)*20,"")</f>
        <v/>
      </c>
      <c r="AI19" s="64">
        <f>IFERROR(J19*Weights!$B$4 + O19*Weights!$B$5 + S19*Weights!$B$6 + Y19*Weights!$B$7 + AC19*Weights!$B$8 + AH19*Weights!$B$9,"")</f>
        <v/>
      </c>
      <c r="AJ19" s="65">
        <f>IF(AI19="","",IF(AI19&gt;=85,"✓✓✓",IF(AI19&gt;=70,"✓✓",IF(AI19&gt;=55,"✓",IF(AI19&gt;=40,"?","✗")))))</f>
        <v/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2026-05-18</t>
        </is>
      </c>
      <c r="E20" s="33" t="n">
        <v>11.198446</v>
      </c>
      <c r="F20" s="33" t="n">
        <v>22.496</v>
      </c>
      <c r="G20" s="33" t="n">
        <v>1.6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1.33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3</v>
      </c>
      <c r="U20" s="33" t="n">
        <v>4</v>
      </c>
      <c r="V20" s="33" t="n">
        <v>3</v>
      </c>
      <c r="W20" s="33" t="n">
        <v>4</v>
      </c>
      <c r="X20" s="33" t="n">
        <v>3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66">
        <f>IFERROR(AVERAGE(Z20,AA20,AB20)*20,"")</f>
        <v/>
      </c>
      <c r="AD20" s="33" t="n">
        <v>4</v>
      </c>
      <c r="AE20" s="33" t="n">
        <v>5</v>
      </c>
      <c r="AF20" s="33" t="n">
        <v>3</v>
      </c>
      <c r="AG20" s="33" t="n">
        <v>4</v>
      </c>
      <c r="AH20" s="66">
        <f>IFERROR(AVERAGE(AD20,AE20,AF20,AG20)*20,"")</f>
        <v/>
      </c>
      <c r="AI20" s="64">
        <f>IFERROR(J20*Weights!$B$4 + O20*Weights!$B$5 + S20*Weights!$B$6 + Y20*Weights!$B$7 + AC20*Weights!$B$8 + AH20*Weights!$B$9,"")</f>
        <v/>
      </c>
      <c r="AJ20" s="65">
        <f>IF(AI20="","",IF(AI20&gt;=85,"✓✓✓",IF(AI20&gt;=70,"✓✓",IF(AI20&gt;=55,"✓",IF(AI20&gt;=40,"?","✗")))))</f>
        <v/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2026-05-18</t>
        </is>
      </c>
      <c r="E21" s="33" t="n">
        <v>55.764027</v>
      </c>
      <c r="F21" s="33" t="n">
        <v>52.271</v>
      </c>
      <c r="G21" s="33" t="n">
        <v>1.33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17.66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4</v>
      </c>
      <c r="U21" s="33" t="n">
        <v>5</v>
      </c>
      <c r="V21" s="33" t="n">
        <v>4</v>
      </c>
      <c r="W21" s="33" t="n">
        <v>4</v>
      </c>
      <c r="X21" s="33" t="n">
        <v>3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66">
        <f>IFERROR(AVERAGE(Z21,AA21,AB21)*20,"")</f>
        <v/>
      </c>
      <c r="AD21" s="33" t="n">
        <v>5</v>
      </c>
      <c r="AE21" s="33" t="n">
        <v>4</v>
      </c>
      <c r="AF21" s="33" t="n">
        <v>5</v>
      </c>
      <c r="AG21" s="33" t="n">
        <v>4</v>
      </c>
      <c r="AH21" s="66">
        <f>IFERROR(AVERAGE(AD21,AE21,AF21,AG21)*20,"")</f>
        <v/>
      </c>
      <c r="AI21" s="64">
        <f>IFERROR(J21*Weights!$B$4 + O21*Weights!$B$5 + S21*Weights!$B$6 + Y21*Weights!$B$7 + AC21*Weights!$B$8 + AH21*Weights!$B$9,"")</f>
        <v/>
      </c>
      <c r="AJ21" s="65">
        <f>IF(AI21="","",IF(AI21&gt;=85,"✓✓✓",IF(AI21&gt;=70,"✓✓",IF(AI21&gt;=55,"✓",IF(AI21&gt;=40,"?","✗")))))</f>
        <v/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2026-05-18</t>
        </is>
      </c>
      <c r="E22" s="33" t="n">
        <v>-818.83624</v>
      </c>
      <c r="F22" s="33" t="n">
        <v>-59.771</v>
      </c>
      <c r="G22" s="33" t="n">
        <v>-1.31</v>
      </c>
      <c r="H22" s="33" t="n">
        <v>331.26303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-433.29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3</v>
      </c>
      <c r="U22" s="33" t="n">
        <v>4</v>
      </c>
      <c r="V22" s="33" t="n">
        <v>4</v>
      </c>
      <c r="W22" s="33" t="n">
        <v>4</v>
      </c>
      <c r="X22" s="33" t="n">
        <v>3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66">
        <f>IFERROR(AVERAGE(Z22,AA22,AB22)*20,"")</f>
        <v/>
      </c>
      <c r="AD22" s="33" t="n">
        <v>4</v>
      </c>
      <c r="AE22" s="33" t="n">
        <v>5</v>
      </c>
      <c r="AF22" s="33" t="n">
        <v>5</v>
      </c>
      <c r="AG22" s="33" t="n">
        <v>4</v>
      </c>
      <c r="AH22" s="66">
        <f>IFERROR(AVERAGE(AD22,AE22,AF22,AG22)*20,"")</f>
        <v/>
      </c>
      <c r="AI22" s="64">
        <f>IFERROR(J22*Weights!$B$4 + O22*Weights!$B$5 + S22*Weights!$B$6 + Y22*Weights!$B$7 + AC22*Weights!$B$8 + AH22*Weights!$B$9,"")</f>
        <v/>
      </c>
      <c r="AJ22" s="65">
        <f>IF(AI22="","",IF(AI22&gt;=85,"✓✓✓",IF(AI22&gt;=70,"✓✓",IF(AI22&gt;=55,"✓",IF(AI22&gt;=40,"?","✗")))))</f>
        <v/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2026-05-18</t>
        </is>
      </c>
      <c r="E23" s="33" t="n">
        <v>45.994965</v>
      </c>
      <c r="F23" s="33" t="n">
        <v>84.873</v>
      </c>
      <c r="G23" s="33" t="n">
        <v>-0.3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-2.4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4</v>
      </c>
      <c r="U23" s="33" t="n">
        <v>5</v>
      </c>
      <c r="V23" s="33" t="n">
        <v>4</v>
      </c>
      <c r="W23" s="33" t="n">
        <v>5</v>
      </c>
      <c r="X23" s="33" t="n">
        <v>4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66">
        <f>IFERROR(AVERAGE(Z23,AA23,AB23)*20,"")</f>
        <v/>
      </c>
      <c r="AD23" s="33" t="n">
        <v>4</v>
      </c>
      <c r="AE23" s="33" t="n">
        <v>5</v>
      </c>
      <c r="AF23" s="33" t="n">
        <v>4</v>
      </c>
      <c r="AG23" s="33" t="n">
        <v>4</v>
      </c>
      <c r="AH23" s="66">
        <f>IFERROR(AVERAGE(AD23,AE23,AF23,AG23)*20,"")</f>
        <v/>
      </c>
      <c r="AI23" s="64">
        <f>IFERROR(J23*Weights!$B$4 + O23*Weights!$B$5 + S23*Weights!$B$6 + Y23*Weights!$B$7 + AC23*Weights!$B$8 + AH23*Weights!$B$9,"")</f>
        <v/>
      </c>
      <c r="AJ23" s="65">
        <f>IF(AI23="","",IF(AI23&gt;=85,"✓✓✓",IF(AI23&gt;=70,"✓✓",IF(AI23&gt;=55,"✓",IF(AI23&gt;=40,"?","✗")))))</f>
        <v/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2026-05-18</t>
        </is>
      </c>
      <c r="E24" s="33" t="n">
        <v>39.330353</v>
      </c>
      <c r="F24" s="33" t="n">
        <v>43.611</v>
      </c>
      <c r="G24" s="33" t="n">
        <v>0.88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4.9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3</v>
      </c>
      <c r="U24" s="33" t="n">
        <v>5</v>
      </c>
      <c r="V24" s="33" t="n">
        <v>5</v>
      </c>
      <c r="W24" s="33" t="n">
        <v>5</v>
      </c>
      <c r="X24" s="33" t="n">
        <v>4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66">
        <f>IFERROR(AVERAGE(Z24,AA24,AB24)*20,"")</f>
        <v/>
      </c>
      <c r="AD24" s="33" t="n">
        <v>4</v>
      </c>
      <c r="AE24" s="33" t="n">
        <v>5</v>
      </c>
      <c r="AF24" s="33" t="n">
        <v>4</v>
      </c>
      <c r="AG24" s="33" t="n">
        <v>4</v>
      </c>
      <c r="AH24" s="66">
        <f>IFERROR(AVERAGE(AD24,AE24,AF24,AG24)*20,"")</f>
        <v/>
      </c>
      <c r="AI24" s="64">
        <f>IFERROR(J24*Weights!$B$4 + O24*Weights!$B$5 + S24*Weights!$B$6 + Y24*Weights!$B$7 + AC24*Weights!$B$8 + AH24*Weights!$B$9,"")</f>
        <v/>
      </c>
      <c r="AJ24" s="65">
        <f>IF(AI24="","",IF(AI24&gt;=85,"✓✓✓",IF(AI24&gt;=70,"✓✓",IF(AI24&gt;=55,"✓",IF(AI24&gt;=40,"?","✗")))))</f>
        <v/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2026-05-24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3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66">
        <f>IFERROR(AVERAGE(Z25,AA25,AB25)*20,"")</f>
        <v/>
      </c>
      <c r="AD25" s="33" t="n">
        <v>3</v>
      </c>
      <c r="AE25" s="33" t="n">
        <v>5</v>
      </c>
      <c r="AF25" s="33" t="n">
        <v>2</v>
      </c>
      <c r="AG25" s="33" t="n">
        <v>1</v>
      </c>
      <c r="AH25" s="66">
        <f>IFERROR(AVERAGE(AD25,AE25,AF25,AG25)*20,"")</f>
        <v/>
      </c>
      <c r="AI25" s="64">
        <f>IFERROR(J25*Weights!$B$4 + O25*Weights!$B$5 + S25*Weights!$B$6 + Y25*Weights!$B$7 + AC25*Weights!$B$8 + AH25*Weights!$B$9,"")</f>
        <v/>
      </c>
      <c r="AJ25" s="65">
        <f>IF(AI25="","",IF(AI25&gt;=85,"✓✓✓",IF(AI25&gt;=70,"✓✓",IF(AI25&gt;=55,"✓",IF(AI25&gt;=40,"?","✗")))))</f>
        <v/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2026-05-18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5</v>
      </c>
      <c r="U26" s="33" t="n">
        <v>3</v>
      </c>
      <c r="V26" s="33" t="n">
        <v>3</v>
      </c>
      <c r="W26" s="33" t="n">
        <v>5</v>
      </c>
      <c r="X26" s="33" t="n">
        <v>5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66">
        <f>IFERROR(AVERAGE(Z26,AA26,AB26)*20,"")</f>
        <v/>
      </c>
      <c r="AD26" s="33" t="n">
        <v>3</v>
      </c>
      <c r="AE26" s="33" t="n">
        <v>5</v>
      </c>
      <c r="AF26" s="33" t="n">
        <v>3</v>
      </c>
      <c r="AG26" s="33" t="n">
        <v>4</v>
      </c>
      <c r="AH26" s="66">
        <f>IFERROR(AVERAGE(AD26,AE26,AF26,AG26)*20,"")</f>
        <v/>
      </c>
      <c r="AI26" s="64">
        <f>IFERROR(J26*Weights!$B$4 + O26*Weights!$B$5 + S26*Weights!$B$6 + Y26*Weights!$B$7 + AC26*Weights!$B$8 + AH26*Weights!$B$9,"")</f>
        <v/>
      </c>
      <c r="AJ26" s="65">
        <f>IF(AI26="","",IF(AI26&gt;=85,"✓✓✓",IF(AI26&gt;=70,"✓✓",IF(AI26&gt;=55,"✓",IF(AI26&gt;=40,"?","✗")))))</f>
        <v/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2026-05-18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4</v>
      </c>
      <c r="U27" s="33" t="n">
        <v>3</v>
      </c>
      <c r="V27" s="33" t="n">
        <v>3</v>
      </c>
      <c r="W27" s="33" t="n">
        <v>4</v>
      </c>
      <c r="X27" s="33" t="n">
        <v>4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66">
        <f>IFERROR(AVERAGE(Z27,AA27,AB27)*20,"")</f>
        <v/>
      </c>
      <c r="AD27" s="33" t="n">
        <v>3</v>
      </c>
      <c r="AE27" s="33" t="n">
        <v>5</v>
      </c>
      <c r="AF27" s="33" t="n">
        <v>3</v>
      </c>
      <c r="AG27" s="33" t="n">
        <v>4</v>
      </c>
      <c r="AH27" s="66">
        <f>IFERROR(AVERAGE(AD27,AE27,AF27,AG27)*20,"")</f>
        <v/>
      </c>
      <c r="AI27" s="64">
        <f>IFERROR(J27*Weights!$B$4 + O27*Weights!$B$5 + S27*Weights!$B$6 + Y27*Weights!$B$7 + AC27*Weights!$B$8 + AH27*Weights!$B$9,"")</f>
        <v/>
      </c>
      <c r="AJ27" s="65">
        <f>IF(AI27="","",IF(AI27&gt;=85,"✓✓✓",IF(AI27&gt;=70,"✓✓",IF(AI27&gt;=55,"✓",IF(AI27&gt;=40,"?","✗")))))</f>
        <v/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2026-05-18</t>
        </is>
      </c>
      <c r="E28" s="33" t="n">
        <v>11.926988</v>
      </c>
      <c r="F28" s="33" t="n">
        <v>5.805</v>
      </c>
      <c r="G28" s="33" t="n">
        <v>7.12</v>
      </c>
      <c r="H28" s="33" t="n">
        <v>3.7552218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8.4</v>
      </c>
      <c r="L28" s="33" t="n">
        <v>80.97</v>
      </c>
      <c r="M28" s="33" t="n">
        <v>26.73</v>
      </c>
      <c r="N28" s="33" t="n">
        <v>0.74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5</v>
      </c>
      <c r="U28" s="33" t="n">
        <v>5</v>
      </c>
      <c r="V28" s="33" t="n">
        <v>4</v>
      </c>
      <c r="W28" s="33" t="n">
        <v>5</v>
      </c>
      <c r="X28" s="33" t="n">
        <v>5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66">
        <f>IFERROR(AVERAGE(Z28,AA28,AB28)*20,"")</f>
        <v/>
      </c>
      <c r="AD28" s="33" t="n">
        <v>4</v>
      </c>
      <c r="AE28" s="33" t="n">
        <v>5</v>
      </c>
      <c r="AF28" s="33" t="n">
        <v>5</v>
      </c>
      <c r="AG28" s="33" t="n">
        <v>4</v>
      </c>
      <c r="AH28" s="66">
        <f>IFERROR(AVERAGE(AD28,AE28,AF28,AG28)*20,"")</f>
        <v/>
      </c>
      <c r="AI28" s="64">
        <f>IFERROR(J28*Weights!$B$4 + O28*Weights!$B$5 + S28*Weights!$B$6 + Y28*Weights!$B$7 + AC28*Weights!$B$8 + AH28*Weights!$B$9,"")</f>
        <v/>
      </c>
      <c r="AJ28" s="65">
        <f>IF(AI28="","",IF(AI28&gt;=85,"✓✓✓",IF(AI28&gt;=70,"✓✓",IF(AI28&gt;=55,"✓",IF(AI28&gt;=40,"?","✗")))))</f>
        <v/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2026-05-18</t>
        </is>
      </c>
      <c r="E29" s="33" t="n">
        <v>9.094861999999999</v>
      </c>
      <c r="F29" s="33" t="n">
        <v>6.511</v>
      </c>
      <c r="G29" s="33" t="n">
        <v>5.54</v>
      </c>
      <c r="H29" s="33" t="n">
        <v>3.1166654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13</v>
      </c>
      <c r="L29" s="33" t="n">
        <v>52.47</v>
      </c>
      <c r="M29" s="33" t="n">
        <v>17.28</v>
      </c>
      <c r="N29" s="33" t="n">
        <v>0.58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4</v>
      </c>
      <c r="U29" s="33" t="n">
        <v>4</v>
      </c>
      <c r="V29" s="33" t="n">
        <v>4</v>
      </c>
      <c r="W29" s="33" t="n">
        <v>4</v>
      </c>
      <c r="X29" s="33" t="n">
        <v>4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66">
        <f>IFERROR(AVERAGE(Z29,AA29,AB29)*20,"")</f>
        <v/>
      </c>
      <c r="AD29" s="33" t="n">
        <v>4</v>
      </c>
      <c r="AE29" s="33" t="n">
        <v>5</v>
      </c>
      <c r="AF29" s="33" t="n">
        <v>5</v>
      </c>
      <c r="AG29" s="33" t="n">
        <v>4</v>
      </c>
      <c r="AH29" s="66">
        <f>IFERROR(AVERAGE(AD29,AE29,AF29,AG29)*20,"")</f>
        <v/>
      </c>
      <c r="AI29" s="64">
        <f>IFERROR(J29*Weights!$B$4 + O29*Weights!$B$5 + S29*Weights!$B$6 + Y29*Weights!$B$7 + AC29*Weights!$B$8 + AH29*Weights!$B$9,"")</f>
        <v/>
      </c>
      <c r="AJ29" s="65">
        <f>IF(AI29="","",IF(AI29&gt;=85,"✓✓✓",IF(AI29&gt;=70,"✓✓",IF(AI29&gt;=55,"✓",IF(AI29&gt;=40,"?","✗")))))</f>
        <v/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2026-05-18</t>
        </is>
      </c>
      <c r="E30" s="33" t="n">
        <v>8.021800000000001</v>
      </c>
      <c r="G30" s="33" t="n">
        <v>5.36</v>
      </c>
      <c r="H30" s="33" t="n">
        <v>2.1060832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6.7</v>
      </c>
      <c r="L30" s="33" t="n">
        <v>67.23</v>
      </c>
      <c r="M30" s="33" t="n">
        <v>11.29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4</v>
      </c>
      <c r="U30" s="33" t="n">
        <v>4</v>
      </c>
      <c r="V30" s="33" t="n">
        <v>4</v>
      </c>
      <c r="W30" s="33" t="n">
        <v>5</v>
      </c>
      <c r="X30" s="33" t="n">
        <v>4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66">
        <f>IFERROR(AVERAGE(Z30,AA30,AB30)*20,"")</f>
        <v/>
      </c>
      <c r="AD30" s="33" t="n">
        <v>4</v>
      </c>
      <c r="AE30" s="33" t="n">
        <v>5</v>
      </c>
      <c r="AF30" s="33" t="n">
        <v>4</v>
      </c>
      <c r="AG30" s="33" t="n">
        <v>4</v>
      </c>
      <c r="AH30" s="66">
        <f>IFERROR(AVERAGE(AD30,AE30,AF30,AG30)*20,"")</f>
        <v/>
      </c>
      <c r="AI30" s="64">
        <f>IFERROR(J30*Weights!$B$4 + O30*Weights!$B$5 + S30*Weights!$B$6 + Y30*Weights!$B$7 + AC30*Weights!$B$8 + AH30*Weights!$B$9,"")</f>
        <v/>
      </c>
      <c r="AJ30" s="65">
        <f>IF(AI30="","",IF(AI30&gt;=85,"✓✓✓",IF(AI30&gt;=70,"✓✓",IF(AI30&gt;=55,"✓",IF(AI30&gt;=40,"?","✗")))))</f>
        <v/>
      </c>
    </row>
    <row r="31" ht="15" customHeight="1" s="34">
      <c r="A31" s="33" t="inlineStr">
        <is>
          <t>CTRA</t>
        </is>
      </c>
      <c r="B31" s="33" t="inlineStr">
        <is>
          <t>Coterra Energy Inc.</t>
        </is>
      </c>
      <c r="C31" s="33" t="inlineStr">
        <is>
          <t>01 Power Generation / Natural gas E&amp;P (powering gas turbines for data centers)</t>
        </is>
      </c>
      <c r="D31" s="33" t="inlineStr">
        <is>
          <t>2026-05-18</t>
        </is>
      </c>
      <c r="E31" s="33" t="n">
        <v>10.833689</v>
      </c>
      <c r="F31" s="33" t="n">
        <v>5.786</v>
      </c>
      <c r="G31" s="33" t="n">
        <v>5.05</v>
      </c>
      <c r="H31" s="33" t="n">
        <v>3.3629832</v>
      </c>
      <c r="I31" s="33">
        <f>IF(OR(E31="",R31="",R31&lt;=0,E31&lt;0),"",E31/R31)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10</v>
      </c>
      <c r="L31" s="33" t="n">
        <v>74.63</v>
      </c>
      <c r="M31" s="33" t="n">
        <v>17</v>
      </c>
      <c r="N31" s="33" t="n">
        <v>0.66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-5.47</v>
      </c>
      <c r="Q31" s="33" t="n">
        <v>18.6</v>
      </c>
      <c r="R31" s="33" t="n">
        <v>-9.699999999999999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4</v>
      </c>
      <c r="U31" s="33" t="n">
        <v>5</v>
      </c>
      <c r="V31" s="33" t="n">
        <v>5</v>
      </c>
      <c r="W31" s="33" t="n">
        <v>5</v>
      </c>
      <c r="X31" s="33" t="n">
        <v>5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66">
        <f>IFERROR(AVERAGE(Z31,AA31,AB31)*20,"")</f>
        <v/>
      </c>
      <c r="AD31" s="33" t="n">
        <v>4</v>
      </c>
      <c r="AE31" s="33" t="n">
        <v>5</v>
      </c>
      <c r="AF31" s="33" t="n">
        <v>5</v>
      </c>
      <c r="AG31" s="33" t="n">
        <v>4</v>
      </c>
      <c r="AH31" s="66">
        <f>IFERROR(AVERAGE(AD31,AE31,AF31,AG31)*20,"")</f>
        <v/>
      </c>
      <c r="AI31" s="64">
        <f>IFERROR(J31*Weights!$B$4 + O31*Weights!$B$5 + S31*Weights!$B$6 + Y31*Weights!$B$7 + AC31*Weights!$B$8 + AH31*Weights!$B$9,"")</f>
        <v/>
      </c>
      <c r="AJ31" s="65">
        <f>IF(AI31="","",IF(AI31&gt;=85,"✓✓✓",IF(AI31&gt;=70,"✓✓",IF(AI31&gt;=55,"✓",IF(AI31&gt;=40,"?","✗")))))</f>
        <v/>
      </c>
    </row>
    <row r="32" ht="15" customHeight="1" s="34">
      <c r="A32" s="33" t="inlineStr">
        <is>
          <t>EXE</t>
        </is>
      </c>
      <c r="B32" s="33" t="inlineStr">
        <is>
          <t>Expand Energy Corporation</t>
        </is>
      </c>
      <c r="C32" s="33" t="inlineStr">
        <is>
          <t>01 Power Generation / Natural gas E&amp;P (powering gas turbines for data centers)</t>
        </is>
      </c>
      <c r="D32" s="33" t="inlineStr">
        <is>
          <t>2026-05-18</t>
        </is>
      </c>
      <c r="E32" s="33" t="n">
        <v>9.846282</v>
      </c>
      <c r="F32" s="33" t="n">
        <v>3.498</v>
      </c>
      <c r="G32" s="33" t="n">
        <v>7.33</v>
      </c>
      <c r="H32" s="33" t="n">
        <v>1.7853533</v>
      </c>
      <c r="I32" s="33">
        <f>IF(OR(E32="",R32="",R32&lt;=0,E32&lt;0),"",E32/R32)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8.5</v>
      </c>
      <c r="L32" s="33" t="n">
        <v>47.95</v>
      </c>
      <c r="M32" s="33" t="n">
        <v>13.09</v>
      </c>
      <c r="N32" s="33" t="n">
        <v>0.38</v>
      </c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2.13</v>
      </c>
      <c r="Q32" s="33" t="n">
        <v>41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4</v>
      </c>
      <c r="U32" s="33" t="n">
        <v>4</v>
      </c>
      <c r="V32" s="33" t="n">
        <v>4</v>
      </c>
      <c r="W32" s="33" t="n">
        <v>5</v>
      </c>
      <c r="X32" s="33" t="n">
        <v>4</v>
      </c>
      <c r="Y32" s="66">
        <f>IFERROR(AVERAGE(T32,U32,V32,W32,X32)*20,"")</f>
        <v/>
      </c>
      <c r="Z32" s="33" t="n">
        <v>5</v>
      </c>
      <c r="AA32" s="33" t="n">
        <v>1</v>
      </c>
      <c r="AB32" s="33" t="n">
        <v>3</v>
      </c>
      <c r="AC32" s="66">
        <f>IFERROR(AVERAGE(Z32,AA32,AB32)*20,"")</f>
        <v/>
      </c>
      <c r="AD32" s="33" t="n">
        <v>4</v>
      </c>
      <c r="AE32" s="33" t="n">
        <v>5</v>
      </c>
      <c r="AF32" s="33" t="n">
        <v>5</v>
      </c>
      <c r="AG32" s="33" t="n">
        <v>4</v>
      </c>
      <c r="AH32" s="66">
        <f>IFERROR(AVERAGE(AD32,AE32,AF32,AG32)*20,"")</f>
        <v/>
      </c>
      <c r="AI32" s="64">
        <f>IFERROR(J32*Weights!$B$4 + O32*Weights!$B$5 + S32*Weights!$B$6 + Y32*Weights!$B$7 + AC32*Weights!$B$8 + AH32*Weights!$B$9,"")</f>
        <v/>
      </c>
      <c r="AJ32" s="65">
        <f>IF(AI32="","",IF(AI32&gt;=85,"✓✓✓",IF(AI32&gt;=70,"✓✓",IF(AI32&gt;=55,"✓",IF(AI32&gt;=40,"?","✗")))))</f>
        <v/>
      </c>
    </row>
    <row r="33" ht="15" customHeight="1" s="34">
      <c r="A33" s="33" t="inlineStr">
        <is>
          <t>PLUG</t>
        </is>
      </c>
      <c r="B33" s="33" t="inlineStr">
        <is>
          <t>Plug Power Inc.</t>
        </is>
      </c>
      <c r="C33" s="33" t="inlineStr">
        <is>
          <t>01 Power Generation / Distributed / on-site power</t>
        </is>
      </c>
      <c r="D33" s="33" t="inlineStr">
        <is>
          <t>2026-05-18</t>
        </is>
      </c>
      <c r="E33" s="33" t="n">
        <v>-20.999998</v>
      </c>
      <c r="F33" s="33" t="n">
        <v>-9.887</v>
      </c>
      <c r="G33" s="33" t="n">
        <v>-7.73</v>
      </c>
      <c r="H33" s="33" t="n">
        <v>7.1284943</v>
      </c>
      <c r="I33" s="33">
        <f>IF(OR(E33="",R33="",R33&lt;=0,E33&lt;0),"",E33/R33)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28.3</v>
      </c>
      <c r="L33" s="33" t="n">
        <v>-31.24</v>
      </c>
      <c r="M33" s="33" t="n">
        <v>-55.07</v>
      </c>
      <c r="N33" s="33" t="n">
        <v>-1.27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0.4</v>
      </c>
      <c r="Q33" s="33" t="n">
        <v>22.3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2</v>
      </c>
      <c r="V33" s="33" t="n">
        <v>2</v>
      </c>
      <c r="W33" s="33" t="n">
        <v>3</v>
      </c>
      <c r="X33" s="33" t="n">
        <v>2</v>
      </c>
      <c r="Y33" s="66">
        <f>IFERROR(AVERAGE(T33,U33,V33,W33,X33)*20,"")</f>
        <v/>
      </c>
      <c r="Z33" s="33" t="n">
        <v>3</v>
      </c>
      <c r="AA33" s="33" t="n">
        <v>5</v>
      </c>
      <c r="AB33" s="33" t="n">
        <v>3</v>
      </c>
      <c r="AC33" s="66">
        <f>IFERROR(AVERAGE(Z33,AA33,AB33)*20,"")</f>
        <v/>
      </c>
      <c r="AD33" s="33" t="n">
        <v>3</v>
      </c>
      <c r="AE33" s="33" t="n">
        <v>4</v>
      </c>
      <c r="AF33" s="33" t="n">
        <v>2</v>
      </c>
      <c r="AG33" s="33" t="n">
        <v>4</v>
      </c>
      <c r="AH33" s="66">
        <f>IFERROR(AVERAGE(AD33,AE33,AF33,AG33)*20,"")</f>
        <v/>
      </c>
      <c r="AI33" s="64">
        <f>IFERROR(J33*Weights!$B$4 + O33*Weights!$B$5 + S33*Weights!$B$6 + Y33*Weights!$B$7 + AC33*Weights!$B$8 + AH33*Weights!$B$9,"")</f>
        <v/>
      </c>
      <c r="AJ33" s="65">
        <f>IF(AI33="","",IF(AI33&gt;=85,"✓✓✓",IF(AI33&gt;=70,"✓✓",IF(AI33&gt;=55,"✓",IF(AI33&gt;=40,"?","✗")))))</f>
        <v/>
      </c>
    </row>
    <row r="34" ht="15" customHeight="1" s="34">
      <c r="A34" s="33" t="inlineStr">
        <is>
          <t>CMI</t>
        </is>
      </c>
      <c r="B34" s="33" t="inlineStr">
        <is>
          <t>Cummins Inc.</t>
        </is>
      </c>
      <c r="C34" s="33" t="inlineStr">
        <is>
          <t>01 Power Generation / Distributed / on-site power</t>
        </is>
      </c>
      <c r="D34" s="33" t="inlineStr">
        <is>
          <t>2026-05-18</t>
        </is>
      </c>
      <c r="E34" s="33" t="n">
        <v>20.975916</v>
      </c>
      <c r="F34" s="33" t="n">
        <v>20.422</v>
      </c>
      <c r="G34" s="33" t="n">
        <v>1.76</v>
      </c>
      <c r="H34" s="33" t="n">
        <v>2.8357093</v>
      </c>
      <c r="I34" s="33">
        <f>IF(OR(E34="",R34="",R34&lt;=0,E34&lt;0),"",E34/R34)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15.7</v>
      </c>
      <c r="L34" s="33" t="n">
        <v>25.85</v>
      </c>
      <c r="M34" s="33" t="n">
        <v>4.98</v>
      </c>
      <c r="N34" s="33" t="n">
        <v>1.01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6.25</v>
      </c>
      <c r="Q34" s="33" t="n">
        <v>2.7</v>
      </c>
      <c r="R34" s="33" t="n">
        <v>-20.6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4</v>
      </c>
      <c r="U34" s="33" t="n">
        <v>4</v>
      </c>
      <c r="V34" s="33" t="n">
        <v>4</v>
      </c>
      <c r="W34" s="33" t="n">
        <v>5</v>
      </c>
      <c r="X34" s="33" t="n">
        <v>4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66">
        <f>IFERROR(AVERAGE(Z34,AA34,AB34)*20,"")</f>
        <v/>
      </c>
      <c r="AD34" s="33" t="n">
        <v>5</v>
      </c>
      <c r="AE34" s="33" t="n">
        <v>4</v>
      </c>
      <c r="AF34" s="33" t="n">
        <v>4</v>
      </c>
      <c r="AG34" s="33" t="n">
        <v>4</v>
      </c>
      <c r="AH34" s="66">
        <f>IFERROR(AVERAGE(AD34,AE34,AF34,AG34)*20,"")</f>
        <v/>
      </c>
      <c r="AI34" s="64">
        <f>IFERROR(J34*Weights!$B$4 + O34*Weights!$B$5 + S34*Weights!$B$6 + Y34*Weights!$B$7 + AC34*Weights!$B$8 + AH34*Weights!$B$9,"")</f>
        <v/>
      </c>
      <c r="AJ34" s="65">
        <f>IF(AI34="","",IF(AI34&gt;=85,"✓✓✓",IF(AI34&gt;=70,"✓✓",IF(AI34&gt;=55,"✓",IF(AI34&gt;=40,"?","✗")))))</f>
        <v/>
      </c>
    </row>
    <row r="35" ht="15" customHeight="1" s="34">
      <c r="A35" s="33" t="inlineStr">
        <is>
          <t>GNRC</t>
        </is>
      </c>
      <c r="B35" s="33" t="inlineStr">
        <is>
          <t>Generac Holdings Inc.</t>
        </is>
      </c>
      <c r="C35" s="33" t="inlineStr">
        <is>
          <t>01 Power Generation / Distributed / on-site power</t>
        </is>
      </c>
      <c r="D35" s="33" t="inlineStr">
        <is>
          <t>2026-05-18</t>
        </is>
      </c>
      <c r="E35" s="33" t="n">
        <v>23.886566</v>
      </c>
      <c r="F35" s="33" t="n">
        <v>31.565</v>
      </c>
      <c r="G35" s="33" t="n">
        <v>0.74</v>
      </c>
      <c r="H35" s="33" t="n">
        <v>3.587862</v>
      </c>
      <c r="I35" s="33">
        <f>IF(OR(E35="",R35="",R35&lt;=0,E35&lt;0),"",E35/R35)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5.3</v>
      </c>
      <c r="L35" s="33" t="n">
        <v>38.14</v>
      </c>
      <c r="M35" s="33" t="n">
        <v>2.66</v>
      </c>
      <c r="N35" s="33" t="n">
        <v>2.14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-2.67</v>
      </c>
      <c r="Q35" s="33" t="n">
        <v>12.4</v>
      </c>
      <c r="R35" s="33" t="n">
        <v>67.09999999999999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3</v>
      </c>
      <c r="W35" s="33" t="n">
        <v>5</v>
      </c>
      <c r="X35" s="33" t="n">
        <v>4</v>
      </c>
      <c r="Y35" s="66">
        <f>IFERROR(AVERAGE(T35,U35,V35,W35,X35)*20,"")</f>
        <v/>
      </c>
      <c r="Z35" s="33" t="n">
        <v>5</v>
      </c>
      <c r="AA35" s="33" t="n">
        <v>5</v>
      </c>
      <c r="AB35" s="33" t="n">
        <v>3</v>
      </c>
      <c r="AC35" s="66">
        <f>IFERROR(AVERAGE(Z35,AA35,AB35)*20,"")</f>
        <v/>
      </c>
      <c r="AD35" s="33" t="n">
        <v>4</v>
      </c>
      <c r="AE35" s="33" t="n">
        <v>4</v>
      </c>
      <c r="AF35" s="33" t="n">
        <v>4</v>
      </c>
      <c r="AG35" s="33" t="n">
        <v>4</v>
      </c>
      <c r="AH35" s="66">
        <f>IFERROR(AVERAGE(AD35,AE35,AF35,AG35)*20,"")</f>
        <v/>
      </c>
      <c r="AI35" s="64">
        <f>IFERROR(J35*Weights!$B$4 + O35*Weights!$B$5 + S35*Weights!$B$6 + Y35*Weights!$B$7 + AC35*Weights!$B$8 + AH35*Weights!$B$9,"")</f>
        <v/>
      </c>
      <c r="AJ35" s="65">
        <f>IF(AI35="","",IF(AI35&gt;=85,"✓✓✓",IF(AI35&gt;=70,"✓✓",IF(AI35&gt;=55,"✓",IF(AI35&gt;=40,"?","✗")))))</f>
        <v/>
      </c>
    </row>
    <row r="36" ht="15" customHeight="1" s="34">
      <c r="A36" s="33" t="inlineStr">
        <is>
          <t>ETN</t>
        </is>
      </c>
      <c r="B36" s="33" t="inlineStr">
        <is>
          <t>Eaton Corporation plc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25.403318</v>
      </c>
      <c r="F36" s="33" t="n">
        <v>27.783</v>
      </c>
      <c r="G36" s="33" t="n">
        <v>1.71</v>
      </c>
      <c r="H36" s="33" t="n">
        <v>5.4379973</v>
      </c>
      <c r="I36" s="33">
        <f>IF(OR(E36="",R36="",R36&lt;=0,E36&lt;0),"",E36/R36)</f>
        <v/>
      </c>
      <c r="J36" s="66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14.3</v>
      </c>
      <c r="L36" s="33" t="n">
        <v>37.1</v>
      </c>
      <c r="M36" s="33" t="n">
        <v>9.279999999999999</v>
      </c>
      <c r="N36" s="33" t="n">
        <v>3.32</v>
      </c>
      <c r="O36" s="66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9.77</v>
      </c>
      <c r="Q36" s="33" t="n">
        <v>16.8</v>
      </c>
      <c r="R36" s="33" t="n">
        <v>-10.2</v>
      </c>
      <c r="S36" s="66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5</v>
      </c>
      <c r="Y36" s="66">
        <f>IFERROR(AVERAGE(T36,U36,V36,W36,X36)*20,"")</f>
        <v/>
      </c>
      <c r="Z36" s="33" t="n">
        <v>4</v>
      </c>
      <c r="AA36" s="33" t="n">
        <v>3</v>
      </c>
      <c r="AB36" s="33" t="n">
        <v>3</v>
      </c>
      <c r="AC36" s="66">
        <f>IFERROR(AVERAGE(Z36,AA36,AB36)*20,"")</f>
        <v/>
      </c>
      <c r="AD36" s="33" t="n">
        <v>5</v>
      </c>
      <c r="AE36" s="33" t="n">
        <v>4</v>
      </c>
      <c r="AF36" s="33" t="n">
        <v>4</v>
      </c>
      <c r="AG36" s="33" t="n">
        <v>4</v>
      </c>
      <c r="AH36" s="66">
        <f>IFERROR(AVERAGE(AD36,AE36,AF36,AG36)*20,"")</f>
        <v/>
      </c>
      <c r="AI36" s="64">
        <f>IFERROR(J36*Weights!$B$4 + O36*Weights!$B$5 + S36*Weights!$B$6 + Y36*Weights!$B$7 + AC36*Weights!$B$8 + AH36*Weights!$B$9,"")</f>
        <v/>
      </c>
      <c r="AJ36" s="65">
        <f>IF(AI36="","",IF(AI36&gt;=85,"✓✓✓",IF(AI36&gt;=70,"✓✓",IF(AI36&gt;=55,"✓",IF(AI36&gt;=40,"?","✗")))))</f>
        <v/>
      </c>
    </row>
    <row r="37">
      <c r="A37" s="33" t="inlineStr">
        <is>
          <t>SBGSY</t>
        </is>
      </c>
      <c r="B37" s="33" t="inlineStr">
        <is>
          <t>Schneider Electric S.E.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23.26352</v>
      </c>
      <c r="F37" s="33" t="n">
        <v>6.29</v>
      </c>
      <c r="G37" s="33" t="n">
        <v>2.32</v>
      </c>
      <c r="H37" s="33" t="n">
        <v>4.2808523</v>
      </c>
      <c r="I37" s="33">
        <f>IF(OR(E37="",R37="",R37&lt;=0,E37&lt;0),"",E37/R37)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12.2</v>
      </c>
      <c r="L37" s="33" t="n">
        <v>42.08</v>
      </c>
      <c r="M37" s="33" t="n">
        <v>9.92</v>
      </c>
      <c r="N37" s="33" t="n">
        <v>1.93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5.52</v>
      </c>
      <c r="Q37" s="33" t="n">
        <v>4.2</v>
      </c>
      <c r="R37" s="33" t="n">
        <v>-5.7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3</v>
      </c>
      <c r="AA37" s="33" t="n">
        <v>3</v>
      </c>
      <c r="AB37" s="33" t="n">
        <v>3</v>
      </c>
      <c r="AC37" s="33">
        <f>IFERROR(AVERAGE(Z37,AA37,AB37)*20,"")</f>
        <v/>
      </c>
      <c r="AD37" s="33" t="n">
        <v>5</v>
      </c>
      <c r="AE37" s="33" t="n">
        <v>4</v>
      </c>
      <c r="AF37" s="33" t="n">
        <v>4</v>
      </c>
      <c r="AG37" s="33" t="n">
        <v>4</v>
      </c>
      <c r="AH37" s="33">
        <f>IFERROR(AVERAGE(AD37,AE37,AF37,AG37)*20,"")</f>
        <v/>
      </c>
      <c r="AI37" s="33">
        <f>IFERROR(J37*Weights!$B$4 + O37*Weights!$B$5 + S37*Weights!$B$6 + Y37*Weights!$B$7 + AC37*Weights!$B$8 + AH37*Weights!$B$9,"")</f>
        <v/>
      </c>
      <c r="AJ37" s="33">
        <f>IF(AI37="","",IF(AI37&gt;=85,"✓✓✓",IF(AI37&gt;=70,"✓✓",IF(AI37&gt;=55,"✓",IF(AI37&gt;=40,"?","✗")))))</f>
        <v/>
      </c>
    </row>
    <row r="38">
      <c r="A38" s="33" t="inlineStr">
        <is>
          <t>ABBNY</t>
        </is>
      </c>
      <c r="B38" s="33" t="inlineStr">
        <is>
          <t>ABB Ltd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30.549192</v>
      </c>
      <c r="F38" s="33" t="n">
        <v>27.453</v>
      </c>
      <c r="G38" s="33" t="n">
        <v>0.25</v>
      </c>
      <c r="H38" s="33" t="n">
        <v>5.462164</v>
      </c>
      <c r="I38" s="33">
        <f>IF(OR(E38="",R38="",R38&lt;=0,E38&lt;0),"",E38/R38)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18.7</v>
      </c>
      <c r="L38" s="33" t="n">
        <v>40.37</v>
      </c>
      <c r="M38" s="33" t="n">
        <v>1.38</v>
      </c>
      <c r="N38" s="33" t="n">
        <v>0.46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4.1</v>
      </c>
      <c r="Q38" s="33" t="n">
        <v>18.3</v>
      </c>
      <c r="R38" s="33" t="n">
        <v>20.1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4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4</v>
      </c>
      <c r="AA38" s="33" t="n">
        <v>5</v>
      </c>
      <c r="AB38" s="33" t="n">
        <v>3</v>
      </c>
      <c r="AC38" s="33">
        <f>IFERROR(AVERAGE(Z38,AA38,AB38)*20,"")</f>
        <v/>
      </c>
      <c r="AD38" s="33" t="n">
        <v>5</v>
      </c>
      <c r="AE38" s="33" t="n">
        <v>4</v>
      </c>
      <c r="AF38" s="33" t="n">
        <v>4</v>
      </c>
      <c r="AG38" s="33" t="n">
        <v>4</v>
      </c>
      <c r="AH38" s="33">
        <f>IFERROR(AVERAGE(AD38,AE38,AF38,AG38)*20,"")</f>
        <v/>
      </c>
      <c r="AI38" s="33">
        <f>IFERROR(J38*Weights!$B$4 + O38*Weights!$B$5 + S38*Weights!$B$6 + Y38*Weights!$B$7 + AC38*Weights!$B$8 + AH38*Weights!$B$9,"")</f>
        <v/>
      </c>
      <c r="AJ38" s="33">
        <f>IF(AI38="","",IF(AI38&gt;=85,"✓✓✓",IF(AI38&gt;=70,"✓✓",IF(AI38&gt;=55,"✓",IF(AI38&gt;=40,"?","✗")))))</f>
        <v/>
      </c>
    </row>
    <row r="39">
      <c r="A39" s="33" t="inlineStr">
        <is>
          <t>HTHIY</t>
        </is>
      </c>
      <c r="B39" s="33" t="inlineStr">
        <is>
          <t>Hitachi, Ltd.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12.282258</v>
      </c>
      <c r="F39" s="33" t="n">
        <v>-0.198</v>
      </c>
      <c r="G39" s="33" t="n">
        <v>835.65</v>
      </c>
      <c r="H39" s="33" t="n">
        <v>0.012946594</v>
      </c>
      <c r="I39" s="33">
        <f>IF(OR(E39="",R39="",R39&lt;=0,E39&lt;0),"",E39/R39)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9.800000000000001</v>
      </c>
      <c r="L39" s="33" t="n">
        <v>30.03</v>
      </c>
      <c r="M39" s="33" t="n">
        <v>10.82</v>
      </c>
      <c r="N39" s="33" t="n">
        <v>-0.4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-1.59</v>
      </c>
      <c r="Q39" s="33" t="n">
        <v>11.3</v>
      </c>
      <c r="R39" s="33" t="n">
        <v>-11.4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4</v>
      </c>
      <c r="U39" s="33" t="n">
        <v>5</v>
      </c>
      <c r="V39" s="33" t="n">
        <v>4</v>
      </c>
      <c r="W39" s="33" t="n">
        <v>5</v>
      </c>
      <c r="X39" s="33" t="n">
        <v>4</v>
      </c>
      <c r="Y39" s="33">
        <f>IFERROR(AVERAGE(T39,U39,V39,W39,X39)*20,"")</f>
        <v/>
      </c>
      <c r="Z39" s="33" t="n">
        <v>3</v>
      </c>
      <c r="AA39" s="33" t="n">
        <v>2</v>
      </c>
      <c r="AB39" s="33" t="n">
        <v>3</v>
      </c>
      <c r="AC39" s="33">
        <f>IFERROR(AVERAGE(Z39,AA39,AB39)*20,"")</f>
        <v/>
      </c>
      <c r="AD39" s="33" t="n">
        <v>5</v>
      </c>
      <c r="AE39" s="33" t="n">
        <v>4</v>
      </c>
      <c r="AF39" s="33" t="n">
        <v>4</v>
      </c>
      <c r="AG39" s="33" t="n">
        <v>4</v>
      </c>
      <c r="AH39" s="33">
        <f>IFERROR(AVERAGE(AD39,AE39,AF39,AG39)*20,"")</f>
        <v/>
      </c>
      <c r="AI39" s="33">
        <f>IFERROR(J39*Weights!$B$4 + O39*Weights!$B$5 + S39*Weights!$B$6 + Y39*Weights!$B$7 + AC39*Weights!$B$8 + AH39*Weights!$B$9,"")</f>
        <v/>
      </c>
      <c r="AJ39" s="33">
        <f>IF(AI39="","",IF(AI39&gt;=85,"✓✓✓",IF(AI39&gt;=70,"✓✓",IF(AI39&gt;=55,"✓",IF(AI39&gt;=40,"?","✗")))))</f>
        <v/>
      </c>
    </row>
    <row r="40">
      <c r="A40" s="33" t="inlineStr">
        <is>
          <t>HUBB</t>
        </is>
      </c>
      <c r="B40" s="33" t="inlineStr">
        <is>
          <t>Hubbell Incorporated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22.064533</v>
      </c>
      <c r="F40" s="33" t="n">
        <v>18.814</v>
      </c>
      <c r="G40" s="33" t="n">
        <v>2.13</v>
      </c>
      <c r="H40" s="33" t="n">
        <v>4.229827</v>
      </c>
      <c r="I40" s="33">
        <f>IF(OR(E40="",R40="",R40&lt;=0,E40&lt;0),"",E40/R40)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14.9</v>
      </c>
      <c r="L40" s="33" t="n">
        <v>35.69</v>
      </c>
      <c r="M40" s="33" t="n">
        <v>9.029999999999999</v>
      </c>
      <c r="N40" s="33" t="n">
        <v>1.51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5.71</v>
      </c>
      <c r="Q40" s="33" t="n">
        <v>11.1</v>
      </c>
      <c r="R40" s="33" t="n">
        <v>11.4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3</v>
      </c>
      <c r="U40" s="33" t="n">
        <v>3</v>
      </c>
      <c r="V40" s="33" t="n">
        <v>3</v>
      </c>
      <c r="W40" s="33" t="n">
        <v>4</v>
      </c>
      <c r="X40" s="33" t="n">
        <v>3</v>
      </c>
      <c r="Y40" s="33">
        <f>IFERROR(AVERAGE(T40,U40,V40,W40,X40)*20,"")</f>
        <v/>
      </c>
      <c r="Z40" s="33" t="n">
        <v>4</v>
      </c>
      <c r="AA40" s="33" t="n">
        <v>3</v>
      </c>
      <c r="AB40" s="33" t="n">
        <v>3</v>
      </c>
      <c r="AC40" s="33">
        <f>IFERROR(AVERAGE(Z40,AA40,AB40)*20,"")</f>
        <v/>
      </c>
      <c r="AD40" s="33" t="n">
        <v>5</v>
      </c>
      <c r="AE40" s="33" t="n">
        <v>4</v>
      </c>
      <c r="AF40" s="33" t="n">
        <v>4</v>
      </c>
      <c r="AG40" s="33" t="n">
        <v>4</v>
      </c>
      <c r="AH40" s="33">
        <f>IFERROR(AVERAGE(AD40,AE40,AF40,AG40)*20,"")</f>
        <v/>
      </c>
      <c r="AI40" s="33">
        <f>IFERROR(J40*Weights!$B$4 + O40*Weights!$B$5 + S40*Weights!$B$6 + Y40*Weights!$B$7 + AC40*Weights!$B$8 + AH40*Weights!$B$9,"")</f>
        <v/>
      </c>
      <c r="AJ40" s="33">
        <f>IF(AI40="","",IF(AI40&gt;=85,"✓✓✓",IF(AI40&gt;=70,"✓✓",IF(AI40&gt;=55,"✓",IF(AI40&gt;=40,"?","✗")))))</f>
        <v/>
      </c>
    </row>
    <row r="41">
      <c r="A41" s="33" t="inlineStr">
        <is>
          <t>PWR</t>
        </is>
      </c>
      <c r="B41" s="33" t="inlineStr">
        <is>
          <t>Quanta Services,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46.9361</v>
      </c>
      <c r="F41" s="33" t="n">
        <v>45.729</v>
      </c>
      <c r="G41" s="33" t="n">
        <v>0.9</v>
      </c>
      <c r="H41" s="33" t="n">
        <v>3.8360026</v>
      </c>
      <c r="I41" s="33">
        <f>IF(OR(E41="",R41="",R41&lt;=0,E41&lt;0),"",E41/R41)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8.1</v>
      </c>
      <c r="L41" s="33" t="n">
        <v>15.1</v>
      </c>
      <c r="M41" s="33" t="n">
        <v>3.44</v>
      </c>
      <c r="N41" s="33" t="n">
        <v>2.24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18.6</v>
      </c>
      <c r="Q41" s="33" t="n">
        <v>26.3</v>
      </c>
      <c r="R41" s="33" t="n">
        <v>52.9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4</v>
      </c>
      <c r="U41" s="33" t="n">
        <v>4</v>
      </c>
      <c r="V41" s="33" t="n">
        <v>4</v>
      </c>
      <c r="W41" s="33" t="n">
        <v>5</v>
      </c>
      <c r="X41" s="33" t="n">
        <v>4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33">
        <f>IFERROR(AVERAGE(Z41,AA41,AB41)*20,"")</f>
        <v/>
      </c>
      <c r="AD41" s="33" t="n">
        <v>5</v>
      </c>
      <c r="AE41" s="33" t="n">
        <v>5</v>
      </c>
      <c r="AF41" s="33" t="n">
        <v>4</v>
      </c>
      <c r="AG41" s="33" t="n">
        <v>4</v>
      </c>
      <c r="AH41" s="33">
        <f>IFERROR(AVERAGE(AD41,AE41,AF41,AG41)*20,"")</f>
        <v/>
      </c>
      <c r="AI41" s="33">
        <f>IFERROR(J41*Weights!$B$4 + O41*Weights!$B$5 + S41*Weights!$B$6 + Y41*Weights!$B$7 + AC41*Weights!$B$8 + AH41*Weights!$B$9,"")</f>
        <v/>
      </c>
      <c r="AJ41" s="33">
        <f>IF(AI41="","",IF(AI41&gt;=85,"✓✓✓",IF(AI41&gt;=70,"✓✓",IF(AI41&gt;=55,"✓",IF(AI41&gt;=40,"?","✗")))))</f>
        <v/>
      </c>
    </row>
    <row r="42">
      <c r="A42" s="33" t="inlineStr">
        <is>
          <t>MTZ</t>
        </is>
      </c>
      <c r="B42" s="33" t="inlineStr">
        <is>
          <t>MasTec, Inc.</t>
        </is>
      </c>
      <c r="C42" s="33" t="inlineStr">
        <is>
          <t>02 Grid &amp; Power Equipment</t>
        </is>
      </c>
      <c r="D42" s="33" t="inlineStr">
        <is>
          <t>2026-05-18</t>
        </is>
      </c>
      <c r="E42" s="33" t="n">
        <v>35.422333</v>
      </c>
      <c r="F42" s="33" t="n">
        <v>29.298</v>
      </c>
      <c r="G42" s="33" t="n">
        <v>0.04</v>
      </c>
      <c r="H42" s="33" t="n">
        <v>2.1455665</v>
      </c>
      <c r="I42" s="33">
        <f>IF(OR(E42="",R42="",R42&lt;=0,E42&lt;0),"",E42/R42)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9.300000000000001</v>
      </c>
      <c r="L42" s="33" t="n">
        <v>12.82</v>
      </c>
      <c r="M42" s="33" t="n">
        <v>0.08</v>
      </c>
      <c r="N42" s="33" t="n">
        <v>2.28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13.51</v>
      </c>
      <c r="Q42" s="33" t="n">
        <v>34.5</v>
      </c>
      <c r="R42" s="33" t="n">
        <v>514.4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3</v>
      </c>
      <c r="U42" s="33" t="n">
        <v>3</v>
      </c>
      <c r="V42" s="33" t="n">
        <v>3</v>
      </c>
      <c r="W42" s="33" t="n">
        <v>5</v>
      </c>
      <c r="X42" s="33" t="n">
        <v>3</v>
      </c>
      <c r="Y42" s="33">
        <f>IFERROR(AVERAGE(T42,U42,V42,W42,X42)*20,"")</f>
        <v/>
      </c>
      <c r="Z42" s="33" t="n">
        <v>5</v>
      </c>
      <c r="AA42" s="33" t="n">
        <v>5</v>
      </c>
      <c r="AB42" s="33" t="n">
        <v>3</v>
      </c>
      <c r="AC42" s="33">
        <f>IFERROR(AVERAGE(Z42,AA42,AB42)*20,"")</f>
        <v/>
      </c>
      <c r="AD42" s="33" t="n">
        <v>5</v>
      </c>
      <c r="AE42" s="33" t="n">
        <v>5</v>
      </c>
      <c r="AF42" s="33" t="n">
        <v>4</v>
      </c>
      <c r="AG42" s="33" t="n">
        <v>4</v>
      </c>
      <c r="AH42" s="33">
        <f>IFERROR(AVERAGE(AD42,AE42,AF42,AG42)*20,"")</f>
        <v/>
      </c>
      <c r="AI42" s="33">
        <f>IFERROR(J42*Weights!$B$4 + O42*Weights!$B$5 + S42*Weights!$B$6 + Y42*Weights!$B$7 + AC42*Weights!$B$8 + AH42*Weights!$B$9,"")</f>
        <v/>
      </c>
      <c r="AJ42" s="33">
        <f>IF(AI42="","",IF(AI42&gt;=85,"✓✓✓",IF(AI42&gt;=70,"✓✓",IF(AI42&gt;=55,"✓",IF(AI42&gt;=40,"?","✗")))))</f>
        <v/>
      </c>
    </row>
    <row r="43">
      <c r="A43" s="33" t="inlineStr">
        <is>
          <t>POWL</t>
        </is>
      </c>
      <c r="B43" s="33" t="inlineStr">
        <is>
          <t>Powell Industries, Inc.</t>
        </is>
      </c>
      <c r="C43" s="33" t="inlineStr">
        <is>
          <t>02 Grid &amp; Power Equipment</t>
        </is>
      </c>
      <c r="D43" s="33" t="inlineStr">
        <is>
          <t>2026-05-18</t>
        </is>
      </c>
      <c r="E43" s="33" t="n">
        <v>42.57037</v>
      </c>
      <c r="F43" s="33" t="n">
        <v>43.645</v>
      </c>
      <c r="G43" s="33" t="n">
        <v>1.33</v>
      </c>
      <c r="H43" s="33" t="n">
        <v>9.418024000000001</v>
      </c>
      <c r="I43" s="33">
        <f>IF(OR(E43="",R43="",R43&lt;=0,E43&lt;0),"",E43/R43)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26.2</v>
      </c>
      <c r="L43" s="33" t="n">
        <v>30.1</v>
      </c>
      <c r="M43" s="33" t="n">
        <v>12.56</v>
      </c>
      <c r="N43" s="33" t="n">
        <v>-2.34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27.52</v>
      </c>
      <c r="Q43" s="33" t="n">
        <v>6.5</v>
      </c>
      <c r="R43" s="33" t="n">
        <v>-1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3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4</v>
      </c>
      <c r="AA43" s="33" t="n">
        <v>5</v>
      </c>
      <c r="AB43" s="33" t="n">
        <v>3</v>
      </c>
      <c r="AC43" s="33">
        <f>IFERROR(AVERAGE(Z43,AA43,AB43)*20,"")</f>
        <v/>
      </c>
      <c r="AD43" s="33" t="n">
        <v>4</v>
      </c>
      <c r="AE43" s="33" t="n">
        <v>4</v>
      </c>
      <c r="AF43" s="33" t="n">
        <v>4</v>
      </c>
      <c r="AG43" s="33" t="n">
        <v>4</v>
      </c>
      <c r="AH43" s="33">
        <f>IFERROR(AVERAGE(AD43,AE43,AF43,AG43)*20,"")</f>
        <v/>
      </c>
      <c r="AI43" s="33">
        <f>IFERROR(J43*Weights!$B$4 + O43*Weights!$B$5 + S43*Weights!$B$6 + Y43*Weights!$B$7 + AC43*Weights!$B$8 + AH43*Weights!$B$9,"")</f>
        <v/>
      </c>
      <c r="AJ43" s="33">
        <f>IF(AI43="","",IF(AI43&gt;=85,"✓✓✓",IF(AI43&gt;=70,"✓✓",IF(AI43&gt;=55,"✓",IF(AI43&gt;=40,"?","✗")))))</f>
        <v/>
      </c>
    </row>
    <row r="44">
      <c r="A44" s="33" t="inlineStr">
        <is>
          <t>NVT</t>
        </is>
      </c>
      <c r="B44" s="33" t="inlineStr">
        <is>
          <t>nVent Electric plc</t>
        </is>
      </c>
      <c r="C44" s="33" t="inlineStr">
        <is>
          <t>02 Grid &amp; Power Equipment</t>
        </is>
      </c>
      <c r="D44" s="33" t="inlineStr">
        <is>
          <t>2026-05-18</t>
        </is>
      </c>
      <c r="E44" s="33" t="n">
        <v>30.346992</v>
      </c>
      <c r="F44" s="33" t="n">
        <v>31.205</v>
      </c>
      <c r="G44" s="33" t="n">
        <v>0.77</v>
      </c>
      <c r="H44" s="33" t="n">
        <v>6.318455</v>
      </c>
      <c r="I44" s="33">
        <f>IF(OR(E44="",R44="",R44&lt;=0,E44&lt;0),"",E44/R44)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9</v>
      </c>
      <c r="L44" s="33" t="n">
        <v>37.01</v>
      </c>
      <c r="M44" s="33" t="n">
        <v>4.85</v>
      </c>
      <c r="N44" s="33" t="n">
        <v>1.63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19.26</v>
      </c>
      <c r="Q44" s="33" t="n">
        <v>53.5</v>
      </c>
      <c r="R44" s="33" t="n">
        <v>-60.5</v>
      </c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4</v>
      </c>
      <c r="U44" s="33" t="n">
        <v>4</v>
      </c>
      <c r="V44" s="33" t="n">
        <v>4</v>
      </c>
      <c r="W44" s="33" t="n">
        <v>5</v>
      </c>
      <c r="X44" s="33" t="n">
        <v>4</v>
      </c>
      <c r="Y44" s="33">
        <f>IFERROR(AVERAGE(T44,U44,V44,W44,X44)*20,"")</f>
        <v/>
      </c>
      <c r="Z44" s="33" t="n">
        <v>5</v>
      </c>
      <c r="AA44" s="33" t="n">
        <v>5</v>
      </c>
      <c r="AB44" s="33" t="n">
        <v>3</v>
      </c>
      <c r="AC44" s="33">
        <f>IFERROR(AVERAGE(Z44,AA44,AB44)*20,"")</f>
        <v/>
      </c>
      <c r="AD44" s="33" t="n">
        <v>4</v>
      </c>
      <c r="AE44" s="33" t="n">
        <v>4</v>
      </c>
      <c r="AF44" s="33" t="n">
        <v>4</v>
      </c>
      <c r="AG44" s="33" t="n">
        <v>4</v>
      </c>
      <c r="AH44" s="33">
        <f>IFERROR(AVERAGE(AD44,AE44,AF44,AG44)*20,"")</f>
        <v/>
      </c>
      <c r="AI44" s="33">
        <f>IFERROR(J44*Weights!$B$4 + O44*Weights!$B$5 + S44*Weights!$B$6 + Y44*Weights!$B$7 + AC44*Weights!$B$8 + AH44*Weights!$B$9,"")</f>
        <v/>
      </c>
      <c r="AJ44" s="33">
        <f>IF(AI44="","",IF(AI44&gt;=85,"✓✓✓",IF(AI44&gt;=70,"✓✓",IF(AI44&gt;=55,"✓",IF(AI44&gt;=40,"?","✗")))))</f>
        <v/>
      </c>
    </row>
    <row r="45">
      <c r="A45" s="33" t="inlineStr">
        <is>
          <t>ATKR</t>
        </is>
      </c>
      <c r="B45" s="33" t="inlineStr">
        <is>
          <t>Atkore Inc.</t>
        </is>
      </c>
      <c r="C45" s="33" t="inlineStr">
        <is>
          <t>02 Grid &amp; Power Equipment</t>
        </is>
      </c>
      <c r="D45" s="33" t="inlineStr">
        <is>
          <t>2026-05-18</t>
        </is>
      </c>
      <c r="E45" s="33" t="n">
        <v>12.197004</v>
      </c>
      <c r="F45" s="33" t="n">
        <v>10.426</v>
      </c>
      <c r="G45" s="33" t="n">
        <v>10.17</v>
      </c>
      <c r="H45" s="33" t="n">
        <v>0.87262046</v>
      </c>
      <c r="I45" s="33">
        <f>IF(OR(E45="",R45="",R45&lt;=0,E45&lt;0),"",E45/R45)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0.5</v>
      </c>
      <c r="L45" s="33" t="n">
        <v>20.87</v>
      </c>
      <c r="M45" s="33" t="n">
        <v>8.869999999999999</v>
      </c>
      <c r="N45" s="33" t="n">
        <v>1.66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-10.03</v>
      </c>
      <c r="Q45" s="33" t="n">
        <v>4.2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3</v>
      </c>
      <c r="U45" s="33" t="n">
        <v>3</v>
      </c>
      <c r="V45" s="33" t="n">
        <v>3</v>
      </c>
      <c r="W45" s="33" t="n">
        <v>4</v>
      </c>
      <c r="X45" s="33" t="n">
        <v>3</v>
      </c>
      <c r="Y45" s="33">
        <f>IFERROR(AVERAGE(T45,U45,V45,W45,X45)*20,"")</f>
        <v/>
      </c>
      <c r="Z45" s="33" t="n">
        <v>4</v>
      </c>
      <c r="AA45" s="33" t="n">
        <v>3</v>
      </c>
      <c r="AB45" s="33" t="n">
        <v>3</v>
      </c>
      <c r="AC45" s="33">
        <f>IFERROR(AVERAGE(Z45,AA45,AB45)*20,"")</f>
        <v/>
      </c>
      <c r="AD45" s="33" t="n">
        <v>4</v>
      </c>
      <c r="AE45" s="33" t="n">
        <v>4</v>
      </c>
      <c r="AF45" s="33" t="n">
        <v>4</v>
      </c>
      <c r="AG45" s="33" t="n">
        <v>4</v>
      </c>
      <c r="AH45" s="33">
        <f>IFERROR(AVERAGE(AD45,AE45,AF45,AG45)*20,"")</f>
        <v/>
      </c>
      <c r="AI45" s="33">
        <f>IFERROR(J45*Weights!$B$4 + O45*Weights!$B$5 + S45*Weights!$B$6 + Y45*Weights!$B$7 + AC45*Weights!$B$8 + AH45*Weights!$B$9,"")</f>
        <v/>
      </c>
      <c r="AJ45" s="33">
        <f>IF(AI45="","",IF(AI45&gt;=85,"✓✓✓",IF(AI45&gt;=70,"✓✓",IF(AI45&gt;=55,"✓",IF(AI45&gt;=40,"?","✗")))))</f>
        <v/>
      </c>
    </row>
    <row r="46">
      <c r="A46" s="33" t="inlineStr">
        <is>
          <t>DLR</t>
        </is>
      </c>
      <c r="B46" s="33" t="inlineStr">
        <is>
          <t>Digital Realty Trust, Inc.</t>
        </is>
      </c>
      <c r="C46" s="33" t="inlineStr">
        <is>
          <t>03 Data Center Construction, REITs &amp; Cooling</t>
        </is>
      </c>
      <c r="D46" s="33" t="inlineStr">
        <is>
          <t>2026-05-18</t>
        </is>
      </c>
      <c r="E46" s="33" t="n">
        <v>60.59057</v>
      </c>
      <c r="F46" s="33" t="n">
        <v>29.769</v>
      </c>
      <c r="G46" s="33" t="n">
        <v>4.84</v>
      </c>
      <c r="H46" s="33" t="n">
        <v>10.6793375</v>
      </c>
      <c r="I46" s="33">
        <f>IF(OR(E46="",R46="",R46&lt;=0,E46&lt;0),"",E46/R46)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4.1</v>
      </c>
      <c r="L46" s="33" t="n">
        <v>55.34</v>
      </c>
      <c r="M46" s="33" t="n">
        <v>51.66</v>
      </c>
      <c r="N46" s="33" t="n">
        <v>5.88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9.220000000000001</v>
      </c>
      <c r="Q46" s="33" t="n">
        <v>16.7</v>
      </c>
      <c r="R46" s="33" t="n">
        <v>63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5</v>
      </c>
      <c r="U46" s="33" t="n">
        <v>5</v>
      </c>
      <c r="V46" s="33" t="n">
        <v>4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2</v>
      </c>
      <c r="AA46" s="33" t="n">
        <v>4</v>
      </c>
      <c r="AB46" s="33" t="n">
        <v>3</v>
      </c>
      <c r="AC46" s="33">
        <f>IFERROR(AVERAGE(Z46,AA46,AB46)*20,"")</f>
        <v/>
      </c>
      <c r="AD46" s="33" t="n">
        <v>4</v>
      </c>
      <c r="AE46" s="33" t="n">
        <v>4</v>
      </c>
      <c r="AF46" s="33" t="n">
        <v>3</v>
      </c>
      <c r="AG46" s="33" t="n">
        <v>4</v>
      </c>
      <c r="AH46" s="33">
        <f>IFERROR(AVERAGE(AD46,AE46,AF46,AG46)*20,"")</f>
        <v/>
      </c>
      <c r="AI46" s="33">
        <f>IFERROR(J46*Weights!$B$4 + O46*Weights!$B$5 + S46*Weights!$B$6 + Y46*Weights!$B$7 + AC46*Weights!$B$8 + AH46*Weights!$B$9,"")</f>
        <v/>
      </c>
      <c r="AJ46" s="33">
        <f>IF(AI46="","",IF(AI46&gt;=85,"✓✓✓",IF(AI46&gt;=70,"✓✓",IF(AI46&gt;=55,"✓",IF(AI46&gt;=40,"?","✗")))))</f>
        <v/>
      </c>
    </row>
    <row r="47">
      <c r="A47" s="33" t="inlineStr">
        <is>
          <t>EQIX</t>
        </is>
      </c>
      <c r="B47" s="33" t="inlineStr">
        <is>
          <t>Equinix, Inc.</t>
        </is>
      </c>
      <c r="C47" s="33" t="inlineStr">
        <is>
          <t>03 Data Center Construction, REITs &amp; Cooling</t>
        </is>
      </c>
      <c r="D47" s="33" t="inlineStr">
        <is>
          <t>2026-05-18</t>
        </is>
      </c>
      <c r="E47" s="33" t="n">
        <v>56.276226</v>
      </c>
      <c r="F47" s="33" t="n">
        <v>29.538</v>
      </c>
      <c r="G47" s="33" t="n">
        <v>2.61</v>
      </c>
      <c r="H47" s="33" t="n">
        <v>10.968557</v>
      </c>
      <c r="I47" s="33">
        <f>IF(OR(E47="",R47="",R47&lt;=0,E47&lt;0),"",E47/R47)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4.9</v>
      </c>
      <c r="L47" s="33" t="n">
        <v>51.61</v>
      </c>
      <c r="M47" s="33" t="n">
        <v>28.61</v>
      </c>
      <c r="N47" s="33" t="n">
        <v>5.13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8.27</v>
      </c>
      <c r="Q47" s="33" t="n">
        <v>12.1</v>
      </c>
      <c r="R47" s="33" t="n">
        <v>21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5</v>
      </c>
      <c r="V47" s="33" t="n">
        <v>5</v>
      </c>
      <c r="W47" s="33" t="n">
        <v>5</v>
      </c>
      <c r="X47" s="33" t="n">
        <v>5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33">
        <f>IFERROR(AVERAGE(Z47,AA47,AB47)*20,"")</f>
        <v/>
      </c>
      <c r="AD47" s="33" t="n">
        <v>4</v>
      </c>
      <c r="AE47" s="33" t="n">
        <v>4</v>
      </c>
      <c r="AF47" s="33" t="n">
        <v>3</v>
      </c>
      <c r="AG47" s="33" t="n">
        <v>4</v>
      </c>
      <c r="AH47" s="33">
        <f>IFERROR(AVERAGE(AD47,AE47,AF47,AG47)*20,"")</f>
        <v/>
      </c>
      <c r="AI47" s="33">
        <f>IFERROR(J47*Weights!$B$4 + O47*Weights!$B$5 + S47*Weights!$B$6 + Y47*Weights!$B$7 + AC47*Weights!$B$8 + AH47*Weights!$B$9,"")</f>
        <v/>
      </c>
      <c r="AJ47" s="33">
        <f>IF(AI47="","",IF(AI47&gt;=85,"✓✓✓",IF(AI47&gt;=70,"✓✓",IF(AI47&gt;=55,"✓",IF(AI47&gt;=40,"?","✗")))))</f>
        <v/>
      </c>
    </row>
    <row r="48">
      <c r="A48" s="33" t="inlineStr">
        <is>
          <t>IRM</t>
        </is>
      </c>
      <c r="B48" s="33" t="inlineStr">
        <is>
          <t>Iron Mountain Incorporated</t>
        </is>
      </c>
      <c r="C48" s="33" t="inlineStr">
        <is>
          <t>03 Data Center Construction, REITs &amp; Cooling</t>
        </is>
      </c>
      <c r="D48" s="33" t="inlineStr">
        <is>
          <t>2026-05-18</t>
        </is>
      </c>
      <c r="E48" s="33" t="n">
        <v>46.777695</v>
      </c>
      <c r="F48" s="33" t="n">
        <v>23.275</v>
      </c>
      <c r="G48" s="33" t="n">
        <v>-1.34</v>
      </c>
      <c r="H48" s="33" t="n">
        <v>5.135897</v>
      </c>
      <c r="I48" s="33">
        <f>IF(OR(E48="",R48="",R48&lt;=0,E48&lt;0),"",E48/R48)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4.2</v>
      </c>
      <c r="L48" s="33" t="n">
        <v>55.02</v>
      </c>
      <c r="M48" s="33" t="n">
        <v>-6.89</v>
      </c>
      <c r="N48" s="33" t="n">
        <v>7.95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10.58</v>
      </c>
      <c r="Q48" s="33" t="n">
        <v>21.6</v>
      </c>
      <c r="R48" s="33" t="n">
        <v>800.6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4</v>
      </c>
      <c r="U48" s="33" t="n">
        <v>3</v>
      </c>
      <c r="V48" s="33" t="n">
        <v>3</v>
      </c>
      <c r="W48" s="33" t="n">
        <v>5</v>
      </c>
      <c r="X48" s="33" t="n">
        <v>4</v>
      </c>
      <c r="Y48" s="33">
        <f>IFERROR(AVERAGE(T48,U48,V48,W48,X48)*20,"")</f>
        <v/>
      </c>
      <c r="Z48" s="33" t="n">
        <v>4</v>
      </c>
      <c r="AA48" s="33" t="n">
        <v>5</v>
      </c>
      <c r="AB48" s="33" t="n">
        <v>3</v>
      </c>
      <c r="AC48" s="33">
        <f>IFERROR(AVERAGE(Z48,AA48,AB48)*20,"")</f>
        <v/>
      </c>
      <c r="AD48" s="33" t="n">
        <v>4</v>
      </c>
      <c r="AE48" s="33" t="n">
        <v>4</v>
      </c>
      <c r="AF48" s="33" t="n">
        <v>2</v>
      </c>
      <c r="AG48" s="33" t="n">
        <v>4</v>
      </c>
      <c r="AH48" s="33">
        <f>IFERROR(AVERAGE(AD48,AE48,AF48,AG48)*20,"")</f>
        <v/>
      </c>
      <c r="AI48" s="33">
        <f>IFERROR(J48*Weights!$B$4 + O48*Weights!$B$5 + S48*Weights!$B$6 + Y48*Weights!$B$7 + AC48*Weights!$B$8 + AH48*Weights!$B$9,"")</f>
        <v/>
      </c>
      <c r="AJ48" s="33">
        <f>IF(AI48="","",IF(AI48&gt;=85,"✓✓✓",IF(AI48&gt;=70,"✓✓",IF(AI48&gt;=55,"✓",IF(AI48&gt;=40,"?","✗")))))</f>
        <v/>
      </c>
    </row>
    <row r="49">
      <c r="A49" s="33" t="inlineStr">
        <is>
          <t>FIX</t>
        </is>
      </c>
      <c r="B49" s="33" t="inlineStr">
        <is>
          <t>Comfort Systems USA, Inc.</t>
        </is>
      </c>
      <c r="C49" s="33" t="inlineStr">
        <is>
          <t>03 Data Center Construction, REITs &amp; Cooling</t>
        </is>
      </c>
      <c r="D49" s="33" t="inlineStr">
        <is>
          <t>2026-05-18</t>
        </is>
      </c>
      <c r="E49" s="33" t="n">
        <v>38.03916</v>
      </c>
      <c r="F49" s="33" t="n">
        <v>41.905</v>
      </c>
      <c r="G49" s="33" t="n">
        <v>1.57</v>
      </c>
      <c r="H49" s="33" t="n">
        <v>6.921018</v>
      </c>
      <c r="I49" s="33">
        <f>IF(OR(E49="",R49="",R49&lt;=0,E49&lt;0),"",E49/R49)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35.1</v>
      </c>
      <c r="L49" s="33" t="n">
        <v>25.13</v>
      </c>
      <c r="M49" s="33" t="n">
        <v>10.85</v>
      </c>
      <c r="N49" s="33" t="n">
        <v>0.13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30.03</v>
      </c>
      <c r="Q49" s="33" t="n">
        <v>1</v>
      </c>
      <c r="R49" s="33" t="n">
        <v>38.2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5</v>
      </c>
      <c r="U49" s="33" t="n">
        <v>4</v>
      </c>
      <c r="V49" s="33" t="n">
        <v>4</v>
      </c>
      <c r="W49" s="33" t="n">
        <v>5</v>
      </c>
      <c r="X49" s="33" t="n">
        <v>5</v>
      </c>
      <c r="Y49" s="33">
        <f>IFERROR(AVERAGE(T49,U49,V49,W49,X49)*20,"")</f>
        <v/>
      </c>
      <c r="Z49" s="33" t="n">
        <v>5</v>
      </c>
      <c r="AA49" s="33" t="n">
        <v>5</v>
      </c>
      <c r="AB49" s="33" t="n">
        <v>3</v>
      </c>
      <c r="AC49" s="33">
        <f>IFERROR(AVERAGE(Z49,AA49,AB49)*20,"")</f>
        <v/>
      </c>
      <c r="AD49" s="33" t="n">
        <v>5</v>
      </c>
      <c r="AE49" s="33" t="n">
        <v>5</v>
      </c>
      <c r="AF49" s="33" t="n">
        <v>4</v>
      </c>
      <c r="AG49" s="33" t="n">
        <v>4</v>
      </c>
      <c r="AH49" s="33">
        <f>IFERROR(AVERAGE(AD49,AE49,AF49,AG49)*20,"")</f>
        <v/>
      </c>
      <c r="AI49" s="33">
        <f>IFERROR(J49*Weights!$B$4 + O49*Weights!$B$5 + S49*Weights!$B$6 + Y49*Weights!$B$7 + AC49*Weights!$B$8 + AH49*Weights!$B$9,"")</f>
        <v/>
      </c>
      <c r="AJ49" s="33">
        <f>IF(AI49="","",IF(AI49&gt;=85,"✓✓✓",IF(AI49&gt;=70,"✓✓",IF(AI49&gt;=55,"✓",IF(AI49&gt;=40,"?","✗")))))</f>
        <v/>
      </c>
    </row>
    <row r="50">
      <c r="A50" s="33" t="inlineStr">
        <is>
          <t>EME</t>
        </is>
      </c>
      <c r="B50" s="33" t="inlineStr">
        <is>
          <t>EMCOR Group, Inc.</t>
        </is>
      </c>
      <c r="C50" s="33" t="inlineStr">
        <is>
          <t>03 Data Center Construction, REITs &amp; Cooling</t>
        </is>
      </c>
      <c r="D50" s="33" t="inlineStr">
        <is>
          <t>2026-05-18</t>
        </is>
      </c>
      <c r="E50" s="33" t="n">
        <v>28.157326</v>
      </c>
      <c r="F50" s="33" t="n">
        <v>21.709</v>
      </c>
      <c r="G50" s="33" t="n">
        <v>2.19</v>
      </c>
      <c r="H50" s="33" t="n">
        <v>2.2912314</v>
      </c>
      <c r="I50" s="33">
        <f>IF(OR(E50="",R50="",R50&lt;=0,E50&lt;0),"",E50/R50)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30.9</v>
      </c>
      <c r="L50" s="33" t="n">
        <v>19.29</v>
      </c>
      <c r="M50" s="33" t="n">
        <v>5.02</v>
      </c>
      <c r="N50" s="33" t="n">
        <v>-0.22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15.32</v>
      </c>
      <c r="Q50" s="33" t="n">
        <v>19.7</v>
      </c>
      <c r="R50" s="33" t="n">
        <v>26.9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4</v>
      </c>
      <c r="Y50" s="33">
        <f>IFERROR(AVERAGE(T50,U50,V50,W50,X50)*20,"")</f>
        <v/>
      </c>
      <c r="Z50" s="33" t="n">
        <v>5</v>
      </c>
      <c r="AA50" s="33" t="n">
        <v>5</v>
      </c>
      <c r="AB50" s="33" t="n">
        <v>3</v>
      </c>
      <c r="AC50" s="33">
        <f>IFERROR(AVERAGE(Z50,AA50,AB50)*20,"")</f>
        <v/>
      </c>
      <c r="AD50" s="33" t="n">
        <v>5</v>
      </c>
      <c r="AE50" s="33" t="n">
        <v>5</v>
      </c>
      <c r="AF50" s="33" t="n">
        <v>5</v>
      </c>
      <c r="AG50" s="33" t="n">
        <v>4</v>
      </c>
      <c r="AH50" s="33">
        <f>IFERROR(AVERAGE(AD50,AE50,AF50,AG50)*20,"")</f>
        <v/>
      </c>
      <c r="AI50" s="33">
        <f>IFERROR(J50*Weights!$B$4 + O50*Weights!$B$5 + S50*Weights!$B$6 + Y50*Weights!$B$7 + AC50*Weights!$B$8 + AH50*Weights!$B$9,"")</f>
        <v/>
      </c>
      <c r="AJ50" s="33">
        <f>IF(AI50="","",IF(AI50&gt;=85,"✓✓✓",IF(AI50&gt;=70,"✓✓",IF(AI50&gt;=55,"✓",IF(AI50&gt;=40,"?","✗")))))</f>
        <v/>
      </c>
    </row>
    <row r="51">
      <c r="A51" s="33" t="inlineStr">
        <is>
          <t>MOD</t>
        </is>
      </c>
      <c r="B51" s="33" t="inlineStr">
        <is>
          <t>Modine Manufacturing Company</t>
        </is>
      </c>
      <c r="C51" s="33" t="inlineStr">
        <is>
          <t>03 Data Center Construction, REITs &amp; Cooling</t>
        </is>
      </c>
      <c r="D51" s="70" t="n">
        <v>46178</v>
      </c>
      <c r="E51" s="33" t="n">
        <v>36.77324</v>
      </c>
      <c r="F51" s="33" t="n">
        <v>35.668</v>
      </c>
      <c r="G51" s="33" t="n">
        <v>-0.77</v>
      </c>
      <c r="H51" s="33" t="n">
        <v>4.9771614</v>
      </c>
      <c r="I51" s="33">
        <f>IF(OR(E51="",R51="",R51&lt;=0,E51&lt;0),"",E51/R51)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16.2</v>
      </c>
      <c r="L51" s="33" t="n">
        <v>23.85</v>
      </c>
      <c r="M51" s="33" t="n">
        <v>-3.81</v>
      </c>
      <c r="N51" s="33" t="n">
        <v>1.56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8.01</v>
      </c>
      <c r="Q51" s="33" t="n">
        <v>47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4</v>
      </c>
      <c r="U51" s="33" t="n">
        <v>4</v>
      </c>
      <c r="V51" s="33" t="n">
        <v>3</v>
      </c>
      <c r="W51" s="33" t="n">
        <v>5</v>
      </c>
      <c r="X51" s="33" t="n">
        <v>5</v>
      </c>
      <c r="Y51" s="33">
        <f>IFERROR(AVERAGE(T51,U51,V51,W51,X51)*20,"")</f>
        <v/>
      </c>
      <c r="Z51" s="33" t="n">
        <v>4</v>
      </c>
      <c r="AA51" s="33" t="n">
        <v>5</v>
      </c>
      <c r="AB51" s="33" t="n">
        <v>3</v>
      </c>
      <c r="AC51" s="33">
        <f>IFERROR(AVERAGE(Z51,AA51,AB51)*20,"")</f>
        <v/>
      </c>
      <c r="AD51" s="33" t="n">
        <v>4</v>
      </c>
      <c r="AE51" s="33" t="n">
        <v>4</v>
      </c>
      <c r="AF51" s="33" t="n">
        <v>4</v>
      </c>
      <c r="AG51" s="33" t="n">
        <v>4</v>
      </c>
      <c r="AH51" s="33">
        <f>IFERROR(AVERAGE(AD51,AE51,AF51,AG51)*20,"")</f>
        <v/>
      </c>
      <c r="AI51" s="33">
        <f>IFERROR(J51*Weights!$B$4 + O51*Weights!$B$5 + S51*Weights!$B$6 + Y51*Weights!$B$7 + AC51*Weights!$B$8 + AH51*Weights!$B$9,"")</f>
        <v/>
      </c>
      <c r="AJ51" s="33">
        <f>IF(AI51="","",IF(AI51&gt;=85,"✓✓✓",IF(AI51&gt;=70,"✓✓",IF(AI51&gt;=55,"✓",IF(AI51&gt;=40,"?","✗")))))</f>
        <v/>
      </c>
    </row>
    <row r="52">
      <c r="A52" s="33" t="inlineStr">
        <is>
          <t>CARR</t>
        </is>
      </c>
      <c r="B52" s="33" t="inlineStr">
        <is>
          <t>Carrier Global Corporation</t>
        </is>
      </c>
      <c r="C52" s="33" t="inlineStr">
        <is>
          <t>03 Data Center Construction, REITs &amp; Cooling</t>
        </is>
      </c>
      <c r="D52" s="33" t="inlineStr">
        <is>
          <t>2026-05-18</t>
        </is>
      </c>
      <c r="E52" s="33" t="n">
        <v>20.207542</v>
      </c>
      <c r="F52" s="33" t="n">
        <v>20.778</v>
      </c>
      <c r="G52" s="33" t="n">
        <v>1.58</v>
      </c>
      <c r="H52" s="33" t="n">
        <v>2.4560418</v>
      </c>
      <c r="I52" s="33">
        <f>IF(OR(E52="",R52="",R52&lt;=0,E52&lt;0),"",E52/R52)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7.5</v>
      </c>
      <c r="L52" s="33" t="n">
        <v>25.18</v>
      </c>
      <c r="M52" s="33" t="n">
        <v>3.89</v>
      </c>
      <c r="N52" s="33" t="n">
        <v>3.57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7.95</v>
      </c>
      <c r="Q52" s="33" t="n">
        <v>2.4</v>
      </c>
      <c r="R52" s="33" t="n">
        <v>-42.2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3</v>
      </c>
      <c r="W52" s="33" t="n">
        <v>4</v>
      </c>
      <c r="X52" s="33" t="n">
        <v>4</v>
      </c>
      <c r="Y52" s="33">
        <f>IFERROR(AVERAGE(T52,U52,V52,W52,X52)*20,"")</f>
        <v/>
      </c>
      <c r="Z52" s="33" t="n">
        <v>3</v>
      </c>
      <c r="AA52" s="33" t="n">
        <v>4</v>
      </c>
      <c r="AB52" s="33" t="n">
        <v>3</v>
      </c>
      <c r="AC52" s="33">
        <f>IFERROR(AVERAGE(Z52,AA52,AB52)*20,"")</f>
        <v/>
      </c>
      <c r="AD52" s="33" t="n">
        <v>5</v>
      </c>
      <c r="AE52" s="33" t="n">
        <v>4</v>
      </c>
      <c r="AF52" s="33" t="n">
        <v>3</v>
      </c>
      <c r="AG52" s="33" t="n">
        <v>4</v>
      </c>
      <c r="AH52" s="33">
        <f>IFERROR(AVERAGE(AD52,AE52,AF52,AG52)*20,"")</f>
        <v/>
      </c>
      <c r="AI52" s="33">
        <f>IFERROR(J52*Weights!$B$4 + O52*Weights!$B$5 + S52*Weights!$B$6 + Y52*Weights!$B$7 + AC52*Weights!$B$8 + AH52*Weights!$B$9,"")</f>
        <v/>
      </c>
      <c r="AJ52" s="33">
        <f>IF(AI52="","",IF(AI52&gt;=85,"✓✓✓",IF(AI52&gt;=70,"✓✓",IF(AI52&gt;=55,"✓",IF(AI52&gt;=40,"?","✗")))))</f>
        <v/>
      </c>
    </row>
    <row r="53">
      <c r="A53" s="33" t="inlineStr">
        <is>
          <t>TT</t>
        </is>
      </c>
      <c r="B53" s="33" t="inlineStr">
        <is>
          <t>Trane Technologies plc</t>
        </is>
      </c>
      <c r="C53" s="33" t="inlineStr">
        <is>
          <t>03 Data Center Construction, REITs &amp; Cooling</t>
        </is>
      </c>
      <c r="D53" s="33" t="inlineStr">
        <is>
          <t>2026-05-18</t>
        </is>
      </c>
      <c r="E53" s="33" t="n">
        <v>27.390682</v>
      </c>
      <c r="F53" s="33" t="n">
        <v>25.206</v>
      </c>
      <c r="G53" s="33" t="n">
        <v>2.58</v>
      </c>
      <c r="H53" s="33" t="n">
        <v>4.7745886</v>
      </c>
      <c r="I53" s="33">
        <f>IF(OR(E53="",R53="",R53&lt;=0,E53&lt;0),"",E53/R53)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23.9</v>
      </c>
      <c r="L53" s="33" t="n">
        <v>35.92</v>
      </c>
      <c r="M53" s="33" t="n">
        <v>12.32</v>
      </c>
      <c r="N53" s="33" t="n">
        <v>0.84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10.06</v>
      </c>
      <c r="Q53" s="33" t="n">
        <v>6</v>
      </c>
      <c r="R53" s="33" t="n">
        <v>-3.4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5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3</v>
      </c>
      <c r="AB53" s="33" t="n">
        <v>3</v>
      </c>
      <c r="AC53" s="33">
        <f>IFERROR(AVERAGE(Z53,AA53,AB53)*20,"")</f>
        <v/>
      </c>
      <c r="AD53" s="33" t="n">
        <v>5</v>
      </c>
      <c r="AE53" s="33" t="n">
        <v>4</v>
      </c>
      <c r="AF53" s="33" t="n">
        <v>4</v>
      </c>
      <c r="AG53" s="33" t="n">
        <v>4</v>
      </c>
      <c r="AH53" s="33">
        <f>IFERROR(AVERAGE(AD53,AE53,AF53,AG53)*20,"")</f>
        <v/>
      </c>
      <c r="AI53" s="33">
        <f>IFERROR(J53*Weights!$B$4 + O53*Weights!$B$5 + S53*Weights!$B$6 + Y53*Weights!$B$7 + AC53*Weights!$B$8 + AH53*Weights!$B$9,"")</f>
        <v/>
      </c>
      <c r="AJ53" s="33">
        <f>IF(AI53="","",IF(AI53&gt;=85,"✓✓✓",IF(AI53&gt;=70,"✓✓",IF(AI53&gt;=55,"✓",IF(AI53&gt;=40,"?","✗")))))</f>
        <v/>
      </c>
    </row>
    <row r="54">
      <c r="A54" s="33" t="inlineStr">
        <is>
          <t>JCI</t>
        </is>
      </c>
      <c r="B54" s="33" t="inlineStr">
        <is>
          <t>Johnson Controls International plc</t>
        </is>
      </c>
      <c r="C54" s="33" t="inlineStr">
        <is>
          <t>03 Data Center Construction, REITs &amp; Cooling</t>
        </is>
      </c>
      <c r="D54" s="33" t="inlineStr">
        <is>
          <t>2026-05-18</t>
        </is>
      </c>
      <c r="E54" s="33" t="n">
        <v>25.163694</v>
      </c>
      <c r="F54" s="33" t="n">
        <v>22.256</v>
      </c>
      <c r="G54" s="33" t="n">
        <v>3.29</v>
      </c>
      <c r="H54" s="33" t="n">
        <v>3.5728455</v>
      </c>
      <c r="I54" s="33">
        <f>IF(OR(E54="",R54="",R54&lt;=0,E54&lt;0),"",E54/R54)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8.4</v>
      </c>
      <c r="L54" s="33" t="n">
        <v>36.56</v>
      </c>
      <c r="M54" s="33" t="n">
        <v>11.75</v>
      </c>
      <c r="N54" s="33" t="n">
        <v>2.04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4.57</v>
      </c>
      <c r="Q54" s="33" t="n">
        <v>8.199999999999999</v>
      </c>
      <c r="R54" s="33" t="n">
        <v>28.2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4</v>
      </c>
      <c r="V54" s="33" t="n">
        <v>4</v>
      </c>
      <c r="W54" s="33" t="n">
        <v>4</v>
      </c>
      <c r="X54" s="33" t="n">
        <v>4</v>
      </c>
      <c r="Y54" s="33">
        <f>IFERROR(AVERAGE(T54,U54,V54,W54,X54)*20,"")</f>
        <v/>
      </c>
      <c r="Z54" s="33" t="n">
        <v>5</v>
      </c>
      <c r="AA54" s="33" t="n">
        <v>4</v>
      </c>
      <c r="AB54" s="33" t="n">
        <v>3</v>
      </c>
      <c r="AC54" s="33">
        <f>IFERROR(AVERAGE(Z54,AA54,AB54)*20,"")</f>
        <v/>
      </c>
      <c r="AD54" s="33" t="n">
        <v>5</v>
      </c>
      <c r="AE54" s="33" t="n">
        <v>4</v>
      </c>
      <c r="AF54" s="33" t="n">
        <v>4</v>
      </c>
      <c r="AG54" s="33" t="n">
        <v>4</v>
      </c>
      <c r="AH54" s="33">
        <f>IFERROR(AVERAGE(AD54,AE54,AF54,AG54)*20,"")</f>
        <v/>
      </c>
      <c r="AI54" s="33">
        <f>IFERROR(J54*Weights!$B$4 + O54*Weights!$B$5 + S54*Weights!$B$6 + Y54*Weights!$B$7 + AC54*Weights!$B$8 + AH54*Weights!$B$9,"")</f>
        <v/>
      </c>
      <c r="AJ54" s="33">
        <f>IF(AI54="","",IF(AI54&gt;=85,"✓✓✓",IF(AI54&gt;=70,"✓✓",IF(AI54&gt;=55,"✓",IF(AI54&gt;=40,"?","✗")))))</f>
        <v/>
      </c>
    </row>
    <row r="55">
      <c r="A55" s="33" t="inlineStr">
        <is>
          <t>ASML</t>
        </is>
      </c>
      <c r="B55" s="33" t="inlineStr">
        <is>
          <t>ASML Holding N.V.</t>
        </is>
      </c>
      <c r="C55" s="33" t="inlineStr">
        <is>
          <t>04 Semiconductor Equipment &amp; Materials / Equipment</t>
        </is>
      </c>
      <c r="D55" s="33" t="inlineStr">
        <is>
          <t>2026-05-18</t>
        </is>
      </c>
      <c r="E55" s="33" t="n">
        <v>31.568121</v>
      </c>
      <c r="F55" s="33" t="n">
        <v>45.112</v>
      </c>
      <c r="G55" s="33" t="n">
        <v>1.42</v>
      </c>
      <c r="H55" s="33" t="n">
        <v>17.17951</v>
      </c>
      <c r="I55" s="33">
        <f>IF(OR(E55="",R55="",R55&lt;=0,E55&lt;0),"",E55/R55)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39.5</v>
      </c>
      <c r="L55" s="33" t="n">
        <v>52.6</v>
      </c>
      <c r="M55" s="33" t="n">
        <v>24.47</v>
      </c>
      <c r="N55" s="33" t="n">
        <v>-0.45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15.55</v>
      </c>
      <c r="Q55" s="33" t="n">
        <v>13.2</v>
      </c>
      <c r="R55" s="33" t="n">
        <v>17.1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4</v>
      </c>
      <c r="U55" s="33" t="n">
        <v>5</v>
      </c>
      <c r="V55" s="33" t="n">
        <v>5</v>
      </c>
      <c r="W55" s="33" t="n">
        <v>4</v>
      </c>
      <c r="X55" s="33" t="n">
        <v>4</v>
      </c>
      <c r="Y55" s="33">
        <f>IFERROR(AVERAGE(T55,U55,V55,W55,X55)*20,"")</f>
        <v/>
      </c>
      <c r="Z55" s="33" t="n">
        <v>4</v>
      </c>
      <c r="AA55" s="33" t="n">
        <v>2</v>
      </c>
      <c r="AB55" s="33" t="n">
        <v>3</v>
      </c>
      <c r="AC55" s="33">
        <f>IFERROR(AVERAGE(Z55,AA55,AB55)*20,"")</f>
        <v/>
      </c>
      <c r="AD55" s="33" t="n">
        <v>4</v>
      </c>
      <c r="AE55" s="33" t="n">
        <v>3</v>
      </c>
      <c r="AF55" s="33" t="n">
        <v>5</v>
      </c>
      <c r="AG55" s="33" t="n">
        <v>3</v>
      </c>
      <c r="AH55" s="33">
        <f>IFERROR(AVERAGE(AD55,AE55,AF55,AG55)*20,"")</f>
        <v/>
      </c>
      <c r="AI55" s="33">
        <f>IFERROR(J55*Weights!$B$4 + O55*Weights!$B$5 + S55*Weights!$B$6 + Y55*Weights!$B$7 + AC55*Weights!$B$8 + AH55*Weights!$B$9,"")</f>
        <v/>
      </c>
      <c r="AJ55" s="33">
        <f>IF(AI55="","",IF(AI55&gt;=85,"✓✓✓",IF(AI55&gt;=70,"✓✓",IF(AI55&gt;=55,"✓",IF(AI55&gt;=40,"?","✗")))))</f>
        <v/>
      </c>
    </row>
    <row r="56">
      <c r="A56" s="33" t="inlineStr">
        <is>
          <t>AMAT</t>
        </is>
      </c>
      <c r="B56" s="33" t="inlineStr">
        <is>
          <t>Applied Materials, Inc.</t>
        </is>
      </c>
      <c r="C56" s="33" t="inlineStr">
        <is>
          <t>04 Semiconductor Equipment &amp; Materials / Equipment</t>
        </is>
      </c>
      <c r="D56" s="33" t="inlineStr">
        <is>
          <t>2026-05-18</t>
        </is>
      </c>
      <c r="E56" s="33" t="n">
        <v>27.439754</v>
      </c>
      <c r="F56" s="33" t="n">
        <v>37.185</v>
      </c>
      <c r="G56" s="33" t="n">
        <v>0.91</v>
      </c>
      <c r="H56" s="33" t="n">
        <v>11.938601</v>
      </c>
      <c r="I56" s="33">
        <f>IF(OR(E56="",R56="",R56&lt;=0,E56&lt;0),"",E56/R56)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26.2</v>
      </c>
      <c r="L56" s="33" t="n">
        <v>48.96</v>
      </c>
      <c r="M56" s="33" t="n">
        <v>10.87</v>
      </c>
      <c r="N56" s="33" t="n">
        <v>-0.19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3.23</v>
      </c>
      <c r="Q56" s="33" t="n">
        <v>11.4</v>
      </c>
      <c r="R56" s="33" t="n">
        <v>31.3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4</v>
      </c>
      <c r="U56" s="33" t="n">
        <v>4</v>
      </c>
      <c r="V56" s="33" t="n">
        <v>4</v>
      </c>
      <c r="W56" s="33" t="n">
        <v>5</v>
      </c>
      <c r="X56" s="33" t="n">
        <v>4</v>
      </c>
      <c r="Y56" s="33">
        <f>IFERROR(AVERAGE(T56,U56,V56,W56,X56)*20,"")</f>
        <v/>
      </c>
      <c r="Z56" s="33" t="n">
        <v>4</v>
      </c>
      <c r="AA56" s="33" t="n">
        <v>3</v>
      </c>
      <c r="AB56" s="33" t="n">
        <v>3</v>
      </c>
      <c r="AC56" s="33">
        <f>IFERROR(AVERAGE(Z56,AA56,AB56)*20,"")</f>
        <v/>
      </c>
      <c r="AD56" s="33" t="n">
        <v>4</v>
      </c>
      <c r="AE56" s="33" t="n">
        <v>3</v>
      </c>
      <c r="AF56" s="33" t="n">
        <v>5</v>
      </c>
      <c r="AG56" s="33" t="n">
        <v>4</v>
      </c>
      <c r="AH56" s="33">
        <f>IFERROR(AVERAGE(AD56,AE56,AF56,AG56)*20,"")</f>
        <v/>
      </c>
      <c r="AI56" s="33">
        <f>IFERROR(J56*Weights!$B$4 + O56*Weights!$B$5 + S56*Weights!$B$6 + Y56*Weights!$B$7 + AC56*Weights!$B$8 + AH56*Weights!$B$9,"")</f>
        <v/>
      </c>
      <c r="AJ56" s="33">
        <f>IF(AI56="","",IF(AI56&gt;=85,"✓✓✓",IF(AI56&gt;=70,"✓✓",IF(AI56&gt;=55,"✓",IF(AI56&gt;=40,"?","✗")))))</f>
        <v/>
      </c>
    </row>
    <row r="57">
      <c r="A57" s="33" t="inlineStr">
        <is>
          <t>LRCX</t>
        </is>
      </c>
      <c r="B57" s="33" t="inlineStr">
        <is>
          <t>Lam Research Corporation</t>
        </is>
      </c>
      <c r="C57" s="33" t="inlineStr">
        <is>
          <t>04 Semiconductor Equipment &amp; Materials / Equipment</t>
        </is>
      </c>
      <c r="D57" s="33" t="inlineStr">
        <is>
          <t>2026-05-18</t>
        </is>
      </c>
      <c r="E57" s="33" t="n">
        <v>35.98157</v>
      </c>
      <c r="F57" s="33" t="n">
        <v>45.242</v>
      </c>
      <c r="G57" s="33" t="n">
        <v>1.22</v>
      </c>
      <c r="H57" s="33" t="n">
        <v>16.422153</v>
      </c>
      <c r="I57" s="33">
        <f>IF(OR(E57="",R57="",R57&lt;=0,E57&lt;0),"",E57/R57)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38.5</v>
      </c>
      <c r="L57" s="33" t="n">
        <v>49.98</v>
      </c>
      <c r="M57" s="33" t="n">
        <v>20.07</v>
      </c>
      <c r="N57" s="33" t="n">
        <v>-0.13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2.29</v>
      </c>
      <c r="Q57" s="33" t="n">
        <v>23.8</v>
      </c>
      <c r="R57" s="33" t="n">
        <v>37.2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4</v>
      </c>
      <c r="V57" s="33" t="n">
        <v>4</v>
      </c>
      <c r="W57" s="33" t="n">
        <v>5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4</v>
      </c>
      <c r="AB57" s="33" t="n">
        <v>3</v>
      </c>
      <c r="AC57" s="33">
        <f>IFERROR(AVERAGE(Z57,AA57,AB57)*20,"")</f>
        <v/>
      </c>
      <c r="AD57" s="33" t="n">
        <v>4</v>
      </c>
      <c r="AE57" s="33" t="n">
        <v>3</v>
      </c>
      <c r="AF57" s="33" t="n">
        <v>5</v>
      </c>
      <c r="AG57" s="33" t="n">
        <v>4</v>
      </c>
      <c r="AH57" s="33">
        <f>IFERROR(AVERAGE(AD57,AE57,AF57,AG57)*20,"")</f>
        <v/>
      </c>
      <c r="AI57" s="33">
        <f>IFERROR(J57*Weights!$B$4 + O57*Weights!$B$5 + S57*Weights!$B$6 + Y57*Weights!$B$7 + AC57*Weights!$B$8 + AH57*Weights!$B$9,"")</f>
        <v/>
      </c>
      <c r="AJ57" s="33">
        <f>IF(AI57="","",IF(AI57&gt;=85,"✓✓✓",IF(AI57&gt;=70,"✓✓",IF(AI57&gt;=55,"✓",IF(AI57&gt;=40,"?","✗")))))</f>
        <v/>
      </c>
    </row>
    <row r="58">
      <c r="A58" s="33" t="inlineStr">
        <is>
          <t>KLAC</t>
        </is>
      </c>
      <c r="B58" s="33" t="inlineStr">
        <is>
          <t>KLA Corporation</t>
        </is>
      </c>
      <c r="C58" s="33" t="inlineStr">
        <is>
          <t>04 Semiconductor Equipment &amp; Materials / Equipment</t>
        </is>
      </c>
      <c r="D58" s="33" t="inlineStr">
        <is>
          <t>2026-05-18</t>
        </is>
      </c>
      <c r="E58" s="33" t="n">
        <v>36.224842</v>
      </c>
      <c r="F58" s="33" t="n">
        <v>40.491</v>
      </c>
      <c r="G58" s="33" t="n">
        <v>1.23</v>
      </c>
      <c r="H58" s="33" t="n">
        <v>17.996483</v>
      </c>
      <c r="I58" s="33">
        <f>IF(OR(E58="",R58="",R58&lt;=0,E58&lt;0),"",E58/R58)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n">
        <v>40.1</v>
      </c>
      <c r="L58" s="33" t="n">
        <v>61.45</v>
      </c>
      <c r="M58" s="33" t="n">
        <v>22.07</v>
      </c>
      <c r="N58" s="33" t="n">
        <v>0.2</v>
      </c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9.69</v>
      </c>
      <c r="Q58" s="33" t="n">
        <v>11.5</v>
      </c>
      <c r="R58" s="33" t="n">
        <v>10.3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4</v>
      </c>
      <c r="U58" s="33" t="n">
        <v>5</v>
      </c>
      <c r="V58" s="33" t="n">
        <v>5</v>
      </c>
      <c r="W58" s="33" t="n">
        <v>4</v>
      </c>
      <c r="X58" s="33" t="n">
        <v>4</v>
      </c>
      <c r="Y58" s="33">
        <f>IFERROR(AVERAGE(T58,U58,V58,W58,X58)*20,"")</f>
        <v/>
      </c>
      <c r="Z58" s="33" t="n">
        <v>5</v>
      </c>
      <c r="AA58" s="33" t="n">
        <v>2</v>
      </c>
      <c r="AB58" s="33" t="n">
        <v>3</v>
      </c>
      <c r="AC58" s="33">
        <f>IFERROR(AVERAGE(Z58,AA58,AB58)*20,"")</f>
        <v/>
      </c>
      <c r="AD58" s="33" t="n">
        <v>4</v>
      </c>
      <c r="AE58" s="33" t="n">
        <v>3</v>
      </c>
      <c r="AF58" s="33" t="n">
        <v>5</v>
      </c>
      <c r="AG58" s="33" t="n">
        <v>4</v>
      </c>
      <c r="AH58" s="33">
        <f>IFERROR(AVERAGE(AD58,AE58,AF58,AG58)*20,"")</f>
        <v/>
      </c>
      <c r="AI58" s="33">
        <f>IFERROR(J58*Weights!$B$4 + O58*Weights!$B$5 + S58*Weights!$B$6 + Y58*Weights!$B$7 + AC58*Weights!$B$8 + AH58*Weights!$B$9,"")</f>
        <v/>
      </c>
      <c r="AJ58" s="33">
        <f>IF(AI58="","",IF(AI58&gt;=85,"✓✓✓",IF(AI58&gt;=70,"✓✓",IF(AI58&gt;=55,"✓",IF(AI58&gt;=40,"?","✗")))))</f>
        <v/>
      </c>
    </row>
    <row r="59">
      <c r="A59" s="33" t="inlineStr">
        <is>
          <t>TOELY</t>
        </is>
      </c>
      <c r="B59" s="33" t="inlineStr">
        <is>
          <t>Tokyo Electron Limited</t>
        </is>
      </c>
      <c r="C59" s="33" t="inlineStr">
        <is>
          <t>04 Semiconductor Equipment &amp; Materials / Equipment</t>
        </is>
      </c>
      <c r="D59" s="33" t="inlineStr">
        <is>
          <t>2026-05-18</t>
        </is>
      </c>
      <c r="F59" s="33" t="n">
        <v>-0.614</v>
      </c>
      <c r="G59" s="33" t="n">
        <v>157.33</v>
      </c>
      <c r="H59" s="33" t="n">
        <v>0.059595674</v>
      </c>
      <c r="I59" s="33">
        <f>IF(OR(E59="",R59="",R59&lt;=0,E59&lt;0),"",E59/R59)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/>
      <c r="L59" s="33" t="n">
        <v>45.34</v>
      </c>
      <c r="M59" s="33" t="n">
        <v>9.380000000000001</v>
      </c>
      <c r="N59" s="33" t="n">
        <v>-0.72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Q59" s="33" t="n">
        <v>8.6</v>
      </c>
      <c r="R59" s="33" t="n">
        <v>49.9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3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3</v>
      </c>
      <c r="AA59" s="33" t="n">
        <v>2</v>
      </c>
      <c r="AB59" s="33" t="n">
        <v>3</v>
      </c>
      <c r="AC59" s="33">
        <f>IFERROR(AVERAGE(Z59,AA59,AB59)*20,"")</f>
        <v/>
      </c>
      <c r="AD59" s="33" t="n">
        <v>4</v>
      </c>
      <c r="AE59" s="33" t="n">
        <v>3</v>
      </c>
      <c r="AF59" s="33" t="n">
        <v>5</v>
      </c>
      <c r="AG59" s="33" t="n">
        <v>4</v>
      </c>
      <c r="AH59" s="33">
        <f>IFERROR(AVERAGE(AD59,AE59,AF59,AG59)*20,"")</f>
        <v/>
      </c>
      <c r="AI59" s="33">
        <f>IFERROR(J59*Weights!$B$4 + O59*Weights!$B$5 + S59*Weights!$B$6 + Y59*Weights!$B$7 + AC59*Weights!$B$8 + AH59*Weights!$B$9,"")</f>
        <v/>
      </c>
      <c r="AJ59" s="33">
        <f>IF(AI59="","",IF(AI59&gt;=85,"✓✓✓",IF(AI59&gt;=70,"✓✓",IF(AI59&gt;=55,"✓",IF(AI59&gt;=40,"?","✗")))))</f>
        <v/>
      </c>
    </row>
    <row r="60">
      <c r="A60" s="33" t="inlineStr">
        <is>
          <t>TER</t>
        </is>
      </c>
      <c r="B60" s="33" t="inlineStr">
        <is>
          <t>Teradyne, Inc.</t>
        </is>
      </c>
      <c r="C60" s="33" t="inlineStr">
        <is>
          <t>04 Semiconductor Equipment &amp; Materials / Equipment</t>
        </is>
      </c>
      <c r="D60" s="33" t="inlineStr">
        <is>
          <t>2026-05-18</t>
        </is>
      </c>
      <c r="E60" s="33" t="n">
        <v>35.51689</v>
      </c>
      <c r="F60" s="33" t="n">
        <v>45.399</v>
      </c>
      <c r="G60" s="33" t="n">
        <v>0.5600000000000001</v>
      </c>
      <c r="H60" s="33" t="n">
        <v>13.967449</v>
      </c>
      <c r="I60" s="33">
        <f>IF(OR(E60="",R60="",R60&lt;=0,E60&lt;0),"",E60/R60)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n">
        <v>18.8</v>
      </c>
      <c r="L60" s="33" t="n">
        <v>58.7</v>
      </c>
      <c r="M60" s="33" t="n">
        <v>7.88</v>
      </c>
      <c r="N60" s="33" t="n">
        <v>-0.14</v>
      </c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0.37</v>
      </c>
      <c r="Q60" s="33" t="n">
        <v>87</v>
      </c>
      <c r="R60" s="33" t="n">
        <v>303.4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33">
        <f>IFERROR(AVERAGE(Z60,AA60,AB60)*20,"")</f>
        <v/>
      </c>
      <c r="AD60" s="33" t="n">
        <v>4</v>
      </c>
      <c r="AE60" s="33" t="n">
        <v>4</v>
      </c>
      <c r="AF60" s="33" t="n">
        <v>5</v>
      </c>
      <c r="AG60" s="33" t="n">
        <v>4</v>
      </c>
      <c r="AH60" s="33">
        <f>IFERROR(AVERAGE(AD60,AE60,AF60,AG60)*20,"")</f>
        <v/>
      </c>
      <c r="AI60" s="33">
        <f>IFERROR(J60*Weights!$B$4 + O60*Weights!$B$5 + S60*Weights!$B$6 + Y60*Weights!$B$7 + AC60*Weights!$B$8 + AH60*Weights!$B$9,"")</f>
        <v/>
      </c>
      <c r="AJ60" s="33">
        <f>IF(AI60="","",IF(AI60&gt;=85,"✓✓✓",IF(AI60&gt;=70,"✓✓",IF(AI60&gt;=55,"✓",IF(AI60&gt;=40,"?","✗")))))</f>
        <v/>
      </c>
    </row>
    <row r="61">
      <c r="A61" s="33" t="inlineStr">
        <is>
          <t>ONTO</t>
        </is>
      </c>
      <c r="B61" s="33" t="inlineStr">
        <is>
          <t>Onto Innovation Inc.</t>
        </is>
      </c>
      <c r="C61" s="33" t="inlineStr">
        <is>
          <t>04 Semiconductor Equipment &amp; Materials / Equipment</t>
        </is>
      </c>
      <c r="D61" s="33" t="inlineStr">
        <is>
          <t>2026-05-18</t>
        </is>
      </c>
      <c r="E61" s="33" t="n">
        <v>28.611673</v>
      </c>
      <c r="F61" s="33" t="n">
        <v>48.197</v>
      </c>
      <c r="G61" s="33" t="n">
        <v>1.46</v>
      </c>
      <c r="H61" s="33" t="n">
        <v>13.1173525</v>
      </c>
      <c r="I61" s="33">
        <f>IF(OR(E61="",R61="",R61&lt;=0,E61&lt;0),"",E61/R61)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6</v>
      </c>
      <c r="L61" s="33" t="n">
        <v>54.19</v>
      </c>
      <c r="M61" s="33" t="n">
        <v>19.14</v>
      </c>
      <c r="N61" s="33" t="n">
        <v>-2.45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0</v>
      </c>
      <c r="Q61" s="33" t="n">
        <v>9.5</v>
      </c>
      <c r="R61" s="33" t="n">
        <v>-47.3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4</v>
      </c>
      <c r="V61" s="33" t="n">
        <v>4</v>
      </c>
      <c r="W61" s="33" t="n">
        <v>5</v>
      </c>
      <c r="X61" s="33" t="n">
        <v>4</v>
      </c>
      <c r="Y61" s="33">
        <f>IFERROR(AVERAGE(T61,U61,V61,W61,X61)*20,"")</f>
        <v/>
      </c>
      <c r="Z61" s="33" t="n">
        <v>5</v>
      </c>
      <c r="AA61" s="33" t="n">
        <v>5</v>
      </c>
      <c r="AB61" s="33" t="n">
        <v>3</v>
      </c>
      <c r="AC61" s="33">
        <f>IFERROR(AVERAGE(Z61,AA61,AB61)*20,"")</f>
        <v/>
      </c>
      <c r="AD61" s="33" t="n">
        <v>4</v>
      </c>
      <c r="AE61" s="33" t="n">
        <v>4</v>
      </c>
      <c r="AF61" s="33" t="n">
        <v>5</v>
      </c>
      <c r="AG61" s="33" t="n">
        <v>4</v>
      </c>
      <c r="AH61" s="33">
        <f>IFERROR(AVERAGE(AD61,AE61,AF61,AG61)*20,"")</f>
        <v/>
      </c>
      <c r="AI61" s="33">
        <f>IFERROR(J61*Weights!$B$4 + O61*Weights!$B$5 + S61*Weights!$B$6 + Y61*Weights!$B$7 + AC61*Weights!$B$8 + AH61*Weights!$B$9,"")</f>
        <v/>
      </c>
      <c r="AJ61" s="33">
        <f>IF(AI61="","",IF(AI61&gt;=85,"✓✓✓",IF(AI61&gt;=70,"✓✓",IF(AI61&gt;=55,"✓",IF(AI61&gt;=40,"?","✗")))))</f>
        <v/>
      </c>
    </row>
    <row r="62">
      <c r="A62" s="33" t="inlineStr">
        <is>
          <t>CAMT</t>
        </is>
      </c>
      <c r="B62" s="33" t="inlineStr">
        <is>
          <t>Camtek Ltd.</t>
        </is>
      </c>
      <c r="C62" s="33" t="inlineStr">
        <is>
          <t>04 Semiconductor Equipment &amp; Materials / Equipment</t>
        </is>
      </c>
      <c r="D62" s="33" t="inlineStr">
        <is>
          <t>2026-05-18</t>
        </is>
      </c>
      <c r="E62" s="33" t="n">
        <v>37.205822</v>
      </c>
      <c r="F62" s="33" t="n">
        <v>54.639</v>
      </c>
      <c r="H62" s="33" t="n">
        <v>15.720244</v>
      </c>
      <c r="I62" s="33">
        <f>IF(OR(E62="",R62="",R62&lt;=0,E62&lt;0),"",E62/R62)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4.6</v>
      </c>
      <c r="L62" s="33" t="n">
        <v>50.97</v>
      </c>
      <c r="N62" s="33" t="n">
        <v>-1.32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15.63</v>
      </c>
      <c r="Q62" s="33" t="n">
        <v>2.5</v>
      </c>
      <c r="R62" s="33" t="n">
        <v>-7.8</v>
      </c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5</v>
      </c>
      <c r="U62" s="33" t="n">
        <v>3</v>
      </c>
      <c r="V62" s="33" t="n">
        <v>3</v>
      </c>
      <c r="W62" s="33" t="n">
        <v>4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2</v>
      </c>
      <c r="AB62" s="33" t="n">
        <v>3</v>
      </c>
      <c r="AC62" s="33">
        <f>IFERROR(AVERAGE(Z62,AA62,AB62)*20,"")</f>
        <v/>
      </c>
      <c r="AD62" s="33" t="n">
        <v>4</v>
      </c>
      <c r="AE62" s="33" t="n">
        <v>4</v>
      </c>
      <c r="AF62" s="33" t="n">
        <v>4</v>
      </c>
      <c r="AG62" s="33" t="n">
        <v>4</v>
      </c>
      <c r="AH62" s="33">
        <f>IFERROR(AVERAGE(AD62,AE62,AF62,AG62)*20,"")</f>
        <v/>
      </c>
      <c r="AI62" s="33">
        <f>IFERROR(J62*Weights!$B$4 + O62*Weights!$B$5 + S62*Weights!$B$6 + Y62*Weights!$B$7 + AC62*Weights!$B$8 + AH62*Weights!$B$9,"")</f>
        <v/>
      </c>
      <c r="AJ62" s="33">
        <f>IF(AI62="","",IF(AI62&gt;=85,"✓✓✓",IF(AI62&gt;=70,"✓✓",IF(AI62&gt;=55,"✓",IF(AI62&gt;=40,"?","✗")))))</f>
        <v/>
      </c>
    </row>
    <row r="63">
      <c r="A63" s="33" t="inlineStr">
        <is>
          <t>KLIC</t>
        </is>
      </c>
      <c r="B63" s="33" t="inlineStr">
        <is>
          <t>Kulicke and Soffa Industries, Inc.</t>
        </is>
      </c>
      <c r="C63" s="33" t="inlineStr">
        <is>
          <t>04 Semiconductor Equipment &amp; Materials / Equipment</t>
        </is>
      </c>
      <c r="D63" s="33" t="inlineStr">
        <is>
          <t>2026-05-18</t>
        </is>
      </c>
      <c r="E63" s="33" t="n">
        <v>24.084953</v>
      </c>
      <c r="F63" s="33" t="n">
        <v>41.767</v>
      </c>
      <c r="G63" s="33" t="n">
        <v>0.33</v>
      </c>
      <c r="H63" s="33" t="n">
        <v>6.9512215</v>
      </c>
      <c r="I63" s="33">
        <f>IF(OR(E63="",R63="",R63&lt;=0,E63&lt;0),"",E63/R63)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1.2</v>
      </c>
      <c r="L63" s="33" t="n">
        <v>53.56</v>
      </c>
      <c r="M63" s="33" t="n">
        <v>2.31</v>
      </c>
      <c r="N63" s="33" t="n">
        <v>-3.83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-24.23</v>
      </c>
      <c r="Q63" s="33" t="n">
        <v>49.8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3</v>
      </c>
      <c r="V63" s="33" t="n">
        <v>3</v>
      </c>
      <c r="W63" s="33" t="n">
        <v>5</v>
      </c>
      <c r="X63" s="33" t="n">
        <v>4</v>
      </c>
      <c r="Y63" s="33">
        <f>IFERROR(AVERAGE(T63,U63,V63,W63,X63)*20,"")</f>
        <v/>
      </c>
      <c r="Z63" s="33" t="n">
        <v>3</v>
      </c>
      <c r="AA63" s="33" t="n">
        <v>5</v>
      </c>
      <c r="AB63" s="33" t="n">
        <v>3</v>
      </c>
      <c r="AC63" s="33">
        <f>IFERROR(AVERAGE(Z63,AA63,AB63)*20,"")</f>
        <v/>
      </c>
      <c r="AD63" s="33" t="n">
        <v>4</v>
      </c>
      <c r="AE63" s="33" t="n">
        <v>4</v>
      </c>
      <c r="AF63" s="33" t="n">
        <v>4</v>
      </c>
      <c r="AG63" s="33" t="n">
        <v>4</v>
      </c>
      <c r="AH63" s="33">
        <f>IFERROR(AVERAGE(AD63,AE63,AF63,AG63)*20,"")</f>
        <v/>
      </c>
      <c r="AI63" s="33">
        <f>IFERROR(J63*Weights!$B$4 + O63*Weights!$B$5 + S63*Weights!$B$6 + Y63*Weights!$B$7 + AC63*Weights!$B$8 + AH63*Weights!$B$9,"")</f>
        <v/>
      </c>
      <c r="AJ63" s="33">
        <f>IF(AI63="","",IF(AI63&gt;=85,"✓✓✓",IF(AI63&gt;=70,"✓✓",IF(AI63&gt;=55,"✓",IF(AI63&gt;=40,"?","✗")))))</f>
        <v/>
      </c>
    </row>
    <row r="64">
      <c r="A64" s="33" t="inlineStr">
        <is>
          <t>ENTG</t>
        </is>
      </c>
      <c r="B64" s="33" t="inlineStr">
        <is>
          <t>Entegris, Inc.</t>
        </is>
      </c>
      <c r="C64" s="33" t="inlineStr">
        <is>
          <t>04 Semiconductor Equipment &amp; Materials / Materials &amp; consumables</t>
        </is>
      </c>
      <c r="D64" s="33" t="inlineStr">
        <is>
          <t>2026-05-18</t>
        </is>
      </c>
      <c r="E64" s="33" t="n">
        <v>28.838923</v>
      </c>
      <c r="F64" s="33" t="n">
        <v>26.806</v>
      </c>
      <c r="G64" s="33" t="n">
        <v>2.2</v>
      </c>
      <c r="H64" s="33" t="n">
        <v>6.2641983</v>
      </c>
      <c r="I64" s="33">
        <f>IF(OR(E64="",R64="",R64&lt;=0,E64&lt;0),"",E64/R64)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5.4</v>
      </c>
      <c r="L64" s="33" t="n">
        <v>44.77</v>
      </c>
      <c r="M64" s="33" t="n">
        <v>13.76</v>
      </c>
      <c r="N64" s="33" t="n">
        <v>3.76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-0.88</v>
      </c>
      <c r="Q64" s="33" t="n">
        <v>5</v>
      </c>
      <c r="R64" s="33" t="n">
        <v>46.3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4</v>
      </c>
      <c r="V64" s="33" t="n">
        <v>4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4</v>
      </c>
      <c r="AA64" s="33" t="n">
        <v>3</v>
      </c>
      <c r="AB64" s="33" t="n">
        <v>3</v>
      </c>
      <c r="AC64" s="33">
        <f>IFERROR(AVERAGE(Z64,AA64,AB64)*20,"")</f>
        <v/>
      </c>
      <c r="AD64" s="33" t="n">
        <v>4</v>
      </c>
      <c r="AE64" s="33" t="n">
        <v>4</v>
      </c>
      <c r="AF64" s="33" t="n">
        <v>4</v>
      </c>
      <c r="AG64" s="33" t="n">
        <v>4</v>
      </c>
      <c r="AH64" s="33">
        <f>IFERROR(AVERAGE(AD64,AE64,AF64,AG64)*20,"")</f>
        <v/>
      </c>
      <c r="AI64" s="33">
        <f>IFERROR(J64*Weights!$B$4 + O64*Weights!$B$5 + S64*Weights!$B$6 + Y64*Weights!$B$7 + AC64*Weights!$B$8 + AH64*Weights!$B$9,"")</f>
        <v/>
      </c>
      <c r="AJ64" s="33">
        <f>IF(AI64="","",IF(AI64&gt;=85,"✓✓✓",IF(AI64&gt;=70,"✓✓",IF(AI64&gt;=55,"✓",IF(AI64&gt;=40,"?","✗")))))</f>
        <v/>
      </c>
    </row>
    <row r="65">
      <c r="A65" s="33" t="inlineStr">
        <is>
          <t>MKSI</t>
        </is>
      </c>
      <c r="B65" s="33" t="inlineStr">
        <is>
          <t>MKS Inc.</t>
        </is>
      </c>
      <c r="C65" s="33" t="inlineStr">
        <is>
          <t>04 Semiconductor Equipment &amp; Materials / Materials &amp; consumables</t>
        </is>
      </c>
      <c r="D65" s="33" t="inlineStr">
        <is>
          <t>2026-05-18</t>
        </is>
      </c>
      <c r="E65" s="33" t="n">
        <v>20.62861</v>
      </c>
      <c r="F65" s="33" t="n">
        <v>25.718</v>
      </c>
      <c r="G65" s="33" t="n">
        <v>2.39</v>
      </c>
      <c r="H65" s="33" t="n">
        <v>5.027585</v>
      </c>
      <c r="I65" s="33">
        <f>IF(OR(E65="",R65="",R65&lt;=0,E65&lt;0),"",E65/R65)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7.2</v>
      </c>
      <c r="L65" s="33" t="n">
        <v>46.65</v>
      </c>
      <c r="M65" s="33" t="n">
        <v>12</v>
      </c>
      <c r="N65" s="33" t="n">
        <v>3.96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3.49</v>
      </c>
      <c r="Q65" s="33" t="n">
        <v>15.2</v>
      </c>
      <c r="R65" s="33" t="n">
        <v>61.5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4</v>
      </c>
      <c r="U65" s="33" t="n">
        <v>3</v>
      </c>
      <c r="V65" s="33" t="n">
        <v>3</v>
      </c>
      <c r="W65" s="33" t="n">
        <v>4</v>
      </c>
      <c r="X65" s="33" t="n">
        <v>4</v>
      </c>
      <c r="Y65" s="33">
        <f>IFERROR(AVERAGE(T65,U65,V65,W65,X65)*20,"")</f>
        <v/>
      </c>
      <c r="Z65" s="33" t="n">
        <v>5</v>
      </c>
      <c r="AA65" s="33" t="n">
        <v>5</v>
      </c>
      <c r="AB65" s="33" t="n">
        <v>3</v>
      </c>
      <c r="AC65" s="33">
        <f>IFERROR(AVERAGE(Z65,AA65,AB65)*20,"")</f>
        <v/>
      </c>
      <c r="AD65" s="33" t="n">
        <v>4</v>
      </c>
      <c r="AE65" s="33" t="n">
        <v>4</v>
      </c>
      <c r="AF65" s="33" t="n">
        <v>4</v>
      </c>
      <c r="AG65" s="33" t="n">
        <v>4</v>
      </c>
      <c r="AH65" s="33">
        <f>IFERROR(AVERAGE(AD65,AE65,AF65,AG65)*20,"")</f>
        <v/>
      </c>
      <c r="AI65" s="33">
        <f>IFERROR(J65*Weights!$B$4 + O65*Weights!$B$5 + S65*Weights!$B$6 + Y65*Weights!$B$7 + AC65*Weights!$B$8 + AH65*Weights!$B$9,"")</f>
        <v/>
      </c>
      <c r="AJ65" s="33">
        <f>IF(AI65="","",IF(AI65&gt;=85,"✓✓✓",IF(AI65&gt;=70,"✓✓",IF(AI65&gt;=55,"✓",IF(AI65&gt;=40,"?","✗")))))</f>
        <v/>
      </c>
    </row>
    <row r="66">
      <c r="A66" s="33" t="inlineStr">
        <is>
          <t>PLAB</t>
        </is>
      </c>
      <c r="B66" s="33" t="inlineStr">
        <is>
          <t>Photronics, Inc.</t>
        </is>
      </c>
      <c r="C66" s="33" t="inlineStr">
        <is>
          <t>04 Semiconductor Equipment &amp; Materials / Materials &amp; consumables</t>
        </is>
      </c>
      <c r="D66" s="33" t="inlineStr">
        <is>
          <t>2026-05-18</t>
        </is>
      </c>
      <c r="E66" s="33" t="n">
        <v>21.194916</v>
      </c>
      <c r="F66" s="33" t="n">
        <v>9.571</v>
      </c>
      <c r="G66" s="33" t="n">
        <v>1.24</v>
      </c>
      <c r="H66" s="33" t="n">
        <v>3.4208114</v>
      </c>
      <c r="I66" s="33">
        <f>IF(OR(E66="",R66="",R66&lt;=0,E66&lt;0),"",E66/R66)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16.1</v>
      </c>
      <c r="L66" s="33" t="n">
        <v>35.14</v>
      </c>
      <c r="M66" s="33" t="n">
        <v>4.23</v>
      </c>
      <c r="N66" s="33" t="n">
        <v>-2.22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0.99</v>
      </c>
      <c r="Q66" s="33" t="n">
        <v>6.1</v>
      </c>
      <c r="R66" s="33" t="n">
        <v>0.2</v>
      </c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3</v>
      </c>
      <c r="U66" s="33" t="n">
        <v>3</v>
      </c>
      <c r="V66" s="33" t="n">
        <v>3</v>
      </c>
      <c r="W66" s="33" t="n">
        <v>4</v>
      </c>
      <c r="X66" s="33" t="n">
        <v>3</v>
      </c>
      <c r="Y66" s="33">
        <f>IFERROR(AVERAGE(T66,U66,V66,W66,X66)*20,"")</f>
        <v/>
      </c>
      <c r="Z66" s="33" t="n">
        <v>3</v>
      </c>
      <c r="AA66" s="33" t="n">
        <v>5</v>
      </c>
      <c r="AB66" s="33" t="n">
        <v>3</v>
      </c>
      <c r="AC66" s="33">
        <f>IFERROR(AVERAGE(Z66,AA66,AB66)*20,"")</f>
        <v/>
      </c>
      <c r="AD66" s="33" t="n">
        <v>4</v>
      </c>
      <c r="AE66" s="33" t="n">
        <v>4</v>
      </c>
      <c r="AF66" s="33" t="n">
        <v>5</v>
      </c>
      <c r="AG66" s="33" t="n">
        <v>4</v>
      </c>
      <c r="AH66" s="33">
        <f>IFERROR(AVERAGE(AD66,AE66,AF66,AG66)*20,"")</f>
        <v/>
      </c>
      <c r="AI66" s="33">
        <f>IFERROR(J66*Weights!$B$4 + O66*Weights!$B$5 + S66*Weights!$B$6 + Y66*Weights!$B$7 + AC66*Weights!$B$8 + AH66*Weights!$B$9,"")</f>
        <v/>
      </c>
      <c r="AJ66" s="33">
        <f>IF(AI66="","",IF(AI66&gt;=85,"✓✓✓",IF(AI66&gt;=70,"✓✓",IF(AI66&gt;=55,"✓",IF(AI66&gt;=40,"?","✗")))))</f>
        <v/>
      </c>
    </row>
    <row r="67">
      <c r="A67" s="33" t="inlineStr">
        <is>
          <t>UCTT</t>
        </is>
      </c>
      <c r="B67" s="33" t="inlineStr">
        <is>
          <t>Ultra Clean Holdings, Inc.</t>
        </is>
      </c>
      <c r="C67" s="33" t="inlineStr">
        <is>
          <t>04 Semiconductor Equipment &amp; Materials / Materials &amp; consumables</t>
        </is>
      </c>
      <c r="D67" s="33" t="inlineStr">
        <is>
          <t>2026-05-18</t>
        </is>
      </c>
      <c r="E67" s="33" t="n">
        <v>22.78065</v>
      </c>
      <c r="F67" s="33" t="n">
        <v>37.024</v>
      </c>
      <c r="G67" s="33" t="n">
        <v>-0.95</v>
      </c>
      <c r="H67" s="33" t="n">
        <v>1.8619441</v>
      </c>
      <c r="I67" s="33">
        <f>IF(OR(E67="",R67="",R67&lt;=0,E67&lt;0),"",E67/R67)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2.5</v>
      </c>
      <c r="L67" s="33" t="n">
        <v>15.62</v>
      </c>
      <c r="M67" s="33" t="n">
        <v>-1.77</v>
      </c>
      <c r="N67" s="33" t="n">
        <v>3.86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-4.72</v>
      </c>
      <c r="Q67" s="33" t="n">
        <v>2.9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3</v>
      </c>
      <c r="V67" s="33" t="n">
        <v>3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4</v>
      </c>
      <c r="AA67" s="33" t="n">
        <v>5</v>
      </c>
      <c r="AB67" s="33" t="n">
        <v>3</v>
      </c>
      <c r="AC67" s="33">
        <f>IFERROR(AVERAGE(Z67,AA67,AB67)*20,"")</f>
        <v/>
      </c>
      <c r="AD67" s="33" t="n">
        <v>4</v>
      </c>
      <c r="AE67" s="33" t="n">
        <v>4</v>
      </c>
      <c r="AF67" s="33" t="n">
        <v>4</v>
      </c>
      <c r="AG67" s="33" t="n">
        <v>4</v>
      </c>
      <c r="AH67" s="33">
        <f>IFERROR(AVERAGE(AD67,AE67,AF67,AG67)*20,"")</f>
        <v/>
      </c>
      <c r="AI67" s="33">
        <f>IFERROR(J67*Weights!$B$4 + O67*Weights!$B$5 + S67*Weights!$B$6 + Y67*Weights!$B$7 + AC67*Weights!$B$8 + AH67*Weights!$B$9,"")</f>
        <v/>
      </c>
      <c r="AJ67" s="33">
        <f>IF(AI67="","",IF(AI67&gt;=85,"✓✓✓",IF(AI67&gt;=70,"✓✓",IF(AI67&gt;=55,"✓",IF(AI67&gt;=40,"?","✗")))))</f>
        <v/>
      </c>
    </row>
    <row r="68">
      <c r="A68" s="33" t="inlineStr">
        <is>
          <t>CDNS</t>
        </is>
      </c>
      <c r="B68" s="33" t="inlineStr">
        <is>
          <t>Cadence Design Systems, Inc.</t>
        </is>
      </c>
      <c r="C68" s="33" t="inlineStr">
        <is>
          <t>04 Semiconductor Equipment &amp; Materials / EDA &amp; IP</t>
        </is>
      </c>
      <c r="D68" s="33" t="inlineStr">
        <is>
          <t>2026-05-18</t>
        </is>
      </c>
      <c r="E68" s="33" t="n">
        <v>37.016506</v>
      </c>
      <c r="F68" s="33" t="n">
        <v>48.312</v>
      </c>
      <c r="G68" s="33" t="n">
        <v>1.57</v>
      </c>
      <c r="H68" s="33" t="n">
        <v>17.323395</v>
      </c>
      <c r="I68" s="33">
        <f>IF(OR(E68="",R68="",R68&lt;=0,E68&lt;0),"",E68/R68)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14.8</v>
      </c>
      <c r="L68" s="33" t="n">
        <v>86.08</v>
      </c>
      <c r="M68" s="33" t="n">
        <v>27.12</v>
      </c>
      <c r="N68" s="33" t="n">
        <v>0.76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14.14</v>
      </c>
      <c r="Q68" s="33" t="n">
        <v>18.7</v>
      </c>
      <c r="R68" s="33" t="n">
        <v>22.7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4</v>
      </c>
      <c r="X68" s="33" t="n">
        <v>4</v>
      </c>
      <c r="Y68" s="33">
        <f>IFERROR(AVERAGE(T68,U68,V68,W68,X68)*20,"")</f>
        <v/>
      </c>
      <c r="Z68" s="33" t="n">
        <v>3</v>
      </c>
      <c r="AA68" s="33" t="n">
        <v>1</v>
      </c>
      <c r="AB68" s="33" t="n">
        <v>3</v>
      </c>
      <c r="AC68" s="33">
        <f>IFERROR(AVERAGE(Z68,AA68,AB68)*20,"")</f>
        <v/>
      </c>
      <c r="AD68" s="33" t="n">
        <v>5</v>
      </c>
      <c r="AE68" s="33" t="n">
        <v>4</v>
      </c>
      <c r="AF68" s="33" t="n">
        <v>4</v>
      </c>
      <c r="AG68" s="33" t="n">
        <v>4</v>
      </c>
      <c r="AH68" s="33">
        <f>IFERROR(AVERAGE(AD68,AE68,AF68,AG68)*20,"")</f>
        <v/>
      </c>
      <c r="AI68" s="33">
        <f>IFERROR(J68*Weights!$B$4 + O68*Weights!$B$5 + S68*Weights!$B$6 + Y68*Weights!$B$7 + AC68*Weights!$B$8 + AH68*Weights!$B$9,"")</f>
        <v/>
      </c>
      <c r="AJ68" s="33">
        <f>IF(AI68="","",IF(AI68&gt;=85,"✓✓✓",IF(AI68&gt;=70,"✓✓",IF(AI68&gt;=55,"✓",IF(AI68&gt;=40,"?","✗")))))</f>
        <v/>
      </c>
    </row>
    <row r="69">
      <c r="A69" s="33" t="inlineStr">
        <is>
          <t>SNPS</t>
        </is>
      </c>
      <c r="B69" s="33" t="inlineStr">
        <is>
          <t>Synopsys, Inc.</t>
        </is>
      </c>
      <c r="C69" s="33" t="inlineStr">
        <is>
          <t>04 Semiconductor Equipment &amp; Materials / EDA &amp; IP</t>
        </is>
      </c>
      <c r="D69" s="33" t="inlineStr">
        <is>
          <t>2026-05-18</t>
        </is>
      </c>
      <c r="E69" s="33" t="n">
        <v>29.457893</v>
      </c>
      <c r="F69" s="33" t="n">
        <v>64.95699999999999</v>
      </c>
      <c r="G69" s="33" t="n">
        <v>3.22</v>
      </c>
      <c r="H69" s="33" t="n">
        <v>12.019065</v>
      </c>
      <c r="I69" s="33">
        <f>IF(OR(E69="",R69="",R69&lt;=0,E69&lt;0),"",E69/R69)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4.1</v>
      </c>
      <c r="L69" s="33" t="n">
        <v>82.02</v>
      </c>
      <c r="M69" s="33" t="n">
        <v>38.67</v>
      </c>
      <c r="N69" s="33" t="n">
        <v>5.37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15.19</v>
      </c>
      <c r="Q69" s="33" t="n">
        <v>65.5</v>
      </c>
      <c r="R69" s="33" t="n">
        <v>-78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4</v>
      </c>
      <c r="V69" s="33" t="n">
        <v>5</v>
      </c>
      <c r="W69" s="33" t="n">
        <v>5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33">
        <f>IFERROR(AVERAGE(Z69,AA69,AB69)*20,"")</f>
        <v/>
      </c>
      <c r="AD69" s="33" t="n">
        <v>5</v>
      </c>
      <c r="AE69" s="33" t="n">
        <v>4</v>
      </c>
      <c r="AF69" s="33" t="n">
        <v>4</v>
      </c>
      <c r="AG69" s="33" t="n">
        <v>4</v>
      </c>
      <c r="AH69" s="33">
        <f>IFERROR(AVERAGE(AD69,AE69,AF69,AG69)*20,"")</f>
        <v/>
      </c>
      <c r="AI69" s="33">
        <f>IFERROR(J69*Weights!$B$4 + O69*Weights!$B$5 + S69*Weights!$B$6 + Y69*Weights!$B$7 + AC69*Weights!$B$8 + AH69*Weights!$B$9,"")</f>
        <v/>
      </c>
      <c r="AJ69" s="33">
        <f>IF(AI69="","",IF(AI69&gt;=85,"✓✓✓",IF(AI69&gt;=70,"✓✓",IF(AI69&gt;=55,"✓",IF(AI69&gt;=40,"?","✗")))))</f>
        <v/>
      </c>
    </row>
    <row r="70">
      <c r="A70" s="33" t="inlineStr">
        <is>
          <t>ARM</t>
        </is>
      </c>
      <c r="B70" s="33" t="inlineStr">
        <is>
          <t>Arm Holdings plc</t>
        </is>
      </c>
      <c r="C70" s="33" t="inlineStr">
        <is>
          <t>04 Semiconductor Equipment &amp; Materials / EDA &amp; IP</t>
        </is>
      </c>
      <c r="D70" s="33" t="inlineStr">
        <is>
          <t>2026-05-18</t>
        </is>
      </c>
      <c r="E70" s="33" t="n">
        <v>68.50539999999999</v>
      </c>
      <c r="F70" s="33" t="n">
        <v>202.029</v>
      </c>
      <c r="G70" s="33" t="n">
        <v>0.37</v>
      </c>
      <c r="H70" s="33" t="n">
        <v>47.644176</v>
      </c>
      <c r="I70" s="33">
        <f>IF(OR(E70="",R70="",R70&lt;=0,E70&lt;0),"",E70/R70)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/>
      <c r="L70" s="33" t="n">
        <v>97.5</v>
      </c>
      <c r="M70" s="33" t="n">
        <v>17.66</v>
      </c>
      <c r="N70" s="33" t="n">
        <v>-2.92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Q70" s="33" t="n">
        <v>20.1</v>
      </c>
      <c r="R70" s="33" t="n">
        <v>49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4</v>
      </c>
      <c r="X70" s="33" t="n">
        <v>5</v>
      </c>
      <c r="Y70" s="33">
        <f>IFERROR(AVERAGE(T70,U70,V70,W70,X70)*20,"")</f>
        <v/>
      </c>
      <c r="Z70" s="33" t="n">
        <v>4</v>
      </c>
      <c r="AA70" s="33" t="n">
        <v>2</v>
      </c>
      <c r="AB70" s="33" t="n">
        <v>3</v>
      </c>
      <c r="AC70" s="33">
        <f>IFERROR(AVERAGE(Z70,AA70,AB70)*20,"")</f>
        <v/>
      </c>
      <c r="AD70" s="33" t="n">
        <v>5</v>
      </c>
      <c r="AE70" s="33" t="n">
        <v>4</v>
      </c>
      <c r="AF70" s="33" t="n">
        <v>5</v>
      </c>
      <c r="AG70" s="33" t="n">
        <v>3</v>
      </c>
      <c r="AH70" s="33">
        <f>IFERROR(AVERAGE(AD70,AE70,AF70,AG70)*20,"")</f>
        <v/>
      </c>
      <c r="AI70" s="33">
        <f>IFERROR(J70*Weights!$B$4 + O70*Weights!$B$5 + S70*Weights!$B$6 + Y70*Weights!$B$7 + AC70*Weights!$B$8 + AH70*Weights!$B$9,"")</f>
        <v/>
      </c>
      <c r="AJ70" s="33">
        <f>IF(AI70="","",IF(AI70&gt;=85,"✓✓✓",IF(AI70&gt;=70,"✓✓",IF(AI70&gt;=55,"✓",IF(AI70&gt;=40,"?","✗")))))</f>
        <v/>
      </c>
    </row>
    <row r="71">
      <c r="A71" s="33" t="inlineStr">
        <is>
          <t>TSM</t>
        </is>
      </c>
      <c r="B71" s="33" t="inlineStr">
        <is>
          <t>Taiwan Semiconductor Manufacturing Company Limited</t>
        </is>
      </c>
      <c r="C71" s="33" t="inlineStr">
        <is>
          <t>05 Fabs &amp; Foundries</t>
        </is>
      </c>
      <c r="D71" s="33" t="inlineStr">
        <is>
          <t>2026-05-18</t>
        </is>
      </c>
      <c r="E71" s="33" t="n">
        <v>20.95927</v>
      </c>
      <c r="F71" s="33" t="n">
        <v>2.884</v>
      </c>
      <c r="G71" s="33" t="n">
        <v>34.29</v>
      </c>
      <c r="H71" s="33" t="n">
        <v>0.5110063</v>
      </c>
      <c r="I71" s="33">
        <f>IF(OR(E71="",R71="",R71&lt;=0,E71&lt;0),"",E71/R71)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26.6</v>
      </c>
      <c r="L71" s="33" t="n">
        <v>61.87</v>
      </c>
      <c r="M71" s="33" t="n">
        <v>17.52</v>
      </c>
      <c r="N71" s="33" t="n">
        <v>-0.8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18.94</v>
      </c>
      <c r="Q71" s="33" t="n">
        <v>35.1</v>
      </c>
      <c r="R71" s="33" t="n">
        <v>58.3</v>
      </c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4</v>
      </c>
      <c r="U71" s="33" t="n">
        <v>5</v>
      </c>
      <c r="V71" s="33" t="n">
        <v>5</v>
      </c>
      <c r="W71" s="33" t="n">
        <v>5</v>
      </c>
      <c r="X71" s="33" t="n">
        <v>5</v>
      </c>
      <c r="Y71" s="33">
        <f>IFERROR(AVERAGE(T71,U71,V71,W71,X71)*20,"")</f>
        <v/>
      </c>
      <c r="Z71" s="33" t="n">
        <v>4</v>
      </c>
      <c r="AA71" s="33" t="n">
        <v>1</v>
      </c>
      <c r="AB71" s="33" t="n">
        <v>3</v>
      </c>
      <c r="AC71" s="33">
        <f>IFERROR(AVERAGE(Z71,AA71,AB71)*20,"")</f>
        <v/>
      </c>
      <c r="AD71" s="33" t="n">
        <v>3</v>
      </c>
      <c r="AE71" s="33" t="n">
        <v>2</v>
      </c>
      <c r="AF71" s="33" t="n">
        <v>5</v>
      </c>
      <c r="AG71" s="33" t="n">
        <v>4</v>
      </c>
      <c r="AH71" s="33">
        <f>IFERROR(AVERAGE(AD71,AE71,AF71,AG71)*20,"")</f>
        <v/>
      </c>
      <c r="AI71" s="33">
        <f>IFERROR(J71*Weights!$B$4 + O71*Weights!$B$5 + S71*Weights!$B$6 + Y71*Weights!$B$7 + AC71*Weights!$B$8 + AH71*Weights!$B$9,"")</f>
        <v/>
      </c>
      <c r="AJ71" s="33">
        <f>IF(AI71="","",IF(AI71&gt;=85,"✓✓✓",IF(AI71&gt;=70,"✓✓",IF(AI71&gt;=55,"✓",IF(AI71&gt;=40,"?","✗")))))</f>
        <v/>
      </c>
    </row>
    <row r="72">
      <c r="A72" s="33" t="inlineStr">
        <is>
          <t>INTC</t>
        </is>
      </c>
      <c r="B72" s="33" t="inlineStr">
        <is>
          <t>Intel Corporation</t>
        </is>
      </c>
      <c r="C72" s="33" t="inlineStr">
        <is>
          <t>05 Fabs &amp; Foundries</t>
        </is>
      </c>
      <c r="D72" s="33" t="inlineStr">
        <is>
          <t>2026-05-18</t>
        </is>
      </c>
      <c r="E72" s="33" t="n">
        <v>70.938034</v>
      </c>
      <c r="F72" s="33" t="n">
        <v>40.392</v>
      </c>
      <c r="G72" s="33" t="n">
        <v>-1.52</v>
      </c>
      <c r="H72" s="33" t="n">
        <v>10.168294</v>
      </c>
      <c r="I72" s="33">
        <f>IF(OR(E72="",R72="",R72&lt;=0,E72&lt;0),"",E72/R72)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0.8</v>
      </c>
      <c r="L72" s="33" t="n">
        <v>37.2</v>
      </c>
      <c r="M72" s="33" t="n">
        <v>-15.44</v>
      </c>
      <c r="N72" s="33" t="n">
        <v>0.86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-5.71</v>
      </c>
      <c r="Q72" s="33" t="n">
        <v>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3</v>
      </c>
      <c r="W72" s="33" t="n">
        <v>4</v>
      </c>
      <c r="X72" s="33" t="n">
        <v>4</v>
      </c>
      <c r="Y72" s="33">
        <f>IFERROR(AVERAGE(T72,U72,V72,W72,X72)*20,"")</f>
        <v/>
      </c>
      <c r="Z72" s="33" t="n">
        <v>5</v>
      </c>
      <c r="AA72" s="33" t="n">
        <v>5</v>
      </c>
      <c r="AB72" s="33" t="n">
        <v>3</v>
      </c>
      <c r="AC72" s="33">
        <f>IFERROR(AVERAGE(Z72,AA72,AB72)*20,"")</f>
        <v/>
      </c>
      <c r="AD72" s="33" t="n">
        <v>5</v>
      </c>
      <c r="AE72" s="33" t="n">
        <v>3</v>
      </c>
      <c r="AF72" s="33" t="n">
        <v>2</v>
      </c>
      <c r="AG72" s="33" t="n">
        <v>3</v>
      </c>
      <c r="AH72" s="33">
        <f>IFERROR(AVERAGE(AD72,AE72,AF72,AG72)*20,"")</f>
        <v/>
      </c>
      <c r="AI72" s="33">
        <f>IFERROR(J72*Weights!$B$4 + O72*Weights!$B$5 + S72*Weights!$B$6 + Y72*Weights!$B$7 + AC72*Weights!$B$8 + AH72*Weights!$B$9,"")</f>
        <v/>
      </c>
      <c r="AJ72" s="33">
        <f>IF(AI72="","",IF(AI72&gt;=85,"✓✓✓",IF(AI72&gt;=70,"✓✓",IF(AI72&gt;=55,"✓",IF(AI72&gt;=40,"?","✗")))))</f>
        <v/>
      </c>
    </row>
    <row r="73">
      <c r="A73" s="33" t="inlineStr">
        <is>
          <t>GFS</t>
        </is>
      </c>
      <c r="B73" s="33" t="inlineStr">
        <is>
          <t>GLOBALFOUNDRIES Inc.</t>
        </is>
      </c>
      <c r="C73" s="33" t="inlineStr">
        <is>
          <t>05 Fabs &amp; Foundries</t>
        </is>
      </c>
      <c r="D73" s="33" t="inlineStr">
        <is>
          <t>2026-05-18</t>
        </is>
      </c>
      <c r="E73" s="33" t="n">
        <v>28.652222</v>
      </c>
      <c r="F73" s="33" t="n">
        <v>18.559</v>
      </c>
      <c r="G73" s="33" t="n">
        <v>3.06</v>
      </c>
      <c r="H73" s="33" t="n">
        <v>5.695032</v>
      </c>
      <c r="I73" s="33">
        <f>IF(OR(E73="",R73="",R73&lt;=0,E73&lt;0),"",E73/R73)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6.9</v>
      </c>
      <c r="L73" s="33" t="n">
        <v>26.11</v>
      </c>
      <c r="M73" s="33" t="n">
        <v>17.44</v>
      </c>
      <c r="N73" s="33" t="n">
        <v>-0.63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-5.74</v>
      </c>
      <c r="Q73" s="33" t="n">
        <v>3.1</v>
      </c>
      <c r="R73" s="33" t="n">
        <v>-51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3</v>
      </c>
      <c r="U73" s="33" t="n">
        <v>3</v>
      </c>
      <c r="V73" s="33" t="n">
        <v>4</v>
      </c>
      <c r="W73" s="33" t="n">
        <v>4</v>
      </c>
      <c r="X73" s="33" t="n">
        <v>3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33">
        <f>IFERROR(AVERAGE(Z73,AA73,AB73)*20,"")</f>
        <v/>
      </c>
      <c r="AD73" s="33" t="n">
        <v>4</v>
      </c>
      <c r="AE73" s="33" t="n">
        <v>4</v>
      </c>
      <c r="AF73" s="33" t="n">
        <v>4</v>
      </c>
      <c r="AG73" s="33" t="n">
        <v>4</v>
      </c>
      <c r="AH73" s="33">
        <f>IFERROR(AVERAGE(AD73,AE73,AF73,AG73)*20,"")</f>
        <v/>
      </c>
      <c r="AI73" s="33">
        <f>IFERROR(J73*Weights!$B$4 + O73*Weights!$B$5 + S73*Weights!$B$6 + Y73*Weights!$B$7 + AC73*Weights!$B$8 + AH73*Weights!$B$9,"")</f>
        <v/>
      </c>
      <c r="AJ73" s="33">
        <f>IF(AI73="","",IF(AI73&gt;=85,"✓✓✓",IF(AI73&gt;=70,"✓✓",IF(AI73&gt;=55,"✓",IF(AI73&gt;=40,"?","✗")))))</f>
        <v/>
      </c>
    </row>
    <row r="74">
      <c r="A74" s="33" t="inlineStr">
        <is>
          <t>TSEM</t>
        </is>
      </c>
      <c r="B74" s="33" t="inlineStr">
        <is>
          <t>Tower Semiconductor Ltd.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47.74835</v>
      </c>
      <c r="F74" s="33" t="n">
        <v>54.864</v>
      </c>
      <c r="G74" s="33" t="n">
        <v>0.4</v>
      </c>
      <c r="H74" s="33" t="n">
        <v>20.104414</v>
      </c>
      <c r="I74" s="33">
        <f>IF(OR(E74="",R74="",R74&lt;=0,E74&lt;0),"",E74/R74)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7.2</v>
      </c>
      <c r="L74" s="33" t="n">
        <v>24.77</v>
      </c>
      <c r="M74" s="33" t="n">
        <v>7.95</v>
      </c>
      <c r="N74" s="33" t="n">
        <v>-2.5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-2.27</v>
      </c>
      <c r="Q74" s="33" t="n">
        <v>15.5</v>
      </c>
      <c r="R74" s="33" t="n">
        <v>62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4</v>
      </c>
      <c r="U74" s="33" t="n">
        <v>4</v>
      </c>
      <c r="V74" s="33" t="n">
        <v>4</v>
      </c>
      <c r="W74" s="33" t="n">
        <v>5</v>
      </c>
      <c r="X74" s="33" t="n">
        <v>4</v>
      </c>
      <c r="Y74" s="33">
        <f>IFERROR(AVERAGE(T74,U74,V74,W74,X74)*20,"")</f>
        <v/>
      </c>
      <c r="Z74" s="33" t="n">
        <v>4</v>
      </c>
      <c r="AA74" s="33" t="n">
        <v>5</v>
      </c>
      <c r="AB74" s="33" t="n">
        <v>3</v>
      </c>
      <c r="AC74" s="33">
        <f>IFERROR(AVERAGE(Z74,AA74,AB74)*20,"")</f>
        <v/>
      </c>
      <c r="AD74" s="33" t="n">
        <v>4</v>
      </c>
      <c r="AE74" s="33" t="n">
        <v>4</v>
      </c>
      <c r="AF74" s="33" t="n">
        <v>4</v>
      </c>
      <c r="AG74" s="33" t="n">
        <v>4</v>
      </c>
      <c r="AH74" s="33">
        <f>IFERROR(AVERAGE(AD74,AE74,AF74,AG74)*20,"")</f>
        <v/>
      </c>
      <c r="AI74" s="33">
        <f>IFERROR(J74*Weights!$B$4 + O74*Weights!$B$5 + S74*Weights!$B$6 + Y74*Weights!$B$7 + AC74*Weights!$B$8 + AH74*Weights!$B$9,"")</f>
        <v/>
      </c>
      <c r="AJ74" s="33">
        <f>IF(AI74="","",IF(AI74&gt;=85,"✓✓✓",IF(AI74&gt;=70,"✓✓",IF(AI74&gt;=55,"✓",IF(AI74&gt;=40,"?","✗")))))</f>
        <v/>
      </c>
    </row>
    <row r="75">
      <c r="A75" s="33" t="inlineStr">
        <is>
          <t>UMC</t>
        </is>
      </c>
      <c r="B75" s="33" t="inlineStr">
        <is>
          <t>United Microelectronics Corporation</t>
        </is>
      </c>
      <c r="C75" s="33" t="inlineStr">
        <is>
          <t>05 Fabs &amp; Foundries</t>
        </is>
      </c>
      <c r="D75" s="33" t="inlineStr">
        <is>
          <t>2026-05-18</t>
        </is>
      </c>
      <c r="E75" s="33" t="n">
        <v>21.43329</v>
      </c>
      <c r="F75" s="33" t="n">
        <v>1.521</v>
      </c>
      <c r="G75" s="33" t="n">
        <v>79.51000000000001</v>
      </c>
      <c r="H75" s="33" t="n">
        <v>0.1794825</v>
      </c>
      <c r="I75" s="33">
        <f>IF(OR(E75="",R75="",R75&lt;=0,E75&lt;0),"",E75/R75)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9.699999999999999</v>
      </c>
      <c r="L75" s="33" t="n">
        <v>29.61</v>
      </c>
      <c r="M75" s="33" t="n">
        <v>14.27</v>
      </c>
      <c r="N75" s="33" t="n">
        <v>-0.5600000000000001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-5.19</v>
      </c>
      <c r="Q75" s="33" t="n">
        <v>5.5</v>
      </c>
      <c r="R75" s="33" t="n">
        <v>107.9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3</v>
      </c>
      <c r="U75" s="33" t="n">
        <v>3</v>
      </c>
      <c r="V75" s="33" t="n">
        <v>3</v>
      </c>
      <c r="W75" s="33" t="n">
        <v>3</v>
      </c>
      <c r="X75" s="33" t="n">
        <v>2</v>
      </c>
      <c r="Y75" s="33">
        <f>IFERROR(AVERAGE(T75,U75,V75,W75,X75)*20,"")</f>
        <v/>
      </c>
      <c r="Z75" s="33" t="n">
        <v>3</v>
      </c>
      <c r="AA75" s="33" t="n">
        <v>5</v>
      </c>
      <c r="AB75" s="33" t="n">
        <v>3</v>
      </c>
      <c r="AC75" s="33">
        <f>IFERROR(AVERAGE(Z75,AA75,AB75)*20,"")</f>
        <v/>
      </c>
      <c r="AD75" s="33" t="n">
        <v>4</v>
      </c>
      <c r="AE75" s="33" t="n">
        <v>2</v>
      </c>
      <c r="AF75" s="33" t="n">
        <v>4</v>
      </c>
      <c r="AG75" s="33" t="n">
        <v>4</v>
      </c>
      <c r="AH75" s="33">
        <f>IFERROR(AVERAGE(AD75,AE75,AF75,AG75)*20,"")</f>
        <v/>
      </c>
      <c r="AI75" s="33">
        <f>IFERROR(J75*Weights!$B$4 + O75*Weights!$B$5 + S75*Weights!$B$6 + Y75*Weights!$B$7 + AC75*Weights!$B$8 + AH75*Weights!$B$9,"")</f>
        <v/>
      </c>
      <c r="AJ75" s="33">
        <f>IF(AI75="","",IF(AI75&gt;=85,"✓✓✓",IF(AI75&gt;=70,"✓✓",IF(AI75&gt;=55,"✓",IF(AI75&gt;=40,"?","✗")))))</f>
        <v/>
      </c>
    </row>
    <row r="76">
      <c r="A76" s="33" t="inlineStr">
        <is>
          <t>AVGO</t>
        </is>
      </c>
      <c r="B76" s="33" t="inlineStr">
        <is>
          <t>Broadcom Inc.</t>
        </is>
      </c>
      <c r="C76" s="33" t="inlineStr">
        <is>
          <t>06 AI Compute Silicon / Custom silicon / ASIC designers</t>
        </is>
      </c>
      <c r="D76" s="33" t="inlineStr">
        <is>
          <t>2026-05-18</t>
        </is>
      </c>
      <c r="E76" s="33" t="n">
        <v>23.247448</v>
      </c>
      <c r="F76" s="33" t="n">
        <v>55.484</v>
      </c>
      <c r="G76" s="33" t="n">
        <v>1.27</v>
      </c>
      <c r="H76" s="33" t="n">
        <v>29.482641</v>
      </c>
      <c r="I76" s="33">
        <f>IF(OR(E76="",R76="",R76&lt;=0,E76&lt;0),"",E76/R76)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17.7</v>
      </c>
      <c r="L76" s="33" t="n">
        <v>76.73</v>
      </c>
      <c r="M76" s="33" t="n">
        <v>37.35</v>
      </c>
      <c r="N76" s="33" t="n">
        <v>1.39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24.38</v>
      </c>
      <c r="Q76" s="33" t="n">
        <v>29.5</v>
      </c>
      <c r="R76" s="33" t="n">
        <v>33.5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5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5</v>
      </c>
      <c r="AA76" s="33" t="n">
        <v>2</v>
      </c>
      <c r="AB76" s="33" t="n">
        <v>4</v>
      </c>
      <c r="AC76" s="33">
        <f>IFERROR(AVERAGE(Z76,AA76,AB76)*20,"")</f>
        <v/>
      </c>
      <c r="AD76" s="33" t="n">
        <v>3</v>
      </c>
      <c r="AE76" s="33" t="n">
        <v>4</v>
      </c>
      <c r="AF76" s="33" t="n">
        <v>4</v>
      </c>
      <c r="AG76" s="33" t="n">
        <v>4</v>
      </c>
      <c r="AH76" s="33">
        <f>IFERROR(AVERAGE(AD76,AE76,AF76,AG76)*20,"")</f>
        <v/>
      </c>
      <c r="AI76" s="33">
        <f>IFERROR(J76*Weights!$B$4 + O76*Weights!$B$5 + S76*Weights!$B$6 + Y76*Weights!$B$7 + AC76*Weights!$B$8 + AH76*Weights!$B$9,"")</f>
        <v/>
      </c>
      <c r="AJ76" s="33">
        <f>IF(AI76="","",IF(AI76&gt;=85,"✓✓✓",IF(AI76&gt;=70,"✓✓",IF(AI76&gt;=55,"✓",IF(AI76&gt;=40,"?","✗")))))</f>
        <v/>
      </c>
    </row>
    <row r="77">
      <c r="A77" s="33" t="inlineStr">
        <is>
          <t>MRVL</t>
        </is>
      </c>
      <c r="B77" s="33" t="inlineStr">
        <is>
          <t>Marvell Technology, Inc.</t>
        </is>
      </c>
      <c r="C77" s="33" t="inlineStr">
        <is>
          <t>06 AI Compute Silicon / Custom silicon / ASIC designers</t>
        </is>
      </c>
      <c r="D77" s="70" t="n">
        <v>46178</v>
      </c>
      <c r="E77" s="33" t="n">
        <v>32.611984</v>
      </c>
      <c r="F77" s="33" t="n">
        <v>59.634</v>
      </c>
      <c r="G77" s="33" t="n">
        <v>0.93</v>
      </c>
      <c r="H77" s="33" t="n">
        <v>18.899836</v>
      </c>
      <c r="I77" s="33">
        <f>IF(OR(E77="",R77="",R77&lt;=0,E77&lt;0),"",E77/R77)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14.9</v>
      </c>
      <c r="L77" s="33" t="n">
        <v>51.02</v>
      </c>
      <c r="M77" s="33" t="n">
        <v>17.61</v>
      </c>
      <c r="N77" s="33" t="n">
        <v>0.82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11.45</v>
      </c>
      <c r="Q77" s="33" t="n">
        <v>28</v>
      </c>
      <c r="R77" s="33" t="n">
        <v>97.90000000000001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4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4</v>
      </c>
      <c r="AA77" s="33" t="n">
        <v>5</v>
      </c>
      <c r="AB77" s="33" t="n">
        <v>5</v>
      </c>
      <c r="AC77" s="33">
        <f>IFERROR(AVERAGE(Z77,AA77,AB77)*20,"")</f>
        <v/>
      </c>
      <c r="AD77" s="33" t="n">
        <v>3</v>
      </c>
      <c r="AE77" s="33" t="n">
        <v>4</v>
      </c>
      <c r="AF77" s="33" t="n">
        <v>4</v>
      </c>
      <c r="AG77" s="33" t="n">
        <v>4</v>
      </c>
      <c r="AH77" s="33">
        <f>IFERROR(AVERAGE(AD77,AE77,AF77,AG77)*20,"")</f>
        <v/>
      </c>
      <c r="AI77" s="33">
        <f>IFERROR(J77*Weights!$B$4 + O77*Weights!$B$5 + S77*Weights!$B$6 + Y77*Weights!$B$7 + AC77*Weights!$B$8 + AH77*Weights!$B$9,"")</f>
        <v/>
      </c>
      <c r="AJ77" s="33">
        <f>IF(AI77="","",IF(AI77&gt;=85,"✓✓✓",IF(AI77&gt;=70,"✓✓",IF(AI77&gt;=55,"✓",IF(AI77&gt;=40,"?","✗")))))</f>
        <v/>
      </c>
    </row>
    <row r="78">
      <c r="A78" s="33" t="inlineStr">
        <is>
          <t>ALAB</t>
        </is>
      </c>
      <c r="B78" s="33" t="inlineStr">
        <is>
          <t>Astera Labs, Inc.</t>
        </is>
      </c>
      <c r="C78" s="33" t="inlineStr">
        <is>
          <t>06 AI Compute Silicon / Custom silicon / ASIC designers</t>
        </is>
      </c>
      <c r="D78" s="33" t="inlineStr">
        <is>
          <t>2026-05-18</t>
        </is>
      </c>
      <c r="E78" s="33" t="n">
        <v>55.71172</v>
      </c>
      <c r="F78" s="33" t="n">
        <v>165.994</v>
      </c>
      <c r="G78" s="33" t="n">
        <v>0.6</v>
      </c>
      <c r="H78" s="33" t="n">
        <v>39.82569</v>
      </c>
      <c r="I78" s="33">
        <f>IF(OR(E78="",R78="",R78&lt;=0,E78&lt;0),"",E78/R78)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12.7</v>
      </c>
      <c r="L78" s="33" t="n">
        <v>75.98999999999999</v>
      </c>
      <c r="M78" s="33" t="n">
        <v>23.97</v>
      </c>
      <c r="N78" s="33" t="n">
        <v>-4.9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P78" s="33" t="n">
        <v>120.18</v>
      </c>
      <c r="Q78" s="33" t="n">
        <v>93.40000000000001</v>
      </c>
      <c r="R78" s="33" t="n">
        <v>152.4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5</v>
      </c>
      <c r="U78" s="33" t="n">
        <v>5</v>
      </c>
      <c r="V78" s="33" t="n">
        <v>4</v>
      </c>
      <c r="W78" s="33" t="n">
        <v>5</v>
      </c>
      <c r="X78" s="33" t="n">
        <v>5</v>
      </c>
      <c r="Y78" s="33">
        <f>IFERROR(AVERAGE(T78,U78,V78,W78,X78)*20,"")</f>
        <v/>
      </c>
      <c r="Z78" s="33" t="n">
        <v>5</v>
      </c>
      <c r="AA78" s="33" t="n">
        <v>3</v>
      </c>
      <c r="AB78" s="33" t="n">
        <v>2</v>
      </c>
      <c r="AC78" s="33">
        <f>IFERROR(AVERAGE(Z78,AA78,AB78)*20,"")</f>
        <v/>
      </c>
      <c r="AD78" s="33" t="n">
        <v>2</v>
      </c>
      <c r="AE78" s="33" t="n">
        <v>5</v>
      </c>
      <c r="AF78" s="33" t="n">
        <v>5</v>
      </c>
      <c r="AG78" s="33" t="n">
        <v>4</v>
      </c>
      <c r="AH78" s="33">
        <f>IFERROR(AVERAGE(AD78,AE78,AF78,AG78)*20,"")</f>
        <v/>
      </c>
      <c r="AI78" s="33">
        <f>IFERROR(J78*Weights!$B$4 + O78*Weights!$B$5 + S78*Weights!$B$6 + Y78*Weights!$B$7 + AC78*Weights!$B$8 + AH78*Weights!$B$9,"")</f>
        <v/>
      </c>
      <c r="AJ78" s="33">
        <f>IF(AI78="","",IF(AI78&gt;=85,"✓✓✓",IF(AI78&gt;=70,"✓✓",IF(AI78&gt;=55,"✓",IF(AI78&gt;=40,"?","✗")))))</f>
        <v/>
      </c>
    </row>
    <row r="79">
      <c r="A79" s="33" t="inlineStr">
        <is>
          <t>SNDK</t>
        </is>
      </c>
      <c r="B79" s="33" t="inlineStr">
        <is>
          <t>Sandisk Corporation</t>
        </is>
      </c>
      <c r="C79" s="33" t="inlineStr">
        <is>
          <t>06 AI Compute Silicon / Memory (HBM is the bottleneck)</t>
        </is>
      </c>
      <c r="D79" s="33" t="inlineStr">
        <is>
          <t>2026-05-18</t>
        </is>
      </c>
      <c r="E79" s="33" t="n">
        <v>8.206963999999999</v>
      </c>
      <c r="F79" s="33" t="n">
        <v>36.386</v>
      </c>
      <c r="G79" s="33" t="n">
        <v>1.08</v>
      </c>
      <c r="H79" s="33" t="n">
        <v>15.811031</v>
      </c>
      <c r="I79" s="33">
        <f>IF(OR(E79="",R79="",R79&lt;=0,E79&lt;0),"",E79/R79)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3.6</v>
      </c>
      <c r="L79" s="33" t="n">
        <v>56.04</v>
      </c>
      <c r="M79" s="33" t="n">
        <v>17.14</v>
      </c>
      <c r="N79" s="33" t="n">
        <v>-0.63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Q79" s="33" t="n">
        <v>251</v>
      </c>
      <c r="R79" s="33" t="n">
        <v>272.8</v>
      </c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3</v>
      </c>
      <c r="W79" s="33" t="n">
        <v>4</v>
      </c>
      <c r="X79" s="33" t="n">
        <v>4</v>
      </c>
      <c r="Y79" s="33">
        <f>IFERROR(AVERAGE(T79,U79,V79,W79,X79)*20,"")</f>
        <v/>
      </c>
      <c r="Z79" s="33" t="n">
        <v>5</v>
      </c>
      <c r="AA79" s="33" t="n">
        <v>5</v>
      </c>
      <c r="AB79" s="33" t="n">
        <v>3</v>
      </c>
      <c r="AC79" s="33">
        <f>IFERROR(AVERAGE(Z79,AA79,AB79)*20,"")</f>
        <v/>
      </c>
      <c r="AD79" s="33" t="n">
        <v>4</v>
      </c>
      <c r="AE79" s="33" t="n">
        <v>4</v>
      </c>
      <c r="AF79" s="33" t="n">
        <v>5</v>
      </c>
      <c r="AG79" s="33" t="n">
        <v>4</v>
      </c>
      <c r="AH79" s="33">
        <f>IFERROR(AVERAGE(AD79,AE79,AF79,AG79)*20,"")</f>
        <v/>
      </c>
      <c r="AI79" s="33">
        <f>IFERROR(J79*Weights!$B$4 + O79*Weights!$B$5 + S79*Weights!$B$6 + Y79*Weights!$B$7 + AC79*Weights!$B$8 + AH79*Weights!$B$9,"")</f>
        <v/>
      </c>
      <c r="AJ79" s="33">
        <f>IF(AI79="","",IF(AI79&gt;=85,"✓✓✓",IF(AI79&gt;=70,"✓✓",IF(AI79&gt;=55,"✓",IF(AI79&gt;=40,"?","✗")))))</f>
        <v/>
      </c>
    </row>
    <row r="80">
      <c r="A80" s="33" t="inlineStr">
        <is>
          <t>COHR</t>
        </is>
      </c>
      <c r="B80" s="33" t="inlineStr">
        <is>
          <t>Coherent Corp.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2026-05-18</t>
        </is>
      </c>
      <c r="E80" s="33" t="n">
        <v>47.48248</v>
      </c>
      <c r="F80" s="33" t="n">
        <v>57.974</v>
      </c>
      <c r="G80" s="33" t="n">
        <v>-0.26</v>
      </c>
      <c r="H80" s="33" t="n">
        <v>11.333128</v>
      </c>
      <c r="I80" s="33">
        <f>IF(OR(E80="",R80="",R80&lt;=0,E80&lt;0),"",E80/R80)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1.4</v>
      </c>
      <c r="L80" s="33" t="n">
        <v>36.99</v>
      </c>
      <c r="M80" s="33" t="n">
        <v>-2.99</v>
      </c>
      <c r="N80" s="33" t="n">
        <v>0.76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20.55</v>
      </c>
      <c r="Q80" s="33" t="n">
        <v>20.5</v>
      </c>
      <c r="R80" s="33" t="n">
        <v>1118.3</v>
      </c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4</v>
      </c>
      <c r="U80" s="33" t="n">
        <v>4</v>
      </c>
      <c r="V80" s="33" t="n">
        <v>4</v>
      </c>
      <c r="W80" s="33" t="n">
        <v>5</v>
      </c>
      <c r="X80" s="33" t="n">
        <v>4</v>
      </c>
      <c r="Y80" s="33">
        <f>IFERROR(AVERAGE(T80,U80,V80,W80,X80)*20,"")</f>
        <v/>
      </c>
      <c r="Z80" s="33" t="n">
        <v>4</v>
      </c>
      <c r="AA80" s="33" t="n">
        <v>5</v>
      </c>
      <c r="AB80" s="33" t="n">
        <v>3</v>
      </c>
      <c r="AC80" s="33">
        <f>IFERROR(AVERAGE(Z80,AA80,AB80)*20,"")</f>
        <v/>
      </c>
      <c r="AD80" s="33" t="n">
        <v>4</v>
      </c>
      <c r="AE80" s="33" t="n">
        <v>4</v>
      </c>
      <c r="AF80" s="33" t="n">
        <v>3</v>
      </c>
      <c r="AG80" s="33" t="n">
        <v>4</v>
      </c>
      <c r="AH80" s="33">
        <f>IFERROR(AVERAGE(AD80,AE80,AF80,AG80)*20,"")</f>
        <v/>
      </c>
      <c r="AI80" s="33">
        <f>IFERROR(J80*Weights!$B$4 + O80*Weights!$B$5 + S80*Weights!$B$6 + Y80*Weights!$B$7 + AC80*Weights!$B$8 + AH80*Weights!$B$9,"")</f>
        <v/>
      </c>
      <c r="AJ80" s="33">
        <f>IF(AI80="","",IF(AI80&gt;=85,"✓✓✓",IF(AI80&gt;=70,"✓✓",IF(AI80&gt;=55,"✓",IF(AI80&gt;=40,"?","✗")))))</f>
        <v/>
      </c>
    </row>
    <row r="81">
      <c r="A81" s="33" t="inlineStr">
        <is>
          <t>LITE</t>
        </is>
      </c>
      <c r="B81" s="33" t="inlineStr">
        <is>
          <t>Lumentum Holdings Inc.</t>
        </is>
      </c>
      <c r="C81" s="33" t="inlineStr">
        <is>
          <t>07 Optical, Networking &amp; Interconnect / Optical components &amp; transceivers</t>
        </is>
      </c>
      <c r="D81" s="33" t="inlineStr">
        <is>
          <t>2026-05-18</t>
        </is>
      </c>
      <c r="E81" s="33" t="n">
        <v>53.92763</v>
      </c>
      <c r="F81" s="33" t="n">
        <v>137.069</v>
      </c>
      <c r="G81" s="33" t="n">
        <v>0.12</v>
      </c>
      <c r="H81" s="33" t="n">
        <v>30.349005</v>
      </c>
      <c r="I81" s="33">
        <f>IF(OR(E81="",R81="",R81&lt;=0,E81&lt;0),"",E81/R81)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34.7</v>
      </c>
      <c r="L81" s="33" t="n">
        <v>40.84</v>
      </c>
      <c r="M81" s="33" t="n">
        <v>3.75</v>
      </c>
      <c r="N81" s="33" t="n">
        <v>0.28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-1.33</v>
      </c>
      <c r="Q81" s="33" t="n">
        <v>90.09999999999999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5</v>
      </c>
      <c r="U81" s="33" t="n">
        <v>5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5</v>
      </c>
      <c r="AA81" s="33" t="n">
        <v>5</v>
      </c>
      <c r="AB81" s="33" t="n">
        <v>3</v>
      </c>
      <c r="AC81" s="33">
        <f>IFERROR(AVERAGE(Z81,AA81,AB81)*20,"")</f>
        <v/>
      </c>
      <c r="AD81" s="33" t="n">
        <v>4</v>
      </c>
      <c r="AE81" s="33" t="n">
        <v>4</v>
      </c>
      <c r="AF81" s="33" t="n">
        <v>4</v>
      </c>
      <c r="AG81" s="33" t="n">
        <v>4</v>
      </c>
      <c r="AH81" s="33">
        <f>IFERROR(AVERAGE(AD81,AE81,AF81,AG81)*20,"")</f>
        <v/>
      </c>
      <c r="AI81" s="33">
        <f>IFERROR(J81*Weights!$B$4 + O81*Weights!$B$5 + S81*Weights!$B$6 + Y81*Weights!$B$7 + AC81*Weights!$B$8 + AH81*Weights!$B$9,"")</f>
        <v/>
      </c>
      <c r="AJ81" s="33">
        <f>IF(AI81="","",IF(AI81&gt;=85,"✓✓✓",IF(AI81&gt;=70,"✓✓",IF(AI81&gt;=55,"✓",IF(AI81&gt;=40,"?","✗")))))</f>
        <v/>
      </c>
    </row>
    <row r="82">
      <c r="A82" s="33" t="inlineStr">
        <is>
          <t>FN</t>
        </is>
      </c>
      <c r="B82" s="33" t="inlineStr">
        <is>
          <t>Fabrinet</t>
        </is>
      </c>
      <c r="C82" s="33" t="inlineStr">
        <is>
          <t>07 Optical, Networking &amp; Interconnect / Optical components &amp; transceivers</t>
        </is>
      </c>
      <c r="D82" s="33" t="inlineStr">
        <is>
          <t>2026-05-18</t>
        </is>
      </c>
      <c r="E82" s="33" t="n">
        <v>41.81417</v>
      </c>
      <c r="F82" s="33" t="n">
        <v>51.968</v>
      </c>
      <c r="G82" s="33" t="n">
        <v>-0.31</v>
      </c>
      <c r="H82" s="33" t="n">
        <v>6.108736</v>
      </c>
      <c r="I82" s="33">
        <f>IF(OR(E82="",R82="",R82&lt;=0,E82&lt;0),"",E82/R82)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16.7</v>
      </c>
      <c r="L82" s="33" t="n">
        <v>12.04</v>
      </c>
      <c r="M82" s="33" t="n">
        <v>-1.87</v>
      </c>
      <c r="N82" s="33" t="n">
        <v>-1.96</v>
      </c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14.76</v>
      </c>
      <c r="Q82" s="33" t="n">
        <v>39.3</v>
      </c>
      <c r="R82" s="33" t="n">
        <v>54</v>
      </c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5</v>
      </c>
      <c r="U82" s="33" t="n">
        <v>4</v>
      </c>
      <c r="V82" s="33" t="n">
        <v>4</v>
      </c>
      <c r="W82" s="33" t="n">
        <v>5</v>
      </c>
      <c r="X82" s="33" t="n">
        <v>5</v>
      </c>
      <c r="Y82" s="33">
        <f>IFERROR(AVERAGE(T82,U82,V82,W82,X82)*20,"")</f>
        <v/>
      </c>
      <c r="Z82" s="33" t="n">
        <v>4</v>
      </c>
      <c r="AA82" s="33" t="n">
        <v>3</v>
      </c>
      <c r="AB82" s="33" t="n">
        <v>3</v>
      </c>
      <c r="AC82" s="33">
        <f>IFERROR(AVERAGE(Z82,AA82,AB82)*20,"")</f>
        <v/>
      </c>
      <c r="AD82" s="33" t="n">
        <v>3</v>
      </c>
      <c r="AE82" s="33" t="n">
        <v>4</v>
      </c>
      <c r="AF82" s="33" t="n">
        <v>4</v>
      </c>
      <c r="AG82" s="33" t="n">
        <v>4</v>
      </c>
      <c r="AH82" s="33">
        <f>IFERROR(AVERAGE(AD82,AE82,AF82,AG82)*20,"")</f>
        <v/>
      </c>
      <c r="AI82" s="33">
        <f>IFERROR(J82*Weights!$B$4 + O82*Weights!$B$5 + S82*Weights!$B$6 + Y82*Weights!$B$7 + AC82*Weights!$B$8 + AH82*Weights!$B$9,"")</f>
        <v/>
      </c>
      <c r="AJ82" s="33">
        <f>IF(AI82="","",IF(AI82&gt;=85,"✓✓✓",IF(AI82&gt;=70,"✓✓",IF(AI82&gt;=55,"✓",IF(AI82&gt;=40,"?","✗")))))</f>
        <v/>
      </c>
    </row>
    <row r="83">
      <c r="A83" s="33" t="inlineStr">
        <is>
          <t>AAOI</t>
        </is>
      </c>
      <c r="B83" s="33" t="inlineStr">
        <is>
          <t>Applied Optoelectronics,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2026-05-18</t>
        </is>
      </c>
      <c r="E83" s="33" t="n">
        <v>39.891033</v>
      </c>
      <c r="F83" s="33" t="n">
        <v>-550.544</v>
      </c>
      <c r="G83" s="33" t="n">
        <v>-2.92</v>
      </c>
      <c r="H83" s="33" t="n">
        <v>30.128231</v>
      </c>
      <c r="I83" s="33">
        <f>IF(OR(E83="",R83="",R83&lt;=0,E83&lt;0),"",E83/R83)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36.7</v>
      </c>
      <c r="L83" s="33" t="n">
        <v>29.64</v>
      </c>
      <c r="M83" s="33" t="n">
        <v>-87.89</v>
      </c>
      <c r="N83" s="33" t="n">
        <v>5.8</v>
      </c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26.93</v>
      </c>
      <c r="Q83" s="33" t="n">
        <v>51.4</v>
      </c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3</v>
      </c>
      <c r="U83" s="33" t="n">
        <v>3</v>
      </c>
      <c r="V83" s="33" t="n">
        <v>2</v>
      </c>
      <c r="W83" s="33" t="n">
        <v>4</v>
      </c>
      <c r="X83" s="33" t="n">
        <v>3</v>
      </c>
      <c r="Y83" s="33">
        <f>IFERROR(AVERAGE(T83,U83,V83,W83,X83)*20,"")</f>
        <v/>
      </c>
      <c r="Z83" s="33" t="n">
        <v>4</v>
      </c>
      <c r="AA83" s="33" t="n">
        <v>5</v>
      </c>
      <c r="AB83" s="33" t="n">
        <v>3</v>
      </c>
      <c r="AC83" s="33">
        <f>IFERROR(AVERAGE(Z83,AA83,AB83)*20,"")</f>
        <v/>
      </c>
      <c r="AD83" s="33" t="n">
        <v>3</v>
      </c>
      <c r="AE83" s="33" t="n">
        <v>4</v>
      </c>
      <c r="AF83" s="33" t="n">
        <v>3</v>
      </c>
      <c r="AG83" s="33" t="n">
        <v>4</v>
      </c>
      <c r="AH83" s="33">
        <f>IFERROR(AVERAGE(AD83,AE83,AF83,AG83)*20,"")</f>
        <v/>
      </c>
      <c r="AI83" s="33">
        <f>IFERROR(J83*Weights!$B$4 + O83*Weights!$B$5 + S83*Weights!$B$6 + Y83*Weights!$B$7 + AC83*Weights!$B$8 + AH83*Weights!$B$9,"")</f>
        <v/>
      </c>
      <c r="AJ83" s="33">
        <f>IF(AI83="","",IF(AI83&gt;=85,"✓✓✓",IF(AI83&gt;=70,"✓✓",IF(AI83&gt;=55,"✓",IF(AI83&gt;=40,"?","✗")))))</f>
        <v/>
      </c>
    </row>
    <row r="84">
      <c r="A84" s="33" t="inlineStr">
        <is>
          <t>POET</t>
        </is>
      </c>
      <c r="B84" s="33" t="inlineStr">
        <is>
          <t>POET Technologies Inc.</t>
        </is>
      </c>
      <c r="C84" s="33" t="inlineStr">
        <is>
          <t>07 Optical, Networking &amp; Interconnect / Optical components &amp; transceivers</t>
        </is>
      </c>
      <c r="D84" s="33" t="inlineStr">
        <is>
          <t>2026-05-24</t>
        </is>
      </c>
      <c r="E84" s="33" t="inlineStr">
        <is>
          <t>Infinity</t>
        </is>
      </c>
      <c r="F84" s="33" t="n">
        <v>-46.195</v>
      </c>
      <c r="G84" s="33" t="n">
        <v>3.17</v>
      </c>
      <c r="H84" s="33" t="n">
        <v>2268.9338</v>
      </c>
      <c r="I84" s="33">
        <f>IF(OR(E84="",R84="",R84&lt;=0,E84&lt;0),"",E84/R84)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K84" s="33" t="n">
        <v>0.4</v>
      </c>
      <c r="L84" s="33" t="n">
        <v>100</v>
      </c>
      <c r="M84" s="33" t="n">
        <v>7193.64</v>
      </c>
      <c r="N84" s="33" t="n">
        <v>7.85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24.82</v>
      </c>
      <c r="Q84" s="33" t="n">
        <v>1075.3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2</v>
      </c>
      <c r="U84" s="33" t="n">
        <v>2</v>
      </c>
      <c r="V84" s="33" t="n">
        <v>2</v>
      </c>
      <c r="W84" s="33" t="n">
        <v>2</v>
      </c>
      <c r="X84" s="33" t="n">
        <v>2</v>
      </c>
      <c r="Y84" s="33">
        <f>IFERROR(AVERAGE(T84,U84,V84,W84,X84)*20,"")</f>
        <v/>
      </c>
      <c r="Z84" s="33" t="n">
        <v>1</v>
      </c>
      <c r="AA84" s="33" t="n">
        <v>3</v>
      </c>
      <c r="AB84" s="33" t="n">
        <v>2</v>
      </c>
      <c r="AC84" s="33">
        <f>IFERROR(AVERAGE(Z84,AA84,AB84)*20,"")</f>
        <v/>
      </c>
      <c r="AD84" s="33" t="n">
        <v>3</v>
      </c>
      <c r="AE84" s="33" t="n">
        <v>4</v>
      </c>
      <c r="AF84" s="33" t="n">
        <v>4</v>
      </c>
      <c r="AG84" s="33" t="n">
        <v>2</v>
      </c>
      <c r="AH84" s="33">
        <f>IFERROR(AVERAGE(AD84,AE84,AF84,AG84)*20,"")</f>
        <v/>
      </c>
      <c r="AI84" s="33">
        <f>IFERROR(J84*Weights!$B$4 + O84*Weights!$B$5 + S84*Weights!$B$6 + Y84*Weights!$B$7 + AC84*Weights!$B$8 + AH84*Weights!$B$9,"")</f>
        <v/>
      </c>
      <c r="AJ84" s="33">
        <f>IF(AI84="","",IF(AI84&gt;=85,"✓✓✓",IF(AI84&gt;=70,"✓✓",IF(AI84&gt;=55,"✓",IF(AI84&gt;=40,"?","✗")))))</f>
        <v/>
      </c>
    </row>
    <row r="85">
      <c r="A85" s="33" t="inlineStr">
        <is>
          <t>ANET</t>
        </is>
      </c>
      <c r="B85" s="33" t="inlineStr">
        <is>
          <t>Arista Networks, Inc.</t>
        </is>
      </c>
      <c r="C85" s="33" t="inlineStr">
        <is>
          <t>07 Optical, Networking &amp; Interconnect / Networking systems</t>
        </is>
      </c>
      <c r="D85" s="33" t="inlineStr">
        <is>
          <t>2026-05-18</t>
        </is>
      </c>
      <c r="E85" s="33" t="n">
        <v>31.93581</v>
      </c>
      <c r="F85" s="33" t="n">
        <v>39.275</v>
      </c>
      <c r="G85" s="33" t="n">
        <v>2.44</v>
      </c>
      <c r="H85" s="33" t="n">
        <v>18.410519</v>
      </c>
      <c r="I85" s="33">
        <f>IF(OR(E85="",R85="",R85&lt;=0,E85&lt;0),"",E85/R85)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L85" s="33" t="n">
        <v>63.54</v>
      </c>
      <c r="M85" s="33" t="n">
        <v>44.93</v>
      </c>
      <c r="N85" s="33" t="n">
        <v>-2.92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27.15</v>
      </c>
      <c r="Q85" s="33" t="n">
        <v>35.1</v>
      </c>
      <c r="R85" s="33" t="n">
        <v>25.7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4</v>
      </c>
      <c r="U85" s="33" t="n">
        <v>5</v>
      </c>
      <c r="V85" s="33" t="n">
        <v>5</v>
      </c>
      <c r="W85" s="33" t="n">
        <v>5</v>
      </c>
      <c r="X85" s="33" t="n">
        <v>5</v>
      </c>
      <c r="Y85" s="33">
        <f>IFERROR(AVERAGE(T85,U85,V85,W85,X85)*20,"")</f>
        <v/>
      </c>
      <c r="Z85" s="33" t="n">
        <v>5</v>
      </c>
      <c r="AA85" s="33" t="n">
        <v>2</v>
      </c>
      <c r="AB85" s="33" t="n">
        <v>3</v>
      </c>
      <c r="AC85" s="33">
        <f>IFERROR(AVERAGE(Z85,AA85,AB85)*20,"")</f>
        <v/>
      </c>
      <c r="AD85" s="33" t="n">
        <v>3</v>
      </c>
      <c r="AE85" s="33" t="n">
        <v>4</v>
      </c>
      <c r="AF85" s="33" t="n">
        <v>5</v>
      </c>
      <c r="AG85" s="33" t="n">
        <v>4</v>
      </c>
      <c r="AH85" s="33">
        <f>IFERROR(AVERAGE(AD85,AE85,AF85,AG85)*20,"")</f>
        <v/>
      </c>
      <c r="AI85" s="33">
        <f>IFERROR(J85*Weights!$B$4 + O85*Weights!$B$5 + S85*Weights!$B$6 + Y85*Weights!$B$7 + AC85*Weights!$B$8 + AH85*Weights!$B$9,"")</f>
        <v/>
      </c>
      <c r="AJ85" s="33">
        <f>IF(AI85="","",IF(AI85&gt;=85,"✓✓✓",IF(AI85&gt;=70,"✓✓",IF(AI85&gt;=55,"✓",IF(AI85&gt;=40,"?","✗")))))</f>
        <v/>
      </c>
    </row>
    <row r="86">
      <c r="A86" s="33" t="inlineStr">
        <is>
          <t>CSCO</t>
        </is>
      </c>
      <c r="B86" s="33" t="inlineStr">
        <is>
          <t>Cisco Systems, Inc.</t>
        </is>
      </c>
      <c r="C86" s="33" t="inlineStr">
        <is>
          <t>07 Optical, Networking &amp; Interconnect / Networking systems</t>
        </is>
      </c>
      <c r="D86" s="33" t="inlineStr">
        <is>
          <t>2026-05-18</t>
        </is>
      </c>
      <c r="E86" s="33" t="n">
        <v>24.934664</v>
      </c>
      <c r="F86" s="33" t="n">
        <v>28.383</v>
      </c>
      <c r="G86" s="33" t="n">
        <v>2.07</v>
      </c>
      <c r="H86" s="33" t="n">
        <v>7.686381</v>
      </c>
      <c r="I86" s="33">
        <f>IF(OR(E86="",R86="",R86&lt;=0,E86&lt;0),"",E86/R86)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15.5</v>
      </c>
      <c r="L86" s="33" t="n">
        <v>64.28</v>
      </c>
      <c r="M86" s="33" t="n">
        <v>15.92</v>
      </c>
      <c r="N86" s="33" t="n">
        <v>0.86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3.19</v>
      </c>
      <c r="Q86" s="33" t="n">
        <v>12</v>
      </c>
      <c r="R86" s="33" t="n">
        <v>35.4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2</v>
      </c>
      <c r="U86" s="33" t="n">
        <v>3</v>
      </c>
      <c r="V86" s="33" t="n">
        <v>4</v>
      </c>
      <c r="W86" s="33" t="n">
        <v>3</v>
      </c>
      <c r="X86" s="33" t="n">
        <v>3</v>
      </c>
      <c r="Y86" s="33">
        <f>IFERROR(AVERAGE(T86,U86,V86,W86,X86)*20,"")</f>
        <v/>
      </c>
      <c r="Z86" s="33" t="n">
        <v>3</v>
      </c>
      <c r="AA86" s="33" t="n">
        <v>3</v>
      </c>
      <c r="AB86" s="33" t="n">
        <v>3</v>
      </c>
      <c r="AC86" s="33">
        <f>IFERROR(AVERAGE(Z86,AA86,AB86)*20,"")</f>
        <v/>
      </c>
      <c r="AD86" s="33" t="n">
        <v>5</v>
      </c>
      <c r="AE86" s="33" t="n">
        <v>4</v>
      </c>
      <c r="AF86" s="33" t="n">
        <v>4</v>
      </c>
      <c r="AG86" s="33" t="n">
        <v>4</v>
      </c>
      <c r="AH86" s="33">
        <f>IFERROR(AVERAGE(AD86,AE86,AF86,AG86)*20,"")</f>
        <v/>
      </c>
      <c r="AI86" s="33">
        <f>IFERROR(J86*Weights!$B$4 + O86*Weights!$B$5 + S86*Weights!$B$6 + Y86*Weights!$B$7 + AC86*Weights!$B$8 + AH86*Weights!$B$9,"")</f>
        <v/>
      </c>
      <c r="AJ86" s="33">
        <f>IF(AI86="","",IF(AI86&gt;=85,"✓✓✓",IF(AI86&gt;=70,"✓✓",IF(AI86&gt;=55,"✓",IF(AI86&gt;=40,"?","✗")))))</f>
        <v/>
      </c>
    </row>
    <row r="87">
      <c r="A87" s="33" t="inlineStr">
        <is>
          <t>CIEN</t>
        </is>
      </c>
      <c r="B87" s="33" t="inlineStr">
        <is>
          <t>Ciena Corporation</t>
        </is>
      </c>
      <c r="C87" s="33" t="inlineStr">
        <is>
          <t>07 Optical, Networking &amp; Interconnect / Networking systems</t>
        </is>
      </c>
      <c r="D87" s="33" t="inlineStr">
        <is>
          <t>2026-05-18</t>
        </is>
      </c>
      <c r="E87" s="33" t="n">
        <v>64.0852</v>
      </c>
      <c r="F87" s="33" t="n">
        <v>137.928</v>
      </c>
      <c r="G87" s="33" t="n">
        <v>0.89</v>
      </c>
      <c r="H87" s="33" t="n">
        <v>15.29964</v>
      </c>
      <c r="I87" s="33">
        <f>IF(OR(E87="",R87="",R87&lt;=0,E87&lt;0),"",E87/R87)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4.5</v>
      </c>
      <c r="L87" s="33" t="n">
        <v>42.12</v>
      </c>
      <c r="M87" s="33" t="n">
        <v>13.65</v>
      </c>
      <c r="N87" s="33" t="n">
        <v>0.51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9.5</v>
      </c>
      <c r="Q87" s="33" t="n">
        <v>33.1</v>
      </c>
      <c r="R87" s="33" t="n">
        <v>237.2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4</v>
      </c>
      <c r="U87" s="33" t="n">
        <v>4</v>
      </c>
      <c r="V87" s="33" t="n">
        <v>4</v>
      </c>
      <c r="W87" s="33" t="n">
        <v>5</v>
      </c>
      <c r="X87" s="33" t="n">
        <v>4</v>
      </c>
      <c r="Y87" s="33">
        <f>IFERROR(AVERAGE(T87,U87,V87,W87,X87)*20,"")</f>
        <v/>
      </c>
      <c r="Z87" s="33" t="n">
        <v>5</v>
      </c>
      <c r="AA87" s="33" t="n">
        <v>5</v>
      </c>
      <c r="AB87" s="33" t="n">
        <v>3</v>
      </c>
      <c r="AC87" s="33">
        <f>IFERROR(AVERAGE(Z87,AA87,AB87)*20,"")</f>
        <v/>
      </c>
      <c r="AD87" s="33" t="n">
        <v>4</v>
      </c>
      <c r="AE87" s="33" t="n">
        <v>4</v>
      </c>
      <c r="AF87" s="33" t="n">
        <v>4</v>
      </c>
      <c r="AG87" s="33" t="n">
        <v>4</v>
      </c>
      <c r="AH87" s="33">
        <f>IFERROR(AVERAGE(AD87,AE87,AF87,AG87)*20,"")</f>
        <v/>
      </c>
      <c r="AI87" s="33">
        <f>IFERROR(J87*Weights!$B$4 + O87*Weights!$B$5 + S87*Weights!$B$6 + Y87*Weights!$B$7 + AC87*Weights!$B$8 + AH87*Weights!$B$9,"")</f>
        <v/>
      </c>
      <c r="AJ87" s="33">
        <f>IF(AI87="","",IF(AI87&gt;=85,"✓✓✓",IF(AI87&gt;=70,"✓✓",IF(AI87&gt;=55,"✓",IF(AI87&gt;=40,"?","✗")))))</f>
        <v/>
      </c>
    </row>
    <row r="88">
      <c r="A88" s="33" t="inlineStr">
        <is>
          <t>APH</t>
        </is>
      </c>
      <c r="B88" s="33" t="inlineStr">
        <is>
          <t>Amphenol Corporation</t>
        </is>
      </c>
      <c r="C88" s="33" t="inlineStr">
        <is>
          <t>07 Optical, Networking &amp; Interconnect / Cabling &amp; physical layer</t>
        </is>
      </c>
      <c r="D88" s="33" t="inlineStr">
        <is>
          <t>2026-05-18</t>
        </is>
      </c>
      <c r="E88" s="33" t="n">
        <v>22.211916</v>
      </c>
      <c r="F88" s="33" t="n">
        <v>20.567</v>
      </c>
      <c r="G88" s="33" t="n">
        <v>2.32</v>
      </c>
      <c r="H88" s="33" t="n">
        <v>5.936554</v>
      </c>
      <c r="I88" s="33">
        <f>IF(OR(E88="",R88="",R88&lt;=0,E88&lt;0),"",E88/R88)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15.9</v>
      </c>
      <c r="L88" s="33" t="n">
        <v>37.92</v>
      </c>
      <c r="M88" s="33" t="n">
        <v>13.76</v>
      </c>
      <c r="N88" s="33" t="n">
        <v>1.73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22.31</v>
      </c>
      <c r="Q88" s="33" t="n">
        <v>58.4</v>
      </c>
      <c r="R88" s="33" t="n">
        <v>26.5</v>
      </c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3</v>
      </c>
      <c r="U88" s="33" t="n">
        <v>3</v>
      </c>
      <c r="V88" s="33" t="n">
        <v>4</v>
      </c>
      <c r="W88" s="33" t="n">
        <v>4</v>
      </c>
      <c r="X88" s="33" t="n">
        <v>4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33">
        <f>IFERROR(AVERAGE(Z88,AA88,AB88)*20,"")</f>
        <v/>
      </c>
      <c r="AD88" s="33" t="n">
        <v>5</v>
      </c>
      <c r="AE88" s="33" t="n">
        <v>4</v>
      </c>
      <c r="AF88" s="33" t="n">
        <v>4</v>
      </c>
      <c r="AG88" s="33" t="n">
        <v>4</v>
      </c>
      <c r="AH88" s="33">
        <f>IFERROR(AVERAGE(AD88,AE88,AF88,AG88)*20,"")</f>
        <v/>
      </c>
      <c r="AI88" s="33">
        <f>IFERROR(J88*Weights!$B$4 + O88*Weights!$B$5 + S88*Weights!$B$6 + Y88*Weights!$B$7 + AC88*Weights!$B$8 + AH88*Weights!$B$9,"")</f>
        <v/>
      </c>
      <c r="AJ88" s="33">
        <f>IF(AI88="","",IF(AI88&gt;=85,"✓✓✓",IF(AI88&gt;=70,"✓✓",IF(AI88&gt;=55,"✓",IF(AI88&gt;=40,"?","✗")))))</f>
        <v/>
      </c>
    </row>
    <row r="89">
      <c r="A89" s="33" t="inlineStr">
        <is>
          <t>TEL</t>
        </is>
      </c>
      <c r="B89" s="33" t="inlineStr">
        <is>
          <t>TE Connectivity plc</t>
        </is>
      </c>
      <c r="C89" s="33" t="inlineStr">
        <is>
          <t>07 Optical, Networking &amp; Interconnect / Cabling &amp; physical layer</t>
        </is>
      </c>
      <c r="D89" s="33" t="inlineStr">
        <is>
          <t>2026-05-18</t>
        </is>
      </c>
      <c r="E89" s="33" t="n">
        <v>16.234764</v>
      </c>
      <c r="F89" s="33" t="n">
        <v>13.69</v>
      </c>
      <c r="G89" s="33" t="n">
        <v>3.88</v>
      </c>
      <c r="H89" s="33" t="n">
        <v>3.2023294</v>
      </c>
      <c r="I89" s="33">
        <f>IF(OR(E89="",R89="",R89&lt;=0,E89&lt;0),"",E89/R89)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10.3</v>
      </c>
      <c r="L89" s="33" t="n">
        <v>36.07</v>
      </c>
      <c r="M89" s="33" t="n">
        <v>12.42</v>
      </c>
      <c r="N89" s="33" t="n">
        <v>1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1.97</v>
      </c>
      <c r="Q89" s="33" t="n">
        <v>14.5</v>
      </c>
      <c r="R89" s="33" t="n">
        <v>6476.9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2</v>
      </c>
      <c r="U89" s="33" t="n">
        <v>3</v>
      </c>
      <c r="V89" s="33" t="n">
        <v>3</v>
      </c>
      <c r="W89" s="33" t="n">
        <v>3</v>
      </c>
      <c r="X89" s="33" t="n">
        <v>3</v>
      </c>
      <c r="Y89" s="33">
        <f>IFERROR(AVERAGE(T89,U89,V89,W89,X89)*20,"")</f>
        <v/>
      </c>
      <c r="Z89" s="33" t="n">
        <v>4</v>
      </c>
      <c r="AA89" s="33" t="n">
        <v>2</v>
      </c>
      <c r="AB89" s="33" t="n">
        <v>3</v>
      </c>
      <c r="AC89" s="33">
        <f>IFERROR(AVERAGE(Z89,AA89,AB89)*20,"")</f>
        <v/>
      </c>
      <c r="AD89" s="33" t="n">
        <v>5</v>
      </c>
      <c r="AE89" s="33" t="n">
        <v>4</v>
      </c>
      <c r="AF89" s="33" t="n">
        <v>4</v>
      </c>
      <c r="AG89" s="33" t="n">
        <v>4</v>
      </c>
      <c r="AH89" s="33">
        <f>IFERROR(AVERAGE(AD89,AE89,AF89,AG89)*20,"")</f>
        <v/>
      </c>
      <c r="AI89" s="33">
        <f>IFERROR(J89*Weights!$B$4 + O89*Weights!$B$5 + S89*Weights!$B$6 + Y89*Weights!$B$7 + AC89*Weights!$B$8 + AH89*Weights!$B$9,"")</f>
        <v/>
      </c>
      <c r="AJ89" s="33">
        <f>IF(AI89="","",IF(AI89&gt;=85,"✓✓✓",IF(AI89&gt;=70,"✓✓",IF(AI89&gt;=55,"✓",IF(AI89&gt;=40,"?","✗")))))</f>
        <v/>
      </c>
    </row>
    <row r="90">
      <c r="A90" s="33" t="inlineStr">
        <is>
          <t>GLW</t>
        </is>
      </c>
      <c r="B90" s="33" t="inlineStr">
        <is>
          <t>Corning Incorporated</t>
        </is>
      </c>
      <c r="C90" s="33" t="inlineStr">
        <is>
          <t>07 Optical, Networking &amp; Interconnect / Cabling &amp; physical layer</t>
        </is>
      </c>
      <c r="D90" s="33" t="inlineStr">
        <is>
          <t>2026-05-18</t>
        </is>
      </c>
      <c r="E90" s="33" t="n">
        <v>45.413433</v>
      </c>
      <c r="F90" s="33" t="n">
        <v>44.48</v>
      </c>
      <c r="G90" s="33" t="n">
        <v>0.37</v>
      </c>
      <c r="H90" s="33" t="n">
        <v>10.1145115</v>
      </c>
      <c r="I90" s="33">
        <f>IF(OR(E90="",R90="",R90&lt;=0,E90&lt;0),"",E90/R90)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9.6</v>
      </c>
      <c r="L90" s="33" t="n">
        <v>36.38</v>
      </c>
      <c r="M90" s="33" t="n">
        <v>3.75</v>
      </c>
      <c r="N90" s="33" t="n">
        <v>2.09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3.27</v>
      </c>
      <c r="Q90" s="33" t="n">
        <v>20</v>
      </c>
      <c r="R90" s="33" t="n">
        <v>136.3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4</v>
      </c>
      <c r="U90" s="33" t="n">
        <v>5</v>
      </c>
      <c r="V90" s="33" t="n">
        <v>5</v>
      </c>
      <c r="W90" s="33" t="n">
        <v>5</v>
      </c>
      <c r="X90" s="33" t="n">
        <v>5</v>
      </c>
      <c r="Y90" s="33">
        <f>IFERROR(AVERAGE(T90,U90,V90,W90,X90)*20,"")</f>
        <v/>
      </c>
      <c r="Z90" s="33" t="n">
        <v>4</v>
      </c>
      <c r="AA90" s="33" t="n">
        <v>5</v>
      </c>
      <c r="AB90" s="33" t="n">
        <v>3</v>
      </c>
      <c r="AC90" s="33">
        <f>IFERROR(AVERAGE(Z90,AA90,AB90)*20,"")</f>
        <v/>
      </c>
      <c r="AD90" s="33" t="n">
        <v>5</v>
      </c>
      <c r="AE90" s="33" t="n">
        <v>4</v>
      </c>
      <c r="AF90" s="33" t="n">
        <v>4</v>
      </c>
      <c r="AG90" s="33" t="n">
        <v>4</v>
      </c>
      <c r="AH90" s="33">
        <f>IFERROR(AVERAGE(AD90,AE90,AF90,AG90)*20,"")</f>
        <v/>
      </c>
      <c r="AI90" s="33">
        <f>IFERROR(J90*Weights!$B$4 + O90*Weights!$B$5 + S90*Weights!$B$6 + Y90*Weights!$B$7 + AC90*Weights!$B$8 + AH90*Weights!$B$9,"")</f>
        <v/>
      </c>
      <c r="AJ90" s="33">
        <f>IF(AI90="","",IF(AI90&gt;=85,"✓✓✓",IF(AI90&gt;=70,"✓✓",IF(AI90&gt;=55,"✓",IF(AI90&gt;=40,"?","✗")))))</f>
        <v/>
      </c>
    </row>
    <row r="91">
      <c r="A91" s="33" t="inlineStr">
        <is>
          <t>SMCI</t>
        </is>
      </c>
      <c r="B91" s="33" t="inlineStr">
        <is>
          <t>Super Micro Computer, Inc.</t>
        </is>
      </c>
      <c r="C91" s="33" t="inlineStr">
        <is>
          <t>08 Servers, Systems &amp; Liquid Cooling</t>
        </is>
      </c>
      <c r="D91" s="33" t="inlineStr">
        <is>
          <t>2026-05-18</t>
        </is>
      </c>
      <c r="E91" s="33" t="n">
        <v>9.639662</v>
      </c>
      <c r="F91" s="33" t="n">
        <v>16.796</v>
      </c>
      <c r="G91" s="33" t="n">
        <v>-39.9</v>
      </c>
      <c r="H91" s="33" t="n">
        <v>0.55394405</v>
      </c>
      <c r="I91" s="33">
        <f>IF(OR(E91="",R91="",R91&lt;=0,E91&lt;0),"",E91/R91)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L91" s="33" t="n">
        <v>8.390000000000001</v>
      </c>
      <c r="M91" s="33" t="n">
        <v>-22.1</v>
      </c>
      <c r="N91" s="33" t="n">
        <v>4.97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61.71</v>
      </c>
      <c r="Q91" s="33" t="n">
        <v>122.7</v>
      </c>
      <c r="R91" s="33" t="n">
        <v>344.4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5</v>
      </c>
      <c r="U91" s="33" t="n">
        <v>3</v>
      </c>
      <c r="V91" s="33" t="n">
        <v>3</v>
      </c>
      <c r="W91" s="33" t="n">
        <v>5</v>
      </c>
      <c r="X91" s="33" t="n">
        <v>4</v>
      </c>
      <c r="Y91" s="33">
        <f>IFERROR(AVERAGE(T91,U91,V91,W91,X91)*20,"")</f>
        <v/>
      </c>
      <c r="Z91" s="33" t="n">
        <v>5</v>
      </c>
      <c r="AA91" s="33" t="n">
        <v>1</v>
      </c>
      <c r="AB91" s="33" t="n">
        <v>3</v>
      </c>
      <c r="AC91" s="33">
        <f>IFERROR(AVERAGE(Z91,AA91,AB91)*20,"")</f>
        <v/>
      </c>
      <c r="AD91" s="33" t="n">
        <v>3</v>
      </c>
      <c r="AE91" s="33" t="n">
        <v>2</v>
      </c>
      <c r="AF91" s="33" t="n">
        <v>2</v>
      </c>
      <c r="AG91" s="33" t="n">
        <v>1</v>
      </c>
      <c r="AH91" s="33">
        <f>IFERROR(AVERAGE(AD91,AE91,AF91,AG91)*20,"")</f>
        <v/>
      </c>
      <c r="AI91" s="33">
        <f>IFERROR(J91*Weights!$B$4 + O91*Weights!$B$5 + S91*Weights!$B$6 + Y91*Weights!$B$7 + AC91*Weights!$B$8 + AH91*Weights!$B$9,"")</f>
        <v/>
      </c>
      <c r="AJ91" s="33">
        <f>IF(AI91="","",IF(AI91&gt;=85,"✓✓✓",IF(AI91&gt;=70,"✓✓",IF(AI91&gt;=55,"✓",IF(AI91&gt;=40,"?","✗")))))</f>
        <v/>
      </c>
    </row>
    <row r="92">
      <c r="A92" s="33" t="inlineStr">
        <is>
          <t>DELL</t>
        </is>
      </c>
      <c r="B92" s="33" t="inlineStr">
        <is>
          <t>Dell Technologies Inc.</t>
        </is>
      </c>
      <c r="C92" s="33" t="inlineStr">
        <is>
          <t>08 Servers, Systems &amp; Liquid Cooling</t>
        </is>
      </c>
      <c r="D92" s="70" t="n">
        <v>46178</v>
      </c>
      <c r="E92" s="33" t="n">
        <v>16.399164</v>
      </c>
      <c r="F92" s="33" t="n">
        <v>15.448</v>
      </c>
      <c r="G92" s="33" t="n">
        <v>4.2</v>
      </c>
      <c r="H92" s="33" t="n">
        <v>1.3857843</v>
      </c>
      <c r="I92" s="33">
        <f>IF(OR(E92="",R92="",R92&lt;=0,E92&lt;0),"",E92/R92)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L92" s="33" t="n">
        <v>20.12</v>
      </c>
      <c r="M92" s="33" t="n">
        <v>5.82</v>
      </c>
      <c r="N92" s="33" t="n">
        <v>1.81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3.53</v>
      </c>
      <c r="Q92" s="33" t="n">
        <v>88</v>
      </c>
      <c r="R92" s="33" t="n">
        <v>214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4</v>
      </c>
      <c r="U92" s="33" t="n">
        <v>3</v>
      </c>
      <c r="V92" s="33" t="n">
        <v>4</v>
      </c>
      <c r="W92" s="33" t="n">
        <v>4</v>
      </c>
      <c r="X92" s="33" t="n">
        <v>4</v>
      </c>
      <c r="Y92" s="33">
        <f>IFERROR(AVERAGE(T92,U92,V92,W92,X92)*20,"")</f>
        <v/>
      </c>
      <c r="Z92" s="33" t="n">
        <v>4</v>
      </c>
      <c r="AA92" s="33" t="n">
        <v>4</v>
      </c>
      <c r="AB92" s="33" t="n">
        <v>3</v>
      </c>
      <c r="AC92" s="33">
        <f>IFERROR(AVERAGE(Z92,AA92,AB92)*20,"")</f>
        <v/>
      </c>
      <c r="AD92" s="33" t="n">
        <v>4</v>
      </c>
      <c r="AE92" s="33" t="n">
        <v>4</v>
      </c>
      <c r="AF92" s="33" t="n">
        <v>4</v>
      </c>
      <c r="AG92" s="33" t="n">
        <v>4</v>
      </c>
      <c r="AH92" s="33">
        <f>IFERROR(AVERAGE(AD92,AE92,AF92,AG92)*20,"")</f>
        <v/>
      </c>
      <c r="AI92" s="33">
        <f>IFERROR(J92*Weights!$B$4 + O92*Weights!$B$5 + S92*Weights!$B$6 + Y92*Weights!$B$7 + AC92*Weights!$B$8 + AH92*Weights!$B$9,"")</f>
        <v/>
      </c>
      <c r="AJ92" s="33">
        <f>IF(AI92="","",IF(AI92&gt;=85,"✓✓✓",IF(AI92&gt;=70,"✓✓",IF(AI92&gt;=55,"✓",IF(AI92&gt;=40,"?","✗")))))</f>
        <v/>
      </c>
    </row>
    <row r="93">
      <c r="A93" s="33" t="inlineStr">
        <is>
          <t>HPE</t>
        </is>
      </c>
      <c r="B93" s="33" t="inlineStr">
        <is>
          <t>Hewlett Packard Enterprise Company</t>
        </is>
      </c>
      <c r="C93" s="33" t="inlineStr">
        <is>
          <t>08 Servers, Systems &amp; Liquid Cooling</t>
        </is>
      </c>
      <c r="D93" s="33" t="inlineStr">
        <is>
          <t>2026-05-18</t>
        </is>
      </c>
      <c r="E93" s="33" t="n">
        <v>12.14554</v>
      </c>
      <c r="F93" s="33" t="n">
        <v>12.433</v>
      </c>
      <c r="G93" s="33" t="n">
        <v>5.81</v>
      </c>
      <c r="H93" s="33" t="n">
        <v>1.2287405</v>
      </c>
      <c r="I93" s="33">
        <f>IF(OR(E93="",R93="",R93&lt;=0,E93&lt;0),"",E93/R93)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L93" s="33" t="n">
        <v>32.07</v>
      </c>
      <c r="M93" s="33" t="n">
        <v>7.14</v>
      </c>
      <c r="N93" s="33" t="n">
        <v>3.44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6.37</v>
      </c>
      <c r="Q93" s="33" t="n">
        <v>18.4</v>
      </c>
      <c r="R93" s="33" t="n">
        <v>-27.9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3</v>
      </c>
      <c r="V93" s="33" t="n">
        <v>4</v>
      </c>
      <c r="W93" s="33" t="n">
        <v>3</v>
      </c>
      <c r="X93" s="33" t="n">
        <v>4</v>
      </c>
      <c r="Y93" s="33">
        <f>IFERROR(AVERAGE(T93,U93,V93,W93,X93)*20,"")</f>
        <v/>
      </c>
      <c r="Z93" s="33" t="n">
        <v>2</v>
      </c>
      <c r="AA93" s="33" t="n">
        <v>3</v>
      </c>
      <c r="AB93" s="33" t="n">
        <v>3</v>
      </c>
      <c r="AC93" s="33">
        <f>IFERROR(AVERAGE(Z93,AA93,AB93)*20,"")</f>
        <v/>
      </c>
      <c r="AD93" s="33" t="n">
        <v>4</v>
      </c>
      <c r="AE93" s="33" t="n">
        <v>4</v>
      </c>
      <c r="AF93" s="33" t="n">
        <v>3</v>
      </c>
      <c r="AG93" s="33" t="n">
        <v>4</v>
      </c>
      <c r="AH93" s="33">
        <f>IFERROR(AVERAGE(AD93,AE93,AF93,AG93)*20,"")</f>
        <v/>
      </c>
      <c r="AI93" s="33">
        <f>IFERROR(J93*Weights!$B$4 + O93*Weights!$B$5 + S93*Weights!$B$6 + Y93*Weights!$B$7 + AC93*Weights!$B$8 + AH93*Weights!$B$9,"")</f>
        <v/>
      </c>
      <c r="AJ93" s="33">
        <f>IF(AI93="","",IF(AI93&gt;=85,"✓✓✓",IF(AI93&gt;=70,"✓✓",IF(AI93&gt;=55,"✓",IF(AI93&gt;=40,"?","✗")))))</f>
        <v/>
      </c>
    </row>
    <row r="94">
      <c r="A94" s="33" t="inlineStr">
        <is>
          <t>MSFT</t>
        </is>
      </c>
      <c r="B94" s="33" t="inlineStr">
        <is>
          <t>Microsoft Corporation</t>
        </is>
      </c>
      <c r="C94" s="33" t="inlineStr">
        <is>
          <t>09 Compute-as-a-Service / Hyperscalers (public-cloud AI revenue)</t>
        </is>
      </c>
      <c r="D94" s="33" t="inlineStr">
        <is>
          <t>2026-05-18</t>
        </is>
      </c>
      <c r="E94" s="33" t="n">
        <v>21.78098</v>
      </c>
      <c r="F94" s="33" t="n">
        <v>17.247</v>
      </c>
      <c r="G94" s="33" t="n">
        <v>1.18</v>
      </c>
      <c r="H94" s="33" t="n">
        <v>9.847538</v>
      </c>
      <c r="I94" s="33">
        <f>IF(OR(E94="",R94="",R94&lt;=0,E94&lt;0),"",E94/R94)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25.7</v>
      </c>
      <c r="L94" s="33" t="n">
        <v>68.31</v>
      </c>
      <c r="M94" s="33" t="n">
        <v>11.63</v>
      </c>
      <c r="N94" s="33" t="n">
        <v>0.26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12.42</v>
      </c>
      <c r="Q94" s="33" t="n">
        <v>18.3</v>
      </c>
      <c r="R94" s="33" t="n">
        <v>23.1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5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3</v>
      </c>
      <c r="AA94" s="33" t="n">
        <v>1</v>
      </c>
      <c r="AB94" s="33" t="n">
        <v>3</v>
      </c>
      <c r="AC94" s="33">
        <f>IFERROR(AVERAGE(Z94,AA94,AB94)*20,"")</f>
        <v/>
      </c>
      <c r="AD94" s="33" t="n">
        <v>5</v>
      </c>
      <c r="AE94" s="33" t="n">
        <v>4</v>
      </c>
      <c r="AF94" s="33" t="n">
        <v>5</v>
      </c>
      <c r="AG94" s="33" t="n">
        <v>3</v>
      </c>
      <c r="AH94" s="33">
        <f>IFERROR(AVERAGE(AD94,AE94,AF94,AG94)*20,"")</f>
        <v/>
      </c>
      <c r="AI94" s="33">
        <f>IFERROR(J94*Weights!$B$4 + O94*Weights!$B$5 + S94*Weights!$B$6 + Y94*Weights!$B$7 + AC94*Weights!$B$8 + AH94*Weights!$B$9,"")</f>
        <v/>
      </c>
      <c r="AJ94" s="33">
        <f>IF(AI94="","",IF(AI94&gt;=85,"✓✓✓",IF(AI94&gt;=70,"✓✓",IF(AI94&gt;=55,"✓",IF(AI94&gt;=40,"?","✗")))))</f>
        <v/>
      </c>
    </row>
    <row r="95">
      <c r="A95" s="33" t="inlineStr">
        <is>
          <t>GOOGL</t>
        </is>
      </c>
      <c r="B95" s="33" t="inlineStr">
        <is>
          <t>Alphabet Inc.</t>
        </is>
      </c>
      <c r="C95" s="33" t="inlineStr">
        <is>
          <t>09 Compute-as-a-Service / Hyperscalers (public-cloud AI revenue)</t>
        </is>
      </c>
      <c r="D95" s="33" t="inlineStr">
        <is>
          <t>2026-05-18</t>
        </is>
      </c>
      <c r="E95" s="33" t="n">
        <v>27.456259</v>
      </c>
      <c r="F95" s="33" t="n">
        <v>29.609</v>
      </c>
      <c r="G95" s="33" t="n">
        <v>0.58</v>
      </c>
      <c r="H95" s="33" t="n">
        <v>11.377961</v>
      </c>
      <c r="I95" s="33">
        <f>IF(OR(E95="",R95="",R95&lt;=0,E95&lt;0),"",E95/R95)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28</v>
      </c>
      <c r="L95" s="33" t="n">
        <v>60.37</v>
      </c>
      <c r="M95" s="33" t="n">
        <v>6.61</v>
      </c>
      <c r="N95" s="33" t="n">
        <v>-0.19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12.51</v>
      </c>
      <c r="Q95" s="33" t="n">
        <v>21.8</v>
      </c>
      <c r="R95" s="33" t="n">
        <v>81.2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4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5</v>
      </c>
      <c r="AB95" s="33" t="n">
        <v>3</v>
      </c>
      <c r="AC95" s="33">
        <f>IFERROR(AVERAGE(Z95,AA95,AB95)*20,"")</f>
        <v/>
      </c>
      <c r="AD95" s="33" t="n">
        <v>5</v>
      </c>
      <c r="AE95" s="33" t="n">
        <v>4</v>
      </c>
      <c r="AF95" s="33" t="n">
        <v>5</v>
      </c>
      <c r="AG95" s="33" t="n">
        <v>2</v>
      </c>
      <c r="AH95" s="33">
        <f>IFERROR(AVERAGE(AD95,AE95,AF95,AG95)*20,"")</f>
        <v/>
      </c>
      <c r="AI95" s="33">
        <f>IFERROR(J95*Weights!$B$4 + O95*Weights!$B$5 + S95*Weights!$B$6 + Y95*Weights!$B$7 + AC95*Weights!$B$8 + AH95*Weights!$B$9,"")</f>
        <v/>
      </c>
      <c r="AJ95" s="33">
        <f>IF(AI95="","",IF(AI95&gt;=85,"✓✓✓",IF(AI95&gt;=70,"✓✓",IF(AI95&gt;=55,"✓",IF(AI95&gt;=40,"?","✗")))))</f>
        <v/>
      </c>
    </row>
    <row r="96">
      <c r="A96" s="33" t="inlineStr">
        <is>
          <t>AMZN</t>
        </is>
      </c>
      <c r="B96" s="33" t="inlineStr">
        <is>
          <t>Amazon.com, Inc.</t>
        </is>
      </c>
      <c r="C96" s="33" t="inlineStr">
        <is>
          <t>09 Compute-as-a-Service / Hyperscalers (public-cloud AI revenue)</t>
        </is>
      </c>
      <c r="D96" s="33" t="inlineStr">
        <is>
          <t>2026-05-18</t>
        </is>
      </c>
      <c r="E96" s="33" t="n">
        <v>26.751066</v>
      </c>
      <c r="F96" s="33" t="n">
        <v>18.823</v>
      </c>
      <c r="G96" s="33" t="n">
        <v>0.35</v>
      </c>
      <c r="H96" s="33" t="n">
        <v>3.8253567</v>
      </c>
      <c r="I96" s="33">
        <f>IF(OR(E96="",R96="",R96&lt;=0,E96&lt;0),"",E96/R96)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14.2</v>
      </c>
      <c r="L96" s="33" t="n">
        <v>50.6</v>
      </c>
      <c r="M96" s="33" t="n">
        <v>1.32</v>
      </c>
      <c r="N96" s="33" t="n">
        <v>0.59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11.73</v>
      </c>
      <c r="Q96" s="33" t="n">
        <v>16.6</v>
      </c>
      <c r="R96" s="33" t="n">
        <v>76.7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5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4</v>
      </c>
      <c r="AB96" s="33" t="n">
        <v>3</v>
      </c>
      <c r="AC96" s="33">
        <f>IFERROR(AVERAGE(Z96,AA96,AB96)*20,"")</f>
        <v/>
      </c>
      <c r="AD96" s="33" t="n">
        <v>5</v>
      </c>
      <c r="AE96" s="33" t="n">
        <v>4</v>
      </c>
      <c r="AF96" s="33" t="n">
        <v>4</v>
      </c>
      <c r="AG96" s="33" t="n">
        <v>2</v>
      </c>
      <c r="AH96" s="33">
        <f>IFERROR(AVERAGE(AD96,AE96,AF96,AG96)*20,"")</f>
        <v/>
      </c>
      <c r="AI96" s="33">
        <f>IFERROR(J96*Weights!$B$4 + O96*Weights!$B$5 + S96*Weights!$B$6 + Y96*Weights!$B$7 + AC96*Weights!$B$8 + AH96*Weights!$B$9,"")</f>
        <v/>
      </c>
      <c r="AJ96" s="33">
        <f>IF(AI96="","",IF(AI96&gt;=85,"✓✓✓",IF(AI96&gt;=70,"✓✓",IF(AI96&gt;=55,"✓",IF(AI96&gt;=40,"?","✗")))))</f>
        <v/>
      </c>
    </row>
    <row r="97">
      <c r="A97" s="33" t="inlineStr">
        <is>
          <t>META</t>
        </is>
      </c>
      <c r="B97" s="33" t="inlineStr">
        <is>
          <t>Meta Platforms, Inc.</t>
        </is>
      </c>
      <c r="C97" s="33" t="inlineStr">
        <is>
          <t>09 Compute-as-a-Service / Hyperscalers (public-cloud AI revenue)</t>
        </is>
      </c>
      <c r="D97" s="33" t="inlineStr">
        <is>
          <t>2026-05-18</t>
        </is>
      </c>
      <c r="E97" s="33" t="n">
        <v>16.974262</v>
      </c>
      <c r="F97" s="33" t="n">
        <v>14.315</v>
      </c>
      <c r="G97" s="33" t="n">
        <v>1.64</v>
      </c>
      <c r="H97" s="33" t="n">
        <v>7.253228</v>
      </c>
      <c r="I97" s="33">
        <f>IF(OR(E97="",R97="",R97&lt;=0,E97&lt;0),"",E97/R97)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20.3</v>
      </c>
      <c r="L97" s="33" t="n">
        <v>81.94</v>
      </c>
      <c r="M97" s="33" t="n">
        <v>11.89</v>
      </c>
      <c r="N97" s="33" t="n">
        <v>0.05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19.89</v>
      </c>
      <c r="Q97" s="33" t="n">
        <v>33.1</v>
      </c>
      <c r="R97" s="33" t="n">
        <v>60.9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2</v>
      </c>
      <c r="U97" s="33" t="n">
        <v>3</v>
      </c>
      <c r="V97" s="33" t="n">
        <v>5</v>
      </c>
      <c r="W97" s="33" t="n">
        <v>5</v>
      </c>
      <c r="X97" s="33" t="n">
        <v>1</v>
      </c>
      <c r="Y97" s="33">
        <f>IFERROR(AVERAGE(T97,U97,V97,W97,X97)*20,"")</f>
        <v/>
      </c>
      <c r="Z97" s="33" t="n">
        <v>4</v>
      </c>
      <c r="AA97" s="33" t="n">
        <v>3</v>
      </c>
      <c r="AB97" s="33" t="n">
        <v>3</v>
      </c>
      <c r="AC97" s="33">
        <f>IFERROR(AVERAGE(Z97,AA97,AB97)*20,"")</f>
        <v/>
      </c>
      <c r="AD97" s="33" t="n">
        <v>4</v>
      </c>
      <c r="AE97" s="33" t="n">
        <v>4</v>
      </c>
      <c r="AF97" s="33" t="n">
        <v>5</v>
      </c>
      <c r="AG97" s="33" t="n">
        <v>2</v>
      </c>
      <c r="AH97" s="33">
        <f>IFERROR(AVERAGE(AD97,AE97,AF97,AG97)*20,"")</f>
        <v/>
      </c>
      <c r="AI97" s="33">
        <f>IFERROR(J97*Weights!$B$4 + O97*Weights!$B$5 + S97*Weights!$B$6 + Y97*Weights!$B$7 + AC97*Weights!$B$8 + AH97*Weights!$B$9,"")</f>
        <v/>
      </c>
      <c r="AJ97" s="33">
        <f>IF(AI97="","",IF(AI97&gt;=85,"✓✓✓",IF(AI97&gt;=70,"✓✓",IF(AI97&gt;=55,"✓",IF(AI97&gt;=40,"?","✗")))))</f>
        <v/>
      </c>
    </row>
    <row r="98">
      <c r="A98" s="33" t="inlineStr">
        <is>
          <t>ORCL</t>
        </is>
      </c>
      <c r="B98" s="33" t="inlineStr">
        <is>
          <t>Oracle Corporation</t>
        </is>
      </c>
      <c r="C98" s="33" t="inlineStr">
        <is>
          <t>09 Compute-as-a-Service / Hyperscalers (public-cloud AI revenue)</t>
        </is>
      </c>
      <c r="D98" s="33" t="inlineStr">
        <is>
          <t>2026-05-18</t>
        </is>
      </c>
      <c r="E98" s="33" t="n">
        <v>24.021133</v>
      </c>
      <c r="F98" s="33" t="n">
        <v>24.907</v>
      </c>
      <c r="G98" s="33" t="n">
        <v>-4.02</v>
      </c>
      <c r="H98" s="33" t="n">
        <v>8.660545000000001</v>
      </c>
      <c r="I98" s="33">
        <f>IF(OR(E98="",R98="",R98&lt;=0,E98&lt;0),"",E98/R98)</f>
        <v/>
      </c>
      <c r="J98" s="33">
        <f>IFERROR(AVERAGE(IFERROR(IF(E98="","",IF(E98&lt;0,5,IF(E98&lt;=15,90,IF(E98&lt;=20,75,IF(E98&lt;=25,60,IF(E98&lt;=30,45,IF(E98&lt;=40,30,IF(E98&lt;=60,15,5)))))))),""),IFERROR(IF(F98="","",IF(F98&lt;0,5,IF(F98&lt;=10,90,IF(F98&lt;=15,75,IF(F98&lt;=20,60,IF(F98&lt;=25,45,IF(F98&lt;=35,30,IF(F98&lt;=50,15,5)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12.5</v>
      </c>
      <c r="L98" s="33" t="n">
        <v>67.08</v>
      </c>
      <c r="M98" s="33" t="n">
        <v>-34.8</v>
      </c>
      <c r="N98" s="33" t="n">
        <v>4.48</v>
      </c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10.59</v>
      </c>
      <c r="Q98" s="33" t="n">
        <v>21.7</v>
      </c>
      <c r="R98" s="33" t="n">
        <v>26.7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3</v>
      </c>
      <c r="U98" s="33" t="n">
        <v>4</v>
      </c>
      <c r="V98" s="33" t="n">
        <v>4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1</v>
      </c>
      <c r="AB98" s="33" t="n">
        <v>3</v>
      </c>
      <c r="AC98" s="33">
        <f>IFERROR(AVERAGE(Z98,AA98,AB98)*20,"")</f>
        <v/>
      </c>
      <c r="AD98" s="33" t="n">
        <v>4</v>
      </c>
      <c r="AE98" s="33" t="n">
        <v>4</v>
      </c>
      <c r="AF98" s="33" t="n">
        <v>2</v>
      </c>
      <c r="AG98" s="33" t="n">
        <v>4</v>
      </c>
      <c r="AH98" s="33">
        <f>IFERROR(AVERAGE(AD98,AE98,AF98,AG98)*20,"")</f>
        <v/>
      </c>
      <c r="AI98" s="33">
        <f>IFERROR(J98*Weights!$B$4 + O98*Weights!$B$5 + S98*Weights!$B$6 + Y98*Weights!$B$7 + AC98*Weights!$B$8 + AH98*Weights!$B$9,"")</f>
        <v/>
      </c>
      <c r="AJ98" s="33">
        <f>IF(AI98="","",IF(AI98&gt;=85,"✓✓✓",IF(AI98&gt;=70,"✓✓",IF(AI98&gt;=55,"✓",IF(AI98&gt;=40,"?","✗")))))</f>
        <v/>
      </c>
    </row>
    <row r="99">
      <c r="A99" s="33" t="inlineStr">
        <is>
          <t>NBIS</t>
        </is>
      </c>
      <c r="B99" s="33" t="inlineStr">
        <is>
          <t>Nebius Group N.V.</t>
        </is>
      </c>
      <c r="C99" s="33" t="inlineStr">
        <is>
          <t>09 Compute-as-a-Service / Neoclouds (AI-native cloud providers)</t>
        </is>
      </c>
      <c r="D99" s="33" t="inlineStr">
        <is>
          <t>2026-05-18</t>
        </is>
      </c>
      <c r="E99" s="33" t="n">
        <v>608.88104</v>
      </c>
      <c r="F99" s="33" t="n">
        <v>-1464.081</v>
      </c>
      <c r="G99" s="33" t="n">
        <v>-10.98</v>
      </c>
      <c r="H99" s="33" t="n">
        <v>63.60903</v>
      </c>
      <c r="I99" s="33">
        <f>IF(OR(E99="",R99="",R99&lt;=0,E99&lt;0),"",E99/R99)</f>
        <v/>
      </c>
      <c r="J99" s="33">
        <f>IFERROR(AVERAGE(IFERROR(IF(E99="","",IF(E99&lt;0,5,IF(E99&lt;=15,90,IF(E99&lt;=20,75,IF(E99&lt;=25,60,IF(E99&lt;=30,45,IF(E99&lt;=40,30,IF(E99&lt;=60,15,5)))))))),""),IFERROR(IF(F99="","",IF(F99&lt;0,5,IF(F99&lt;=10,90,IF(F99&lt;=15,75,IF(F99&lt;=20,60,IF(F99&lt;=25,45,IF(F99&lt;=35,30,IF(F99&lt;=50,15,5)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L99" s="33" t="n">
        <v>72.06</v>
      </c>
      <c r="M99" s="33" t="n">
        <v>-698.12</v>
      </c>
      <c r="N99" s="33" t="n">
        <v>-5.13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239.83</v>
      </c>
      <c r="Q99" s="33" t="n">
        <v>621.5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5</v>
      </c>
      <c r="U99" s="33" t="n">
        <v>4</v>
      </c>
      <c r="V99" s="33" t="n">
        <v>3</v>
      </c>
      <c r="W99" s="33" t="n">
        <v>5</v>
      </c>
      <c r="X99" s="33" t="n">
        <v>5</v>
      </c>
      <c r="Y99" s="33">
        <f>IFERROR(AVERAGE(T99,U99,V99,W99,X99)*20,"")</f>
        <v/>
      </c>
      <c r="Z99" s="33" t="n">
        <v>3</v>
      </c>
      <c r="AA99" s="33" t="n">
        <v>5</v>
      </c>
      <c r="AB99" s="33" t="n">
        <v>3</v>
      </c>
      <c r="AC99" s="33">
        <f>IFERROR(AVERAGE(Z99,AA99,AB99)*20,"")</f>
        <v/>
      </c>
      <c r="AD99" s="33" t="n">
        <v>3</v>
      </c>
      <c r="AE99" s="33" t="n">
        <v>4</v>
      </c>
      <c r="AF99" s="33" t="n">
        <v>3</v>
      </c>
      <c r="AG99" s="33" t="n">
        <v>3</v>
      </c>
      <c r="AH99" s="33">
        <f>IFERROR(AVERAGE(AD99,AE99,AF99,AG99)*20,"")</f>
        <v/>
      </c>
      <c r="AI99" s="33">
        <f>IFERROR(J99*Weights!$B$4 + O99*Weights!$B$5 + S99*Weights!$B$6 + Y99*Weights!$B$7 + AC99*Weights!$B$8 + AH99*Weights!$B$9,"")</f>
        <v/>
      </c>
      <c r="AJ99" s="33">
        <f>IF(AI99="","",IF(AI99&gt;=85,"✓✓✓",IF(AI99&gt;=70,"✓✓",IF(AI99&gt;=55,"✓",IF(AI99&gt;=40,"?","✗")))))</f>
        <v/>
      </c>
    </row>
    <row r="100">
      <c r="A100" s="33" t="inlineStr">
        <is>
          <t>APLD</t>
        </is>
      </c>
      <c r="B100" s="33" t="inlineStr">
        <is>
          <t>Applied Digital Corporation</t>
        </is>
      </c>
      <c r="C100" s="33" t="inlineStr">
        <is>
          <t>09 Compute-as-a-Service / Neoclouds (AI-native cloud providers)</t>
        </is>
      </c>
      <c r="D100" s="33" t="inlineStr">
        <is>
          <t>2026-05-18</t>
        </is>
      </c>
      <c r="E100" s="33" t="n">
        <v>-60.800003</v>
      </c>
      <c r="F100" s="33" t="n">
        <v>1024.496</v>
      </c>
      <c r="G100" s="33" t="n">
        <v>-12.31</v>
      </c>
      <c r="H100" s="33" t="n">
        <v>38.095207</v>
      </c>
      <c r="I100" s="33">
        <f>IF(OR(E100="",R100="",R100&lt;=0,E100&lt;0),"",E100/R100)</f>
        <v/>
      </c>
      <c r="J100" s="33">
        <f>IFERROR(AVERAGE(IFERROR(IF(E100="","",IF(E100&lt;0,5,IF(E100&lt;=15,90,IF(E100&lt;=20,75,IF(E100&lt;=25,60,IF(E100&lt;=30,45,IF(E100&lt;=40,30,IF(E100&lt;=60,15,5)))))))),""),IFERROR(IF(F100="","",IF(F100&lt;0,5,IF(F100&lt;=10,90,IF(F100&lt;=15,75,IF(F100&lt;=20,60,IF(F100&lt;=25,45,IF(F100&lt;=35,30,IF(F100&lt;=50,15,5)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45.41</v>
      </c>
      <c r="M100" s="33" t="n">
        <v>-468.87</v>
      </c>
      <c r="N100" s="33" t="n">
        <v>78.90000000000001</v>
      </c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156.45</v>
      </c>
      <c r="Q100" s="33" t="n">
        <v>139.3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4</v>
      </c>
      <c r="X100" s="33" t="n">
        <v>3</v>
      </c>
      <c r="Y100" s="33">
        <f>IFERROR(AVERAGE(T100,U100,V100,W100,X100)*20,"")</f>
        <v/>
      </c>
      <c r="Z100" s="33" t="n">
        <v>2</v>
      </c>
      <c r="AA100" s="33" t="n">
        <v>5</v>
      </c>
      <c r="AB100" s="33" t="n">
        <v>3</v>
      </c>
      <c r="AC100" s="33">
        <f>IFERROR(AVERAGE(Z100,AA100,AB100)*20,"")</f>
        <v/>
      </c>
      <c r="AD100" s="33" t="n">
        <v>1</v>
      </c>
      <c r="AE100" s="33" t="n">
        <v>4</v>
      </c>
      <c r="AF100" s="33" t="n">
        <v>2</v>
      </c>
      <c r="AG100" s="33" t="n">
        <v>3</v>
      </c>
      <c r="AH100" s="33">
        <f>IFERROR(AVERAGE(AD100,AE100,AF100,AG100)*20,"")</f>
        <v/>
      </c>
      <c r="AI100" s="33">
        <f>IFERROR(J100*Weights!$B$4 + O100*Weights!$B$5 + S100*Weights!$B$6 + Y100*Weights!$B$7 + AC100*Weights!$B$8 + AH100*Weights!$B$9,"")</f>
        <v/>
      </c>
      <c r="AJ100" s="33">
        <f>IF(AI100="","",IF(AI100&gt;=85,"✓✓✓",IF(AI100&gt;=70,"✓✓",IF(AI100&gt;=55,"✓",IF(AI100&gt;=40,"?","✗")))))</f>
        <v/>
      </c>
    </row>
    <row r="101">
      <c r="A101" s="33" t="inlineStr">
        <is>
          <t>CORZ</t>
        </is>
      </c>
      <c r="B101" s="33" t="inlineStr">
        <is>
          <t>Core Scientific, Inc.</t>
        </is>
      </c>
      <c r="C101" s="33" t="inlineStr">
        <is>
          <t>09 Compute-as-a-Service / Bitcoin miners pivoting to AI hosting</t>
        </is>
      </c>
      <c r="D101" s="33" t="inlineStr">
        <is>
          <t>2026-05-18</t>
        </is>
      </c>
      <c r="E101" s="33" t="n">
        <v>76.85714</v>
      </c>
      <c r="F101" s="33" t="n">
        <v>-91.44799999999999</v>
      </c>
      <c r="G101" s="33" t="n">
        <v>2.27</v>
      </c>
      <c r="H101" s="33" t="n">
        <v>21.694893</v>
      </c>
      <c r="I101" s="33">
        <f>IF(OR(E101="",R101="",R101&lt;=0,E101&lt;0),"",E101/R101)</f>
        <v/>
      </c>
      <c r="J101" s="33">
        <f>IFERROR(AVERAGE(IFERROR(IF(E101="","",IF(E101&lt;0,5,IF(E101&lt;=15,90,IF(E101&lt;=20,75,IF(E101&lt;=25,60,IF(E101&lt;=30,45,IF(E101&lt;=40,30,IF(E101&lt;=60,15,5)))))))),""),IFERROR(IF(F101="","",IF(F101&lt;0,5,IF(F101&lt;=10,90,IF(F101&lt;=15,75,IF(F101&lt;=20,60,IF(F101&lt;=25,45,IF(F101&lt;=35,30,IF(F101&lt;=50,15,5)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L101" s="33" t="n">
        <v>21.56</v>
      </c>
      <c r="M101" s="33" t="n">
        <v>49.32</v>
      </c>
      <c r="N101" s="33" t="n">
        <v>-11.89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-20.72</v>
      </c>
      <c r="Q101" s="33" t="n">
        <v>44.9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4</v>
      </c>
      <c r="U101" s="33" t="n">
        <v>3</v>
      </c>
      <c r="V101" s="33" t="n">
        <v>3</v>
      </c>
      <c r="W101" s="33" t="n">
        <v>5</v>
      </c>
      <c r="X101" s="33" t="n">
        <v>3</v>
      </c>
      <c r="Y101" s="33">
        <f>IFERROR(AVERAGE(T101,U101,V101,W101,X101)*20,"")</f>
        <v/>
      </c>
      <c r="Z101" s="33" t="n">
        <v>3</v>
      </c>
      <c r="AA101" s="33" t="n">
        <v>3</v>
      </c>
      <c r="AB101" s="33" t="n">
        <v>3</v>
      </c>
      <c r="AC101" s="33">
        <f>IFERROR(AVERAGE(Z101,AA101,AB101)*20,"")</f>
        <v/>
      </c>
      <c r="AD101" s="33" t="n">
        <v>1</v>
      </c>
      <c r="AE101" s="33" t="n">
        <v>4</v>
      </c>
      <c r="AF101" s="33" t="n">
        <v>3</v>
      </c>
      <c r="AG101" s="33" t="n">
        <v>3</v>
      </c>
      <c r="AH101" s="33">
        <f>IFERROR(AVERAGE(AD101,AE101,AF101,AG101)*20,"")</f>
        <v/>
      </c>
      <c r="AI101" s="33">
        <f>IFERROR(J101*Weights!$B$4 + O101*Weights!$B$5 + S101*Weights!$B$6 + Y101*Weights!$B$7 + AC101*Weights!$B$8 + AH101*Weights!$B$9,"")</f>
        <v/>
      </c>
      <c r="AJ101" s="33">
        <f>IF(AI101="","",IF(AI101&gt;=85,"✓✓✓",IF(AI101&gt;=70,"✓✓",IF(AI101&gt;=55,"✓",IF(AI101&gt;=40,"?","✗")))))</f>
        <v/>
      </c>
    </row>
    <row r="102">
      <c r="A102" s="33" t="inlineStr">
        <is>
          <t>IREN</t>
        </is>
      </c>
      <c r="B102" s="33" t="inlineStr">
        <is>
          <t>IREN Limited</t>
        </is>
      </c>
      <c r="C102" s="33" t="inlineStr">
        <is>
          <t>09 Compute-as-a-Service / Bitcoin miners pivoting to AI hosting</t>
        </is>
      </c>
      <c r="D102" s="33" t="inlineStr">
        <is>
          <t>2026-05-18</t>
        </is>
      </c>
      <c r="E102" s="33" t="n">
        <v>-39.36059</v>
      </c>
      <c r="F102" s="33" t="n">
        <v>140.453</v>
      </c>
      <c r="G102" s="33" t="n">
        <v>-12.22</v>
      </c>
      <c r="H102" s="33" t="n">
        <v>24.99046</v>
      </c>
      <c r="I102" s="33">
        <f>IF(OR(E102="",R102="",R102&lt;=0,E102&lt;0),"",E102/R102)</f>
        <v/>
      </c>
      <c r="J102" s="33">
        <f>IFERROR(AVERAGE(IFERROR(IF(E102="","",IF(E102&lt;0,5,IF(E102&lt;=15,90,IF(E102&lt;=20,75,IF(E102&lt;=25,60,IF(E102&lt;=30,45,IF(E102&lt;=40,30,IF(E102&lt;=60,15,5)))))))),""),IFERROR(IF(F102="","",IF(F102&lt;0,5,IF(F102&lt;=10,90,IF(F102&lt;=15,75,IF(F102&lt;=20,60,IF(F102&lt;=25,45,IF(F102&lt;=35,30,IF(F102&lt;=50,15,5)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L102" s="33" t="n">
        <v>68.40000000000001</v>
      </c>
      <c r="M102" s="33" t="n">
        <v>-305.26</v>
      </c>
      <c r="N102" s="33" t="n">
        <v>11.9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103.98</v>
      </c>
      <c r="Q102" s="33" t="n">
        <v>0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5</v>
      </c>
      <c r="U102" s="33" t="n">
        <v>4</v>
      </c>
      <c r="V102" s="33" t="n">
        <v>4</v>
      </c>
      <c r="W102" s="33" t="n">
        <v>5</v>
      </c>
      <c r="X102" s="33" t="n">
        <v>5</v>
      </c>
      <c r="Y102" s="33">
        <f>IFERROR(AVERAGE(T102,U102,V102,W102,X102)*20,"")</f>
        <v/>
      </c>
      <c r="Z102" s="33" t="n">
        <v>3</v>
      </c>
      <c r="AA102" s="33" t="n">
        <v>5</v>
      </c>
      <c r="AB102" s="33" t="n">
        <v>3</v>
      </c>
      <c r="AC102" s="33">
        <f>IFERROR(AVERAGE(Z102,AA102,AB102)*20,"")</f>
        <v/>
      </c>
      <c r="AD102" s="33" t="n">
        <v>2</v>
      </c>
      <c r="AE102" s="33" t="n">
        <v>4</v>
      </c>
      <c r="AF102" s="33" t="n">
        <v>2</v>
      </c>
      <c r="AG102" s="33" t="n">
        <v>3</v>
      </c>
      <c r="AH102" s="33">
        <f>IFERROR(AVERAGE(AD102,AE102,AF102,AG102)*20,"")</f>
        <v/>
      </c>
      <c r="AI102" s="33">
        <f>IFERROR(J102*Weights!$B$4 + O102*Weights!$B$5 + S102*Weights!$B$6 + Y102*Weights!$B$7 + AC102*Weights!$B$8 + AH102*Weights!$B$9,"")</f>
        <v/>
      </c>
      <c r="AJ102" s="33">
        <f>IF(AI102="","",IF(AI102&gt;=85,"✓✓✓",IF(AI102&gt;=70,"✓✓",IF(AI102&gt;=55,"✓",IF(AI102&gt;=40,"?","✗")))))</f>
        <v/>
      </c>
    </row>
    <row r="103">
      <c r="A103" s="33" t="inlineStr">
        <is>
          <t>CIFR</t>
        </is>
      </c>
      <c r="B103" s="33" t="inlineStr">
        <is>
          <t>Cipher Digital Inc.</t>
        </is>
      </c>
      <c r="C103" s="33" t="inlineStr">
        <is>
          <t>09 Compute-as-a-Service / Bitcoin miners pivoting to AI hosting</t>
        </is>
      </c>
      <c r="D103" s="33" t="inlineStr">
        <is>
          <t>2026-05-18</t>
        </is>
      </c>
      <c r="E103" s="33" t="n">
        <v>43.255318</v>
      </c>
      <c r="F103" s="33" t="n">
        <v>74.61799999999999</v>
      </c>
      <c r="G103" s="33" t="n">
        <v>-35.45</v>
      </c>
      <c r="H103" s="33" t="n">
        <v>39.63364</v>
      </c>
      <c r="I103" s="33">
        <f>IF(OR(E103="",R103="",R103&lt;=0,E103&lt;0),"",E103/R103)</f>
        <v/>
      </c>
      <c r="J103" s="33">
        <f>IFERROR(AVERAGE(IFERROR(IF(E103="","",IF(E103&lt;0,5,IF(E103&lt;=15,90,IF(E103&lt;=20,75,IF(E103&lt;=25,60,IF(E103&lt;=30,45,IF(E103&lt;=40,30,IF(E103&lt;=60,15,5)))))))),""),IFERROR(IF(F103="","",IF(F103&lt;0,5,IF(F103&lt;=10,90,IF(F103&lt;=15,75,IF(F103&lt;=20,60,IF(F103&lt;=25,45,IF(F103&lt;=35,30,IF(F103&lt;=50,15,5)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L103" s="33" t="n">
        <v>12.38</v>
      </c>
      <c r="M103" s="33" t="n">
        <v>-1405.04</v>
      </c>
      <c r="N103" s="33" t="n">
        <v>24.31</v>
      </c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319.34</v>
      </c>
      <c r="Q103" s="33" t="n">
        <v>-28.8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4</v>
      </c>
      <c r="U103" s="33" t="n">
        <v>3</v>
      </c>
      <c r="V103" s="33" t="n">
        <v>3</v>
      </c>
      <c r="W103" s="33" t="n">
        <v>4</v>
      </c>
      <c r="X103" s="33" t="n">
        <v>5</v>
      </c>
      <c r="Y103" s="33">
        <f>IFERROR(AVERAGE(T103,U103,V103,W103,X103)*20,"")</f>
        <v/>
      </c>
      <c r="Z103" s="33" t="n">
        <v>2</v>
      </c>
      <c r="AA103" s="33" t="n">
        <v>5</v>
      </c>
      <c r="AB103" s="33" t="n">
        <v>3</v>
      </c>
      <c r="AC103" s="33">
        <f>IFERROR(AVERAGE(Z103,AA103,AB103)*20,"")</f>
        <v/>
      </c>
      <c r="AD103" s="33" t="n">
        <v>3</v>
      </c>
      <c r="AE103" s="33" t="n">
        <v>4</v>
      </c>
      <c r="AF103" s="33" t="n">
        <v>2</v>
      </c>
      <c r="AG103" s="33" t="n">
        <v>3</v>
      </c>
      <c r="AH103" s="33">
        <f>IFERROR(AVERAGE(AD103,AE103,AF103,AG103)*20,"")</f>
        <v/>
      </c>
      <c r="AI103" s="33">
        <f>IFERROR(J103*Weights!$B$4 + O103*Weights!$B$5 + S103*Weights!$B$6 + Y103*Weights!$B$7 + AC103*Weights!$B$8 + AH103*Weights!$B$9,"")</f>
        <v/>
      </c>
      <c r="AJ103" s="33">
        <f>IF(AI103="","",IF(AI103&gt;=85,"✓✓✓",IF(AI103&gt;=70,"✓✓",IF(AI103&gt;=55,"✓",IF(AI103&gt;=40,"?","✗")))))</f>
        <v/>
      </c>
    </row>
    <row r="104">
      <c r="A104" s="33" t="inlineStr">
        <is>
          <t>CLSK</t>
        </is>
      </c>
      <c r="B104" s="33" t="inlineStr">
        <is>
          <t>CleanSpark, Inc.</t>
        </is>
      </c>
      <c r="C104" s="33" t="inlineStr">
        <is>
          <t>09 Compute-as-a-Service / Bitcoin miners pivoting to AI hosting</t>
        </is>
      </c>
      <c r="D104" s="33" t="inlineStr">
        <is>
          <t>2026-05-18</t>
        </is>
      </c>
      <c r="E104" s="33" t="n">
        <v>-21.317072</v>
      </c>
      <c r="F104" s="33" t="n">
        <v>-12.628</v>
      </c>
      <c r="G104" s="33" t="n">
        <v>-8.94</v>
      </c>
      <c r="H104" s="33" t="n">
        <v>4.546846</v>
      </c>
      <c r="I104" s="33">
        <f>IF(OR(E104="",R104="",R104&lt;=0,E104&lt;0),"",E104/R104)</f>
        <v/>
      </c>
      <c r="J104" s="33">
        <f>IFERROR(AVERAGE(IFERROR(IF(E104="","",IF(E104&lt;0,5,IF(E104&lt;=15,90,IF(E104&lt;=20,75,IF(E104&lt;=25,60,IF(E104&lt;=30,45,IF(E104&lt;=40,30,IF(E104&lt;=60,15,5)))))))),""),IFERROR(IF(F104="","",IF(F104&lt;0,5,IF(F104&lt;=10,90,IF(F104&lt;=15,75,IF(F104&lt;=20,60,IF(F104&lt;=25,45,IF(F104&lt;=35,30,IF(F104&lt;=50,15,5)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L104" s="33" t="n">
        <v>50.71</v>
      </c>
      <c r="M104" s="33" t="n">
        <v>-40.64</v>
      </c>
      <c r="N104" s="33" t="n">
        <v>-3.95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79.94</v>
      </c>
      <c r="Q104" s="33" t="n">
        <v>-24.9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2</v>
      </c>
      <c r="U104" s="33" t="n">
        <v>2</v>
      </c>
      <c r="V104" s="33" t="n">
        <v>2</v>
      </c>
      <c r="W104" s="33" t="n">
        <v>3</v>
      </c>
      <c r="X104" s="33" t="n">
        <v>1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33">
        <f>IFERROR(AVERAGE(Z104,AA104,AB104)*20,"")</f>
        <v/>
      </c>
      <c r="AD104" s="33" t="n">
        <v>3</v>
      </c>
      <c r="AE104" s="33" t="n">
        <v>4</v>
      </c>
      <c r="AF104" s="33" t="n">
        <v>3</v>
      </c>
      <c r="AG104" s="33" t="n">
        <v>4</v>
      </c>
      <c r="AH104" s="33">
        <f>IFERROR(AVERAGE(AD104,AE104,AF104,AG104)*20,"")</f>
        <v/>
      </c>
      <c r="AI104" s="33">
        <f>IFERROR(J104*Weights!$B$4 + O104*Weights!$B$5 + S104*Weights!$B$6 + Y104*Weights!$B$7 + AC104*Weights!$B$8 + AH104*Weights!$B$9,"")</f>
        <v/>
      </c>
      <c r="AJ104" s="33">
        <f>IF(AI104="","",IF(AI104&gt;=85,"✓✓✓",IF(AI104&gt;=70,"✓✓",IF(AI104&gt;=55,"✓",IF(AI104&gt;=40,"?","✗")))))</f>
        <v/>
      </c>
    </row>
    <row r="105">
      <c r="A105" s="33" t="inlineStr">
        <is>
          <t>BTDR</t>
        </is>
      </c>
      <c r="B105" s="33" t="inlineStr">
        <is>
          <t>Bitdeer Technologies Group</t>
        </is>
      </c>
      <c r="C105" s="33" t="inlineStr">
        <is>
          <t>09 Compute-as-a-Service / Bitcoin miners pivoting to AI hosting</t>
        </is>
      </c>
      <c r="D105" s="33" t="inlineStr">
        <is>
          <t>2026-05-18</t>
        </is>
      </c>
      <c r="E105" s="33" t="n">
        <v>-65.65681499999999</v>
      </c>
      <c r="F105" s="33" t="n">
        <v>10.57</v>
      </c>
      <c r="G105" s="33" t="n">
        <v>-22.66</v>
      </c>
      <c r="H105" s="33" t="n">
        <v>4.3951225</v>
      </c>
      <c r="I105" s="33">
        <f>IF(OR(E105="",R105="",R105&lt;=0,E105&lt;0),"",E105/R105)</f>
        <v/>
      </c>
      <c r="J105" s="33">
        <f>IFERROR(AVERAGE(IFERROR(IF(E105="","",IF(E105&lt;0,5,IF(E105&lt;=15,90,IF(E105&lt;=20,75,IF(E105&lt;=25,60,IF(E105&lt;=30,45,IF(E105&lt;=40,30,IF(E105&lt;=60,15,5)))))))),""),IFERROR(IF(F105="","",IF(F105&lt;0,5,IF(F105&lt;=10,90,IF(F105&lt;=15,75,IF(F105&lt;=20,60,IF(F105&lt;=25,45,IF(F105&lt;=35,30,IF(F105&lt;=50,15,5)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L105" s="33" t="n">
        <v>3.51</v>
      </c>
      <c r="M105" s="33" t="n">
        <v>-99.59999999999999</v>
      </c>
      <c r="N105" s="33" t="n">
        <v>3.82</v>
      </c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23</v>
      </c>
      <c r="Q105" s="33" t="n">
        <v>169.4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3</v>
      </c>
      <c r="U105" s="33" t="n">
        <v>3</v>
      </c>
      <c r="V105" s="33" t="n">
        <v>3</v>
      </c>
      <c r="W105" s="33" t="n">
        <v>4</v>
      </c>
      <c r="X105" s="33" t="n">
        <v>3</v>
      </c>
      <c r="Y105" s="33">
        <f>IFERROR(AVERAGE(T105,U105,V105,W105,X105)*20,"")</f>
        <v/>
      </c>
      <c r="Z105" s="33" t="n">
        <v>2</v>
      </c>
      <c r="AA105" s="33" t="n">
        <v>1</v>
      </c>
      <c r="AB105" s="33" t="n">
        <v>3</v>
      </c>
      <c r="AC105" s="33">
        <f>IFERROR(AVERAGE(Z105,AA105,AB105)*20,"")</f>
        <v/>
      </c>
      <c r="AD105" s="33" t="n">
        <v>3</v>
      </c>
      <c r="AE105" s="33" t="n">
        <v>3</v>
      </c>
      <c r="AF105" s="33" t="n">
        <v>2</v>
      </c>
      <c r="AG105" s="33" t="n">
        <v>3</v>
      </c>
      <c r="AH105" s="33">
        <f>IFERROR(AVERAGE(AD105,AE105,AF105,AG105)*20,"")</f>
        <v/>
      </c>
      <c r="AI105" s="33">
        <f>IFERROR(J105*Weights!$B$4 + O105*Weights!$B$5 + S105*Weights!$B$6 + Y105*Weights!$B$7 + AC105*Weights!$B$8 + AH105*Weights!$B$9,"")</f>
        <v/>
      </c>
      <c r="AJ105" s="33">
        <f>IF(AI105="","",IF(AI105&gt;=85,"✓✓✓",IF(AI105&gt;=70,"✓✓",IF(AI105&gt;=55,"✓",IF(AI105&gt;=40,"?","✗")))))</f>
        <v/>
      </c>
    </row>
    <row r="106">
      <c r="A106" s="33" t="inlineStr">
        <is>
          <t>HUT</t>
        </is>
      </c>
      <c r="B106" s="33" t="inlineStr">
        <is>
          <t>Hut 8 Corp.</t>
        </is>
      </c>
      <c r="C106" s="33" t="inlineStr">
        <is>
          <t>09 Compute-as-a-Service / Bitcoin miners pivoting to AI hosting</t>
        </is>
      </c>
      <c r="D106" s="33" t="inlineStr">
        <is>
          <t>2026-05-18</t>
        </is>
      </c>
      <c r="E106" s="33" t="n">
        <v>-55.165546</v>
      </c>
      <c r="F106" s="33" t="n">
        <v>-29.034</v>
      </c>
      <c r="G106" s="33" t="n">
        <v>-2.61</v>
      </c>
      <c r="H106" s="33" t="n">
        <v>40.57934</v>
      </c>
      <c r="I106" s="33">
        <f>IF(OR(E106="",R106="",R106&lt;=0,E106&lt;0),"",E106/R106)</f>
        <v/>
      </c>
      <c r="J106" s="33">
        <f>IFERROR(AVERAGE(IFERROR(IF(E106="","",IF(E106&lt;0,5,IF(E106&lt;=15,90,IF(E106&lt;=20,75,IF(E106&lt;=25,60,IF(E106&lt;=30,45,IF(E106&lt;=40,30,IF(E106&lt;=60,15,5)))))))),""),IFERROR(IF(F106="","",IF(F106&lt;0,5,IF(F106&lt;=10,90,IF(F106&lt;=15,75,IF(F106&lt;=20,60,IF(F106&lt;=25,45,IF(F106&lt;=35,30,IF(F106&lt;=50,15,5)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L106" s="33" t="n">
        <v>59.67</v>
      </c>
      <c r="M106" s="33" t="n">
        <v>-105.73</v>
      </c>
      <c r="N106" s="33" t="n">
        <v>-0.63</v>
      </c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43.73</v>
      </c>
      <c r="Q106" s="33" t="n">
        <v>225.5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4</v>
      </c>
      <c r="U106" s="33" t="n">
        <v>3</v>
      </c>
      <c r="V106" s="33" t="n">
        <v>3</v>
      </c>
      <c r="W106" s="33" t="n">
        <v>5</v>
      </c>
      <c r="X106" s="33" t="n">
        <v>5</v>
      </c>
      <c r="Y106" s="33">
        <f>IFERROR(AVERAGE(T106,U106,V106,W106,X106)*20,"")</f>
        <v/>
      </c>
      <c r="Z106" s="33" t="n">
        <v>3</v>
      </c>
      <c r="AA106" s="33" t="n">
        <v>5</v>
      </c>
      <c r="AB106" s="33" t="n">
        <v>3</v>
      </c>
      <c r="AC106" s="33">
        <f>IFERROR(AVERAGE(Z106,AA106,AB106)*20,"")</f>
        <v/>
      </c>
      <c r="AD106" s="33" t="n">
        <v>3</v>
      </c>
      <c r="AE106" s="33" t="n">
        <v>4</v>
      </c>
      <c r="AF106" s="33" t="n">
        <v>2</v>
      </c>
      <c r="AG106" s="33" t="n">
        <v>3</v>
      </c>
      <c r="AH106" s="33">
        <f>IFERROR(AVERAGE(AD106,AE106,AF106,AG106)*20,"")</f>
        <v/>
      </c>
      <c r="AI106" s="33">
        <f>IFERROR(J106*Weights!$B$4 + O106*Weights!$B$5 + S106*Weights!$B$6 + Y106*Weights!$B$7 + AC106*Weights!$B$8 + AH106*Weights!$B$9,"")</f>
        <v/>
      </c>
      <c r="AJ106" s="33">
        <f>IF(AI106="","",IF(AI106&gt;=85,"✓✓✓",IF(AI106&gt;=70,"✓✓",IF(AI106&gt;=55,"✓",IF(AI106&gt;=40,"?","✗")))))</f>
        <v/>
      </c>
    </row>
    <row r="107">
      <c r="A107" s="33" t="inlineStr">
        <is>
          <t>BITF</t>
        </is>
      </c>
      <c r="B107" s="33" t="inlineStr">
        <is>
          <t>Bitfarms Ltd</t>
        </is>
      </c>
      <c r="C107" s="33" t="inlineStr">
        <is>
          <t>09 Compute-as-a-Service / Bitcoin miners pivoting to AI hosting</t>
        </is>
      </c>
      <c r="D107" s="33" t="inlineStr">
        <is>
          <t>2026-05-18</t>
        </is>
      </c>
      <c r="E107" s="33" t="n">
        <v>-198</v>
      </c>
      <c r="I107" s="33">
        <f>IF(OR(E107="",R107="",R107&lt;=0,E107&lt;0),"",E107/R107)</f>
        <v/>
      </c>
      <c r="J107" s="33">
        <f>IFERROR(AVERAGE(IFERROR(IF(E107="","",IF(E107&lt;0,5,IF(E107&lt;=15,90,IF(E107&lt;=20,75,IF(E107&lt;=25,60,IF(E107&lt;=30,45,IF(E107&lt;=40,30,IF(E107&lt;=60,15,5)))))))),""),IFERROR(IF(F107="","",IF(F107&lt;0,5,IF(F107&lt;=10,90,IF(F107&lt;=15,75,IF(F107&lt;=20,60,IF(F107&lt;=25,45,IF(F107&lt;=35,30,IF(F107&lt;=50,15,5)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L107" s="33" t="n">
        <v>0</v>
      </c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17.2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3</v>
      </c>
      <c r="X107" s="33" t="n">
        <v>1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33">
        <f>IFERROR(AVERAGE(Z107,AA107,AB107)*20,"")</f>
        <v/>
      </c>
      <c r="AD107" s="33" t="n">
        <v>3</v>
      </c>
      <c r="AE107" s="33" t="n">
        <v>4</v>
      </c>
      <c r="AF107" s="33" t="n">
        <v>3</v>
      </c>
      <c r="AG107" s="33" t="n">
        <v>3</v>
      </c>
      <c r="AH107" s="33">
        <f>IFERROR(AVERAGE(AD107,AE107,AF107,AG107)*20,"")</f>
        <v/>
      </c>
      <c r="AI107" s="33">
        <f>IFERROR(J107*Weights!$B$4 + O107*Weights!$B$5 + S107*Weights!$B$6 + Y107*Weights!$B$7 + AC107*Weights!$B$8 + AH107*Weights!$B$9,"")</f>
        <v/>
      </c>
      <c r="AJ107" s="33">
        <f>IF(AI107="","",IF(AI107&gt;=85,"✓✓✓",IF(AI107&gt;=70,"✓✓",IF(AI107&gt;=55,"✓",IF(AI107&gt;=40,"?","✗")))))</f>
        <v/>
      </c>
    </row>
    <row r="108">
      <c r="A108" s="33" t="inlineStr">
        <is>
          <t>RIOT</t>
        </is>
      </c>
      <c r="B108" s="33" t="inlineStr">
        <is>
          <t>Riot Platforms, Inc.</t>
        </is>
      </c>
      <c r="C108" s="33" t="inlineStr">
        <is>
          <t>09 Compute-as-a-Service / Bitcoin miners pivoting to AI hosting</t>
        </is>
      </c>
      <c r="D108" s="33" t="inlineStr">
        <is>
          <t>2026-05-18</t>
        </is>
      </c>
      <c r="E108" s="33" t="n">
        <v>-38.170914</v>
      </c>
      <c r="F108" s="33" t="n">
        <v>-29.244</v>
      </c>
      <c r="G108" s="33" t="n">
        <v>-5.02</v>
      </c>
      <c r="H108" s="33" t="n">
        <v>13.59746</v>
      </c>
      <c r="I108" s="33">
        <f>IF(OR(E108="",R108="",R108&lt;=0,E108&lt;0),"",E108/R108)</f>
        <v/>
      </c>
      <c r="J108" s="33">
        <f>IFERROR(AVERAGE(IFERROR(IF(E108="","",IF(E108&lt;0,5,IF(E108&lt;=15,90,IF(E108&lt;=20,75,IF(E108&lt;=25,60,IF(E108&lt;=30,45,IF(E108&lt;=40,30,IF(E108&lt;=60,15,5)))))))),""),IFERROR(IF(F108="","",IF(F108&lt;0,5,IF(F108&lt;=10,90,IF(F108&lt;=15,75,IF(F108&lt;=20,60,IF(F108&lt;=25,45,IF(F108&lt;=35,30,IF(F108&lt;=50,15,5)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L108" s="33" t="n">
        <v>32.35</v>
      </c>
      <c r="M108" s="33" t="n">
        <v>-68.25</v>
      </c>
      <c r="N108" s="33" t="n">
        <v>-2.06</v>
      </c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35.69</v>
      </c>
      <c r="Q108" s="33" t="n">
        <v>3.6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2</v>
      </c>
      <c r="U108" s="33" t="n">
        <v>2</v>
      </c>
      <c r="V108" s="33" t="n">
        <v>2</v>
      </c>
      <c r="W108" s="33" t="n">
        <v>4</v>
      </c>
      <c r="X108" s="33" t="n">
        <v>3</v>
      </c>
      <c r="Y108" s="33">
        <f>IFERROR(AVERAGE(T108,U108,V108,W108,X108)*20,"")</f>
        <v/>
      </c>
      <c r="Z108" s="33" t="n">
        <v>3</v>
      </c>
      <c r="AA108" s="33" t="n">
        <v>3</v>
      </c>
      <c r="AB108" s="33" t="n">
        <v>3</v>
      </c>
      <c r="AC108" s="33">
        <f>IFERROR(AVERAGE(Z108,AA108,AB108)*20,"")</f>
        <v/>
      </c>
      <c r="AD108" s="33" t="n">
        <v>3</v>
      </c>
      <c r="AE108" s="33" t="n">
        <v>4</v>
      </c>
      <c r="AF108" s="33" t="n">
        <v>3</v>
      </c>
      <c r="AG108" s="33" t="n">
        <v>3</v>
      </c>
      <c r="AH108" s="33">
        <f>IFERROR(AVERAGE(AD108,AE108,AF108,AG108)*20,"")</f>
        <v/>
      </c>
      <c r="AI108" s="33">
        <f>IFERROR(J108*Weights!$B$4 + O108*Weights!$B$5 + S108*Weights!$B$6 + Y108*Weights!$B$7 + AC108*Weights!$B$8 + AH108*Weights!$B$9,"")</f>
        <v/>
      </c>
      <c r="AJ108" s="33">
        <f>IF(AI108="","",IF(AI108&gt;=85,"✓✓✓",IF(AI108&gt;=70,"✓✓",IF(AI108&gt;=55,"✓",IF(AI108&gt;=40,"?","✗")))))</f>
        <v/>
      </c>
    </row>
    <row r="109">
      <c r="A109" s="33" t="inlineStr">
        <is>
          <t>WULF</t>
        </is>
      </c>
      <c r="B109" s="33" t="inlineStr">
        <is>
          <t>TeraWulf Inc.</t>
        </is>
      </c>
      <c r="C109" s="33" t="inlineStr">
        <is>
          <t>09 Compute-as-a-Service / Bitcoin miners pivoting to AI hosting</t>
        </is>
      </c>
      <c r="D109" s="33" t="inlineStr">
        <is>
          <t>2026-05-18</t>
        </is>
      </c>
      <c r="E109" s="33" t="n">
        <v>146.36066</v>
      </c>
      <c r="F109" s="33" t="n">
        <v>-94.952</v>
      </c>
      <c r="G109" s="33" t="n">
        <v>-2.57</v>
      </c>
      <c r="H109" s="33" t="n">
        <v>65.81076</v>
      </c>
      <c r="I109" s="33">
        <f>IF(OR(E109="",R109="",R109&lt;=0,E109&lt;0),"",E109/R109)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10,90,IF(F109&lt;=15,75,IF(F109&lt;=20,60,IF(F109&lt;=25,45,IF(F109&lt;=35,30,IF(F109&lt;=50,15,5)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L109" s="33" t="n">
        <v>64.02</v>
      </c>
      <c r="M109" s="33" t="n">
        <v>-169.13</v>
      </c>
      <c r="N109" s="33" t="n">
        <v>-18.54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123.78</v>
      </c>
      <c r="Q109" s="33" t="n">
        <v>-1.1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3</v>
      </c>
      <c r="V109" s="33" t="n">
        <v>4</v>
      </c>
      <c r="W109" s="33" t="n">
        <v>4</v>
      </c>
      <c r="X109" s="33" t="n">
        <v>4</v>
      </c>
      <c r="Y109" s="33">
        <f>IFERROR(AVERAGE(T109,U109,V109,W109,X109)*20,"")</f>
        <v/>
      </c>
      <c r="Z109" s="33" t="n">
        <v>4</v>
      </c>
      <c r="AA109" s="33" t="n">
        <v>5</v>
      </c>
      <c r="AB109" s="33" t="n">
        <v>3</v>
      </c>
      <c r="AC109" s="33">
        <f>IFERROR(AVERAGE(Z109,AA109,AB109)*20,"")</f>
        <v/>
      </c>
      <c r="AD109" s="33" t="n">
        <v>3</v>
      </c>
      <c r="AE109" s="33" t="n">
        <v>4</v>
      </c>
      <c r="AF109" s="33" t="n">
        <v>2</v>
      </c>
      <c r="AG109" s="33" t="n">
        <v>3</v>
      </c>
      <c r="AH109" s="33">
        <f>IFERROR(AVERAGE(AD109,AE109,AF109,AG109)*20,"")</f>
        <v/>
      </c>
      <c r="AI109" s="33">
        <f>IFERROR(J109*Weights!$B$4 + O109*Weights!$B$5 + S109*Weights!$B$6 + Y109*Weights!$B$7 + AC109*Weights!$B$8 + AH109*Weights!$B$9,"")</f>
        <v/>
      </c>
      <c r="AJ109" s="33">
        <f>IF(AI109="","",IF(AI109&gt;=85,"✓✓✓",IF(AI109&gt;=70,"✓✓",IF(AI109&gt;=55,"✓",IF(AI109&gt;=40,"?","✗")))))</f>
        <v/>
      </c>
    </row>
    <row r="110">
      <c r="A110" s="33" t="inlineStr">
        <is>
          <t>PLTR</t>
        </is>
      </c>
      <c r="B110" s="33" t="inlineStr">
        <is>
          <t>Palantir Technologies Inc.</t>
        </is>
      </c>
      <c r="C110" s="33" t="inlineStr">
        <is>
          <t>10 Models, Software &amp; Applications</t>
        </is>
      </c>
      <c r="D110" s="33" t="inlineStr">
        <is>
          <t>2026-05-18</t>
        </is>
      </c>
      <c r="E110" s="33" t="n">
        <v>64.897514</v>
      </c>
      <c r="F110" s="33" t="n">
        <v>155.336</v>
      </c>
      <c r="G110" s="33" t="n">
        <v>0.55</v>
      </c>
      <c r="H110" s="33" t="n">
        <v>61.48644</v>
      </c>
      <c r="I110" s="33">
        <f>IF(OR(E110="",R110="",R110&lt;=0,E110&lt;0),"",E110/R110)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10,90,IF(F110&lt;=15,75,IF(F110&lt;=20,60,IF(F110&lt;=25,45,IF(F110&lt;=35,30,IF(F110&lt;=50,15,5)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L110" s="33" t="n">
        <v>84.06999999999999</v>
      </c>
      <c r="M110" s="33" t="n">
        <v>33.56</v>
      </c>
      <c r="N110" s="33" t="n">
        <v>-3.87</v>
      </c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32.92</v>
      </c>
      <c r="Q110" s="33" t="n">
        <v>84.7</v>
      </c>
      <c r="R110" s="33" t="n">
        <v>306.7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4</v>
      </c>
      <c r="U110" s="33" t="n">
        <v>4</v>
      </c>
      <c r="V110" s="33" t="n">
        <v>5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5</v>
      </c>
      <c r="AA110" s="33" t="n">
        <v>4</v>
      </c>
      <c r="AB110" s="33" t="n">
        <v>3</v>
      </c>
      <c r="AC110" s="33">
        <f>IFERROR(AVERAGE(Z110,AA110,AB110)*20,"")</f>
        <v/>
      </c>
      <c r="AD110" s="33" t="n">
        <v>3</v>
      </c>
      <c r="AE110" s="33" t="n">
        <v>4</v>
      </c>
      <c r="AF110" s="33" t="n">
        <v>5</v>
      </c>
      <c r="AG110" s="33" t="n">
        <v>3</v>
      </c>
      <c r="AH110" s="33">
        <f>IFERROR(AVERAGE(AD110,AE110,AF110,AG110)*20,"")</f>
        <v/>
      </c>
      <c r="AI110" s="33">
        <f>IFERROR(J110*Weights!$B$4 + O110*Weights!$B$5 + S110*Weights!$B$6 + Y110*Weights!$B$7 + AC110*Weights!$B$8 + AH110*Weights!$B$9,"")</f>
        <v/>
      </c>
      <c r="AJ110" s="33">
        <f>IF(AI110="","",IF(AI110&gt;=85,"✓✓✓",IF(AI110&gt;=70,"✓✓",IF(AI110&gt;=55,"✓",IF(AI110&gt;=40,"?","✗")))))</f>
        <v/>
      </c>
    </row>
    <row r="111">
      <c r="A111" s="33" t="inlineStr">
        <is>
          <t>SNOW</t>
        </is>
      </c>
      <c r="B111" s="33" t="inlineStr">
        <is>
          <t>Snowflake Inc.</t>
        </is>
      </c>
      <c r="C111" s="33" t="inlineStr">
        <is>
          <t>10 Models, Software &amp; Applications</t>
        </is>
      </c>
      <c r="D111" s="70" t="n">
        <v>46178</v>
      </c>
      <c r="E111" s="33" t="n">
        <v>64.97038000000001</v>
      </c>
      <c r="F111" s="33" t="n">
        <v>-41.273</v>
      </c>
      <c r="G111" s="33" t="n">
        <v>2.92</v>
      </c>
      <c r="H111" s="33" t="n">
        <v>11.62212</v>
      </c>
      <c r="I111" s="33">
        <f>IF(OR(E111="",R111="",R111&lt;=0,E111&lt;0),"",E111/R111)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10,90,IF(F111&lt;=15,75,IF(F111&lt;=20,60,IF(F111&lt;=25,45,IF(F111&lt;=35,30,IF(F111&lt;=50,15,5)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L111" s="33" t="n">
        <v>67.17</v>
      </c>
      <c r="M111" s="33" t="n">
        <v>33.89</v>
      </c>
      <c r="N111" s="33" t="n">
        <v>1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31.38</v>
      </c>
      <c r="Q111" s="33" t="n">
        <v>34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3</v>
      </c>
      <c r="U111" s="33" t="n">
        <v>4</v>
      </c>
      <c r="V111" s="33" t="n">
        <v>4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3</v>
      </c>
      <c r="AB111" s="33" t="n">
        <v>3</v>
      </c>
      <c r="AC111" s="33">
        <f>IFERROR(AVERAGE(Z111,AA111,AB111)*20,"")</f>
        <v/>
      </c>
      <c r="AD111" s="33" t="n">
        <v>4</v>
      </c>
      <c r="AE111" s="33" t="n">
        <v>4</v>
      </c>
      <c r="AF111" s="33" t="n">
        <v>4</v>
      </c>
      <c r="AG111" s="33" t="n">
        <v>4</v>
      </c>
      <c r="AH111" s="33">
        <f>IFERROR(AVERAGE(AD111,AE111,AF111,AG111)*20,"")</f>
        <v/>
      </c>
      <c r="AI111" s="33">
        <f>IFERROR(J111*Weights!$B$4 + O111*Weights!$B$5 + S111*Weights!$B$6 + Y111*Weights!$B$7 + AC111*Weights!$B$8 + AH111*Weights!$B$9,"")</f>
        <v/>
      </c>
      <c r="AJ111" s="33">
        <f>IF(AI111="","",IF(AI111&gt;=85,"✓✓✓",IF(AI111&gt;=70,"✓✓",IF(AI111&gt;=55,"✓",IF(AI111&gt;=40,"?","✗")))))</f>
        <v/>
      </c>
    </row>
    <row r="112">
      <c r="A112" s="33" t="inlineStr">
        <is>
          <t>NOW</t>
        </is>
      </c>
      <c r="B112" s="33" t="inlineStr">
        <is>
          <t>ServiceNow, Inc.</t>
        </is>
      </c>
      <c r="C112" s="33" t="inlineStr">
        <is>
          <t>10 Models, Software &amp; Applications</t>
        </is>
      </c>
      <c r="D112" s="33" t="inlineStr">
        <is>
          <t>2026-05-18</t>
        </is>
      </c>
      <c r="E112" s="33" t="n">
        <v>18.91722</v>
      </c>
      <c r="F112" s="33" t="n">
        <v>32.997</v>
      </c>
      <c r="G112" s="33" t="n">
        <v>5.21</v>
      </c>
      <c r="H112" s="33" t="n">
        <v>7.023385</v>
      </c>
      <c r="I112" s="33">
        <f>IF(OR(E112="",R112="",R112&lt;=0,E112&lt;0),"",E112/R112)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10,90,IF(F112&lt;=15,75,IF(F112&lt;=20,60,IF(F112&lt;=25,45,IF(F112&lt;=35,30,IF(F112&lt;=50,15,5)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L112" s="33" t="n">
        <v>76.56</v>
      </c>
      <c r="M112" s="33" t="n">
        <v>36.59</v>
      </c>
      <c r="N112" s="33" t="n">
        <v>-0.95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22.38</v>
      </c>
      <c r="Q112" s="33" t="n">
        <v>22.1</v>
      </c>
      <c r="R112" s="33" t="n">
        <v>2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5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2</v>
      </c>
      <c r="AA112" s="33" t="n">
        <v>1</v>
      </c>
      <c r="AB112" s="33" t="n">
        <v>3</v>
      </c>
      <c r="AC112" s="33">
        <f>IFERROR(AVERAGE(Z112,AA112,AB112)*20,"")</f>
        <v/>
      </c>
      <c r="AD112" s="33" t="n">
        <v>4</v>
      </c>
      <c r="AE112" s="33" t="n">
        <v>4</v>
      </c>
      <c r="AF112" s="33" t="n">
        <v>5</v>
      </c>
      <c r="AG112" s="33" t="n">
        <v>4</v>
      </c>
      <c r="AH112" s="33">
        <f>IFERROR(AVERAGE(AD112,AE112,AF112,AG112)*20,"")</f>
        <v/>
      </c>
      <c r="AI112" s="33">
        <f>IFERROR(J112*Weights!$B$4 + O112*Weights!$B$5 + S112*Weights!$B$6 + Y112*Weights!$B$7 + AC112*Weights!$B$8 + AH112*Weights!$B$9,"")</f>
        <v/>
      </c>
      <c r="AJ112" s="33">
        <f>IF(AI112="","",IF(AI112&gt;=85,"✓✓✓",IF(AI112&gt;=70,"✓✓",IF(AI112&gt;=55,"✓",IF(AI112&gt;=40,"?","✗")))))</f>
        <v/>
      </c>
    </row>
    <row r="113">
      <c r="A113" s="33" t="inlineStr">
        <is>
          <t>CRM</t>
        </is>
      </c>
      <c r="B113" s="33" t="inlineStr">
        <is>
          <t>Salesforce, Inc.</t>
        </is>
      </c>
      <c r="C113" s="33" t="inlineStr">
        <is>
          <t>10 Models, Software &amp; Applications</t>
        </is>
      </c>
      <c r="D113" s="70" t="n">
        <v>46178</v>
      </c>
      <c r="E113" s="33" t="n">
        <v>11.632467</v>
      </c>
      <c r="F113" s="33" t="n">
        <v>13.412</v>
      </c>
      <c r="G113" s="33" t="n">
        <v>11.53</v>
      </c>
      <c r="H113" s="33" t="n">
        <v>3.418194</v>
      </c>
      <c r="I113" s="33">
        <f>IF(OR(E113="",R113="",R113&lt;=0,E113&lt;0),"",E113/R113)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L113" s="33" t="n">
        <v>77.68000000000001</v>
      </c>
      <c r="M113" s="33" t="n">
        <v>39.41</v>
      </c>
      <c r="N113" s="33" t="n">
        <v>0.65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9.82</v>
      </c>
      <c r="Q113" s="33" t="n">
        <v>13</v>
      </c>
      <c r="R113" s="33" t="n">
        <v>13.8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2</v>
      </c>
      <c r="U113" s="33" t="n">
        <v>3</v>
      </c>
      <c r="V113" s="33" t="n">
        <v>4</v>
      </c>
      <c r="W113" s="33" t="n">
        <v>4</v>
      </c>
      <c r="X113" s="33" t="n">
        <v>3</v>
      </c>
      <c r="Y113" s="33">
        <f>IFERROR(AVERAGE(T113,U113,V113,W113,X113)*20,"")</f>
        <v/>
      </c>
      <c r="Z113" s="33" t="n">
        <v>4</v>
      </c>
      <c r="AA113" s="33" t="n">
        <v>2</v>
      </c>
      <c r="AB113" s="33" t="n">
        <v>3</v>
      </c>
      <c r="AC113" s="33">
        <f>IFERROR(AVERAGE(Z113,AA113,AB113)*20,"")</f>
        <v/>
      </c>
      <c r="AD113" s="33" t="n">
        <v>4</v>
      </c>
      <c r="AE113" s="33" t="n">
        <v>4</v>
      </c>
      <c r="AF113" s="33" t="n">
        <v>4</v>
      </c>
      <c r="AG113" s="33" t="n">
        <v>4</v>
      </c>
      <c r="AH113" s="33">
        <f>IFERROR(AVERAGE(AD113,AE113,AF113,AG113)*20,"")</f>
        <v/>
      </c>
      <c r="AI113" s="33">
        <f>IFERROR(J113*Weights!$B$4 + O113*Weights!$B$5 + S113*Weights!$B$6 + Y113*Weights!$B$7 + AC113*Weights!$B$8 + AH113*Weights!$B$9,"")</f>
        <v/>
      </c>
      <c r="AJ113" s="33">
        <f>IF(AI113="","",IF(AI113&gt;=85,"✓✓✓",IF(AI113&gt;=70,"✓✓",IF(AI113&gt;=55,"✓",IF(AI113&gt;=40,"?","✗")))))</f>
        <v/>
      </c>
    </row>
    <row r="114">
      <c r="A114" s="33" t="inlineStr">
        <is>
          <t>KEYS</t>
        </is>
      </c>
      <c r="B114" s="33" t="inlineStr">
        <is>
          <t>Keysight Technologies, Inc.</t>
        </is>
      </c>
      <c r="C114" s="33" t="inlineStr">
        <is>
          <t>04 Semiconductor Equipment &amp; Materials / Test &amp; measurement</t>
        </is>
      </c>
      <c r="D114" s="33" t="inlineStr">
        <is>
          <t>2026-05-25</t>
        </is>
      </c>
      <c r="E114" s="33" t="n">
        <v>29.229881</v>
      </c>
      <c r="F114" s="33" t="n">
        <v>39.165</v>
      </c>
      <c r="G114" s="33" t="n">
        <v>1.93</v>
      </c>
      <c r="H114" s="33" t="n">
        <v>9.719305</v>
      </c>
      <c r="I114" s="33">
        <f>IF(OR(E114="",R114="",R114&lt;=0,E114&lt;0),"",E114/R114)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L114" s="33" t="n">
        <v>63.67</v>
      </c>
      <c r="M114" s="33" t="n">
        <v>18.78</v>
      </c>
      <c r="N114" s="33" t="n">
        <v>0.23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-0.28</v>
      </c>
      <c r="Q114" s="33" t="n">
        <v>31.5</v>
      </c>
      <c r="R114" s="33" t="n">
        <v>35.8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3</v>
      </c>
      <c r="U114" s="33" t="n">
        <v>4</v>
      </c>
      <c r="V114" s="33" t="n">
        <v>4</v>
      </c>
      <c r="W114" s="33" t="n">
        <v>3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3</v>
      </c>
      <c r="AC114" s="33">
        <f>IFERROR(AVERAGE(Z114,AA114,AB114)*20,"")</f>
        <v/>
      </c>
      <c r="AD114" s="33" t="n">
        <v>4</v>
      </c>
      <c r="AE114" s="33" t="n">
        <v>3</v>
      </c>
      <c r="AF114" s="33" t="n">
        <v>4</v>
      </c>
      <c r="AG114" s="33" t="n">
        <v>4</v>
      </c>
      <c r="AH114" s="33">
        <f>IFERROR(AVERAGE(AD114,AE114,AF114,AG114)*20,"")</f>
        <v/>
      </c>
      <c r="AI114" s="33">
        <f>IFERROR(J114*Weights!$B$4 + O114*Weights!$B$5 + S114*Weights!$B$6 + Y114*Weights!$B$7 + AC114*Weights!$B$8 + AH114*Weights!$B$9,"")</f>
        <v/>
      </c>
      <c r="AJ114" s="33">
        <f>IF(AI114="","",IF(AI114&gt;=85,"✓✓✓",IF(AI114&gt;=70,"✓✓",IF(AI114&gt;=55,"✓",IF(AI114&gt;=40,"?","✗")))))</f>
        <v/>
      </c>
    </row>
    <row r="115">
      <c r="A115" s="33" t="inlineStr">
        <is>
          <t>TTMI</t>
        </is>
      </c>
      <c r="B115" s="33" t="inlineStr">
        <is>
          <t>TTM Technologies, Inc.</t>
        </is>
      </c>
      <c r="C115" s="33" t="inlineStr">
        <is>
          <t>04 Semiconductor Equipment &amp; Materials / PCB / substrates</t>
        </is>
      </c>
      <c r="D115" s="33" t="inlineStr">
        <is>
          <t>2026-05-25</t>
        </is>
      </c>
      <c r="E115" s="33" t="n">
        <v>36.54064</v>
      </c>
      <c r="F115" s="33" t="n">
        <v>46.384</v>
      </c>
      <c r="G115" s="33" t="n">
        <v>-0.28</v>
      </c>
      <c r="H115" s="33" t="n">
        <v>6.3548346</v>
      </c>
      <c r="I115" s="33">
        <f>IF(OR(E115="",R115="",R115&lt;=0,E115&lt;0),"",E115/R115)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L115" s="33" t="n">
        <v>21</v>
      </c>
      <c r="M115" s="33" t="n">
        <v>-1.77</v>
      </c>
      <c r="N115" s="33" t="n">
        <v>1.45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5.22</v>
      </c>
      <c r="Q115" s="33" t="n">
        <v>30.4</v>
      </c>
      <c r="R115" s="33" t="n">
        <v>55.3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2</v>
      </c>
      <c r="W115" s="33" t="n">
        <v>5</v>
      </c>
      <c r="X115" s="33" t="n">
        <v>3</v>
      </c>
      <c r="Y115" s="33">
        <f>IFERROR(AVERAGE(T115,U115,V115,W115,X115)*20,"")</f>
        <v/>
      </c>
      <c r="Z115" s="33" t="n">
        <v>5</v>
      </c>
      <c r="AA115" s="33" t="n">
        <v>5</v>
      </c>
      <c r="AB115" s="33" t="n">
        <v>2</v>
      </c>
      <c r="AC115" s="33">
        <f>IFERROR(AVERAGE(Z115,AA115,AB115)*20,"")</f>
        <v/>
      </c>
      <c r="AD115" s="33" t="n">
        <v>3</v>
      </c>
      <c r="AE115" s="33" t="n">
        <v>2</v>
      </c>
      <c r="AF115" s="33" t="n">
        <v>3</v>
      </c>
      <c r="AG115" s="33" t="n">
        <v>4</v>
      </c>
      <c r="AH115" s="33">
        <f>IFERROR(AVERAGE(AD115,AE115,AF115,AG115)*20,"")</f>
        <v/>
      </c>
      <c r="AI115" s="33">
        <f>IFERROR(J115*Weights!$B$4 + O115*Weights!$B$5 + S115*Weights!$B$6 + Y115*Weights!$B$7 + AC115*Weights!$B$8 + AH115*Weights!$B$9,"")</f>
        <v/>
      </c>
      <c r="AJ115" s="33">
        <f>IF(AI115="","",IF(AI115&gt;=85,"✓✓✓",IF(AI115&gt;=70,"✓✓",IF(AI115&gt;=55,"✓",IF(AI115&gt;=40,"?","✗")))))</f>
        <v/>
      </c>
    </row>
    <row r="116">
      <c r="A116" s="33" t="inlineStr">
        <is>
          <t>MPWR</t>
        </is>
      </c>
      <c r="B116" s="33" t="inlineStr">
        <is>
          <t>Monolithic Power Systems, Inc.</t>
        </is>
      </c>
      <c r="C116" s="33" t="inlineStr">
        <is>
          <t>06 AI Compute Silicon / Power management silicon</t>
        </is>
      </c>
      <c r="D116" s="33" t="inlineStr">
        <is>
          <t>2026-05-25</t>
        </is>
      </c>
      <c r="E116" s="33" t="n">
        <v>52.714527</v>
      </c>
      <c r="F116" s="33" t="n">
        <v>89.548</v>
      </c>
      <c r="G116" s="33" t="n">
        <v>0.63</v>
      </c>
      <c r="H116" s="33" t="n">
        <v>26.413591</v>
      </c>
      <c r="I116" s="33">
        <f>IF(OR(E116="",R116="",R116&lt;=0,E116&lt;0),"",E116/R116)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L116" s="33" t="n">
        <v>55.17</v>
      </c>
      <c r="M116" s="33" t="n">
        <v>16.63</v>
      </c>
      <c r="N116" s="33" t="n">
        <v>-1.57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15.86</v>
      </c>
      <c r="Q116" s="33" t="n">
        <v>26.1</v>
      </c>
      <c r="R116" s="33" t="n">
        <v>43.1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4</v>
      </c>
      <c r="U116" s="33" t="n">
        <v>4</v>
      </c>
      <c r="V116" s="33" t="n">
        <v>3</v>
      </c>
      <c r="W116" s="33" t="n">
        <v>4</v>
      </c>
      <c r="X116" s="33" t="n">
        <v>4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33">
        <f>IFERROR(AVERAGE(Z116,AA116,AB116)*20,"")</f>
        <v/>
      </c>
      <c r="AD116" s="33" t="n">
        <v>3</v>
      </c>
      <c r="AE116" s="33" t="n">
        <v>3</v>
      </c>
      <c r="AF116" s="33" t="n">
        <v>5</v>
      </c>
      <c r="AG116" s="33" t="n">
        <v>4</v>
      </c>
      <c r="AH116" s="33">
        <f>IFERROR(AVERAGE(AD116,AE116,AF116,AG116)*20,"")</f>
        <v/>
      </c>
      <c r="AI116" s="33">
        <f>IFERROR(J116*Weights!$B$4 + O116*Weights!$B$5 + S116*Weights!$B$6 + Y116*Weights!$B$7 + AC116*Weights!$B$8 + AH116*Weights!$B$9,"")</f>
        <v/>
      </c>
      <c r="AJ116" s="33">
        <f>IF(AI116="","",IF(AI116&gt;=85,"✓✓✓",IF(AI116&gt;=70,"✓✓",IF(AI116&gt;=55,"✓",IF(AI116&gt;=40,"?","✗")))))</f>
        <v/>
      </c>
    </row>
    <row r="117">
      <c r="A117" s="33" t="inlineStr">
        <is>
          <t>CRDO</t>
        </is>
      </c>
      <c r="B117" s="33" t="inlineStr">
        <is>
          <t>Credo Technology Group Holding Ltd</t>
        </is>
      </c>
      <c r="C117" s="33" t="inlineStr">
        <is>
          <t>07 Optical, Networking &amp; Interconnect / Connectivity ASICs</t>
        </is>
      </c>
      <c r="D117" s="70" t="n">
        <v>46178</v>
      </c>
      <c r="E117" s="33" t="n">
        <v>39.597446</v>
      </c>
      <c r="F117" s="33" t="n">
        <v>111.347</v>
      </c>
      <c r="G117" s="33" t="n">
        <v>0.43</v>
      </c>
      <c r="H117" s="33" t="n">
        <v>37.71583</v>
      </c>
      <c r="I117" s="33">
        <f>IF(OR(E117="",R117="",R117&lt;=0,E117&lt;0),"",E117/R117)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L117" s="33" t="n">
        <v>68.3</v>
      </c>
      <c r="M117" s="33" t="n">
        <v>16.13</v>
      </c>
      <c r="N117" s="33" t="n">
        <v>-3.67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60.08</v>
      </c>
      <c r="Q117" s="33" t="n">
        <v>157</v>
      </c>
      <c r="R117" s="33" t="n">
        <v>435.2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5</v>
      </c>
      <c r="U117" s="33" t="n">
        <v>4</v>
      </c>
      <c r="V117" s="33" t="n">
        <v>4</v>
      </c>
      <c r="W117" s="33" t="n">
        <v>4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33">
        <f>IFERROR(AVERAGE(Z117,AA117,AB117)*20,"")</f>
        <v/>
      </c>
      <c r="AD117" s="33" t="n">
        <v>2</v>
      </c>
      <c r="AE117" s="33" t="n">
        <v>4</v>
      </c>
      <c r="AF117" s="33" t="n">
        <v>5</v>
      </c>
      <c r="AG117" s="33" t="n">
        <v>5</v>
      </c>
      <c r="AH117" s="33">
        <f>IFERROR(AVERAGE(AD117,AE117,AF117,AG117)*20,"")</f>
        <v/>
      </c>
      <c r="AI117" s="33">
        <f>IFERROR(J117*Weights!$B$4 + O117*Weights!$B$5 + S117*Weights!$B$6 + Y117*Weights!$B$7 + AC117*Weights!$B$8 + AH117*Weights!$B$9,"")</f>
        <v/>
      </c>
      <c r="AJ117" s="33">
        <f>IF(AI117="","",IF(AI117&gt;=85,"✓✓✓",IF(AI117&gt;=70,"✓✓",IF(AI117&gt;=55,"✓",IF(AI117&gt;=40,"?","✗")))))</f>
        <v/>
      </c>
    </row>
    <row r="118">
      <c r="A118" s="33" t="inlineStr">
        <is>
          <t>FLEX</t>
        </is>
      </c>
      <c r="B118" s="33" t="inlineStr">
        <is>
          <t>Flex Ltd.</t>
        </is>
      </c>
      <c r="C118" s="33" t="inlineStr">
        <is>
          <t>08 Servers, Systems &amp; Liquid Cooling / Contract manufacturing / ODMs</t>
        </is>
      </c>
      <c r="D118" s="33" t="inlineStr">
        <is>
          <t>2026-05-25</t>
        </is>
      </c>
      <c r="E118" s="33" t="n">
        <v>19.52047</v>
      </c>
      <c r="F118" s="33" t="n">
        <v>24.568</v>
      </c>
      <c r="G118" s="33" t="n">
        <v>1.73</v>
      </c>
      <c r="H118" s="33" t="n">
        <v>1.7387003</v>
      </c>
      <c r="I118" s="33">
        <f>IF(OR(E118="",R118="",R118&lt;=0,E118&lt;0),"",E118/R118)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L118" s="33" t="n">
        <v>9.41</v>
      </c>
      <c r="M118" s="33" t="n">
        <v>3.01</v>
      </c>
      <c r="N118" s="33" t="n">
        <v>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-0.6899999999999999</v>
      </c>
      <c r="Q118" s="33" t="n">
        <v>16.9</v>
      </c>
      <c r="R118" s="33" t="n">
        <v>12.6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4</v>
      </c>
      <c r="U118" s="33" t="n">
        <v>2</v>
      </c>
      <c r="V118" s="33" t="n">
        <v>2</v>
      </c>
      <c r="W118" s="33" t="n">
        <v>5</v>
      </c>
      <c r="X118" s="33" t="n">
        <v>5</v>
      </c>
      <c r="Y118" s="33">
        <f>IFERROR(AVERAGE(T118,U118,V118,W118,X118)*20,"")</f>
        <v/>
      </c>
      <c r="Z118" s="33" t="n">
        <v>5</v>
      </c>
      <c r="AA118" s="33" t="n">
        <v>5</v>
      </c>
      <c r="AB118" s="33" t="n">
        <v>3</v>
      </c>
      <c r="AC118" s="33">
        <f>IFERROR(AVERAGE(Z118,AA118,AB118)*20,"")</f>
        <v/>
      </c>
      <c r="AD118" s="33" t="n">
        <v>3</v>
      </c>
      <c r="AE118" s="33" t="n">
        <v>4</v>
      </c>
      <c r="AF118" s="33" t="n">
        <v>4</v>
      </c>
      <c r="AG118" s="33" t="n">
        <v>4</v>
      </c>
      <c r="AH118" s="33">
        <f>IFERROR(AVERAGE(AD118,AE118,AF118,AG118)*20,"")</f>
        <v/>
      </c>
      <c r="AI118" s="33">
        <f>IFERROR(J118*Weights!$B$4 + O118*Weights!$B$5 + S118*Weights!$B$6 + Y118*Weights!$B$7 + AC118*Weights!$B$8 + AH118*Weights!$B$9,"")</f>
        <v/>
      </c>
      <c r="AJ118" s="33">
        <f>IF(AI118="","",IF(AI118&gt;=85,"✓✓✓",IF(AI118&gt;=70,"✓✓",IF(AI118&gt;=55,"✓",IF(AI118&gt;=40,"?","✗")))))</f>
        <v/>
      </c>
    </row>
    <row r="119">
      <c r="A119" s="33" t="inlineStr">
        <is>
          <t>PSTG</t>
        </is>
      </c>
      <c r="B119" s="33" t="inlineStr">
        <is>
          <t>Everpure Inc</t>
        </is>
      </c>
      <c r="C119" s="33" t="inlineStr">
        <is>
          <t>08 Servers, Systems &amp; Liquid Cooling / Storage infrastructure</t>
        </is>
      </c>
      <c r="D119" s="33" t="inlineStr">
        <is>
          <t>2026-05-25</t>
        </is>
      </c>
      <c r="E119" s="33" t="n">
        <v>23.884089</v>
      </c>
      <c r="F119" s="33" t="n">
        <v>83.03700000000001</v>
      </c>
      <c r="G119" s="33" t="n">
        <v>1.68</v>
      </c>
      <c r="H119" s="33" t="n">
        <v>6.116902</v>
      </c>
      <c r="I119" s="33">
        <f>IF(OR(E119="",R119="",R119&lt;=0,E119&lt;0),"",E119/R119)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10,90,IF(F119&lt;=15,75,IF(F119&lt;=20,60,IF(F119&lt;=25,45,IF(F119&lt;=35,30,IF(F119&lt;=50,15,5)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L119" s="33" t="n">
        <v>70.38</v>
      </c>
      <c r="M119" s="33" t="n">
        <v>10.29</v>
      </c>
      <c r="N119" s="33" t="n">
        <v>-1.23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9.98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3</v>
      </c>
      <c r="W119" s="33" t="n">
        <v>3</v>
      </c>
      <c r="X119" s="33" t="n">
        <v>4</v>
      </c>
      <c r="Y119" s="33">
        <f>IFERROR(AVERAGE(T119,U119,V119,W119,X119)*20,"")</f>
        <v/>
      </c>
      <c r="Z119" s="33" t="n">
        <v>4</v>
      </c>
      <c r="AA119" s="33" t="n">
        <v>3</v>
      </c>
      <c r="AB119" s="33" t="n">
        <v>3</v>
      </c>
      <c r="AC119" s="33">
        <f>IFERROR(AVERAGE(Z119,AA119,AB119)*20,"")</f>
        <v/>
      </c>
      <c r="AD119" s="33" t="n">
        <v>3</v>
      </c>
      <c r="AE119" s="33" t="n">
        <v>4</v>
      </c>
      <c r="AF119" s="33" t="n">
        <v>5</v>
      </c>
      <c r="AG119" s="33" t="n">
        <v>4</v>
      </c>
      <c r="AH119" s="33">
        <f>IFERROR(AVERAGE(AD119,AE119,AF119,AG119)*20,"")</f>
        <v/>
      </c>
      <c r="AI119" s="33">
        <f>IFERROR(J119*Weights!$B$4 + O119*Weights!$B$5 + S119*Weights!$B$6 + Y119*Weights!$B$7 + AC119*Weights!$B$8 + AH119*Weights!$B$9,"")</f>
        <v/>
      </c>
      <c r="AJ119" s="33">
        <f>IF(AI119="","",IF(AI119&gt;=85,"✓✓✓",IF(AI119&gt;=70,"✓✓",IF(AI119&gt;=55,"✓",IF(AI119&gt;=40,"?","✗")))))</f>
        <v/>
      </c>
    </row>
    <row r="120">
      <c r="A120" s="33" t="inlineStr">
        <is>
          <t>DDOG</t>
        </is>
      </c>
      <c r="B120" s="33" t="inlineStr">
        <is>
          <t>Datadog, Inc.</t>
        </is>
      </c>
      <c r="C120" s="33" t="inlineStr">
        <is>
          <t>10 Models, Software &amp; Applications / AI observability &amp; infrastructure software</t>
        </is>
      </c>
      <c r="D120" s="33" t="inlineStr">
        <is>
          <t>2026-05-25</t>
        </is>
      </c>
      <c r="E120" s="33" t="n">
        <v>78.15456</v>
      </c>
      <c r="F120" s="33" t="n">
        <v>2184.344</v>
      </c>
      <c r="G120" s="33" t="n">
        <v>1.18</v>
      </c>
      <c r="H120" s="33" t="n">
        <v>21.551308</v>
      </c>
      <c r="I120" s="33">
        <f>IF(OR(E120="",R120="",R120&lt;=0,E120&lt;0),"",E120/R120)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10,90,IF(F120&lt;=15,75,IF(F120&lt;=20,60,IF(F120&lt;=25,45,IF(F120&lt;=35,30,IF(F120&lt;=50,15,5)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L120" s="33" t="n">
        <v>79.91</v>
      </c>
      <c r="M120" s="33" t="n">
        <v>25.51</v>
      </c>
      <c r="N120" s="33" t="n">
        <v>-100.28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26.95</v>
      </c>
      <c r="Q120" s="33" t="n">
        <v>32.2</v>
      </c>
      <c r="R120" s="33" t="n">
        <v>113.4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3</v>
      </c>
      <c r="U120" s="33" t="n">
        <v>3</v>
      </c>
      <c r="V120" s="33" t="n">
        <v>4</v>
      </c>
      <c r="W120" s="33" t="n">
        <v>3</v>
      </c>
      <c r="X120" s="33" t="n">
        <v>3</v>
      </c>
      <c r="Y120" s="33">
        <f>IFERROR(AVERAGE(T120,U120,V120,W120,X120)*20,"")</f>
        <v/>
      </c>
      <c r="Z120" s="33" t="n">
        <v>5</v>
      </c>
      <c r="AA120" s="33" t="n">
        <v>5</v>
      </c>
      <c r="AB120" s="33" t="n">
        <v>3</v>
      </c>
      <c r="AC120" s="33">
        <f>IFERROR(AVERAGE(Z120,AA120,AB120)*20,"")</f>
        <v/>
      </c>
      <c r="AD120" s="33" t="n">
        <v>5</v>
      </c>
      <c r="AE120" s="33" t="n">
        <v>4</v>
      </c>
      <c r="AF120" s="33" t="n">
        <v>5</v>
      </c>
      <c r="AG120" s="33" t="n">
        <v>5</v>
      </c>
      <c r="AH120" s="33">
        <f>IFERROR(AVERAGE(AD120,AE120,AF120,AG120)*20,"")</f>
        <v/>
      </c>
      <c r="AI120" s="33">
        <f>IFERROR(J120*Weights!$B$4 + O120*Weights!$B$5 + S120*Weights!$B$6 + Y120*Weights!$B$7 + AC120*Weights!$B$8 + AH120*Weights!$B$9,"")</f>
        <v/>
      </c>
      <c r="AJ120" s="33">
        <f>IF(AI120="","",IF(AI120&gt;=85,"✓✓✓",IF(AI120&gt;=70,"✓✓",IF(AI120&gt;=55,"✓",IF(AI120&gt;=40,"?","✗")))))</f>
        <v/>
      </c>
    </row>
    <row r="121">
      <c r="A121" s="33" t="inlineStr">
        <is>
          <t>CRWD</t>
        </is>
      </c>
      <c r="B121" s="33" t="inlineStr">
        <is>
          <t>CrowdStrike Holdings, Inc.</t>
        </is>
      </c>
      <c r="C121" s="33" t="inlineStr">
        <is>
          <t>10 Models, Software &amp; Applications / AI cybersecurity</t>
        </is>
      </c>
      <c r="D121" s="33" t="inlineStr">
        <is>
          <t>2026-05-25</t>
        </is>
      </c>
      <c r="E121" s="33" t="n">
        <v>107.72588</v>
      </c>
      <c r="F121" s="33" t="n">
        <v>-3512.279</v>
      </c>
      <c r="G121" s="33" t="n">
        <v>0.95</v>
      </c>
      <c r="H121" s="33" t="n">
        <v>35.09448</v>
      </c>
      <c r="I121" s="33">
        <f>IF(OR(E121="",R121="",R121&lt;=0,E121&lt;0),"",E121/R121)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10,90,IF(F121&lt;=15,75,IF(F121&lt;=20,60,IF(F121&lt;=25,45,IF(F121&lt;=35,30,IF(F121&lt;=50,15,5)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L121" s="33" t="n">
        <v>74.81</v>
      </c>
      <c r="M121" s="33" t="n">
        <v>33.35</v>
      </c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29.01</v>
      </c>
      <c r="Q121" s="33" t="n">
        <v>23.3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4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5</v>
      </c>
      <c r="AB121" s="33" t="n">
        <v>3</v>
      </c>
      <c r="AC121" s="33">
        <f>IFERROR(AVERAGE(Z121,AA121,AB121)*20,"")</f>
        <v/>
      </c>
      <c r="AD121" s="33" t="n">
        <v>5</v>
      </c>
      <c r="AE121" s="33" t="n">
        <v>4</v>
      </c>
      <c r="AF121" s="33" t="n">
        <v>5</v>
      </c>
      <c r="AG121" s="33" t="n">
        <v>4</v>
      </c>
      <c r="AH121" s="33">
        <f>IFERROR(AVERAGE(AD121,AE121,AF121,AG121)*20,"")</f>
        <v/>
      </c>
      <c r="AI121" s="33">
        <f>IFERROR(J121*Weights!$B$4 + O121*Weights!$B$5 + S121*Weights!$B$6 + Y121*Weights!$B$7 + AC121*Weights!$B$8 + AH121*Weights!$B$9,"")</f>
        <v/>
      </c>
      <c r="AJ121" s="33">
        <f>IF(AI121="","",IF(AI121&gt;=85,"✓✓✓",IF(AI121&gt;=70,"✓✓",IF(AI121&gt;=55,"✓",IF(AI121&gt;=40,"?","✗")))))</f>
        <v/>
      </c>
    </row>
    <row r="122">
      <c r="A122" s="33" t="inlineStr">
        <is>
          <t>MDB</t>
        </is>
      </c>
      <c r="B122" s="33" t="inlineStr">
        <is>
          <t>MongoDB, Inc.</t>
        </is>
      </c>
      <c r="C122" s="33" t="inlineStr">
        <is>
          <t>10 Models, Software &amp; Applications / AI data layer</t>
        </is>
      </c>
      <c r="D122" s="33" t="inlineStr">
        <is>
          <t>2026-05-25</t>
        </is>
      </c>
      <c r="E122" s="33" t="n">
        <v>46.046715</v>
      </c>
      <c r="F122" s="33" t="n">
        <v>-218.941</v>
      </c>
      <c r="G122" s="33" t="n">
        <v>1.76</v>
      </c>
      <c r="H122" s="33" t="n">
        <v>10.655685</v>
      </c>
      <c r="I122" s="33">
        <f>IF(OR(E122="",R122="",R122&lt;=0,E122&lt;0),"",E122/R122)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10,90,IF(F122&lt;=15,75,IF(F122&lt;=20,60,IF(F122&lt;=25,45,IF(F122&lt;=35,30,IF(F122&lt;=50,15,5)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L122" s="33" t="n">
        <v>71.75</v>
      </c>
      <c r="M122" s="33" t="n">
        <v>18.81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24.26</v>
      </c>
      <c r="Q122" s="33" t="n">
        <v>26.7</v>
      </c>
      <c r="R122" s="33" t="n">
        <v>-1.9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3</v>
      </c>
      <c r="X122" s="33" t="n">
        <v>2</v>
      </c>
      <c r="Y122" s="33">
        <f>IFERROR(AVERAGE(T122,U122,V122,W122,X122)*20,"")</f>
        <v/>
      </c>
      <c r="Z122" s="33" t="n">
        <v>4</v>
      </c>
      <c r="AA122" s="33" t="n">
        <v>3</v>
      </c>
      <c r="AB122" s="33" t="n">
        <v>3</v>
      </c>
      <c r="AC122" s="33">
        <f>IFERROR(AVERAGE(Z122,AA122,AB122)*20,"")</f>
        <v/>
      </c>
      <c r="AD122" s="33" t="n">
        <v>5</v>
      </c>
      <c r="AE122" s="33" t="n">
        <v>4</v>
      </c>
      <c r="AF122" s="33" t="n">
        <v>5</v>
      </c>
      <c r="AG122" s="33" t="n">
        <v>3</v>
      </c>
      <c r="AH122" s="33">
        <f>IFERROR(AVERAGE(AD122,AE122,AF122,AG122)*20,"")</f>
        <v/>
      </c>
      <c r="AI122" s="33">
        <f>IFERROR(J122*Weights!$B$4 + O122*Weights!$B$5 + S122*Weights!$B$6 + Y122*Weights!$B$7 + AC122*Weights!$B$8 + AH122*Weights!$B$9,"")</f>
        <v/>
      </c>
      <c r="AJ122" s="33">
        <f>IF(AI122="","",IF(AI122&gt;=85,"✓✓✓",IF(AI122&gt;=70,"✓✓",IF(AI122&gt;=55,"✓",IF(AI122&gt;=40,"?","✗")))))</f>
        <v/>
      </c>
    </row>
    <row r="123">
      <c r="A123" s="33" t="inlineStr">
        <is>
          <t>PATH</t>
        </is>
      </c>
      <c r="B123" s="33" t="inlineStr">
        <is>
          <t>UiPath, Inc.</t>
        </is>
      </c>
      <c r="C123" s="33" t="inlineStr">
        <is>
          <t>10 Models, Software &amp; Applications / AI-powered automation</t>
        </is>
      </c>
      <c r="D123" s="33" t="inlineStr">
        <is>
          <t>2026-05-25</t>
        </is>
      </c>
      <c r="E123" s="33" t="n">
        <v>12.146334</v>
      </c>
      <c r="F123" s="33" t="n">
        <v>57.393</v>
      </c>
      <c r="G123" s="33" t="n">
        <v>8.32</v>
      </c>
      <c r="H123" s="33" t="n">
        <v>3.5319417</v>
      </c>
      <c r="I123" s="33">
        <f>IF(OR(E123="",R123="",R123&lt;=0,E123&lt;0),"",E123/R123)</f>
        <v/>
      </c>
      <c r="J123" s="3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L123" s="33" t="n">
        <v>83.23999999999999</v>
      </c>
      <c r="M123" s="33" t="n">
        <v>29.4</v>
      </c>
      <c r="N123" s="33" t="n">
        <v>-18.42</v>
      </c>
      <c r="O123" s="3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33" t="n">
        <v>15.01</v>
      </c>
      <c r="Q123" s="33" t="n">
        <v>13.6</v>
      </c>
      <c r="R123" s="33" t="n">
        <v>101.7</v>
      </c>
      <c r="S123" s="3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33" t="n">
        <v>1</v>
      </c>
      <c r="U123" s="33" t="n">
        <v>2</v>
      </c>
      <c r="V123" s="33" t="n">
        <v>2</v>
      </c>
      <c r="W123" s="33" t="n">
        <v>3</v>
      </c>
      <c r="X123" s="33" t="n">
        <v>1</v>
      </c>
      <c r="Y123" s="33">
        <f>IFERROR(AVERAGE(T123,U123,V123,W123,X123)*20,"")</f>
        <v/>
      </c>
      <c r="Z123" s="33" t="n">
        <v>3</v>
      </c>
      <c r="AA123" s="33" t="n">
        <v>1</v>
      </c>
      <c r="AB123" s="33" t="n">
        <v>3</v>
      </c>
      <c r="AC123" s="33">
        <f>IFERROR(AVERAGE(Z123,AA123,AB123)*20,"")</f>
        <v/>
      </c>
      <c r="AD123" s="33" t="n">
        <v>4</v>
      </c>
      <c r="AE123" s="33" t="n">
        <v>4</v>
      </c>
      <c r="AF123" s="33" t="n">
        <v>5</v>
      </c>
      <c r="AG123" s="33" t="n">
        <v>5</v>
      </c>
      <c r="AH123" s="33">
        <f>IFERROR(AVERAGE(AD123,AE123,AF123,AG123)*20,"")</f>
        <v/>
      </c>
      <c r="AI123" s="33">
        <f>IFERROR(J123*Weights!$B$4 + O123*Weights!$B$5 + S123*Weights!$B$6 + Y123*Weights!$B$7 + AC123*Weights!$B$8 + AH123*Weights!$B$9,"")</f>
        <v/>
      </c>
      <c r="AJ123" s="33">
        <f>IF(AI123="","",IF(AI123&gt;=85,"✓✓✓",IF(AI123&gt;=70,"✓✓",IF(AI123&gt;=55,"✓",IF(AI123&gt;=40,"?","✗")))))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40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2026-06-05T16:11:57Z</dcterms:modified>
  <cp:revision>0</cp:revision>
</cp:coreProperties>
</file>