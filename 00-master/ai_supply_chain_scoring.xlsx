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2026-10-30</t>
        </is>
      </c>
      <c r="E2" s="61" t="n">
        <v>37.893024</v>
      </c>
      <c r="F2" s="61" t="n">
        <v>109.545</v>
      </c>
      <c r="G2" s="62" t="n">
        <v>0.73</v>
      </c>
      <c r="H2" s="61" t="n">
        <v>15.526753</v>
      </c>
      <c r="I2" s="33">
        <f>IF(OR(E2="",R2="",R2&lt;=0,E2&lt;0),"",E2/R2)</f>
        <v/>
      </c>
      <c r="J2" s="63" t="n">
        <v>34.9</v>
      </c>
      <c r="K2" s="62" t="n">
        <v>10.88</v>
      </c>
      <c r="L2" s="62" t="n">
        <v>31.77</v>
      </c>
      <c r="M2" s="62" t="n">
        <v>11.4</v>
      </c>
      <c r="N2" s="61" t="n">
        <v>0.5</v>
      </c>
      <c r="O2" s="63" t="n">
        <v>72.09999999999999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51.7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2026-10-30</t>
        </is>
      </c>
      <c r="E3" s="61" t="n">
        <v>-27.819689</v>
      </c>
      <c r="F3" s="61" t="n">
        <v>18.9</v>
      </c>
      <c r="G3" s="62" t="n">
        <v>-45.21</v>
      </c>
      <c r="H3" s="61" t="n">
        <v>3.9792018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2026-10-30</t>
        </is>
      </c>
      <c r="E4" s="61" t="n">
        <v>24.339745</v>
      </c>
      <c r="F4" s="61" t="n">
        <v>30.478</v>
      </c>
      <c r="G4" s="62" t="n">
        <v>3.52</v>
      </c>
      <c r="H4" s="61" t="n">
        <v>6.753808</v>
      </c>
      <c r="I4" s="33">
        <f>IF(OR(E4="",R4="",R4&lt;=0,E4&lt;0),"",E4/R4)</f>
        <v/>
      </c>
      <c r="J4" s="63" t="n">
        <v>52</v>
      </c>
      <c r="K4" s="62" t="n">
        <v>22.62</v>
      </c>
      <c r="L4" s="62" t="n">
        <v>38.12</v>
      </c>
      <c r="M4" s="62" t="n">
        <v>23.74</v>
      </c>
      <c r="N4" s="61" t="n">
        <v>-0.14</v>
      </c>
      <c r="O4" s="63" t="n">
        <v>83</v>
      </c>
      <c r="P4" s="62" t="n">
        <v>21.59</v>
      </c>
      <c r="Q4" s="62" t="n">
        <v>61.2</v>
      </c>
      <c r="R4" s="62" t="n">
        <v>91.8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19.2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2026-10-30</t>
        </is>
      </c>
      <c r="E5" s="61" t="n">
        <v>32.974567</v>
      </c>
      <c r="F5" s="61" t="n">
        <v>44.29</v>
      </c>
      <c r="G5" s="62" t="n">
        <v>7.6</v>
      </c>
      <c r="H5" s="61" t="n">
        <v>5.1132436</v>
      </c>
      <c r="I5" s="33">
        <f>IF(OR(E5="",R5="",R5&lt;=0,E5&lt;0),"",E5/R5)</f>
        <v/>
      </c>
      <c r="J5" s="63" t="n">
        <v>43.7</v>
      </c>
      <c r="K5" s="62" t="n">
        <v>11.91</v>
      </c>
      <c r="L5" s="62" t="n">
        <v>21.79</v>
      </c>
      <c r="M5" s="62" t="n">
        <v>38.86</v>
      </c>
      <c r="N5" s="61" t="n">
        <v>-2.5</v>
      </c>
      <c r="O5" s="63" t="n">
        <v>73.90000000000001</v>
      </c>
      <c r="P5" s="62" t="n">
        <v>8.68</v>
      </c>
      <c r="Q5" s="62" t="n">
        <v>26.8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38.3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2026-10-30</t>
        </is>
      </c>
      <c r="E6" s="61" t="n">
        <v>4.654478671710408</v>
      </c>
      <c r="F6" s="61" t="n">
        <v>9.359999999999999</v>
      </c>
      <c r="G6" s="62" t="n">
        <v>6</v>
      </c>
      <c r="H6" s="61" t="n">
        <v>7.382308</v>
      </c>
      <c r="I6" s="33">
        <f>IF(OR(E6="",R6="",R6&lt;=0,E6&lt;0),"",E6/R6)</f>
        <v/>
      </c>
      <c r="J6" s="63" t="n">
        <v>88.09999999999999</v>
      </c>
      <c r="K6" s="62" t="n">
        <v>50.25</v>
      </c>
      <c r="L6" s="62" t="n">
        <v>80.72</v>
      </c>
      <c r="M6" s="62" t="n">
        <v>44.27</v>
      </c>
      <c r="N6" s="61" t="n">
        <v>-0.35</v>
      </c>
      <c r="O6" s="63" t="n">
        <v>94.8</v>
      </c>
      <c r="P6" s="62" t="n">
        <v>104.65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65.8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2026-10-30</t>
        </is>
      </c>
      <c r="E7" s="33" t="n">
        <v>19.515095</v>
      </c>
      <c r="F7" s="33" t="n">
        <v>14.85</v>
      </c>
      <c r="G7" s="33" t="n">
        <v>0.33</v>
      </c>
      <c r="H7" s="33" t="n">
        <v>2.9576225</v>
      </c>
      <c r="I7" s="33">
        <f>IF(OR(E7="",R7="",R7&lt;=0,E7&lt;0),"",E7/R7)</f>
        <v/>
      </c>
      <c r="J7" s="66" t="n">
        <v>48.4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2026-10-30</t>
        </is>
      </c>
      <c r="E8" s="33" t="n">
        <v>13.11698449084332</v>
      </c>
      <c r="F8" s="33" t="n">
        <v>25.467</v>
      </c>
      <c r="G8" s="33" t="n">
        <v>2.59</v>
      </c>
      <c r="H8" s="33" t="n">
        <v>16.164152</v>
      </c>
      <c r="I8" s="33">
        <f>IF(OR(E8="",R8="",R8&lt;=0,E8&lt;0),"",E8/R8)</f>
        <v/>
      </c>
      <c r="J8" s="66" t="n">
        <v>72.2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89.09999999999999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62.5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2026-10-30</t>
        </is>
      </c>
      <c r="E9" s="33" t="n">
        <v>31.348362</v>
      </c>
      <c r="F9" s="33" t="n">
        <v>95.77800000000001</v>
      </c>
      <c r="G9" s="33" t="n">
        <v>1.03</v>
      </c>
      <c r="H9" s="33" t="n">
        <v>19.706852</v>
      </c>
      <c r="I9" s="33">
        <f>IF(OR(E9="",R9="",R9&lt;=0,E9&lt;0),"",E9/R9)</f>
        <v/>
      </c>
      <c r="J9" s="66" t="n">
        <v>32.9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54.4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69.2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2026-10-30</t>
        </is>
      </c>
      <c r="E10" s="33" t="n">
        <v>17.46064</v>
      </c>
      <c r="F10" s="33" t="n">
        <v>13.978</v>
      </c>
      <c r="G10" s="33" t="n">
        <v>-12.63</v>
      </c>
      <c r="H10" s="33" t="n">
        <v>3.230446</v>
      </c>
      <c r="I10" s="33">
        <f>IF(OR(E10="",R10="",R10&lt;=0,E10&lt;0),"",E10/R10)</f>
        <v/>
      </c>
      <c r="J10" s="66" t="n">
        <v>45.5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38.2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53.3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2026-10-30</t>
        </is>
      </c>
      <c r="E11" s="33" t="n">
        <v>18.956106</v>
      </c>
      <c r="F11" s="33" t="n">
        <v>13.338</v>
      </c>
      <c r="G11" s="33" t="n">
        <v>-11.7</v>
      </c>
      <c r="H11" s="33" t="n">
        <v>3.0062106</v>
      </c>
      <c r="I11" s="33">
        <f>IF(OR(E11="",R11="",R11&lt;=0,E11&lt;0),"",E11/R11)</f>
        <v/>
      </c>
      <c r="J11" s="66" t="n">
        <v>58.2</v>
      </c>
      <c r="K11" s="33" t="n">
        <v>4.64</v>
      </c>
      <c r="L11" s="33" t="n">
        <v>46.61</v>
      </c>
      <c r="M11" s="33" t="n">
        <v>-35.18</v>
      </c>
      <c r="N11" s="33" t="n">
        <v>5.76</v>
      </c>
      <c r="O11" s="66" t="n">
        <v>42.8</v>
      </c>
      <c r="P11" s="33" t="n">
        <v>3.66</v>
      </c>
      <c r="Q11" s="33" t="n">
        <v>13.7</v>
      </c>
      <c r="R11" s="33" t="n">
        <v>22.1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2026-10-30</t>
        </is>
      </c>
      <c r="E12" s="33" t="n">
        <v>17.78444</v>
      </c>
      <c r="F12" s="33" t="n">
        <v>11.602</v>
      </c>
      <c r="G12" s="33" t="n">
        <v>-3.32</v>
      </c>
      <c r="H12" s="33" t="n">
        <v>3.0306962</v>
      </c>
      <c r="I12" s="33">
        <f>IF(OR(E12="",R12="",R12&lt;=0,E12&lt;0),"",E12/R12)</f>
        <v/>
      </c>
      <c r="J12" s="66" t="n">
        <v>59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2026-10-30</t>
        </is>
      </c>
      <c r="E13" s="33" t="n">
        <v>19.067228</v>
      </c>
      <c r="F13" s="33" t="n">
        <v>12.894</v>
      </c>
      <c r="G13" s="33" t="n">
        <v>-3.03</v>
      </c>
      <c r="H13" s="33" t="n">
        <v>3.575849</v>
      </c>
      <c r="I13" s="33">
        <f>IF(OR(E13="",R13="",R13&lt;=0,E13&lt;0),"",E13/R13)</f>
        <v/>
      </c>
      <c r="J13" s="66" t="n">
        <v>60.6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48.1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2026-10-30</t>
        </is>
      </c>
      <c r="E14" s="33" t="n">
        <v>19.122269</v>
      </c>
      <c r="F14" s="33" t="n">
        <v>21.899</v>
      </c>
      <c r="G14" s="33" t="n">
        <v>2.33</v>
      </c>
      <c r="H14" s="33" t="n">
        <v>6.0911007</v>
      </c>
      <c r="I14" s="33">
        <f>IF(OR(E14="",R14="",R14&lt;=0,E14&lt;0),"",E14/R14)</f>
        <v/>
      </c>
      <c r="J14" s="66" t="n">
        <v>50.3</v>
      </c>
      <c r="K14" s="33" t="n">
        <v>3.85</v>
      </c>
      <c r="L14" s="33" t="n">
        <v>60.17</v>
      </c>
      <c r="M14" s="33" t="n">
        <v>14.19</v>
      </c>
      <c r="N14" s="33" t="n">
        <v>8.09</v>
      </c>
      <c r="O14" s="66" t="n">
        <v>57.2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2026-10-30</t>
        </is>
      </c>
      <c r="E15" s="33" t="n">
        <v>21.536846</v>
      </c>
      <c r="F15" s="33" t="n">
        <v>14.879</v>
      </c>
      <c r="G15" s="33" t="n">
        <v>-6</v>
      </c>
      <c r="H15" s="33" t="n">
        <v>3.8960075</v>
      </c>
      <c r="I15" s="33">
        <f>IF(OR(E15="",R15="",R15&lt;=0,E15&lt;0),"",E15/R15)</f>
        <v/>
      </c>
      <c r="J15" s="66" t="n">
        <v>35.1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39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2026-10-30</t>
        </is>
      </c>
      <c r="E16" s="33" t="n">
        <v>16.91312</v>
      </c>
      <c r="F16" s="33" t="n">
        <v>12.465</v>
      </c>
      <c r="G16" s="33" t="n">
        <v>-7.39</v>
      </c>
      <c r="H16" s="33" t="n">
        <v>2.866685</v>
      </c>
      <c r="I16" s="33">
        <f>IF(OR(E16="",R16="",R16&lt;=0,E16&lt;0),"",E16/R16)</f>
        <v/>
      </c>
      <c r="J16" s="66" t="n">
        <v>63.7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41.2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30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2026-10-30</t>
        </is>
      </c>
      <c r="E17" s="33" t="n">
        <v>17.647137</v>
      </c>
      <c r="F17" s="33" t="n"/>
      <c r="G17" s="33" t="n">
        <v>-15.22</v>
      </c>
      <c r="H17" s="33" t="n">
        <v>3.3640292</v>
      </c>
      <c r="I17" s="33">
        <f>IF(OR(E17="",R17="",R17&lt;=0,E17&lt;0),"",E17/R17)</f>
        <v/>
      </c>
      <c r="J17" s="66" t="n">
        <v>58.1</v>
      </c>
      <c r="K17" s="33" t="n">
        <v>3.98</v>
      </c>
      <c r="L17" s="33" t="n">
        <v>47.72</v>
      </c>
      <c r="M17" s="33" t="n">
        <v>-51.21</v>
      </c>
      <c r="N17" s="33" t="n"/>
      <c r="O17" s="66" t="n">
        <v>47</v>
      </c>
      <c r="P17" s="33" t="n">
        <v>-1.42</v>
      </c>
      <c r="Q17" s="33" t="n">
        <v>6.6</v>
      </c>
      <c r="R17" s="33" t="n">
        <v>83.2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2026-10-30</t>
        </is>
      </c>
      <c r="E18" s="33" t="n">
        <v>13.262833</v>
      </c>
      <c r="F18" s="33" t="n">
        <v>10.513</v>
      </c>
      <c r="G18" s="33" t="n">
        <v>4.9</v>
      </c>
      <c r="H18" s="33" t="n">
        <v>2.3974192</v>
      </c>
      <c r="I18" s="33">
        <f>IF(OR(E18="",R18="",R18&lt;=0,E18&lt;0),"",E18/R18)</f>
        <v/>
      </c>
      <c r="J18" s="66" t="n">
        <v>71.7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62.4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2026-10-30</t>
        </is>
      </c>
      <c r="E19" s="33" t="n">
        <v>10.600647</v>
      </c>
      <c r="F19" s="33" t="n">
        <v>44.811</v>
      </c>
      <c r="G19" s="33" t="n">
        <v>2.76</v>
      </c>
      <c r="H19" s="33" t="n">
        <v>4.3066897</v>
      </c>
      <c r="I19" s="33">
        <f>IF(OR(E19="",R19="",R19&lt;=0,E19&lt;0),"",E19/R19)</f>
        <v/>
      </c>
      <c r="J19" s="66" t="n">
        <v>46.3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2026-10-30</t>
        </is>
      </c>
      <c r="E20" s="33" t="n">
        <v>9.045475</v>
      </c>
      <c r="F20" s="33" t="n">
        <v>13.667</v>
      </c>
      <c r="G20" s="33" t="n">
        <v>1.58</v>
      </c>
      <c r="H20" s="33" t="n">
        <v>0.60540617</v>
      </c>
      <c r="I20" s="33">
        <f>IF(OR(E20="",R20="",R20&lt;=0,E20&lt;0),"",E20/R20)</f>
        <v/>
      </c>
      <c r="J20" s="66" t="n">
        <v>61.9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2026-10-30</t>
        </is>
      </c>
      <c r="E21" s="33" t="n">
        <v>40.53487</v>
      </c>
      <c r="F21" s="33" t="n">
        <v>58.55</v>
      </c>
      <c r="G21" s="33" t="n">
        <v>1.98</v>
      </c>
      <c r="H21" s="33" t="n">
        <v>13.42</v>
      </c>
      <c r="I21" s="33">
        <f>IF(OR(E21="",R21="",R21&lt;=0,E21&lt;0),"",E21/R21)</f>
        <v/>
      </c>
      <c r="J21" s="66" t="n">
        <v>32.4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2026-10-30</t>
        </is>
      </c>
      <c r="E22" s="33" t="n">
        <v>-104.12162</v>
      </c>
      <c r="F22" s="33" t="n">
        <v>-28.096</v>
      </c>
      <c r="G22" s="33" t="n">
        <v>-2.81</v>
      </c>
      <c r="H22" s="33" t="n">
        <v>102.50953</v>
      </c>
      <c r="I22" s="33">
        <f>IF(OR(E22="",R22="",R22&lt;=0,E22&lt;0),"",E22/R22)</f>
        <v/>
      </c>
      <c r="J22" s="66" t="n">
        <v>40.2</v>
      </c>
      <c r="K22" s="33" t="n">
        <v>-7.12</v>
      </c>
      <c r="L22" s="33" t="n">
        <v>-183.96</v>
      </c>
      <c r="M22" s="33" t="n">
        <v>-288.16</v>
      </c>
      <c r="N22" s="33" t="n"/>
      <c r="O22" s="66" t="n">
        <v>7.6</v>
      </c>
      <c r="P22" s="33" t="n">
        <v>-39.03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23.3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2026-10-30</t>
        </is>
      </c>
      <c r="E23" s="33" t="n">
        <v>24.903996</v>
      </c>
      <c r="F23" s="33" t="n">
        <v>149.979</v>
      </c>
      <c r="G23" s="33" t="n">
        <v>-7.84</v>
      </c>
      <c r="H23" s="33" t="n">
        <v>4.4110785</v>
      </c>
      <c r="I23" s="33">
        <f>IF(OR(E23="",R23="",R23&lt;=0,E23&lt;0),"",E23/R23)</f>
        <v/>
      </c>
      <c r="J23" s="66" t="n">
        <v>28.3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24.2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2026-10-30</t>
        </is>
      </c>
      <c r="E24" s="33" t="n">
        <v>24.923208</v>
      </c>
      <c r="F24" s="33" t="n">
        <v>29.484</v>
      </c>
      <c r="G24" s="33" t="n">
        <v>2.65</v>
      </c>
      <c r="H24" s="33" t="n">
        <v>3.4018276</v>
      </c>
      <c r="I24" s="33">
        <f>IF(OR(E24="",R24="",R24&lt;=0,E24&lt;0),"",E24/R24)</f>
        <v/>
      </c>
      <c r="J24" s="66" t="n">
        <v>46.1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2026-10-30</t>
        </is>
      </c>
      <c r="E25" s="33" t="n">
        <v>-8.805832000000001</v>
      </c>
      <c r="F25" s="33" t="n">
        <v>-5.874</v>
      </c>
      <c r="G25" s="33" t="n">
        <v>-33.86</v>
      </c>
      <c r="H25" s="33" t="n">
        <v>215.1762</v>
      </c>
      <c r="I25" s="33">
        <f>IF(OR(E25="",R25="",R25&lt;=0,E25&lt;0),"",E25/R25)</f>
        <v/>
      </c>
      <c r="J25" s="66" t="n">
        <v>25.7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2026-10-30</t>
        </is>
      </c>
      <c r="E26" s="33" t="n">
        <v>-23.819149</v>
      </c>
      <c r="F26" s="33" t="n">
        <v>-11.652</v>
      </c>
      <c r="G26" s="33" t="n">
        <v>-5.91</v>
      </c>
      <c r="H26" s="33" t="n">
        <v>3857.1604</v>
      </c>
      <c r="I26" s="33">
        <f>IF(OR(E26="",R26="",R26&lt;=0,E26&lt;0),"",E26/R26)</f>
        <v/>
      </c>
      <c r="J26" s="66" t="n">
        <v>34.1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12.5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2026-10-30</t>
        </is>
      </c>
      <c r="E27" s="33" t="n">
        <v>-11.424317</v>
      </c>
      <c r="F27" s="33" t="n">
        <v>-1.491</v>
      </c>
      <c r="G27" s="33" t="n">
        <v>-6.16</v>
      </c>
      <c r="H27" s="33" t="n">
        <v>2887.5906</v>
      </c>
      <c r="I27" s="33">
        <f>IF(OR(E27="",R27="",R27&lt;=0,E27&lt;0),"",E27/R27)</f>
        <v/>
      </c>
      <c r="J27" s="66" t="n">
        <v>30.9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19.7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20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2026-10-30</t>
        </is>
      </c>
      <c r="E28" s="33" t="n">
        <v>15.7623005</v>
      </c>
      <c r="F28" s="33" t="n">
        <v>6.361</v>
      </c>
      <c r="G28" s="33" t="n">
        <v>10.86</v>
      </c>
      <c r="H28" s="33" t="n">
        <v>3.7821658</v>
      </c>
      <c r="I28" s="33">
        <f>IF(OR(E28="",R28="",R28&lt;=0,E28&lt;0),"",E28/R28)</f>
        <v/>
      </c>
      <c r="J28" s="66" t="n">
        <v>67.59999999999999</v>
      </c>
      <c r="K28" s="33" t="n">
        <v>7.96</v>
      </c>
      <c r="L28" s="33" t="n">
        <v>80.40000000000001</v>
      </c>
      <c r="M28" s="33" t="n">
        <v>41.08</v>
      </c>
      <c r="N28" s="33" t="n">
        <v>0.8100000000000001</v>
      </c>
      <c r="O28" s="66" t="n">
        <v>91.09999999999999</v>
      </c>
      <c r="P28" s="33" t="n">
        <v>-11.72</v>
      </c>
      <c r="Q28" s="33" t="n">
        <v>-8.1</v>
      </c>
      <c r="R28" s="33" t="n">
        <v>-17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40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2026-10-30</t>
        </is>
      </c>
      <c r="E29" s="33" t="n">
        <v>13.129332</v>
      </c>
      <c r="F29" s="33" t="n">
        <v>8.122</v>
      </c>
      <c r="G29" s="33" t="n">
        <v>5.8</v>
      </c>
      <c r="H29" s="33" t="n">
        <v>3.7461987</v>
      </c>
      <c r="I29" s="33">
        <f>IF(OR(E29="",R29="",R29&lt;=0,E29&lt;0),"",E29/R29)</f>
        <v/>
      </c>
      <c r="J29" s="66" t="n">
        <v>67.3</v>
      </c>
      <c r="K29" s="33" t="n">
        <v>12.74</v>
      </c>
      <c r="L29" s="33" t="n">
        <v>52.34</v>
      </c>
      <c r="M29" s="33" t="n">
        <v>21.72</v>
      </c>
      <c r="N29" s="33" t="n">
        <v>0.55</v>
      </c>
      <c r="O29" s="66" t="n">
        <v>90.3</v>
      </c>
      <c r="P29" s="33" t="n">
        <v>-17.55</v>
      </c>
      <c r="Q29" s="33" t="n">
        <v>19.7</v>
      </c>
      <c r="R29" s="33" t="n">
        <v>21.5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46.7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2026-10-30</t>
        </is>
      </c>
      <c r="E30" s="33" t="n">
        <v>8.854029000000001</v>
      </c>
      <c r="F30" s="33" t="n"/>
      <c r="G30" s="33" t="n">
        <v>13.76</v>
      </c>
      <c r="H30" s="33" t="n">
        <v>2.1461842</v>
      </c>
      <c r="I30" s="33">
        <f>IF(OR(E30="",R30="",R30&lt;=0,E30&lt;0),"",E30/R30)</f>
        <v/>
      </c>
      <c r="J30" s="66" t="n">
        <v>85.2</v>
      </c>
      <c r="K30" s="33" t="n">
        <v>7.41</v>
      </c>
      <c r="L30" s="33" t="n">
        <v>68.28</v>
      </c>
      <c r="M30" s="33" t="n">
        <v>29.53</v>
      </c>
      <c r="N30" s="33" t="n"/>
      <c r="O30" s="66" t="n">
        <v>87.40000000000001</v>
      </c>
      <c r="P30" s="33" t="n">
        <v>-15.47</v>
      </c>
      <c r="Q30" s="33" t="n">
        <v>17.1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2026-10-30</t>
        </is>
      </c>
      <c r="E31" s="33" t="n">
        <v>10.299098</v>
      </c>
      <c r="F31" s="33" t="n">
        <v>3.803</v>
      </c>
      <c r="G31" s="33" t="n">
        <v>11.78</v>
      </c>
      <c r="H31" s="33" t="n">
        <v>1.6108161</v>
      </c>
      <c r="I31" s="33">
        <f>IF(OR(E31="",R31="",R31&lt;=0,E31&lt;0),"",E31/R31)</f>
        <v/>
      </c>
      <c r="J31" s="66" t="n">
        <v>81.59999999999999</v>
      </c>
      <c r="K31" s="33" t="n">
        <v>11.84</v>
      </c>
      <c r="L31" s="33" t="n">
        <v>45.86</v>
      </c>
      <c r="M31" s="33" t="n">
        <v>18.97</v>
      </c>
      <c r="N31" s="33" t="n">
        <v>0.68</v>
      </c>
      <c r="O31" s="66" t="n">
        <v>82.7</v>
      </c>
      <c r="P31" s="33" t="n">
        <v>2.13</v>
      </c>
      <c r="Q31" s="33" t="n">
        <v>11.6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37.5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2026-10-30</t>
        </is>
      </c>
      <c r="E32" s="33" t="n">
        <v>-9.168744999999999</v>
      </c>
      <c r="F32" s="33" t="n">
        <v>-5.574</v>
      </c>
      <c r="G32" s="33" t="n">
        <v>-29.5</v>
      </c>
      <c r="H32" s="33" t="n">
        <v>2.5537143</v>
      </c>
      <c r="I32" s="33">
        <f>IF(OR(E32="",R32="",R32&lt;=0,E32&lt;0),"",E32/R32)</f>
        <v/>
      </c>
      <c r="J32" s="66" t="n">
        <v>40.8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15.8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2026-10-30</t>
        </is>
      </c>
      <c r="E33" s="33" t="n">
        <v>14.344967</v>
      </c>
      <c r="F33" s="33" t="n">
        <v>15.286</v>
      </c>
      <c r="G33" s="33" t="n">
        <v>3.88</v>
      </c>
      <c r="H33" s="33" t="n">
        <v>1.9853919</v>
      </c>
      <c r="I33" s="33">
        <f>IF(OR(E33="",R33="",R33&lt;=0,E33&lt;0),"",E33/R33)</f>
        <v/>
      </c>
      <c r="J33" s="66" t="n">
        <v>53.9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29.2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2026-10-30</t>
        </is>
      </c>
      <c r="E34" s="33" t="n">
        <v>14.531319</v>
      </c>
      <c r="F34" s="33" t="n">
        <v>18.683</v>
      </c>
      <c r="G34" s="33" t="n">
        <v>3.27</v>
      </c>
      <c r="H34" s="33" t="n">
        <v>2.5070794</v>
      </c>
      <c r="I34" s="33">
        <f>IF(OR(E34="",R34="",R34&lt;=0,E34&lt;0),"",E34/R34)</f>
        <v/>
      </c>
      <c r="J34" s="66" t="n">
        <v>63</v>
      </c>
      <c r="K34" s="33" t="n">
        <v>7.06</v>
      </c>
      <c r="L34" s="33" t="n">
        <v>39.92</v>
      </c>
      <c r="M34" s="33" t="n">
        <v>8.210000000000001</v>
      </c>
      <c r="N34" s="33" t="n">
        <v>1.59</v>
      </c>
      <c r="O34" s="66" t="n">
        <v>64.59999999999999</v>
      </c>
      <c r="P34" s="33" t="n">
        <v>-2.67</v>
      </c>
      <c r="Q34" s="33" t="n">
        <v>16.2</v>
      </c>
      <c r="R34" s="33" t="n">
        <v>65.09999999999999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2026-10-30</t>
        </is>
      </c>
      <c r="E35" s="33" t="n">
        <v>22.507412</v>
      </c>
      <c r="F35" s="33" t="n">
        <v>26.148</v>
      </c>
      <c r="G35" s="33" t="n">
        <v>2.65</v>
      </c>
      <c r="H35" s="33" t="n">
        <v>4.7431154</v>
      </c>
      <c r="I35" s="33">
        <f>IF(OR(E35="",R35="",R35&lt;=0,E35&lt;0),"",E35/R35)</f>
        <v/>
      </c>
      <c r="J35" s="66" t="n">
        <v>31.6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46.5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56.7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2026-10-30</t>
        </is>
      </c>
      <c r="E36" s="33" t="n">
        <v>17.90247</v>
      </c>
      <c r="F36" s="33" t="n">
        <v>18.02</v>
      </c>
      <c r="G36" s="33" t="n">
        <v>3.92</v>
      </c>
      <c r="H36" s="33" t="n">
        <v>3.26</v>
      </c>
      <c r="I36" s="33">
        <f>IF(OR(E36="",R36="",R36&lt;=0,E36&lt;0),"",E36/R36)</f>
        <v/>
      </c>
      <c r="J36" s="33" t="n">
        <v>68.5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76.7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55.8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2026-10-30</t>
        </is>
      </c>
      <c r="E37" s="33" t="n">
        <v>22.666666</v>
      </c>
      <c r="F37" s="33" t="n">
        <v>87.261</v>
      </c>
      <c r="G37" s="33" t="n">
        <v>3.2</v>
      </c>
      <c r="H37" s="33" t="n">
        <v>4.1535654</v>
      </c>
      <c r="I37" s="33">
        <f>IF(OR(E37="",R37="",R37&lt;=0,E37&lt;0),"",E37/R37)</f>
        <v/>
      </c>
      <c r="J37" s="33" t="n">
        <v>32.3</v>
      </c>
      <c r="K37" s="33" t="n">
        <v>17.66</v>
      </c>
      <c r="L37" s="33" t="n">
        <v>40.12</v>
      </c>
      <c r="M37" s="33" t="n">
        <v>13.29</v>
      </c>
      <c r="N37" s="33" t="n">
        <v>0.32</v>
      </c>
      <c r="O37" s="33" t="n">
        <v>82.7</v>
      </c>
      <c r="P37" s="33" t="n">
        <v>4.1</v>
      </c>
      <c r="Q37" s="33" t="n">
        <v>14.3</v>
      </c>
      <c r="R37" s="33" t="n">
        <v>-2.2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37.5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2026-10-30</t>
        </is>
      </c>
      <c r="E38" s="33" t="n">
        <v>13.42438644896079</v>
      </c>
      <c r="F38" s="33" t="n">
        <v>11.88</v>
      </c>
      <c r="G38" s="33" t="n">
        <v>5.26</v>
      </c>
      <c r="H38" s="33" t="n">
        <v>1.97</v>
      </c>
      <c r="I38" s="33">
        <f>IF(OR(E38="",R38="",R38&lt;=0,E38&lt;0),"",E38/R38)</f>
        <v/>
      </c>
      <c r="J38" s="33" t="n">
        <v>75.8</v>
      </c>
      <c r="K38" s="33" t="n">
        <v>10.73</v>
      </c>
      <c r="L38" s="33" t="n">
        <v>30.18</v>
      </c>
      <c r="M38" s="33" t="n">
        <v>10.37</v>
      </c>
      <c r="N38" s="33" t="n">
        <v>-0.52</v>
      </c>
      <c r="O38" s="33" t="n">
        <v>60.2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2026-10-30</t>
        </is>
      </c>
      <c r="E39" s="33" t="n">
        <v>18.274244</v>
      </c>
      <c r="F39" s="33" t="n">
        <v>17.537</v>
      </c>
      <c r="G39" s="33" t="n">
        <v>4.17</v>
      </c>
      <c r="H39" s="33" t="n">
        <v>3.3756988</v>
      </c>
      <c r="I39" s="33">
        <f>IF(OR(E39="",R39="",R39&lt;=0,E39&lt;0),"",E39/R39)</f>
        <v/>
      </c>
      <c r="J39" s="33" t="n">
        <v>51.1</v>
      </c>
      <c r="K39" s="33" t="n">
        <v>10.58</v>
      </c>
      <c r="L39" s="33" t="n">
        <v>35.02</v>
      </c>
      <c r="M39" s="33" t="n">
        <v>14.07</v>
      </c>
      <c r="N39" s="33" t="n">
        <v>3.09</v>
      </c>
      <c r="O39" s="33" t="n">
        <v>55.6</v>
      </c>
      <c r="P39" s="33" t="n">
        <v>5.71</v>
      </c>
      <c r="Q39" s="33" t="n">
        <v>24.6</v>
      </c>
      <c r="R39" s="33" t="n">
        <v>2.7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2026-10-30</t>
        </is>
      </c>
      <c r="E40" s="33" t="n">
        <v>29.997805</v>
      </c>
      <c r="F40" s="33" t="n">
        <v>27.899</v>
      </c>
      <c r="G40" s="33" t="n">
        <v>3.4</v>
      </c>
      <c r="H40" s="33" t="n">
        <v>2.487296</v>
      </c>
      <c r="I40" s="33">
        <f>IF(OR(E40="",R40="",R40&lt;=0,E40&lt;0),"",E40/R40)</f>
        <v/>
      </c>
      <c r="J40" s="33" t="n">
        <v>60.2</v>
      </c>
      <c r="K40" s="33" t="n">
        <v>10.11</v>
      </c>
      <c r="L40" s="33" t="n">
        <v>15.76</v>
      </c>
      <c r="M40" s="33" t="n">
        <v>8.460000000000001</v>
      </c>
      <c r="N40" s="33" t="n">
        <v>1.44</v>
      </c>
      <c r="O40" s="33" t="n">
        <v>35.8</v>
      </c>
      <c r="P40" s="33" t="n">
        <v>18.6</v>
      </c>
      <c r="Q40" s="33" t="n">
        <v>57.4</v>
      </c>
      <c r="R40" s="33" t="n">
        <v>104.7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48.3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2026-10-30</t>
        </is>
      </c>
      <c r="E41" s="33" t="n">
        <v>14.734332</v>
      </c>
      <c r="F41" s="33" t="n">
        <v>13.1</v>
      </c>
      <c r="G41" s="33" t="n">
        <v>2.77</v>
      </c>
      <c r="H41" s="33" t="n">
        <v>0.90780544</v>
      </c>
      <c r="I41" s="33">
        <f>IF(OR(E41="",R41="",R41&lt;=0,E41&lt;0),"",E41/R41)</f>
        <v/>
      </c>
      <c r="J41" s="33" t="n">
        <v>71.7</v>
      </c>
      <c r="K41" s="33" t="n">
        <v>6.86</v>
      </c>
      <c r="L41" s="33" t="n">
        <v>12.91</v>
      </c>
      <c r="M41" s="33" t="n">
        <v>2.51</v>
      </c>
      <c r="N41" s="33" t="n">
        <v>2.23</v>
      </c>
      <c r="O41" s="33" t="n">
        <v>23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17.5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2026-10-30</t>
        </is>
      </c>
      <c r="E42" s="33" t="n">
        <v>22.26885</v>
      </c>
      <c r="F42" s="33" t="n">
        <v>23.314</v>
      </c>
      <c r="G42" s="33" t="n">
        <v>4.3</v>
      </c>
      <c r="H42" s="33" t="n">
        <v>4.898429</v>
      </c>
      <c r="I42" s="33">
        <f>IF(OR(E42="",R42="",R42&lt;=0,E42&lt;0),"",E42/R42)</f>
        <v/>
      </c>
      <c r="J42" s="33" t="n">
        <v>53.6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29.2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2026-10-30</t>
        </is>
      </c>
      <c r="E43" s="33" t="n">
        <v>18.369097</v>
      </c>
      <c r="F43" s="33" t="n">
        <v>22.616</v>
      </c>
      <c r="G43" s="33" t="n">
        <v>2.87</v>
      </c>
      <c r="H43" s="33" t="n">
        <v>4.171173</v>
      </c>
      <c r="I43" s="33">
        <f>IF(OR(E43="",R43="",R43&lt;=0,E43&lt;0),"",E43/R43)</f>
        <v/>
      </c>
      <c r="J43" s="33" t="n">
        <v>58.1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60.8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2026-10-30</t>
        </is>
      </c>
      <c r="E44" s="33" t="n">
        <v>14.850216</v>
      </c>
      <c r="F44" s="33" t="n">
        <v>12.891</v>
      </c>
      <c r="G44" s="33" t="n">
        <v>1.79</v>
      </c>
      <c r="H44" s="33" t="n">
        <v>1.0931765</v>
      </c>
      <c r="I44" s="33">
        <f>IF(OR(E44="",R44="",R44&lt;=0,E44&lt;0),"",E44/R44)</f>
        <v/>
      </c>
      <c r="J44" s="33" t="n">
        <v>56.5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26.7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2026-10-30</t>
        </is>
      </c>
      <c r="E45" s="33" t="n">
        <v>60.247303</v>
      </c>
      <c r="F45" s="33" t="n">
        <v>27.628</v>
      </c>
      <c r="G45" s="33" t="n">
        <v>5.6</v>
      </c>
      <c r="H45" s="33" t="n">
        <v>9.950718</v>
      </c>
      <c r="I45" s="33">
        <f>IF(OR(E45="",R45="",R45&lt;=0,E45&lt;0),"",E45/R45)</f>
        <v/>
      </c>
      <c r="J45" s="33" t="n">
        <v>27.4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38.3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2026-10-30</t>
        </is>
      </c>
      <c r="E46" s="33" t="n">
        <v>49.96671</v>
      </c>
      <c r="F46" s="33" t="n">
        <v>27.011</v>
      </c>
      <c r="G46" s="33" t="n">
        <v>-1.47</v>
      </c>
      <c r="H46" s="33" t="n">
        <v>9.809862000000001</v>
      </c>
      <c r="I46" s="33">
        <f>IF(OR(E46="",R46="",R46&lt;=0,E46&lt;0),"",E46/R46)</f>
        <v/>
      </c>
      <c r="J46" s="33" t="n">
        <v>26.8</v>
      </c>
      <c r="K46" s="33" t="n">
        <v>5.44</v>
      </c>
      <c r="L46" s="33" t="n">
        <v>52</v>
      </c>
      <c r="M46" s="33" t="n">
        <v>-14.43</v>
      </c>
      <c r="N46" s="33" t="n">
        <v>5.13</v>
      </c>
      <c r="O46" s="33" t="n">
        <v>27.6</v>
      </c>
      <c r="P46" s="33" t="n">
        <v>8.27</v>
      </c>
      <c r="Q46" s="33" t="n">
        <v>10.4</v>
      </c>
      <c r="R46" s="33" t="n">
        <v>30.7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40.8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2026-10-30</t>
        </is>
      </c>
      <c r="E47" s="33" t="n">
        <v>42.49551</v>
      </c>
      <c r="F47" s="33" t="n">
        <v>21.706</v>
      </c>
      <c r="G47" s="33" t="n">
        <v>-1.73</v>
      </c>
      <c r="H47" s="33" t="n">
        <v>4.5664344</v>
      </c>
      <c r="I47" s="33">
        <f>IF(OR(E47="",R47="",R47&lt;=0,E47&lt;0),"",E47/R47)</f>
        <v/>
      </c>
      <c r="J47" s="33" t="n">
        <v>43.9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2026-10-30</t>
        </is>
      </c>
      <c r="E48" s="33" t="n">
        <v>18.286251</v>
      </c>
      <c r="F48" s="33" t="n">
        <v>19.573</v>
      </c>
      <c r="G48" s="33" t="n">
        <v>5.66</v>
      </c>
      <c r="H48" s="33" t="n">
        <v>3.4404893</v>
      </c>
      <c r="I48" s="33">
        <f>IF(OR(E48="",R48="",R48&lt;=0,E48&lt;0),"",E48/R48)</f>
        <v/>
      </c>
      <c r="J48" s="33" t="n">
        <v>83</v>
      </c>
      <c r="K48" s="33" t="n">
        <v>41.66</v>
      </c>
      <c r="L48" s="33" t="n">
        <v>25.7</v>
      </c>
      <c r="M48" s="33" t="n">
        <v>19.46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2026-10-30</t>
        </is>
      </c>
      <c r="E49" s="33" t="n">
        <v>17.202522</v>
      </c>
      <c r="F49" s="33" t="n">
        <v>13.724</v>
      </c>
      <c r="G49" s="33" t="n">
        <v>5.03</v>
      </c>
      <c r="H49" s="33" t="n">
        <v>1.4846177</v>
      </c>
      <c r="I49" s="33">
        <f>IF(OR(E49="",R49="",R49&lt;=0,E49&lt;0),"",E49/R49)</f>
        <v/>
      </c>
      <c r="J49" s="33" t="n">
        <v>84.8</v>
      </c>
      <c r="K49" s="33" t="n">
        <v>27.9</v>
      </c>
      <c r="L49" s="33" t="n">
        <v>19.59</v>
      </c>
      <c r="M49" s="33" t="n">
        <v>7.47</v>
      </c>
      <c r="N49" s="33" t="n">
        <v>-0.1</v>
      </c>
      <c r="O49" s="33" t="n">
        <v>60.2</v>
      </c>
      <c r="P49" s="33" t="n">
        <v>15.32</v>
      </c>
      <c r="Q49" s="33" t="n">
        <v>28.8</v>
      </c>
      <c r="R49" s="33" t="n">
        <v>35.4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30.8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2026-10-30</t>
        </is>
      </c>
      <c r="E50" s="33" t="n">
        <v>14.42104029085168</v>
      </c>
      <c r="F50" s="33" t="n">
        <v>17.692</v>
      </c>
      <c r="G50" s="33" t="n">
        <v>1.47</v>
      </c>
      <c r="H50" s="33" t="n">
        <v>2.0261962</v>
      </c>
      <c r="I50" s="33">
        <f>IF(OR(E50="",R50="",R50&lt;=0,E50&lt;0),"",E50/R50)</f>
        <v/>
      </c>
      <c r="J50" s="33" t="n">
        <v>65.2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2026-10-30</t>
        </is>
      </c>
      <c r="E51" s="33" t="n">
        <v>16.484549</v>
      </c>
      <c r="F51" s="33" t="n">
        <v>17.267</v>
      </c>
      <c r="G51" s="33" t="n">
        <v>5.35</v>
      </c>
      <c r="H51" s="33" t="n">
        <v>1.9505448</v>
      </c>
      <c r="I51" s="33">
        <f>IF(OR(E51="",R51="",R51&lt;=0,E51&lt;0),"",E51/R51)</f>
        <v/>
      </c>
      <c r="J51" s="33" t="n">
        <v>74</v>
      </c>
      <c r="K51" s="33" t="n">
        <v>5.87</v>
      </c>
      <c r="L51" s="33" t="n">
        <v>24.82</v>
      </c>
      <c r="M51" s="33" t="n">
        <v>10.43</v>
      </c>
      <c r="N51" s="33" t="n">
        <v>3.21</v>
      </c>
      <c r="O51" s="33" t="n">
        <v>37.4</v>
      </c>
      <c r="P51" s="33" t="n">
        <v>7.95</v>
      </c>
      <c r="Q51" s="33" t="n">
        <v>12.3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41.7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2026-10-30</t>
        </is>
      </c>
      <c r="E52" s="33" t="n">
        <v>23.146297</v>
      </c>
      <c r="F52" s="33" t="n">
        <v>22.177</v>
      </c>
      <c r="G52" s="33" t="n">
        <v>4.25</v>
      </c>
      <c r="H52" s="33" t="n">
        <v>3.8618226</v>
      </c>
      <c r="I52" s="33">
        <f>IF(OR(E52="",R52="",R52&lt;=0,E52&lt;0),"",E52/R52)</f>
        <v/>
      </c>
      <c r="J52" s="33" t="n">
        <v>57.5</v>
      </c>
      <c r="K52" s="33" t="n">
        <v>21.21</v>
      </c>
      <c r="L52" s="33" t="n">
        <v>34.99</v>
      </c>
      <c r="M52" s="33" t="n">
        <v>16.43</v>
      </c>
      <c r="N52" s="33" t="n">
        <v>0.67</v>
      </c>
      <c r="O52" s="33" t="n">
        <v>69.09999999999999</v>
      </c>
      <c r="P52" s="33" t="n">
        <v>10.06</v>
      </c>
      <c r="Q52" s="33" t="n">
        <v>17.7</v>
      </c>
      <c r="R52" s="33" t="n">
        <v>23.7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56.7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2026-10-30</t>
        </is>
      </c>
      <c r="E53" s="33" t="n">
        <v>22.4671431156451</v>
      </c>
      <c r="F53" s="33" t="n">
        <v>22.384</v>
      </c>
      <c r="G53" s="33" t="n">
        <v>1.85</v>
      </c>
      <c r="H53" s="33" t="n">
        <v>3.4956517</v>
      </c>
      <c r="I53" s="33">
        <f>IF(OR(E53="",R53="",R53&lt;=0,E53&lt;0),"",E53/R53)</f>
        <v/>
      </c>
      <c r="J53" s="33" t="n">
        <v>39.5</v>
      </c>
      <c r="K53" s="33" t="n">
        <v>10.59</v>
      </c>
      <c r="L53" s="33" t="n">
        <v>37.07</v>
      </c>
      <c r="M53" s="33" t="n">
        <v>6.46</v>
      </c>
      <c r="N53" s="33" t="n">
        <v>1.86</v>
      </c>
      <c r="O53" s="33" t="n">
        <v>54</v>
      </c>
      <c r="P53" s="33" t="n">
        <v>4.57</v>
      </c>
      <c r="Q53" s="33" t="n">
        <v>10.4</v>
      </c>
      <c r="R53" s="33" t="n">
        <v>-42.9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2026-10-30</t>
        </is>
      </c>
      <c r="E54" s="33" t="n">
        <v>24.839987</v>
      </c>
      <c r="F54" s="33" t="n">
        <v>32.62</v>
      </c>
      <c r="G54" s="33" t="n">
        <v>3.9</v>
      </c>
      <c r="H54" s="33" t="n">
        <v>13.65</v>
      </c>
      <c r="I54" s="33">
        <f>IF(OR(E54="",R54="",R54&lt;=0,E54&lt;0),"",E54/R54)</f>
        <v/>
      </c>
      <c r="J54" s="33" t="n">
        <v>62.6</v>
      </c>
      <c r="K54" s="33" t="n">
        <v>37.06</v>
      </c>
      <c r="L54" s="33" t="n">
        <v>54.34</v>
      </c>
      <c r="M54" s="33" t="n">
        <v>53.2</v>
      </c>
      <c r="N54" s="33" t="n">
        <v>-0.67</v>
      </c>
      <c r="O54" s="33" t="n">
        <v>87.90000000000001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60.8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2026-10-30</t>
        </is>
      </c>
      <c r="E55" s="33" t="n">
        <v>20.888037</v>
      </c>
      <c r="F55" s="33" t="n">
        <v>32.766</v>
      </c>
      <c r="G55" s="33" t="n">
        <v>1.83</v>
      </c>
      <c r="H55" s="33" t="n">
        <v>9.974205</v>
      </c>
      <c r="I55" s="33">
        <f>IF(OR(E55="",R55="",R55&lt;=0,E55&lt;0),"",E55/R55)</f>
        <v/>
      </c>
      <c r="J55" s="33" t="n">
        <v>47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73.3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49.2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2026-10-30</t>
        </is>
      </c>
      <c r="E56" s="33" t="n">
        <v>21.87912408374132</v>
      </c>
      <c r="F56" s="33" t="n">
        <v>31.046</v>
      </c>
      <c r="G56" s="33" t="n">
        <v>2.19</v>
      </c>
      <c r="H56" s="33" t="n">
        <v>11.41554</v>
      </c>
      <c r="I56" s="33">
        <f>IF(OR(E56="",R56="",R56&lt;=0,E56&lt;0),"",E56/R56)</f>
        <v/>
      </c>
      <c r="J56" s="33" t="n">
        <v>54.4</v>
      </c>
      <c r="K56" s="33" t="n">
        <v>44.1</v>
      </c>
      <c r="L56" s="33" t="n">
        <v>51.05</v>
      </c>
      <c r="M56" s="33" t="n">
        <v>25.02</v>
      </c>
      <c r="N56" s="33" t="n">
        <v>-0.37</v>
      </c>
      <c r="O56" s="33" t="n">
        <v>83.3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48.3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2026-10-30</t>
        </is>
      </c>
      <c r="E57" s="33" t="n">
        <v>24.65231216882722</v>
      </c>
      <c r="F57" s="33" t="n">
        <v>33.365</v>
      </c>
      <c r="G57" s="33" t="n">
        <v>1.96</v>
      </c>
      <c r="H57" s="33" t="n">
        <v>14.179303</v>
      </c>
      <c r="I57" s="33">
        <f>IF(OR(E57="",R57="",R57&lt;=0,E57&lt;0),"",E57/R57)</f>
        <v/>
      </c>
      <c r="J57" s="33" t="n">
        <v>42.1</v>
      </c>
      <c r="K57" s="33" t="n">
        <v>38.37</v>
      </c>
      <c r="L57" s="33" t="n">
        <v>61.47</v>
      </c>
      <c r="M57" s="33" t="n">
        <v>27.83</v>
      </c>
      <c r="N57" s="33" t="n">
        <v>0.15</v>
      </c>
      <c r="O57" s="33" t="n">
        <v>84.40000000000001</v>
      </c>
      <c r="P57" s="33" t="n">
        <v>8.960000000000001</v>
      </c>
      <c r="Q57" s="33" t="n">
        <v>28.9</v>
      </c>
      <c r="R57" s="33" t="n">
        <v>38.1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46.7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2026-10-30</t>
        </is>
      </c>
      <c r="E58" s="33" t="n"/>
      <c r="F58" s="33" t="n">
        <v>31.13</v>
      </c>
      <c r="G58" s="33" t="n">
        <v>1.21</v>
      </c>
      <c r="H58" s="33" t="n">
        <v>9.380000000000001</v>
      </c>
      <c r="I58" s="33">
        <f>IF(OR(E58="",R58="",R58&lt;=0,E58&lt;0),"",E58/R58)</f>
        <v/>
      </c>
      <c r="J58" s="33" t="n">
        <v>40.3</v>
      </c>
      <c r="K58" s="33" t="n">
        <v>23.3</v>
      </c>
      <c r="L58" s="33" t="n">
        <v>45.56</v>
      </c>
      <c r="M58" s="33" t="n">
        <v>11.32</v>
      </c>
      <c r="N58" s="33" t="n">
        <v>-0.53</v>
      </c>
      <c r="O58" s="33" t="n">
        <v>64.3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2026-10-30</t>
        </is>
      </c>
      <c r="E59" s="33" t="n">
        <v>22.695034</v>
      </c>
      <c r="F59" s="33" t="n">
        <v>26.089</v>
      </c>
      <c r="G59" s="33" t="n">
        <v>1.89</v>
      </c>
      <c r="H59" s="33" t="n">
        <v>8.443130999999999</v>
      </c>
      <c r="I59" s="33">
        <f>IF(OR(E59="",R59="",R59&lt;=0,E59&lt;0),"",E59/R59)</f>
        <v/>
      </c>
      <c r="J59" s="33" t="n">
        <v>55.4</v>
      </c>
      <c r="K59" s="33" t="n">
        <v>31.27</v>
      </c>
      <c r="L59" s="33" t="n">
        <v>59.31</v>
      </c>
      <c r="M59" s="33" t="n">
        <v>16</v>
      </c>
      <c r="N59" s="33" t="n">
        <v>-0.19</v>
      </c>
      <c r="O59" s="33" t="n">
        <v>79.59999999999999</v>
      </c>
      <c r="P59" s="33" t="n">
        <v>0.37</v>
      </c>
      <c r="Q59" s="33" t="n">
        <v>69.8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2026-10-30</t>
        </is>
      </c>
      <c r="E60" s="33" t="n">
        <v>17.07965742897709</v>
      </c>
      <c r="F60" s="33" t="n">
        <v>33.91</v>
      </c>
      <c r="G60" s="33" t="n">
        <v>2.58</v>
      </c>
      <c r="H60" s="33" t="n">
        <v>8.730423999999999</v>
      </c>
      <c r="I60" s="33">
        <f>IF(OR(E60="",R60="",R60&lt;=0,E60&lt;0),"",E60/R60)</f>
        <v/>
      </c>
      <c r="J60" s="33" t="n">
        <v>54.4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63.6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50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2026-10-30</t>
        </is>
      </c>
      <c r="E61" s="33" t="n">
        <v>22.722084</v>
      </c>
      <c r="F61" s="33" t="n">
        <v>50.318</v>
      </c>
      <c r="G61" s="33" t="n"/>
      <c r="H61" s="33" t="n">
        <v>10.791525</v>
      </c>
      <c r="I61" s="33">
        <f>IF(OR(E61="",R61="",R61&lt;=0,E61&lt;0),"",E61/R61)</f>
        <v/>
      </c>
      <c r="J61" s="33" t="n">
        <v>30.7</v>
      </c>
      <c r="K61" s="33" t="n">
        <v>7.81</v>
      </c>
      <c r="L61" s="33" t="n">
        <v>50.97</v>
      </c>
      <c r="M61" s="33" t="n"/>
      <c r="N61" s="33" t="n">
        <v>-1.32</v>
      </c>
      <c r="O61" s="33" t="n">
        <v>63.1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24.2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2026-10-30</t>
        </is>
      </c>
      <c r="E62" s="33" t="n">
        <v>12.499725</v>
      </c>
      <c r="F62" s="33" t="n">
        <v>23.024</v>
      </c>
      <c r="G62" s="33" t="n">
        <v>1.04</v>
      </c>
      <c r="H62" s="33" t="n">
        <v>4.063684</v>
      </c>
      <c r="I62" s="33">
        <f>IF(OR(E62="",R62="",R62&lt;=0,E62&lt;0),"",E62/R62)</f>
        <v/>
      </c>
      <c r="J62" s="33" t="n">
        <v>55.9</v>
      </c>
      <c r="K62" s="33" t="n">
        <v>10.07</v>
      </c>
      <c r="L62" s="33" t="n">
        <v>49.31</v>
      </c>
      <c r="M62" s="33" t="n">
        <v>4.21</v>
      </c>
      <c r="N62" s="33" t="n">
        <v>-2.98</v>
      </c>
      <c r="O62" s="33" t="n">
        <v>57.8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45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2026-10-30</t>
        </is>
      </c>
      <c r="E63" s="33" t="n">
        <v>27.371666</v>
      </c>
      <c r="F63" s="33" t="n">
        <v>27.18</v>
      </c>
      <c r="G63" s="33" t="n">
        <v>2.18</v>
      </c>
      <c r="H63" s="33" t="n">
        <v>6.564797</v>
      </c>
      <c r="I63" s="33">
        <f>IF(OR(E63="",R63="",R63&lt;=0,E63&lt;0),"",E63/R63)</f>
        <v/>
      </c>
      <c r="J63" s="33" t="n">
        <v>56.2</v>
      </c>
      <c r="K63" s="33" t="n">
        <v>11.41</v>
      </c>
      <c r="L63" s="33" t="n">
        <v>47.26</v>
      </c>
      <c r="M63" s="33" t="n">
        <v>14.34</v>
      </c>
      <c r="N63" s="33" t="n">
        <v>2.97</v>
      </c>
      <c r="O63" s="33" t="n">
        <v>55.2</v>
      </c>
      <c r="P63" s="33" t="n">
        <v>-0.88</v>
      </c>
      <c r="Q63" s="33" t="n">
        <v>24.6</v>
      </c>
      <c r="R63" s="33" t="n">
        <v>123.8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52.5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2026-10-30</t>
        </is>
      </c>
      <c r="E64" s="33" t="n">
        <v>11.339684</v>
      </c>
      <c r="F64" s="33" t="n">
        <v>17.211</v>
      </c>
      <c r="G64" s="33" t="n">
        <v>3.37</v>
      </c>
      <c r="H64" s="33" t="n">
        <v>3.10711</v>
      </c>
      <c r="I64" s="33">
        <f>IF(OR(E64="",R64="",R64&lt;=0,E64&lt;0),"",E64/R64)</f>
        <v/>
      </c>
      <c r="J64" s="33" t="n">
        <v>76.7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45.1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39.2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2026-10-30</t>
        </is>
      </c>
      <c r="E65" s="33" t="n">
        <v>13.170124</v>
      </c>
      <c r="F65" s="33" t="n">
        <v>5.522</v>
      </c>
      <c r="G65" s="33" t="n">
        <v>6.84</v>
      </c>
      <c r="H65" s="33" t="n">
        <v>1.8614767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55.4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27.5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2026-10-30</t>
        </is>
      </c>
      <c r="E66" s="33" t="n">
        <v>7.485297</v>
      </c>
      <c r="F66" s="33" t="n">
        <v>17.023</v>
      </c>
      <c r="G66" s="33" t="n">
        <v>-7.08</v>
      </c>
      <c r="H66" s="33" t="n">
        <v>0.94721466</v>
      </c>
      <c r="I66" s="33">
        <f>IF(OR(E66="",R66="",R66&lt;=0,E66&lt;0),"",E66/R66)</f>
        <v/>
      </c>
      <c r="J66" s="33" t="n">
        <v>68.5</v>
      </c>
      <c r="K66" s="33" t="n">
        <v>4.22</v>
      </c>
      <c r="L66" s="33" t="n">
        <v>16.11</v>
      </c>
      <c r="M66" s="33" t="n">
        <v>-6.71</v>
      </c>
      <c r="N66" s="33" t="n">
        <v>2.95</v>
      </c>
      <c r="O66" s="33" t="n">
        <v>21.7</v>
      </c>
      <c r="P66" s="33" t="n">
        <v>-4.72</v>
      </c>
      <c r="Q66" s="33" t="n">
        <v>48.8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40.8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2026-10-30</t>
        </is>
      </c>
      <c r="E67" s="33" t="n">
        <v>33.13967</v>
      </c>
      <c r="F67" s="33" t="n">
        <v>42.924</v>
      </c>
      <c r="G67" s="33" t="n">
        <v>1.96</v>
      </c>
      <c r="H67" s="33" t="n">
        <v>14.598864</v>
      </c>
      <c r="I67" s="33">
        <f>IF(OR(E67="",R67="",R67&lt;=0,E67&lt;0),"",E67/R67)</f>
        <v/>
      </c>
      <c r="J67" s="33" t="n">
        <v>25.3</v>
      </c>
      <c r="K67" s="33" t="n">
        <v>13.98</v>
      </c>
      <c r="L67" s="33" t="n">
        <v>85.68000000000001</v>
      </c>
      <c r="M67" s="33" t="n">
        <v>28.65</v>
      </c>
      <c r="N67" s="33" t="n">
        <v>0.57</v>
      </c>
      <c r="O67" s="33" t="n">
        <v>84.40000000000001</v>
      </c>
      <c r="P67" s="33" t="n">
        <v>14.14</v>
      </c>
      <c r="Q67" s="33" t="n">
        <v>22</v>
      </c>
      <c r="R67" s="33" t="n">
        <v>0.9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2026-10-30</t>
        </is>
      </c>
      <c r="E68" s="33" t="n">
        <v>25.000189</v>
      </c>
      <c r="F68" s="33" t="n">
        <v>48.746</v>
      </c>
      <c r="G68" s="33" t="n">
        <v>3.09</v>
      </c>
      <c r="H68" s="33" t="n">
        <v>9.452738999999999</v>
      </c>
      <c r="I68" s="33">
        <f>IF(OR(E68="",R68="",R68&lt;=0,E68&lt;0),"",E68/R68)</f>
        <v/>
      </c>
      <c r="J68" s="33" t="n">
        <v>53.9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58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2026-10-30</t>
        </is>
      </c>
      <c r="E69" s="33" t="n">
        <v>71.59859988466228</v>
      </c>
      <c r="F69" s="33" t="n">
        <v>226.496</v>
      </c>
      <c r="G69" s="33" t="n">
        <v>0.67</v>
      </c>
      <c r="H69" s="33" t="n">
        <v>42.40924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78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45.8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2026-10-30</t>
        </is>
      </c>
      <c r="E70" s="33" t="n">
        <v>17.254436</v>
      </c>
      <c r="F70" s="33" t="n">
        <v>16.132</v>
      </c>
      <c r="G70" s="33" t="n">
        <v>2.38</v>
      </c>
      <c r="H70" s="33" t="n">
        <v>12.429118</v>
      </c>
      <c r="I70" s="33">
        <f>IF(OR(E70="",R70="",R70&lt;=0,E70&lt;0),"",E70/R70)</f>
        <v/>
      </c>
      <c r="J70" s="33" t="n">
        <v>61</v>
      </c>
      <c r="K70" s="33" t="n">
        <v>29.36</v>
      </c>
      <c r="L70" s="33" t="n">
        <v>65.84999999999999</v>
      </c>
      <c r="M70" s="33" t="n">
        <v>29.58</v>
      </c>
      <c r="N70" s="33" t="n">
        <v>-0.89</v>
      </c>
      <c r="O70" s="33" t="n">
        <v>96.90000000000001</v>
      </c>
      <c r="P70" s="33" t="n">
        <v>18.94</v>
      </c>
      <c r="Q70" s="33" t="n">
        <v>50.9</v>
      </c>
      <c r="R70" s="33" t="n">
        <v>68.7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60.8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2026-10-30</t>
        </is>
      </c>
      <c r="E71" s="33" t="n">
        <v>29.161745</v>
      </c>
      <c r="F71" s="33" t="n">
        <v>29.739</v>
      </c>
      <c r="G71" s="33" t="n">
        <v>0.83</v>
      </c>
      <c r="H71" s="33" t="n">
        <v>5.953639</v>
      </c>
      <c r="I71" s="33">
        <f>IF(OR(E71="",R71="",R71&lt;=0,E71&lt;0),"",E71/R71)</f>
        <v/>
      </c>
      <c r="J71" s="33" t="n">
        <v>33.2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49.2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2026-10-30</t>
        </is>
      </c>
      <c r="E72" s="33" t="n">
        <v>15.74971</v>
      </c>
      <c r="F72" s="33" t="n">
        <v>12.386</v>
      </c>
      <c r="G72" s="33" t="n">
        <v>3.45</v>
      </c>
      <c r="H72" s="33" t="n">
        <v>3.3261938</v>
      </c>
      <c r="I72" s="33">
        <f>IF(OR(E72="",R72="",R72&lt;=0,E72&lt;0),"",E72/R72)</f>
        <v/>
      </c>
      <c r="J72" s="33" t="n">
        <v>66.8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40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2026-10-30</t>
        </is>
      </c>
      <c r="E73" s="33" t="n">
        <v>24.438145</v>
      </c>
      <c r="F73" s="33" t="n">
        <v>33.31</v>
      </c>
      <c r="G73" s="33" t="n">
        <v>1.61</v>
      </c>
      <c r="H73" s="33" t="n">
        <v>10.88973</v>
      </c>
      <c r="I73" s="33">
        <f>IF(OR(E73="",R73="",R73&lt;=0,E73&lt;0),"",E73/R73)</f>
        <v/>
      </c>
      <c r="J73" s="33" t="n">
        <v>42.7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46.7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2026-10-30</t>
        </is>
      </c>
      <c r="E74" s="33" t="n">
        <v>18.79498</v>
      </c>
      <c r="F74" s="33" t="n">
        <v>11.136</v>
      </c>
      <c r="G74" s="33" t="n">
        <v>4.9</v>
      </c>
      <c r="H74" s="33" t="n">
        <v>5.259571</v>
      </c>
      <c r="I74" s="33">
        <f>IF(OR(E74="",R74="",R74&lt;=0,E74&lt;0),"",E74/R74)</f>
        <v/>
      </c>
      <c r="J74" s="33" t="n">
        <v>69.8</v>
      </c>
      <c r="K74" s="33" t="n">
        <v>8.390000000000001</v>
      </c>
      <c r="L74" s="33" t="n">
        <v>31.71</v>
      </c>
      <c r="M74" s="33" t="n">
        <v>25.76</v>
      </c>
      <c r="N74" s="33" t="n">
        <v>-0.6</v>
      </c>
      <c r="O74" s="33" t="n">
        <v>73.8</v>
      </c>
      <c r="P74" s="33" t="n">
        <v>-5.19</v>
      </c>
      <c r="Q74" s="33" t="n">
        <v>25.6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59.2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2026-10-30</t>
        </is>
      </c>
      <c r="E75" s="33" t="n">
        <v>16.611294</v>
      </c>
      <c r="F75" s="33" t="n">
        <v>32.192</v>
      </c>
      <c r="G75" s="33" t="n">
        <v>2.55</v>
      </c>
      <c r="H75" s="33" t="n">
        <v>17.322515</v>
      </c>
      <c r="I75" s="33">
        <f>IF(OR(E75="",R75="",R75&lt;=0,E75&lt;0),"",E75/R75)</f>
        <v/>
      </c>
      <c r="J75" s="33" t="n">
        <v>61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87.7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24.2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2026-10-30</t>
        </is>
      </c>
      <c r="E76" s="33" t="n">
        <v>27.50618715160735</v>
      </c>
      <c r="F76" s="33" t="n">
        <v>67.64700000000001</v>
      </c>
      <c r="G76" s="33" t="n">
        <v>0.99</v>
      </c>
      <c r="H76" s="33" t="n">
        <v>18.479359</v>
      </c>
      <c r="I76" s="33">
        <f>IF(OR(E76="",R76="",R76&lt;=0,E76&lt;0),"",E76/R76)</f>
        <v/>
      </c>
      <c r="J76" s="33" t="n">
        <v>35.8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2026-10-30</t>
        </is>
      </c>
      <c r="E77" s="33" t="n">
        <v>39.84863</v>
      </c>
      <c r="F77" s="33" t="n">
        <v>172.311</v>
      </c>
      <c r="G77" s="33" t="n">
        <v>0.62</v>
      </c>
      <c r="H77" s="33" t="n">
        <v>36.857246</v>
      </c>
      <c r="I77" s="33">
        <f>IF(OR(E77="",R77="",R77&lt;=0,E77&lt;0),"",E77/R77)</f>
        <v/>
      </c>
      <c r="J77" s="33" t="n">
        <v>35.1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71.7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51.7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2026-10-30</t>
        </is>
      </c>
      <c r="E78" s="33" t="n">
        <v>4.583286195009657</v>
      </c>
      <c r="F78" s="33" t="n">
        <v>15.074</v>
      </c>
      <c r="G78" s="33" t="n">
        <v>6.99</v>
      </c>
      <c r="H78" s="33" t="n">
        <v>8.119540000000001</v>
      </c>
      <c r="I78" s="33">
        <f>IF(OR(E78="",R78="",R78&lt;=0,E78&lt;0),"",E78/R78)</f>
        <v/>
      </c>
      <c r="J78" s="33" t="n">
        <v>83.59999999999999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2026-10-30</t>
        </is>
      </c>
      <c r="E79" s="33" t="n">
        <v>17.78649543892173</v>
      </c>
      <c r="F79" s="33" t="n">
        <v>33.969</v>
      </c>
      <c r="G79" s="33" t="n">
        <v>-2.52</v>
      </c>
      <c r="H79" s="33" t="n">
        <v>5.743726</v>
      </c>
      <c r="I79" s="33">
        <f>IF(OR(E79="",R79="",R79&lt;=0,E79&lt;0),"",E79/R79)</f>
        <v/>
      </c>
      <c r="J79" s="33" t="n">
        <v>53.1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2026-10-30</t>
        </is>
      </c>
      <c r="E80" s="33" t="n">
        <v>29.08147605342951</v>
      </c>
      <c r="F80" s="33" t="n">
        <v>101.679</v>
      </c>
      <c r="G80" s="33" t="n">
        <v>0.39</v>
      </c>
      <c r="H80" s="33" t="n">
        <v>25.292871</v>
      </c>
      <c r="I80" s="33">
        <f>IF(OR(E80="",R80="",R80&lt;=0,E80&lt;0),"",E80/R80)</f>
        <v/>
      </c>
      <c r="J80" s="33" t="n">
        <v>22.8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55.8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2026-10-30</t>
        </is>
      </c>
      <c r="E81" s="33" t="n">
        <v>16.05946479405532</v>
      </c>
      <c r="F81" s="33" t="n">
        <v>21.902</v>
      </c>
      <c r="G81" s="33" t="n">
        <v>0.03</v>
      </c>
      <c r="H81" s="33" t="n">
        <v>2.4974623</v>
      </c>
      <c r="I81" s="33">
        <f>IF(OR(E81="",R81="",R81&lt;=0,E81&lt;0),"",E81/R81)</f>
        <v/>
      </c>
      <c r="J81" s="33" t="n">
        <v>62.9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2026-10-30</t>
        </is>
      </c>
      <c r="E82" s="33" t="n">
        <v>14.776183</v>
      </c>
      <c r="F82" s="33" t="n">
        <v>-202.375</v>
      </c>
      <c r="G82" s="33" t="n">
        <v>-10.41</v>
      </c>
      <c r="H82" s="33" t="n">
        <v>9.687782</v>
      </c>
      <c r="I82" s="33">
        <f>IF(OR(E82="",R82="",R82&lt;=0,E82&lt;0),"",E82/R82)</f>
        <v/>
      </c>
      <c r="J82" s="33" t="n">
        <v>56.9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27.5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2026-10-30</t>
        </is>
      </c>
      <c r="E83" s="33" t="n">
        <v>-30.117645</v>
      </c>
      <c r="F83" s="33" t="n">
        <v>-3.269</v>
      </c>
      <c r="G83" s="33" t="n">
        <v>-4.91</v>
      </c>
      <c r="H83" s="33" t="n">
        <v>517.26984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27.5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2026-10-30</t>
        </is>
      </c>
      <c r="E84" s="33" t="n">
        <v>32.21711</v>
      </c>
      <c r="F84" s="33" t="n">
        <v>47.202</v>
      </c>
      <c r="G84" s="33" t="n">
        <v>2.43</v>
      </c>
      <c r="H84" s="33" t="n">
        <v>20.131401</v>
      </c>
      <c r="I84" s="33">
        <f>IF(OR(E84="",R84="",R84&lt;=0,E84&lt;0),"",E84/R84)</f>
        <v/>
      </c>
      <c r="J84" s="33" t="n">
        <v>54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2026-10-30</t>
        </is>
      </c>
      <c r="E85" s="33" t="n">
        <v>19.39906901528043</v>
      </c>
      <c r="F85" s="33" t="n">
        <v>23.785</v>
      </c>
      <c r="G85" s="33" t="n">
        <v>3.12</v>
      </c>
      <c r="H85" s="33" t="n">
        <v>6.4656553</v>
      </c>
      <c r="I85" s="33">
        <f>IF(OR(E85="",R85="",R85&lt;=0,E85&lt;0),"",E85/R85)</f>
        <v/>
      </c>
      <c r="J85" s="33" t="n">
        <v>64.3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51.7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2026-10-30</t>
        </is>
      </c>
      <c r="E86" s="33" t="n">
        <v>26.83508</v>
      </c>
      <c r="F86" s="33" t="n">
        <v>48.96</v>
      </c>
      <c r="G86" s="33" t="n">
        <v>1.8</v>
      </c>
      <c r="H86" s="33" t="n">
        <v>7.497778</v>
      </c>
      <c r="I86" s="33">
        <f>IF(OR(E86="",R86="",R86&lt;=0,E86&lt;0),"",E86/R86)</f>
        <v/>
      </c>
      <c r="J86" s="33" t="n">
        <v>46.8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24.2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2026-10-30</t>
        </is>
      </c>
      <c r="E87" s="33" t="n">
        <v>22.423115</v>
      </c>
      <c r="F87" s="33" t="n">
        <v>19.713</v>
      </c>
      <c r="G87" s="33" t="n">
        <v>2.38</v>
      </c>
      <c r="H87" s="33" t="n">
        <v>5.891266</v>
      </c>
      <c r="I87" s="33">
        <f>IF(OR(E87="",R87="",R87&lt;=0,E87&lt;0),"",E87/R87)</f>
        <v/>
      </c>
      <c r="J87" s="33" t="n">
        <v>72.09999999999999</v>
      </c>
      <c r="K87" s="33" t="n">
        <v>14.81</v>
      </c>
      <c r="L87" s="33" t="n">
        <v>39.21</v>
      </c>
      <c r="M87" s="33" t="n">
        <v>14.02</v>
      </c>
      <c r="N87" s="33" t="n">
        <v>1.15</v>
      </c>
      <c r="O87" s="33" t="n">
        <v>61.5</v>
      </c>
      <c r="P87" s="33" t="n">
        <v>22.31</v>
      </c>
      <c r="Q87" s="33" t="n">
        <v>65.09999999999999</v>
      </c>
      <c r="R87" s="33" t="n">
        <v>63.3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2026-10-30</t>
        </is>
      </c>
      <c r="E88" s="33" t="n">
        <v>15.25584866315523</v>
      </c>
      <c r="F88" s="33" t="n">
        <v>13.171</v>
      </c>
      <c r="G88" s="33" t="n">
        <v>5.4</v>
      </c>
      <c r="H88" s="33" t="n">
        <v>3.0863836</v>
      </c>
      <c r="I88" s="33">
        <f>IF(OR(E88="",R88="",R88&lt;=0,E88&lt;0),"",E88/R88)</f>
        <v/>
      </c>
      <c r="J88" s="33" t="n">
        <v>73.5</v>
      </c>
      <c r="K88" s="33" t="n">
        <v>14.8</v>
      </c>
      <c r="L88" s="33" t="n">
        <v>36.24</v>
      </c>
      <c r="M88" s="33" t="n">
        <v>16.67</v>
      </c>
      <c r="N88" s="33" t="n">
        <v>0.76</v>
      </c>
      <c r="O88" s="33" t="n">
        <v>59</v>
      </c>
      <c r="P88" s="33" t="n">
        <v>1.97</v>
      </c>
      <c r="Q88" s="33" t="n">
        <v>11.9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46.7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2026-10-30</t>
        </is>
      </c>
      <c r="E89" s="33" t="n">
        <v>27.021173</v>
      </c>
      <c r="F89" s="33" t="n">
        <v>26.978</v>
      </c>
      <c r="G89" s="33" t="n">
        <v>2.27</v>
      </c>
      <c r="H89" s="33" t="n">
        <v>5.9436145</v>
      </c>
      <c r="I89" s="33">
        <f>IF(OR(E89="",R89="",R89&lt;=0,E89&lt;0),"",E89/R89)</f>
        <v/>
      </c>
      <c r="J89" s="33" t="n">
        <v>55.1</v>
      </c>
      <c r="K89" s="33" t="n">
        <v>8.31</v>
      </c>
      <c r="L89" s="33" t="n">
        <v>37.05</v>
      </c>
      <c r="M89" s="33" t="n">
        <v>13.52</v>
      </c>
      <c r="N89" s="33" t="n">
        <v>1.24</v>
      </c>
      <c r="O89" s="33" t="n">
        <v>44.8</v>
      </c>
      <c r="P89" s="33" t="n">
        <v>3.27</v>
      </c>
      <c r="Q89" s="33" t="n">
        <v>18.4</v>
      </c>
      <c r="R89" s="33" t="n">
        <v>58.1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43.3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2026-10-30</t>
        </is>
      </c>
      <c r="E90" s="33" t="n">
        <v>6.280547091483869</v>
      </c>
      <c r="F90" s="33" t="n">
        <v>10.113</v>
      </c>
      <c r="G90" s="33" t="n">
        <v>-33.44</v>
      </c>
      <c r="H90" s="33" t="n">
        <v>0.53371936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55.8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2026-10-30</t>
        </is>
      </c>
      <c r="E91" s="33" t="n">
        <v>13.92881778214235</v>
      </c>
      <c r="F91" s="33" t="n">
        <v>18.394</v>
      </c>
      <c r="G91" s="33" t="n">
        <v>3.22</v>
      </c>
      <c r="H91" s="33" t="n">
        <v>1.7607331</v>
      </c>
      <c r="I91" s="33">
        <f>IF(OR(E91="",R91="",R91&lt;=0,E91&lt;0),"",E91/R91)</f>
        <v/>
      </c>
      <c r="J91" s="33" t="n">
        <v>62.3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2026-10-30</t>
        </is>
      </c>
      <c r="E92" s="33" t="n">
        <v>11.513801</v>
      </c>
      <c r="F92" s="33" t="n">
        <v>13.398</v>
      </c>
      <c r="G92" s="33" t="n">
        <v>5.74</v>
      </c>
      <c r="H92" s="33" t="n">
        <v>1.7278507</v>
      </c>
      <c r="I92" s="33">
        <f>IF(OR(E92="",R92="",R92&lt;=0,E92&lt;0),"",E92/R92)</f>
        <v/>
      </c>
      <c r="J92" s="33" t="n">
        <v>79.8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90.8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2026-10-30</t>
        </is>
      </c>
      <c r="E93" s="33" t="n">
        <v>23.65890394615258</v>
      </c>
      <c r="F93" s="33" t="n">
        <v>19.095</v>
      </c>
      <c r="G93" s="33" t="n">
        <v>1.54</v>
      </c>
      <c r="H93" s="33" t="n">
        <v>11.205366</v>
      </c>
      <c r="I93" s="33">
        <f>IF(OR(E93="",R93="",R93&lt;=0,E93&lt;0),"",E93/R93)</f>
        <v/>
      </c>
      <c r="J93" s="33" t="n">
        <v>60.8</v>
      </c>
      <c r="K93" s="33" t="n">
        <v>20.89</v>
      </c>
      <c r="L93" s="33" t="n">
        <v>67.66</v>
      </c>
      <c r="M93" s="33" t="n">
        <v>17.31</v>
      </c>
      <c r="N93" s="33" t="n">
        <v>-0.04</v>
      </c>
      <c r="O93" s="33" t="n">
        <v>91.90000000000001</v>
      </c>
      <c r="P93" s="33" t="n">
        <v>16.12</v>
      </c>
      <c r="Q93" s="33" t="n">
        <v>18.8</v>
      </c>
      <c r="R93" s="33" t="n">
        <v>32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2026-10-30</t>
        </is>
      </c>
      <c r="E94" s="33" t="n">
        <v>18.403214</v>
      </c>
      <c r="F94" s="33" t="n">
        <v>18.295</v>
      </c>
      <c r="G94" s="33" t="n">
        <v>0.58</v>
      </c>
      <c r="H94" s="33" t="n">
        <v>7.2702203</v>
      </c>
      <c r="I94" s="33">
        <f>IF(OR(E94="",R94="",R94&lt;=0,E94&lt;0),"",E94/R94)</f>
        <v/>
      </c>
      <c r="J94" s="33" t="n">
        <v>56</v>
      </c>
      <c r="K94" s="33" t="n">
        <v>14.81</v>
      </c>
      <c r="L94" s="33" t="n">
        <v>60.86</v>
      </c>
      <c r="M94" s="33" t="n">
        <v>4.19</v>
      </c>
      <c r="N94" s="33" t="n">
        <v>-0.67</v>
      </c>
      <c r="O94" s="33" t="n">
        <v>81.90000000000001</v>
      </c>
      <c r="P94" s="33" t="n">
        <v>12.51</v>
      </c>
      <c r="Q94" s="33" t="n">
        <v>24.7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35.8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2026-10-30</t>
        </is>
      </c>
      <c r="E95" s="33" t="n">
        <v>22.915592</v>
      </c>
      <c r="F95" s="33" t="n">
        <v>16.329</v>
      </c>
      <c r="G95" s="33" t="n">
        <v>-0.1</v>
      </c>
      <c r="H95" s="33" t="n">
        <v>3.3376005</v>
      </c>
      <c r="I95" s="33">
        <f>IF(OR(E95="",R95="",R95&lt;=0,E95&lt;0),"",E95/R95)</f>
        <v/>
      </c>
      <c r="J95" s="33" t="n">
        <v>71.2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45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2026-10-30</t>
        </is>
      </c>
      <c r="E96" s="33" t="n">
        <v>17.2809</v>
      </c>
      <c r="F96" s="33" t="n">
        <v>14.019</v>
      </c>
      <c r="G96" s="33" t="n">
        <v>1.82</v>
      </c>
      <c r="H96" s="33" t="n">
        <v>6.508254</v>
      </c>
      <c r="I96" s="33">
        <f>IF(OR(E96="",R96="",R96&lt;=0,E96&lt;0),"",E96/R96)</f>
        <v/>
      </c>
      <c r="J96" s="33" t="n">
        <v>60.8</v>
      </c>
      <c r="K96" s="33" t="n">
        <v>18.21</v>
      </c>
      <c r="L96" s="33" t="n">
        <v>81.03</v>
      </c>
      <c r="M96" s="33" t="n">
        <v>11.86</v>
      </c>
      <c r="N96" s="33" t="n">
        <v>0.28</v>
      </c>
      <c r="O96" s="33" t="n">
        <v>91.90000000000001</v>
      </c>
      <c r="P96" s="33" t="n">
        <v>19.89</v>
      </c>
      <c r="Q96" s="33" t="n">
        <v>26.1</v>
      </c>
      <c r="R96" s="33" t="n">
        <v>2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2026-10-30</t>
        </is>
      </c>
      <c r="E97" s="33" t="n">
        <v>13.15243392038939</v>
      </c>
      <c r="F97" s="33" t="n">
        <v>16.247</v>
      </c>
      <c r="G97" s="33" t="n">
        <v>-7.32</v>
      </c>
      <c r="H97" s="33" t="n">
        <v>5.463928</v>
      </c>
      <c r="I97" s="33">
        <f>IF(OR(E97="",R97="",R97&lt;=0,E97&lt;0),"",E97/R97)</f>
        <v/>
      </c>
      <c r="J97" s="33" t="n">
        <v>79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39.2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2026-10-30</t>
        </is>
      </c>
      <c r="E98" s="33" t="n">
        <v>-42.439472</v>
      </c>
      <c r="F98" s="33" t="n">
        <v>14.1</v>
      </c>
      <c r="G98" s="33" t="n">
        <v>-15.18</v>
      </c>
      <c r="H98" s="33" t="n">
        <v>28.608747</v>
      </c>
      <c r="I98" s="33">
        <f>IF(OR(E98="",R98="",R98&lt;=0,E98&lt;0),"",E98/R98)</f>
        <v/>
      </c>
      <c r="J98" s="33" t="n">
        <v>30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44.4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2026-10-30</t>
        </is>
      </c>
      <c r="E99" s="33" t="n">
        <v>-22.307251</v>
      </c>
      <c r="F99" s="33" t="n">
        <v>5.7</v>
      </c>
      <c r="G99" s="33" t="n">
        <v>-84.2</v>
      </c>
      <c r="H99" s="33" t="n">
        <v>6.066345</v>
      </c>
      <c r="I99" s="33">
        <f>IF(OR(E99="",R99="",R99&lt;=0,E99&lt;0),"",E99/R99)</f>
        <v/>
      </c>
      <c r="J99" s="33" t="n">
        <v>38.8</v>
      </c>
      <c r="K99" s="33" t="n">
        <v>-1.91</v>
      </c>
      <c r="L99" s="33" t="n">
        <v>21.65</v>
      </c>
      <c r="M99" s="33" t="n">
        <v>-510.79</v>
      </c>
      <c r="N99" s="33" t="n"/>
      <c r="O99" s="33" t="n">
        <v>30.8</v>
      </c>
      <c r="P99" s="33" t="n">
        <v>122.64</v>
      </c>
      <c r="Q99" s="33" t="n">
        <v>322.4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28.3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2026-10-30</t>
        </is>
      </c>
      <c r="E100" s="33" t="n">
        <v>80.73298</v>
      </c>
      <c r="F100" s="33" t="n">
        <v>3.8</v>
      </c>
      <c r="G100" s="33" t="n">
        <v>-22.68</v>
      </c>
      <c r="H100" s="33" t="n">
        <v>9.589689</v>
      </c>
      <c r="I100" s="33">
        <f>IF(OR(E100="",R100="",R100&lt;=0,E100&lt;0),"",E100/R100)</f>
        <v/>
      </c>
      <c r="J100" s="33" t="n">
        <v>48.8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28.3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2026-10-30</t>
        </is>
      </c>
      <c r="E101" s="33" t="n">
        <v>-5.982464</v>
      </c>
      <c r="F101" s="33" t="n">
        <v>4.2</v>
      </c>
      <c r="G101" s="33" t="n">
        <v>-24.38</v>
      </c>
      <c r="H101" s="33" t="n">
        <v>13.635399</v>
      </c>
      <c r="I101" s="33">
        <f>IF(OR(E101="",R101="",R101&lt;=0,E101&lt;0),"",E101/R101)</f>
        <v/>
      </c>
      <c r="J101" s="33" t="n">
        <v>38.8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2026-10-30</t>
        </is>
      </c>
      <c r="E102" s="33" t="n">
        <v>32.933495</v>
      </c>
      <c r="F102" s="33" t="n">
        <v>9</v>
      </c>
      <c r="G102" s="33" t="n">
        <v>-49.79</v>
      </c>
      <c r="H102" s="33" t="n">
        <v>15.724616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36.7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2026-10-30</t>
        </is>
      </c>
      <c r="E103" s="33" t="n">
        <v>-4.302914</v>
      </c>
      <c r="F103" s="33" t="n">
        <v>2</v>
      </c>
      <c r="G103" s="33" t="n">
        <v>-53.69</v>
      </c>
      <c r="H103" s="33" t="n">
        <v>2.847066</v>
      </c>
      <c r="I103" s="33">
        <f>IF(OR(E103="",R103="",R103&lt;=0,E103&lt;0),"",E103/R103)</f>
        <v/>
      </c>
      <c r="J103" s="33" t="n">
        <v>52.5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2026-10-30</t>
        </is>
      </c>
      <c r="E104" s="33" t="n">
        <v>-17.852348</v>
      </c>
      <c r="F104" s="33" t="n">
        <v>1.4</v>
      </c>
      <c r="G104" s="33" t="n">
        <v>-115.94</v>
      </c>
      <c r="H104" s="33" t="n">
        <v>2.2250986</v>
      </c>
      <c r="I104" s="33">
        <f>IF(OR(E104="",R104="",R104&lt;=0,E104&lt;0),"",E104/R104)</f>
        <v/>
      </c>
      <c r="J104" s="33" t="n">
        <v>50</v>
      </c>
      <c r="K104" s="33" t="n">
        <v>-8.5</v>
      </c>
      <c r="L104" s="33" t="n">
        <v>0.67</v>
      </c>
      <c r="M104" s="33" t="n">
        <v>-257.98</v>
      </c>
      <c r="N104" s="33" t="n">
        <v>2.97</v>
      </c>
      <c r="O104" s="33" t="n">
        <v>34.4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2026-10-30</t>
        </is>
      </c>
      <c r="E105" s="33" t="n">
        <v>-11.397548</v>
      </c>
      <c r="F105" s="33" t="n">
        <v>8.9</v>
      </c>
      <c r="G105" s="33" t="n">
        <v>-18.11</v>
      </c>
      <c r="H105" s="33" t="n">
        <v>22.742409</v>
      </c>
      <c r="I105" s="33">
        <f>IF(OR(E105="",R105="",R105&lt;=0,E105&lt;0),"",E105/R105)</f>
        <v/>
      </c>
      <c r="J105" s="33" t="n">
        <v>37.5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49.2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38.3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2026-10-30</t>
        </is>
      </c>
      <c r="E106" s="33" t="n">
        <v>-5.1823897</v>
      </c>
      <c r="F106" s="33" t="n">
        <v>2.3</v>
      </c>
      <c r="G106" s="33" t="n">
        <v>-32.17</v>
      </c>
      <c r="H106" s="33" t="n">
        <v>6.7620254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2026-10-30</t>
        </is>
      </c>
      <c r="E107" s="33" t="n">
        <v>-13.161484</v>
      </c>
      <c r="F107" s="33" t="n">
        <v>3.3</v>
      </c>
      <c r="G107" s="33" t="n">
        <v>-23.31</v>
      </c>
      <c r="H107" s="33" t="n">
        <v>6.9792824</v>
      </c>
      <c r="I107" s="33">
        <f>IF(OR(E107="",R107="",R107&lt;=0,E107&lt;0),"",E107/R107)</f>
        <v/>
      </c>
      <c r="J107" s="33" t="n">
        <v>50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40.8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2026-10-30</t>
        </is>
      </c>
      <c r="E108" s="33" t="n">
        <v>-48.55605</v>
      </c>
      <c r="F108" s="33" t="n">
        <v>9.5</v>
      </c>
      <c r="G108" s="33" t="n">
        <v>-43.14</v>
      </c>
      <c r="H108" s="33" t="n">
        <v>35.143745</v>
      </c>
      <c r="I108" s="33">
        <f>IF(OR(E108="",R108="",R108&lt;=0,E108&lt;0),"",E108/R108)</f>
        <v/>
      </c>
      <c r="J108" s="33" t="n">
        <v>22.5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2026-10-30</t>
        </is>
      </c>
      <c r="E109" s="33" t="n">
        <v>79.25246</v>
      </c>
      <c r="F109" s="33" t="n">
        <v>137.8</v>
      </c>
      <c r="G109" s="33" t="n">
        <v>0.75</v>
      </c>
      <c r="H109" s="33" t="n">
        <v>72.291534</v>
      </c>
      <c r="I109" s="33">
        <f>IF(OR(E109="",R109="",R109&lt;=0,E109&lt;0),"",E109/R109)</f>
        <v/>
      </c>
      <c r="J109" s="33" t="n">
        <v>37.1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87.5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61.7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2026-10-30</t>
        </is>
      </c>
      <c r="E110" s="33" t="n">
        <v>102.5014402952235</v>
      </c>
      <c r="F110" s="33" t="n">
        <v>97.90000000000001</v>
      </c>
      <c r="G110" s="33" t="n">
        <v>1.12</v>
      </c>
      <c r="H110" s="33" t="n">
        <v>19.688948</v>
      </c>
      <c r="I110" s="33">
        <f>IF(OR(E110="",R110="",R110&lt;=0,E110&lt;0),"",E110/R110)</f>
        <v/>
      </c>
      <c r="J110" s="33" t="n">
        <v>30.1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90.8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2026-10-30</t>
        </is>
      </c>
      <c r="E111" s="33" t="n">
        <v>20.887087</v>
      </c>
      <c r="F111" s="33" t="n">
        <v>24.7</v>
      </c>
      <c r="G111" s="33" t="n">
        <v>4.38</v>
      </c>
      <c r="H111" s="33" t="n">
        <v>7.0268483</v>
      </c>
      <c r="I111" s="33">
        <f>IF(OR(E111="",R111="",R111&lt;=0,E111&lt;0),"",E111/R111)</f>
        <v/>
      </c>
      <c r="J111" s="33" t="n">
        <v>67.7</v>
      </c>
      <c r="K111" s="33" t="n">
        <v>5.33</v>
      </c>
      <c r="L111" s="33" t="n">
        <v>73.2</v>
      </c>
      <c r="M111" s="33" t="n">
        <v>30.78</v>
      </c>
      <c r="N111" s="33" t="n">
        <v>1.29</v>
      </c>
      <c r="O111" s="33" t="n">
        <v>53.2</v>
      </c>
      <c r="P111" s="33" t="n">
        <v>22.38</v>
      </c>
      <c r="Q111" s="33" t="n">
        <v>20.5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84.2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2026-10-30</t>
        </is>
      </c>
      <c r="E112" s="33" t="n">
        <v>14.228323</v>
      </c>
      <c r="F112" s="33" t="n">
        <v>14.6</v>
      </c>
      <c r="G112" s="33" t="n">
        <v>8.08</v>
      </c>
      <c r="H112" s="33" t="n">
        <v>4.2702794</v>
      </c>
      <c r="I112" s="33">
        <f>IF(OR(E112="",R112="",R112&lt;=0,E112&lt;0),"",E112/R112)</f>
        <v/>
      </c>
      <c r="J112" s="33" t="n">
        <v>82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63.3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2026-10-30</t>
        </is>
      </c>
      <c r="E113" s="33" t="n">
        <v>21.885923</v>
      </c>
      <c r="F113" s="33" t="n">
        <v>33.165</v>
      </c>
      <c r="G113" s="33" t="n">
        <v>2.83</v>
      </c>
      <c r="H113" s="33" t="n">
        <v>7.8878508</v>
      </c>
      <c r="I113" s="33">
        <f>IF(OR(E113="",R113="",R113&lt;=0,E113&lt;0),"",E113/R113)</f>
        <v/>
      </c>
      <c r="J113" s="33" t="n">
        <v>54.9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76.2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2026-10-30</t>
        </is>
      </c>
      <c r="E114" s="33" t="n">
        <v>9.766674</v>
      </c>
      <c r="F114" s="33" t="n">
        <v>17.317</v>
      </c>
      <c r="G114" s="33" t="n">
        <v>0.17</v>
      </c>
      <c r="H114" s="33" t="n">
        <v>2.2410367</v>
      </c>
      <c r="I114" s="33">
        <f>IF(OR(E114="",R114="",R114&lt;=0,E114&lt;0),"",E114/R114)</f>
        <v/>
      </c>
      <c r="J114" s="33" t="n">
        <v>64.3</v>
      </c>
      <c r="K114" s="33" t="n">
        <v>8.779999999999999</v>
      </c>
      <c r="L114" s="33" t="n">
        <v>22.22</v>
      </c>
      <c r="M114" s="33" t="n">
        <v>0.39</v>
      </c>
      <c r="N114" s="33" t="n">
        <v>1.55</v>
      </c>
      <c r="O114" s="33" t="n">
        <v>38.1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36.7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2026-10-30</t>
        </is>
      </c>
      <c r="E115" s="33" t="n">
        <v>33.905907</v>
      </c>
      <c r="F115" s="33" t="n">
        <v>57.502</v>
      </c>
      <c r="G115" s="33" t="n">
        <v>0.99</v>
      </c>
      <c r="H115" s="33" t="n">
        <v>17.954872</v>
      </c>
      <c r="I115" s="33">
        <f>IF(OR(E115="",R115="",R115&lt;=0,E115&lt;0),"",E115/R115)</f>
        <v/>
      </c>
      <c r="J115" s="33" t="n">
        <v>34.8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35.8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2026-10-30</t>
        </is>
      </c>
      <c r="E116" s="33" t="n">
        <v>17.16753908884642</v>
      </c>
      <c r="F116" s="33" t="n">
        <v>55.828</v>
      </c>
      <c r="G116" s="33" t="n">
        <v>1.59</v>
      </c>
      <c r="H116" s="33" t="n">
        <v>17.389788</v>
      </c>
      <c r="I116" s="33">
        <f>IF(OR(E116="",R116="",R116&lt;=0,E116&lt;0),"",E116/R116)</f>
        <v/>
      </c>
      <c r="J116" s="33" t="n">
        <v>60.4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51.7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2026-10-30</t>
        </is>
      </c>
      <c r="E117" s="33" t="n">
        <v>13.27259508845624</v>
      </c>
      <c r="F117" s="33" t="n">
        <v>17.14</v>
      </c>
      <c r="G117" s="33" t="n">
        <v>3.33</v>
      </c>
      <c r="H117" s="33" t="n">
        <v>1.0206294</v>
      </c>
      <c r="I117" s="33">
        <f>IF(OR(E117="",R117="",R117&lt;=0,E117&lt;0),"",E117/R117)</f>
        <v/>
      </c>
      <c r="J117" s="33" t="n">
        <v>70.59999999999999</v>
      </c>
      <c r="K117" s="33" t="n">
        <v>11.09</v>
      </c>
      <c r="L117" s="33" t="n">
        <v>9.67</v>
      </c>
      <c r="M117" s="33" t="n">
        <v>3.4</v>
      </c>
      <c r="N117" s="33" t="n">
        <v>1.32</v>
      </c>
      <c r="O117" s="33" t="n">
        <v>39.1</v>
      </c>
      <c r="P117" s="33" t="n">
        <v>-0.6899999999999999</v>
      </c>
      <c r="Q117" s="33" t="n">
        <v>24.8</v>
      </c>
      <c r="R117" s="33" t="n">
        <v>32.2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37.5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2026-10-30</t>
        </is>
      </c>
      <c r="E118" s="33" t="n">
        <v>30.99392042450012</v>
      </c>
      <c r="F118" s="33" t="n">
        <v>116.989</v>
      </c>
      <c r="G118" s="33" t="n">
        <v>0.31</v>
      </c>
      <c r="H118" s="33" t="n">
        <v>9.798664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2026-10-30</t>
        </is>
      </c>
      <c r="E119" s="33" t="n">
        <v>78.95733</v>
      </c>
      <c r="F119" s="33" t="n">
        <v>85.5</v>
      </c>
      <c r="G119" s="33" t="n">
        <v>1.27</v>
      </c>
      <c r="H119" s="33" t="n">
        <v>21.331005</v>
      </c>
      <c r="I119" s="33">
        <f>IF(OR(E119="",R119="",R119&lt;=0,E119&lt;0),"",E119/R119)</f>
        <v/>
      </c>
      <c r="J119" s="33" t="n">
        <v>38.8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57.5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2026-10-30</t>
        </is>
      </c>
      <c r="E120" s="33" t="n">
        <v>157.5205669241901</v>
      </c>
      <c r="F120" s="33" t="n">
        <v>172.9</v>
      </c>
      <c r="G120" s="33" t="n">
        <v>0.6</v>
      </c>
      <c r="H120" s="33" t="n">
        <v>47.259884</v>
      </c>
      <c r="I120" s="33">
        <f>IF(OR(E120="",R120="",R120&lt;=0,E120&lt;0),"",E120/R120)</f>
        <v/>
      </c>
      <c r="J120" s="33" t="n">
        <v>12.5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2026-10-30</t>
        </is>
      </c>
      <c r="E121" s="33" t="n">
        <v>45.05896041326436</v>
      </c>
      <c r="F121" s="33" t="n">
        <v>43.5</v>
      </c>
      <c r="G121" s="33" t="n">
        <v>2.34</v>
      </c>
      <c r="H121" s="33" t="n">
        <v>10.1216135</v>
      </c>
      <c r="I121" s="33">
        <f>IF(OR(E121="",R121="",R121&lt;=0,E121&lt;0),"",E121/R121)</f>
        <v/>
      </c>
      <c r="J121" s="33" t="n">
        <v>46.7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48.5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66.7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2026-10-30</t>
        </is>
      </c>
      <c r="E122" s="33" t="n">
        <v>15.08971423926203</v>
      </c>
      <c r="F122" s="33" t="n">
        <v>16.5</v>
      </c>
      <c r="G122" s="33" t="n">
        <v>5.07</v>
      </c>
      <c r="H122" s="33" t="n">
        <v>4.156565</v>
      </c>
      <c r="I122" s="33">
        <f>IF(OR(E122="",R122="",R122&lt;=0,E122&lt;0),"",E122/R122)</f>
        <v/>
      </c>
      <c r="J122" s="33" t="n">
        <v>83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60.5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2026-10-30</t>
        </is>
      </c>
      <c r="E123" s="61" t="n">
        <v>61.8199761910188</v>
      </c>
      <c r="F123" s="61" t="n">
        <v>-52.994</v>
      </c>
      <c r="G123" s="62" t="n">
        <v>0.34</v>
      </c>
      <c r="H123" s="61" t="n">
        <v>6.7553062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22.1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2026-10-30</t>
        </is>
      </c>
      <c r="E124" s="61" t="n">
        <v>36.58613</v>
      </c>
      <c r="F124" s="61" t="n">
        <v>-123.632</v>
      </c>
      <c r="G124" s="62" t="n">
        <v>-0.13</v>
      </c>
      <c r="H124" s="61" t="n">
        <v>7.1423945</v>
      </c>
      <c r="I124" s="33">
        <f>IF(OR(E124="",R124="",R124&lt;=0,E124&lt;0),"",E124/R124)</f>
        <v/>
      </c>
      <c r="J124" s="63" t="n">
        <v>48.2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37.7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51.7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2026-10-30</t>
        </is>
      </c>
      <c r="E125" s="61" t="n">
        <v>149.32819</v>
      </c>
      <c r="F125" s="61" t="n">
        <v>-27.198</v>
      </c>
      <c r="G125" s="62" t="n">
        <v>0.74</v>
      </c>
      <c r="H125" s="61" t="n">
        <v>10.78134</v>
      </c>
      <c r="I125" s="33">
        <f>IF(OR(E125="",R125="",R125&lt;=0,E125&lt;0),"",E125/R125)</f>
        <v/>
      </c>
      <c r="J125" s="63" t="n">
        <v>30.7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29.2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2026-10-30</t>
        </is>
      </c>
      <c r="E126" s="61" t="n">
        <v>19.565475</v>
      </c>
      <c r="F126" s="61" t="n">
        <v>21.882</v>
      </c>
      <c r="G126" s="62" t="n">
        <v>2.85</v>
      </c>
      <c r="H126" s="61" t="n">
        <v>4.180722</v>
      </c>
      <c r="I126" s="33">
        <f>IF(OR(E126="",R126="",R126&lt;=0,E126&lt;0),"",E126/R126)</f>
        <v/>
      </c>
      <c r="J126" s="63" t="n">
        <v>69</v>
      </c>
      <c r="K126" s="62" t="n">
        <v>8.539999999999999</v>
      </c>
      <c r="L126" s="62" t="n">
        <v>45.02</v>
      </c>
      <c r="M126" s="62" t="n">
        <v>11.92</v>
      </c>
      <c r="N126" s="61" t="n">
        <v>0.63</v>
      </c>
      <c r="O126" s="63" t="n">
        <v>53.8</v>
      </c>
      <c r="P126" s="62" t="n">
        <v>7.4</v>
      </c>
      <c r="Q126" s="62" t="n">
        <v>20.3</v>
      </c>
      <c r="R126" s="62" t="n">
        <v>24.1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52.5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2026-10-30</t>
        </is>
      </c>
      <c r="E127" s="33" t="n">
        <v>14.28587960834933</v>
      </c>
      <c r="F127" s="33" t="n">
        <v>14.192</v>
      </c>
      <c r="G127" s="33" t="n">
        <v>4.53</v>
      </c>
      <c r="H127" s="33" t="n">
        <v>3.1558588</v>
      </c>
      <c r="I127" s="33">
        <f>IF(OR(E127="",R127="",R127&lt;=0,E127&lt;0),"",E127/R127)</f>
        <v/>
      </c>
      <c r="J127" s="33" t="n">
        <v>73.09999999999999</v>
      </c>
      <c r="K127" s="33" t="n">
        <v>18.42</v>
      </c>
      <c r="L127" s="33" t="n">
        <v>23.13</v>
      </c>
      <c r="M127" s="33" t="n">
        <v>14.31</v>
      </c>
      <c r="N127" s="33" t="n">
        <v>-1.32</v>
      </c>
      <c r="O127" s="33" t="n">
        <v>75.40000000000001</v>
      </c>
      <c r="P127" s="33" t="n">
        <v>23.23</v>
      </c>
      <c r="Q127" s="33" t="n">
        <v>22.5</v>
      </c>
      <c r="R127" s="33" t="n">
        <v>12.7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2026-10-30</t>
        </is>
      </c>
      <c r="E128" s="33" t="n">
        <v>18.629864</v>
      </c>
      <c r="F128" s="33" t="n">
        <v>22.199</v>
      </c>
      <c r="G128" s="33" t="n">
        <v>-2.4</v>
      </c>
      <c r="H128" s="33" t="n">
        <v>2.836579</v>
      </c>
      <c r="I128" s="33">
        <f>IF(OR(E128="",R128="",R128&lt;=0,E128&lt;0),"",E128/R128)</f>
        <v/>
      </c>
      <c r="J128" s="33" t="n">
        <v>57.7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37.5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2026-10-30</t>
        </is>
      </c>
      <c r="F129" s="33" t="n">
        <v>31.66</v>
      </c>
      <c r="G129" s="33" t="n">
        <v>2.21</v>
      </c>
      <c r="H129" s="33" t="n">
        <v>13.54</v>
      </c>
      <c r="I129" s="33">
        <f>IF(OR(E129="",R129="",R129&lt;=0,E129&lt;0),"",E129/R129)</f>
        <v/>
      </c>
      <c r="J129" s="33" t="n">
        <v>35.2</v>
      </c>
      <c r="K129" s="33" t="n">
        <v>29.89</v>
      </c>
      <c r="L129" s="33" t="n">
        <v>64.72</v>
      </c>
      <c r="M129" s="33" t="n">
        <v>29.92</v>
      </c>
      <c r="N129" s="33" t="n">
        <v>-0.64</v>
      </c>
      <c r="O129" s="33" t="n">
        <v>89.7</v>
      </c>
      <c r="P129" s="33" t="n">
        <v>-6.48</v>
      </c>
      <c r="Q129" s="33" t="n">
        <v>113.5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29.2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2026-10-30</t>
        </is>
      </c>
      <c r="E130" s="33" t="n">
        <v>20.350807</v>
      </c>
      <c r="F130" s="33" t="n">
        <v>29.111</v>
      </c>
      <c r="G130" s="33" t="n">
        <v>0.54</v>
      </c>
      <c r="H130" s="33" t="n">
        <v>6.855124</v>
      </c>
      <c r="I130" s="33">
        <f>IF(OR(E130="",R130="",R130&lt;=0,E130&lt;0),"",E130/R130)</f>
        <v/>
      </c>
      <c r="J130" s="33" t="n">
        <v>50.4</v>
      </c>
      <c r="K130" s="33" t="n">
        <v>6.08</v>
      </c>
      <c r="L130" s="33" t="n">
        <v>50.18</v>
      </c>
      <c r="M130" s="33" t="n">
        <v>3.73</v>
      </c>
      <c r="N130" s="33" t="n">
        <v>-1.47</v>
      </c>
      <c r="O130" s="33" t="n">
        <v>49.8</v>
      </c>
      <c r="P130" s="33" t="n">
        <v>1.62</v>
      </c>
      <c r="Q130" s="33" t="n">
        <v>38.4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2026-10-30</t>
        </is>
      </c>
      <c r="E131" s="33" t="n">
        <v>14.160826</v>
      </c>
      <c r="F131" s="33" t="n">
        <v>27.146</v>
      </c>
      <c r="G131" s="33" t="n">
        <v>0.78</v>
      </c>
      <c r="H131" s="33" t="n">
        <v>4.324221</v>
      </c>
      <c r="I131" s="33">
        <f>IF(OR(E131="",R131="",R131&lt;=0,E131&lt;0),"",E131/R131)</f>
        <v/>
      </c>
      <c r="J131" s="33" t="n">
        <v>59.7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51.5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2026-10-30</t>
        </is>
      </c>
      <c r="E132" s="33" t="n">
        <v>-66.298996</v>
      </c>
      <c r="F132" s="33" t="n">
        <v>-26.574</v>
      </c>
      <c r="G132" s="33" t="n">
        <v>-3.09</v>
      </c>
      <c r="H132" s="33" t="n">
        <v>60.04245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29.2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2026-10-30</t>
        </is>
      </c>
      <c r="E133" s="33" t="n">
        <v>27.93890523192619</v>
      </c>
      <c r="F133" s="33" t="n">
        <v>157.308</v>
      </c>
      <c r="G133" s="33" t="n">
        <v>1.25</v>
      </c>
      <c r="H133" s="33" t="n">
        <v>19.973036</v>
      </c>
      <c r="I133" s="33">
        <f>IF(OR(E133="",R133="",R133&lt;=0,E133&lt;0),"",E133/R133)</f>
        <v/>
      </c>
      <c r="J133" s="33" t="n">
        <v>35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65.7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44.2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2026-10-30</t>
        </is>
      </c>
      <c r="E134" s="33" t="n">
        <v>21.442728</v>
      </c>
      <c r="F134" s="33" t="n">
        <v>26.634</v>
      </c>
      <c r="G134" s="33" t="n">
        <v>3.51</v>
      </c>
      <c r="H134" s="33" t="n">
        <v>11.206573</v>
      </c>
      <c r="I134" s="33">
        <f>IF(OR(E134="",R134="",R134&lt;=0,E134&lt;0),"",E134/R134)</f>
        <v/>
      </c>
      <c r="J134" s="33" t="n">
        <v>64.3</v>
      </c>
      <c r="K134" s="33" t="n">
        <v>17.02</v>
      </c>
      <c r="L134" s="33" t="n">
        <v>79.91</v>
      </c>
      <c r="M134" s="33" t="n">
        <v>39.31</v>
      </c>
      <c r="N134" s="33" t="n">
        <v>-2.24</v>
      </c>
      <c r="O134" s="33" t="n">
        <v>84.3</v>
      </c>
      <c r="P134" s="33" t="n">
        <v>15.88</v>
      </c>
      <c r="Q134" s="33" t="n">
        <v>22.3</v>
      </c>
      <c r="R134" s="33" t="n">
        <v>54.1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35.8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2026-10-30</t>
        </is>
      </c>
      <c r="E135" s="33" t="n">
        <v>12.03256959835754</v>
      </c>
      <c r="F135" s="33" t="n">
        <v>27.646</v>
      </c>
      <c r="G135" s="33" t="n">
        <v>2.86</v>
      </c>
      <c r="H135" s="33" t="n">
        <v>10.551015</v>
      </c>
      <c r="I135" s="33">
        <f>IF(OR(E135="",R135="",R135&lt;=0,E135&lt;0),"",E135/R135)</f>
        <v/>
      </c>
      <c r="J135" s="33" t="n">
        <v>51</v>
      </c>
      <c r="K135" s="33" t="n">
        <v>65.98999999999999</v>
      </c>
      <c r="L135" s="33" t="n">
        <v>50.35</v>
      </c>
      <c r="M135" s="33" t="n">
        <v>30.13</v>
      </c>
      <c r="N135" s="33" t="n">
        <v>0.19</v>
      </c>
      <c r="O135" s="33" t="n">
        <v>83.40000000000001</v>
      </c>
      <c r="P135" s="33" t="n">
        <v>18.2</v>
      </c>
      <c r="Q135" s="33" t="n">
        <v>61</v>
      </c>
      <c r="R135" s="33" t="n">
        <v>220.8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2026-10-30</t>
        </is>
      </c>
      <c r="E136" s="33" t="n">
        <v>-1568.2258</v>
      </c>
      <c r="F136" s="33" t="n">
        <v>-53.8</v>
      </c>
      <c r="G136" s="33" t="n">
        <v>-2.06</v>
      </c>
      <c r="H136" s="33" t="n">
        <v>9.250059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64.2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2026-10-30</t>
        </is>
      </c>
      <c r="E137" s="33" t="n">
        <v>19.220526</v>
      </c>
      <c r="F137" s="33" t="n">
        <v>24.073</v>
      </c>
      <c r="G137" s="33" t="n">
        <v>-10.28</v>
      </c>
      <c r="H137" s="33" t="n">
        <v>9.288527999999999</v>
      </c>
      <c r="I137" s="33">
        <f>IF(OR(E137="",R137="",R137&lt;=0,E137&lt;0),"",E137/R137)</f>
        <v/>
      </c>
      <c r="J137" s="33" t="n">
        <v>46.4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2026-10-30</t>
        </is>
      </c>
      <c r="E138" s="33" t="n">
        <v>46.538124</v>
      </c>
      <c r="F138" s="33" t="n">
        <v>-17.174</v>
      </c>
      <c r="G138" s="33" t="n">
        <v>-23.24</v>
      </c>
      <c r="H138" s="33" t="n">
        <v>0.79768145</v>
      </c>
      <c r="I138" s="33">
        <f>IF(OR(E138="",R138="",R138&lt;=0,E138&lt;0),"",E138/R138)</f>
        <v/>
      </c>
      <c r="J138" s="33" t="n">
        <v>51.8</v>
      </c>
      <c r="K138" s="33" t="n">
        <v>-12.78</v>
      </c>
      <c r="L138" s="33" t="n">
        <v>5.9</v>
      </c>
      <c r="M138" s="33" t="n">
        <v>-18.54</v>
      </c>
      <c r="O138" s="33" t="n">
        <v>17.7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28.3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2026-10-30</t>
        </is>
      </c>
      <c r="E139" s="33" t="n">
        <v>13.911042</v>
      </c>
      <c r="F139" s="33" t="n">
        <v>12.567</v>
      </c>
      <c r="G139" s="33" t="n">
        <v>6.41</v>
      </c>
      <c r="H139" s="33" t="n">
        <v>1.5469338</v>
      </c>
      <c r="I139" s="33">
        <f>IF(OR(E139="",R139="",R139&lt;=0,E139&lt;0),"",E139/R139)</f>
        <v/>
      </c>
      <c r="J139" s="33" t="n">
        <v>79.40000000000001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72.09999999999999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49.2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2026-10-30</t>
        </is>
      </c>
      <c r="E140" s="33" t="n">
        <v>35.073814</v>
      </c>
      <c r="F140" s="33" t="n">
        <v>6.367</v>
      </c>
      <c r="G140" s="33" t="n">
        <v>-2.26</v>
      </c>
      <c r="H140" s="33" t="n">
        <v>0.77898157</v>
      </c>
      <c r="I140" s="33">
        <f>IF(OR(E140="",R140="",R140&lt;=0,E140&lt;0),"",E140/R140)</f>
        <v/>
      </c>
      <c r="J140" s="33" t="n">
        <v>61.3</v>
      </c>
      <c r="K140" s="33" t="n">
        <v>-0.68</v>
      </c>
      <c r="L140" s="33" t="n">
        <v>25.15</v>
      </c>
      <c r="M140" s="33" t="n">
        <v>-1.76</v>
      </c>
      <c r="N140" s="33" t="n">
        <v>0.92</v>
      </c>
      <c r="O140" s="33" t="n">
        <v>48.6</v>
      </c>
      <c r="P140" s="33" t="n">
        <v>-0.28</v>
      </c>
      <c r="Q140" s="33" t="n">
        <v>20.9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13.3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2026-10-30</t>
        </is>
      </c>
      <c r="E141" s="33" t="n">
        <v>9.418995000000001</v>
      </c>
      <c r="F141" s="33" t="n">
        <v>22.783</v>
      </c>
      <c r="G141" s="33" t="n">
        <v>-9.26</v>
      </c>
      <c r="H141" s="33" t="n">
        <v>0.7525455</v>
      </c>
      <c r="I141" s="33">
        <f>IF(OR(E141="",R141="",R141&lt;=0,E141&lt;0),"",E141/R141)</f>
        <v/>
      </c>
      <c r="J141" s="33" t="n">
        <v>57.3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2026-10-30</t>
        </is>
      </c>
      <c r="E142" s="33" t="n">
        <v>70.53173</v>
      </c>
      <c r="F142" s="33" t="n">
        <v>10</v>
      </c>
      <c r="G142" s="33" t="n">
        <v>-85.28</v>
      </c>
      <c r="H142" s="33" t="n">
        <v>4.297163</v>
      </c>
      <c r="I142" s="33">
        <f>IF(OR(E142="",R142="",R142&lt;=0,E142&lt;0),"",E142/R142)</f>
        <v/>
      </c>
      <c r="J142" s="33" t="n">
        <v>32.5</v>
      </c>
      <c r="K142" s="33" t="n">
        <v>-3.71</v>
      </c>
      <c r="L142" s="33" t="n">
        <v>85.91</v>
      </c>
      <c r="M142" s="33" t="n">
        <v>-366.45</v>
      </c>
      <c r="O142" s="33" t="n">
        <v>57.5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36.7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2026-10-30</t>
        </is>
      </c>
      <c r="E143" s="33" t="n">
        <v>-2.8431</v>
      </c>
      <c r="F143" s="33" t="n">
        <v>0.6</v>
      </c>
      <c r="G143" s="33" t="n">
        <v>-38.6</v>
      </c>
      <c r="H143" s="33" t="n">
        <v>261.40457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42.5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2026-10-30</t>
        </is>
      </c>
      <c r="E144" s="33" t="n">
        <v>-20.786667</v>
      </c>
      <c r="F144" s="33" t="n">
        <v>1.3</v>
      </c>
      <c r="G144" s="33" t="n">
        <v>-23.51</v>
      </c>
      <c r="H144" s="33" t="n">
        <v>1.5488018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42.5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2026-10-30</t>
        </is>
      </c>
      <c r="E145" s="33" t="n">
        <v>25.834581</v>
      </c>
      <c r="F145" s="33" t="n">
        <v>27.198</v>
      </c>
      <c r="G145" s="33" t="n">
        <v>2.69</v>
      </c>
      <c r="H145" s="33" t="n">
        <v>13.105714</v>
      </c>
      <c r="I145" s="33">
        <f>IF(OR(E145="",R145="",R145&lt;=0,E145&lt;0),"",E145/R145)</f>
        <v/>
      </c>
      <c r="J145" s="33" t="n">
        <v>52</v>
      </c>
      <c r="K145" s="33" t="n">
        <v>22.09</v>
      </c>
      <c r="L145" s="33" t="n">
        <v>60.24</v>
      </c>
      <c r="M145" s="33" t="n">
        <v>35.24</v>
      </c>
      <c r="N145" s="33" t="n">
        <v>0.51</v>
      </c>
      <c r="O145" s="33" t="n">
        <v>75.09999999999999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2026-10-30</t>
        </is>
      </c>
      <c r="E146" s="33" t="n">
        <v>16.098965</v>
      </c>
      <c r="F146" s="33" t="n">
        <v>16.809</v>
      </c>
      <c r="G146" s="33" t="n">
        <v>5.95</v>
      </c>
      <c r="H146" s="33" t="n">
        <v>3.9736552</v>
      </c>
      <c r="I146" s="33">
        <f>IF(OR(E146="",R146="",R146&lt;=0,E146&lt;0),"",E146/R146)</f>
        <v/>
      </c>
      <c r="J146" s="33" t="n">
        <v>66.90000000000001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61.4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2026-10-30</t>
        </is>
      </c>
      <c r="E147" s="33" t="n">
        <v>25.006393</v>
      </c>
      <c r="F147" s="33" t="n">
        <v>31.316</v>
      </c>
      <c r="G147" s="33" t="n">
        <v>2.47</v>
      </c>
      <c r="H147" s="33" t="n">
        <v>14.403365</v>
      </c>
      <c r="I147" s="33">
        <f>IF(OR(E147="",R147="",R147&lt;=0,E147&lt;0),"",E147/R147)</f>
        <v/>
      </c>
      <c r="J147" s="33" t="n">
        <v>47.5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70.2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2026-10-30</t>
        </is>
      </c>
      <c r="E148" s="33" t="n">
        <v>17.497234</v>
      </c>
      <c r="F148" s="33" t="n">
        <v>14.235</v>
      </c>
      <c r="G148" s="33" t="n">
        <v>1.25</v>
      </c>
      <c r="H148" s="33" t="n">
        <v>3.0220609</v>
      </c>
      <c r="I148" s="33">
        <f>IF(OR(E148="",R148="",R148&lt;=0,E148&lt;0),"",E148/R148)</f>
        <v/>
      </c>
      <c r="J148" s="33" t="n">
        <v>63.3</v>
      </c>
      <c r="K148" s="33" t="n">
        <v>2.59</v>
      </c>
      <c r="L148" s="33" t="n">
        <v>35.36</v>
      </c>
      <c r="M148" s="33" t="n">
        <v>3.77</v>
      </c>
      <c r="N148" s="33" t="n">
        <v>-0.7</v>
      </c>
      <c r="O148" s="33" t="n">
        <v>31.4</v>
      </c>
      <c r="P148" s="33" t="n">
        <v>-9.890000000000001</v>
      </c>
      <c r="Q148" s="33" t="n">
        <v>17.9</v>
      </c>
      <c r="R148" s="33" t="n">
        <v>22.8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43.3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2026-10-30</t>
        </is>
      </c>
      <c r="E149" s="33" t="n">
        <v>14.010744</v>
      </c>
      <c r="F149" s="33" t="n">
        <v>13.822</v>
      </c>
      <c r="G149" s="33" t="n">
        <v>5.15</v>
      </c>
      <c r="H149" s="33" t="n">
        <v>4.6875863</v>
      </c>
      <c r="I149" s="33">
        <f>IF(OR(E149="",R149="",R149&lt;=0,E149&lt;0),"",E149/R149)</f>
        <v/>
      </c>
      <c r="J149" s="33" t="n">
        <v>70.8</v>
      </c>
      <c r="K149" s="33" t="n">
        <v>13.38</v>
      </c>
      <c r="L149" s="33" t="n">
        <v>56.46</v>
      </c>
      <c r="M149" s="33" t="n">
        <v>24.16</v>
      </c>
      <c r="N149" s="33" t="n">
        <v>1.31</v>
      </c>
      <c r="O149" s="33" t="n">
        <v>57.4</v>
      </c>
      <c r="P149" s="33" t="n">
        <v>-2.42</v>
      </c>
      <c r="Q149" s="33" t="n">
        <v>19.3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2026-10-30</t>
        </is>
      </c>
      <c r="E150" s="33" t="n">
        <v>17.49331127068182</v>
      </c>
      <c r="F150" s="33" t="n">
        <v>32.651</v>
      </c>
      <c r="G150" s="33" t="n">
        <v>2.68</v>
      </c>
      <c r="H150" s="33" t="n">
        <v>8.097479999999999</v>
      </c>
      <c r="I150" s="33">
        <f>IF(OR(E150="",R150="",R150&lt;=0,E150&lt;0),"",E150/R150)</f>
        <v/>
      </c>
      <c r="J150" s="33" t="n">
        <v>47.5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41.7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2026-10-30</t>
        </is>
      </c>
      <c r="E151" s="33" t="n">
        <v>15.509532</v>
      </c>
      <c r="F151" s="33" t="n">
        <v>14.429</v>
      </c>
      <c r="G151" s="33" t="n">
        <v>5.45</v>
      </c>
      <c r="H151" s="33" t="n">
        <v>4.445461</v>
      </c>
      <c r="I151" s="33">
        <f>IF(OR(E151="",R151="",R151&lt;=0,E151&lt;0),"",E151/R151)</f>
        <v/>
      </c>
      <c r="J151" s="33" t="n">
        <v>67.8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53.1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35.8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2026-10-30</t>
        </is>
      </c>
      <c r="E152" s="33" t="n">
        <v>14.690073</v>
      </c>
      <c r="F152" s="33" t="n">
        <v>15.154</v>
      </c>
      <c r="G152" s="33" t="n">
        <v>2.01</v>
      </c>
      <c r="H152" s="33" t="n">
        <v>5.0675917</v>
      </c>
      <c r="I152" s="33">
        <f>IF(OR(E152="",R152="",R152&lt;=0,E152&lt;0),"",E152/R152)</f>
        <v/>
      </c>
      <c r="J152" s="33" t="n">
        <v>56.9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2026-10-30</t>
        </is>
      </c>
      <c r="E153" s="33" t="n">
        <v>11.26479586832963</v>
      </c>
      <c r="F153" s="33" t="n">
        <v>23.387</v>
      </c>
      <c r="G153" s="33" t="n">
        <v>3.13</v>
      </c>
      <c r="H153" s="33" t="n">
        <v>9.463022</v>
      </c>
      <c r="I153" s="33">
        <f>IF(OR(E153="",R153="",R153&lt;=0,E153&lt;0),"",E153/R153)</f>
        <v/>
      </c>
      <c r="J153" s="33" t="n">
        <v>64.40000000000001</v>
      </c>
      <c r="K153" s="33" t="n">
        <v>54.87</v>
      </c>
      <c r="L153" s="33" t="n">
        <v>52.6</v>
      </c>
      <c r="M153" s="33" t="n">
        <v>29.62</v>
      </c>
      <c r="N153" s="33" t="n">
        <v>-0.06</v>
      </c>
      <c r="O153" s="33" t="n">
        <v>82.8</v>
      </c>
      <c r="P153" s="33" t="n">
        <v>27.35</v>
      </c>
      <c r="Q153" s="33" t="n">
        <v>55.5</v>
      </c>
      <c r="R153" s="33" t="n">
        <v>161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35.8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2026-10-30</t>
        </is>
      </c>
      <c r="E154" s="33" t="n">
        <v>74.80319</v>
      </c>
      <c r="F154" s="33" t="n">
        <v>75.59999999999999</v>
      </c>
      <c r="G154" s="33" t="n">
        <v>1.38</v>
      </c>
      <c r="H154" s="33" t="n">
        <v>26.019789</v>
      </c>
      <c r="I154" s="33">
        <f>IF(OR(E154="",R154="",R154&lt;=0,E154&lt;0),"",E154/R154)</f>
        <v/>
      </c>
      <c r="J154" s="33" t="n">
        <v>24.4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57.5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87.5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2026-10-30</t>
        </is>
      </c>
      <c r="E155" s="33" t="n">
        <v>11.251283</v>
      </c>
      <c r="F155" s="33" t="n"/>
      <c r="G155" s="33" t="n">
        <v>4.11</v>
      </c>
      <c r="H155" s="33" t="n">
        <v>11.316854</v>
      </c>
      <c r="I155" s="33">
        <f>IF(OR(E155="",R155="",R155&lt;=0,E155&lt;0),"",E155/R155)</f>
        <v/>
      </c>
      <c r="J155" s="33" t="n">
        <v>75.5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26.7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2026-10-30</t>
        </is>
      </c>
      <c r="E156" s="33" t="n">
        <v>9.106586999999999</v>
      </c>
      <c r="F156" s="33" t="n">
        <v>9.199999999999999</v>
      </c>
      <c r="G156" s="33" t="n">
        <v>10.86</v>
      </c>
      <c r="H156" s="33" t="n">
        <v>3.754124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42.5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2026-10-30</t>
        </is>
      </c>
      <c r="E157" s="33" t="n">
        <v>34.986828</v>
      </c>
      <c r="F157" s="33" t="n">
        <v>31.4</v>
      </c>
      <c r="G157" s="33" t="n">
        <v>3.14</v>
      </c>
      <c r="H157" s="33" t="n">
        <v>12.610893</v>
      </c>
      <c r="I157" s="33">
        <f>IF(OR(E157="",R157="",R157&lt;=0,E157&lt;0),"",E157/R157)</f>
        <v/>
      </c>
      <c r="J157" s="33" t="n">
        <v>51.5</v>
      </c>
      <c r="K157" s="33" t="n">
        <v>32.8</v>
      </c>
      <c r="L157" s="33" t="n">
        <v>79.75</v>
      </c>
      <c r="M157" s="33" t="n">
        <v>39.55</v>
      </c>
      <c r="N157" s="33" t="n">
        <v>-1.56</v>
      </c>
      <c r="O157" s="33" t="n">
        <v>81.5</v>
      </c>
      <c r="P157" s="33" t="n">
        <v>15.46</v>
      </c>
      <c r="Q157" s="33" t="n">
        <v>20.5</v>
      </c>
      <c r="R157" s="33" t="n">
        <v>34.1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87.5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2026-10-30</t>
        </is>
      </c>
      <c r="E158" s="33" t="n">
        <v>45.54571581742874</v>
      </c>
      <c r="F158" s="33" t="n">
        <v>49.8</v>
      </c>
      <c r="G158" s="33" t="n">
        <v>2.01</v>
      </c>
      <c r="H158" s="33" t="n">
        <v>11.535584</v>
      </c>
      <c r="I158" s="33">
        <f>IF(OR(E158="",R158="",R158&lt;=0,E158&lt;0),"",E158/R158)</f>
        <v/>
      </c>
      <c r="J158" s="33" t="n">
        <v>42.7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2026-10-30</t>
        </is>
      </c>
      <c r="E159" s="33" t="n">
        <v>13.60497604733575</v>
      </c>
      <c r="F159" s="33" t="n">
        <v>10.4</v>
      </c>
      <c r="G159" s="33" t="n">
        <v>9.43</v>
      </c>
      <c r="H159" s="33" t="n">
        <v>4.258856</v>
      </c>
      <c r="I159" s="33">
        <f>IF(OR(E159="",R159="",R159&lt;=0,E159&lt;0),"",E159/R159)</f>
        <v/>
      </c>
      <c r="J159" s="33" t="n">
        <v>89.5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2026-10-30</t>
        </is>
      </c>
      <c r="E160" s="33" t="n">
        <v>15.10621808691015</v>
      </c>
      <c r="F160" s="33" t="n">
        <v>16.7</v>
      </c>
      <c r="G160" s="33" t="n">
        <v>5.98</v>
      </c>
      <c r="H160" s="33" t="n">
        <v>4.6819973</v>
      </c>
      <c r="I160" s="33">
        <f>IF(OR(E160="",R160="",R160&lt;=0,E160&lt;0),"",E160/R160)</f>
        <v/>
      </c>
      <c r="J160" s="33" t="n">
        <v>78.8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61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78.3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2026-10-30</t>
        </is>
      </c>
      <c r="E161" s="33" t="n">
        <v>17.70756803771692</v>
      </c>
      <c r="F161" s="33" t="n">
        <v>17.9</v>
      </c>
      <c r="G161" s="33" t="n">
        <v>5.39</v>
      </c>
      <c r="H161" s="33" t="n">
        <v>6.6818295</v>
      </c>
      <c r="I161" s="33">
        <f>IF(OR(E161="",R161="",R161&lt;=0,E161&lt;0),"",E161/R161)</f>
        <v/>
      </c>
      <c r="J161" s="33" t="n">
        <v>76.40000000000001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87.5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43.3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2026-10-30</t>
        </is>
      </c>
      <c r="E162" s="33" t="n">
        <v>185.02908</v>
      </c>
      <c r="F162" s="33" t="n">
        <v>475</v>
      </c>
      <c r="G162" s="33" t="n">
        <v>0.21</v>
      </c>
      <c r="H162" s="33" t="n">
        <v>15.219938</v>
      </c>
      <c r="I162" s="33">
        <f>IF(OR(E162="",R162="",R162&lt;=0,E162&lt;0),"",E162/R162)</f>
        <v/>
      </c>
      <c r="J162" s="33" t="n">
        <v>12.4</v>
      </c>
      <c r="K162" s="33" t="n">
        <v>2.41</v>
      </c>
      <c r="L162" s="33" t="n">
        <v>19.29</v>
      </c>
      <c r="M162" s="33" t="n">
        <v>3.18</v>
      </c>
      <c r="N162" s="33" t="n">
        <v>-2.95</v>
      </c>
      <c r="O162" s="33" t="n">
        <v>39.5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2026-10-30</t>
        </is>
      </c>
      <c r="E163" s="33" t="n">
        <v>35.99922</v>
      </c>
      <c r="F163" s="33" t="n">
        <v>37.4</v>
      </c>
      <c r="G163" s="33" t="n">
        <v>2.72</v>
      </c>
      <c r="H163" s="33" t="n">
        <v>10.763146</v>
      </c>
      <c r="I163" s="33">
        <f>IF(OR(E163="",R163="",R163&lt;=0,E163&lt;0),"",E163/R163)</f>
        <v/>
      </c>
      <c r="J163" s="33" t="n">
        <v>44.6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2026-10-30</t>
        </is>
      </c>
      <c r="E164" s="33" t="n">
        <v>57.604332</v>
      </c>
      <c r="F164" s="33" t="n">
        <v>-47.4</v>
      </c>
      <c r="G164" s="33" t="n">
        <v>-2.19</v>
      </c>
      <c r="H164" s="33" t="n">
        <v>57.239376</v>
      </c>
      <c r="I164" s="33">
        <f>IF(OR(E164="",R164="",R164&lt;=0,E164&lt;0),"",E164/R164)</f>
        <v/>
      </c>
      <c r="J164" s="33" t="n">
        <v>30.2</v>
      </c>
      <c r="K164" s="33" t="n">
        <v>-0.23</v>
      </c>
      <c r="L164" s="33" t="n">
        <v>56.76</v>
      </c>
      <c r="M164" s="33" t="n">
        <v>-125.32</v>
      </c>
      <c r="N164" s="33" t="n">
        <v>-4.31</v>
      </c>
      <c r="O164" s="33" t="n">
        <v>36.5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2026-10-30</t>
        </is>
      </c>
      <c r="E165" s="33" t="n">
        <v>18.524107</v>
      </c>
      <c r="F165" s="33" t="n">
        <v>31.463</v>
      </c>
      <c r="G165" s="33" t="n">
        <v>2.18</v>
      </c>
      <c r="H165" s="33" t="n">
        <v>3.4795837</v>
      </c>
      <c r="I165" s="33">
        <f>IF(OR(E165="",R165="",R165&lt;=0,E165&lt;0),"",E165/R165)</f>
        <v/>
      </c>
      <c r="J165" s="33" t="n">
        <v>54.9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46.3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37.5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2026-10-30</t>
        </is>
      </c>
      <c r="E166" s="33" t="n">
        <v>21.07595</v>
      </c>
      <c r="F166" s="33" t="n">
        <v>74.27</v>
      </c>
      <c r="G166" s="33" t="n">
        <v>1.48</v>
      </c>
      <c r="H166" s="33" t="n">
        <v>4.1533914</v>
      </c>
      <c r="I166" s="33">
        <f>IF(OR(E166="",R166="",R166&lt;=0,E166&lt;0),"",E166/R166)</f>
        <v/>
      </c>
      <c r="J166" s="33" t="n">
        <v>38.5</v>
      </c>
      <c r="K166" s="33" t="n">
        <v>-2.28</v>
      </c>
      <c r="L166" s="33" t="n">
        <v>44.37</v>
      </c>
      <c r="M166" s="33" t="n">
        <v>6.13</v>
      </c>
      <c r="N166" s="33" t="n">
        <v>-5.54</v>
      </c>
      <c r="O166" s="33" t="n">
        <v>40.9</v>
      </c>
      <c r="P166" s="33" t="n">
        <v>-17.71</v>
      </c>
      <c r="Q166" s="33" t="n">
        <v>37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56.7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2026-10-30</t>
        </is>
      </c>
      <c r="E167" s="33" t="n">
        <v>14.10389</v>
      </c>
      <c r="F167" s="33" t="n">
        <v>7.495</v>
      </c>
      <c r="G167" s="33" t="n">
        <v>-1.61</v>
      </c>
      <c r="H167" s="33" t="n">
        <v>1.300284</v>
      </c>
      <c r="I167" s="33">
        <f>IF(OR(E167="",R167="",R167&lt;=0,E167&lt;0),"",E167/R167)</f>
        <v/>
      </c>
      <c r="J167" s="33" t="n">
        <v>76.3</v>
      </c>
      <c r="K167" s="33" t="n">
        <v>7.85</v>
      </c>
      <c r="L167" s="33" t="n">
        <v>16.56</v>
      </c>
      <c r="M167" s="33" t="n">
        <v>-2.09</v>
      </c>
      <c r="N167" s="33" t="n">
        <v>0.24</v>
      </c>
      <c r="O167" s="33" t="n">
        <v>35.5</v>
      </c>
      <c r="P167" s="33" t="n">
        <v>-1.84</v>
      </c>
      <c r="Q167" s="33" t="n">
        <v>0.2</v>
      </c>
      <c r="R167" s="33" t="n">
        <v>50.6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37.5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2026-10-30</t>
        </is>
      </c>
      <c r="E168" s="33" t="n">
        <v>18.239092</v>
      </c>
      <c r="F168" s="33" t="n">
        <v>18.9</v>
      </c>
      <c r="G168" s="33" t="n">
        <v>-3.15</v>
      </c>
      <c r="H168" s="33" t="n">
        <v>3.58</v>
      </c>
      <c r="I168" s="33">
        <f>IF(OR(E168="",R168="",R168&lt;=0,E168&lt;0),"",E168/R168)</f>
        <v/>
      </c>
      <c r="J168" s="33" t="n">
        <v>66.09999999999999</v>
      </c>
      <c r="K168" s="33" t="n">
        <v>8.449999999999999</v>
      </c>
      <c r="L168" s="33" t="n">
        <v>20.8</v>
      </c>
      <c r="M168" s="33" t="n">
        <v>-11.29</v>
      </c>
      <c r="N168" s="33" t="n">
        <v>1.85</v>
      </c>
      <c r="O168" s="33" t="n">
        <v>31.7</v>
      </c>
      <c r="P168" s="33" t="n">
        <v>-1.28</v>
      </c>
      <c r="Q168" s="33" t="n">
        <v>44.8</v>
      </c>
      <c r="R168" s="33" t="n">
        <v>148.4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70.8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2026-10-30</t>
        </is>
      </c>
      <c r="E169" s="33" t="n">
        <v>9.473421999999999</v>
      </c>
      <c r="F169" s="33" t="n">
        <v>21.8</v>
      </c>
      <c r="G169" s="33" t="n">
        <v>5.77</v>
      </c>
      <c r="H169" s="33" t="n">
        <v>6.35033</v>
      </c>
      <c r="I169" s="33">
        <f>IF(OR(E169="",R169="",R169&lt;=0,E169&lt;0),"",E169/R169)</f>
        <v/>
      </c>
      <c r="J169" s="33" t="n">
        <v>83.7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3</v>
      </c>
      <c r="Y169" s="33">
        <f>IFERROR((AVERAGE(T169,U169,V169,W169,X169)-1)*25,"")</f>
        <v/>
      </c>
      <c r="Z169" s="33" t="n">
        <v>5</v>
      </c>
      <c r="AA169" s="33" t="n">
        <v>1</v>
      </c>
      <c r="AB169" s="33" t="n">
        <v>3</v>
      </c>
      <c r="AC169" s="33" t="n">
        <v>46.7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1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2026-10-30</t>
        </is>
      </c>
      <c r="E170" s="33" t="n">
        <v>18.31381030440697</v>
      </c>
      <c r="F170" s="33" t="n">
        <v>19.981</v>
      </c>
      <c r="G170" s="33" t="n">
        <v>4.25</v>
      </c>
      <c r="H170" s="33" t="n">
        <v>5.2560883</v>
      </c>
      <c r="I170" s="33">
        <f>IF(OR(E170="",R170="",R170&lt;=0,E170&lt;0),"",E170/R170)</f>
        <v/>
      </c>
      <c r="J170" s="33" t="n">
        <v>62.3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99.2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2026-10-30</t>
        </is>
      </c>
      <c r="E171" s="33" t="n">
        <v>19.127975</v>
      </c>
      <c r="F171" s="33" t="n">
        <v>17.474</v>
      </c>
      <c r="G171" s="33" t="n">
        <v>-16.99</v>
      </c>
      <c r="H171" s="33" t="n">
        <v>5.5082374</v>
      </c>
      <c r="I171" s="33">
        <f>IF(OR(E171="",R171="",R171&lt;=0,E171&lt;0),"",E171/R171)</f>
        <v/>
      </c>
      <c r="J171" s="33" t="n">
        <v>56.2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2026-10-30</t>
        </is>
      </c>
      <c r="F172" s="33" t="n">
        <v>21.091</v>
      </c>
      <c r="G172" s="33" t="n">
        <v>-8.609999999999999</v>
      </c>
      <c r="H172" s="33" t="n">
        <v>6.9033732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45.8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2026-10-30</t>
        </is>
      </c>
      <c r="E173" s="33" t="n">
        <v>23.961739</v>
      </c>
      <c r="F173" s="33" t="n">
        <v>9.119999999999999</v>
      </c>
      <c r="G173" s="33" t="n">
        <v>-8.75</v>
      </c>
      <c r="H173" s="33" t="n">
        <v>4.52</v>
      </c>
      <c r="I173" s="33">
        <f>IF(OR(E173="",R173="",R173&lt;=0,E173&lt;0),"",E173/R173)</f>
        <v/>
      </c>
      <c r="J173" s="33" t="n">
        <v>70.8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36.7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2026-10-30</t>
        </is>
      </c>
      <c r="E174" s="33" t="n">
        <v>24.604755</v>
      </c>
      <c r="F174" s="33" t="n">
        <v>27.3</v>
      </c>
      <c r="G174" s="33" t="n">
        <v>3.96</v>
      </c>
      <c r="H174" s="33" t="n">
        <v>14.767205</v>
      </c>
      <c r="I174" s="33">
        <f>IF(OR(E174="",R174="",R174&lt;=0,E174&lt;0),"",E174/R174)</f>
        <v/>
      </c>
      <c r="J174" s="33" t="n">
        <v>62.2</v>
      </c>
      <c r="K174" s="33" t="n">
        <v>14.8</v>
      </c>
      <c r="L174" s="33" t="n">
        <v>90.98999999999999</v>
      </c>
      <c r="M174" s="33" t="n">
        <v>58.44</v>
      </c>
      <c r="O174" s="33" t="n">
        <v>84.7</v>
      </c>
      <c r="P174" s="33" t="n">
        <v>48.79</v>
      </c>
      <c r="Q174" s="33" t="n">
        <v>11.8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68.3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2026-10-30</t>
        </is>
      </c>
      <c r="E175" s="33" t="n">
        <v>44.53673</v>
      </c>
      <c r="G175" s="33" t="n">
        <v>-5.32</v>
      </c>
      <c r="H175" s="33" t="n">
        <v>10.22</v>
      </c>
      <c r="I175" s="33">
        <f>IF(OR(E175="",R175="",R175&lt;=0,E175&lt;0),"",E175/R175)</f>
        <v/>
      </c>
      <c r="J175" s="33" t="n">
        <v>21.6</v>
      </c>
      <c r="L175" s="33" t="n">
        <v>40.7</v>
      </c>
      <c r="M175" s="33" t="n">
        <v>-54.41</v>
      </c>
      <c r="O175" s="33" t="n">
        <v>41.5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20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2026-10-30</t>
        </is>
      </c>
      <c r="E176" s="33" t="n">
        <v>-1.3342037</v>
      </c>
      <c r="F176" s="33" t="n">
        <v>-0.119</v>
      </c>
      <c r="G176" s="33" t="n">
        <v>-76.64</v>
      </c>
      <c r="H176" s="33" t="n">
        <v>28.435076</v>
      </c>
      <c r="I176" s="33">
        <f>IF(OR(E176="",R176="",R176&lt;=0,E176&lt;0),"",E176/R176)</f>
        <v/>
      </c>
      <c r="J176" s="33" t="n">
        <v>21.1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2026-10-30</t>
        </is>
      </c>
      <c r="E177" s="33" t="n">
        <v>11.750001</v>
      </c>
      <c r="F177" s="33" t="n">
        <v>13.723</v>
      </c>
      <c r="G177" s="33" t="n">
        <v>-0.28</v>
      </c>
      <c r="H177" s="33" t="n">
        <v>0.9252555</v>
      </c>
      <c r="I177" s="33">
        <f>IF(OR(E177="",R177="",R177&lt;=0,E177&lt;0),"",E177/R177)</f>
        <v/>
      </c>
      <c r="J177" s="33" t="n">
        <v>70.5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57.5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42.5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2026-10-30</t>
        </is>
      </c>
      <c r="E178" s="33" t="n">
        <v>33.39632582561879</v>
      </c>
      <c r="F178" s="33" t="n">
        <v>17.152</v>
      </c>
      <c r="G178" s="33" t="n">
        <v>3.47</v>
      </c>
      <c r="H178" s="33" t="n">
        <v>5.7098184</v>
      </c>
      <c r="I178" s="33">
        <f>IF(OR(E178="",R178="",R178&lt;=0,E178&lt;0),"",E178/R178)</f>
        <v/>
      </c>
      <c r="J178" s="33" t="n">
        <v>56.3</v>
      </c>
      <c r="L178" s="33" t="n">
        <v>39.67</v>
      </c>
      <c r="M178" s="33" t="n">
        <v>19.82</v>
      </c>
      <c r="N178" s="33" t="n">
        <v>-3</v>
      </c>
      <c r="O178" s="33" t="n">
        <v>81.8</v>
      </c>
      <c r="P178" s="33" t="n">
        <v>0.23</v>
      </c>
      <c r="Q178" s="33" t="n">
        <v>14.9</v>
      </c>
      <c r="R178" s="33" t="n">
        <v>46.7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2026-10-30</t>
        </is>
      </c>
      <c r="E179" s="33" t="n">
        <v>20.1670227824252</v>
      </c>
      <c r="F179" s="33" t="n">
        <v>16.088</v>
      </c>
      <c r="G179" s="33" t="n">
        <v>2.55</v>
      </c>
      <c r="H179" s="33" t="n">
        <v>1.8249097</v>
      </c>
      <c r="I179" s="33">
        <f>IF(OR(E179="",R179="",R179&lt;=0,E179&lt;0),"",E179/R179)</f>
        <v/>
      </c>
      <c r="J179" s="33" t="n">
        <v>57.5</v>
      </c>
      <c r="L179" s="33" t="n">
        <v>35.16</v>
      </c>
      <c r="M179" s="33" t="n">
        <v>4.66</v>
      </c>
      <c r="N179" s="33" t="n">
        <v>0.86</v>
      </c>
      <c r="O179" s="33" t="n">
        <v>61.7</v>
      </c>
      <c r="P179" s="33" t="n">
        <v>-0.84</v>
      </c>
      <c r="Q179" s="33" t="n">
        <v>9</v>
      </c>
      <c r="R179" s="33" t="n">
        <v>19.9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2026-10-30</t>
        </is>
      </c>
      <c r="E180" s="33" t="n">
        <v>50.43665299999999</v>
      </c>
      <c r="F180" s="33" t="n">
        <v>63.005</v>
      </c>
      <c r="G180" s="33" t="n">
        <v>3.24</v>
      </c>
      <c r="H180" s="33" t="n">
        <v>8.589363000000001</v>
      </c>
      <c r="I180" s="33">
        <f>IF(OR(E180="",R180="",R180&lt;=0,E180&lt;0),"",E180/R180)</f>
        <v/>
      </c>
      <c r="J180" s="33" t="n">
        <v>46.8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20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2026-10-30</t>
        </is>
      </c>
      <c r="E181" s="33" t="n">
        <v>24.508173</v>
      </c>
      <c r="F181" s="33" t="n">
        <v>23.99</v>
      </c>
      <c r="G181" s="33" t="n">
        <v>1.68</v>
      </c>
      <c r="H181" s="33" t="n">
        <v>7.9</v>
      </c>
      <c r="I181" s="33">
        <f>IF(OR(E181="",R181="",R181&lt;=0,E181&lt;0),"",E181/R181)</f>
        <v/>
      </c>
      <c r="J181" s="33" t="n">
        <v>40.2</v>
      </c>
      <c r="L181" s="33" t="n">
        <v>72.92</v>
      </c>
      <c r="M181" s="33" t="n">
        <v>13.24</v>
      </c>
      <c r="N181" s="33" t="n">
        <v>0.4</v>
      </c>
      <c r="O181" s="33" t="n">
        <v>88.59999999999999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2026-10-30</t>
        </is>
      </c>
      <c r="E182" s="33" t="n">
        <v>36.157917</v>
      </c>
      <c r="F182" s="33" t="n">
        <v>14.371</v>
      </c>
      <c r="H182" s="33" t="n">
        <v>2.802338</v>
      </c>
      <c r="I182" s="33">
        <f>IF(OR(E182="",R182="",R182&lt;=0,E182&lt;0),"",E182/R182)</f>
        <v/>
      </c>
      <c r="J182" s="33" t="n">
        <v>44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35.8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2026-10-30</t>
        </is>
      </c>
      <c r="E183" s="33" t="n">
        <v>8.072421</v>
      </c>
      <c r="F183" s="33" t="n">
        <v>6.925</v>
      </c>
      <c r="G183" s="33" t="n">
        <v>22.36</v>
      </c>
      <c r="H183" s="33" t="n">
        <v>0.3754709</v>
      </c>
      <c r="I183" s="33">
        <f>IF(OR(E183="",R183="",R183&lt;=0,E183&lt;0),"",E183/R183)</f>
        <v/>
      </c>
      <c r="J183" s="33" t="n">
        <v>88.40000000000001</v>
      </c>
      <c r="L183" s="33" t="n">
        <v>26.28</v>
      </c>
      <c r="M183" s="33" t="n">
        <v>8.4</v>
      </c>
      <c r="N183" s="33" t="n">
        <v>4.27</v>
      </c>
      <c r="O183" s="33" t="n">
        <v>37.6</v>
      </c>
      <c r="P183" s="33" t="n">
        <v>0.48</v>
      </c>
      <c r="Q183" s="33" t="n">
        <v>4.8</v>
      </c>
      <c r="R183" s="33" t="n">
        <v>-13.3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24.2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2026-10-30</t>
        </is>
      </c>
      <c r="E184" s="33" t="n">
        <v>15.335615</v>
      </c>
      <c r="F184" s="33" t="n">
        <v>771.26</v>
      </c>
      <c r="G184" s="33" t="n">
        <v>-67.52</v>
      </c>
      <c r="H184" s="33" t="n">
        <v>3.24</v>
      </c>
      <c r="I184" s="33">
        <f>IF(OR(E184="",R184="",R184&lt;=0,E184&lt;0),"",E184/R184)</f>
        <v/>
      </c>
      <c r="J184" s="33" t="n">
        <v>35.2</v>
      </c>
      <c r="L184" s="33" t="n">
        <v>35.71</v>
      </c>
      <c r="M184" s="33" t="n">
        <v>-218.82</v>
      </c>
      <c r="N184" s="33" t="n">
        <v>-181.82</v>
      </c>
      <c r="O184" s="33" t="n">
        <v>52.3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0.8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2026-10-30</t>
        </is>
      </c>
      <c r="E185" s="33" t="n">
        <v>34.703785</v>
      </c>
      <c r="F185" s="33" t="n">
        <v>33.921</v>
      </c>
      <c r="G185" s="33" t="n">
        <v>2.36</v>
      </c>
      <c r="H185" s="33" t="n">
        <v>13.185681</v>
      </c>
      <c r="I185" s="33">
        <f>IF(OR(E185="",R185="",R185&lt;=0,E185&lt;0),"",E185/R185)</f>
        <v/>
      </c>
      <c r="J185" s="33" t="n">
        <v>38.3</v>
      </c>
      <c r="K185" s="33" t="n">
        <v>18.24</v>
      </c>
      <c r="L185" s="33" t="n">
        <v>66.64</v>
      </c>
      <c r="M185" s="33" t="n">
        <v>31.08</v>
      </c>
      <c r="N185" s="33" t="n">
        <v>-0.9</v>
      </c>
      <c r="O185" s="33" t="n">
        <v>96.2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2026-10-30</t>
        </is>
      </c>
      <c r="E186" s="33" t="n">
        <v>-16.222351</v>
      </c>
      <c r="F186" s="33" t="n">
        <v>-9.196</v>
      </c>
      <c r="G186" s="33" t="n">
        <v>-7.8</v>
      </c>
      <c r="H186" s="33" t="n">
        <v>3.2275128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43.2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2026-10-30</t>
        </is>
      </c>
      <c r="E187" s="33" t="n">
        <v>14.475869</v>
      </c>
      <c r="F187" s="33" t="n">
        <v>10.54</v>
      </c>
      <c r="G187" s="33" t="n">
        <v>7.12</v>
      </c>
      <c r="H187" s="33" t="n">
        <v>3.3312168</v>
      </c>
      <c r="I187" s="33">
        <f>IF(OR(E187="",R187="",R187&lt;=0,E187&lt;0),"",E187/R187)</f>
        <v/>
      </c>
      <c r="J187" s="33" t="n">
        <v>80.8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94.40000000000001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31.7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2026-10-30</t>
        </is>
      </c>
      <c r="E188" s="33" t="n">
        <v>-39.845</v>
      </c>
      <c r="F188" s="33" t="n">
        <v>-66.914</v>
      </c>
      <c r="G188" s="33" t="n">
        <v>-3.8</v>
      </c>
      <c r="H188" s="33" t="n">
        <v>9.146236999999999</v>
      </c>
      <c r="I188" s="33">
        <f>IF(OR(E188="",R188="",R188&lt;=0,E188&lt;0),"",E188/R188)</f>
        <v/>
      </c>
      <c r="J188" s="33" t="n">
        <v>41.7</v>
      </c>
      <c r="K188" s="33" t="n">
        <v>-10.29</v>
      </c>
      <c r="L188" s="33" t="n">
        <v>47.65</v>
      </c>
      <c r="M188" s="33" t="n">
        <v>-34.76</v>
      </c>
      <c r="O188" s="33" t="n">
        <v>42.3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2026-10-30</t>
        </is>
      </c>
      <c r="E189" s="33" t="n">
        <v>70.63952999999999</v>
      </c>
      <c r="G189" s="33" t="n">
        <v>0.25</v>
      </c>
      <c r="H189" s="33" t="n">
        <v>33.61</v>
      </c>
      <c r="I189" s="33">
        <f>IF(OR(E189="",R189="",R189&lt;=0,E189&lt;0),"",E189/R189)</f>
        <v/>
      </c>
      <c r="J189" s="33" t="n">
        <v>19.7</v>
      </c>
      <c r="L189" s="33" t="n">
        <v>48.38</v>
      </c>
      <c r="M189" s="33" t="n">
        <v>8.43</v>
      </c>
      <c r="O189" s="33" t="n">
        <v>72.3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2026-10-30</t>
        </is>
      </c>
      <c r="E190" s="33" t="n">
        <v>74.04494558142318</v>
      </c>
      <c r="F190" s="33" t="n">
        <v>42.109</v>
      </c>
      <c r="G190" s="33" t="n">
        <v>0.08</v>
      </c>
      <c r="H190" s="33" t="n">
        <v>7.790076</v>
      </c>
      <c r="I190" s="33">
        <f>IF(OR(E190="",R190="",R190&lt;=0,E190&lt;0),"",E190/R190)</f>
        <v/>
      </c>
      <c r="J190" s="33" t="n">
        <v>26.9</v>
      </c>
      <c r="L190" s="33" t="n">
        <v>32.25</v>
      </c>
      <c r="M190" s="33" t="n">
        <v>0.82</v>
      </c>
      <c r="N190" s="33" t="n">
        <v>-0.46</v>
      </c>
      <c r="O190" s="33" t="n">
        <v>59.8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51.7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2026-10-30</t>
        </is>
      </c>
      <c r="E191" s="33" t="n">
        <v>39.961067</v>
      </c>
      <c r="F191" s="33" t="n">
        <v>11.013</v>
      </c>
      <c r="G191" s="33" t="n">
        <v>4.67</v>
      </c>
      <c r="H191" s="33" t="n">
        <v>1.6057215</v>
      </c>
      <c r="I191" s="33">
        <f>IF(OR(E191="",R191="",R191&lt;=0,E191&lt;0),"",E191/R191)</f>
        <v/>
      </c>
      <c r="J191" s="33" t="n">
        <v>66.5</v>
      </c>
      <c r="L191" s="33" t="n">
        <v>32.29</v>
      </c>
      <c r="M191" s="33" t="n">
        <v>7.49</v>
      </c>
      <c r="N191" s="33" t="n">
        <v>-0.97</v>
      </c>
      <c r="O191" s="33" t="n">
        <v>63.4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2026-10-30</t>
        </is>
      </c>
      <c r="E192" s="33" t="n">
        <v>29.27166</v>
      </c>
      <c r="F192" s="33" t="n">
        <v>11.838</v>
      </c>
      <c r="G192" s="33" t="n">
        <v>3.75</v>
      </c>
      <c r="H192" s="33" t="n">
        <v>2.9816582</v>
      </c>
      <c r="I192" s="33">
        <f>IF(OR(E192="",R192="",R192&lt;=0,E192&lt;0),"",E192/R192)</f>
        <v/>
      </c>
      <c r="J192" s="33" t="n">
        <v>52.7</v>
      </c>
      <c r="L192" s="33" t="n">
        <v>38.53</v>
      </c>
      <c r="M192" s="33" t="n">
        <v>11.18</v>
      </c>
      <c r="N192" s="33" t="n">
        <v>0.41</v>
      </c>
      <c r="O192" s="33" t="n">
        <v>72.3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48.3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2026-10-30</t>
        </is>
      </c>
      <c r="E193" s="33" t="n">
        <v>28.837711</v>
      </c>
      <c r="F193" s="33" t="n">
        <v>24.657</v>
      </c>
      <c r="G193" s="33" t="n">
        <v>3.05</v>
      </c>
      <c r="H193" s="33" t="n">
        <v>4.37781</v>
      </c>
      <c r="I193" s="33">
        <f>IF(OR(E193="",R193="",R193&lt;=0,E193&lt;0),"",E193/R193)</f>
        <v/>
      </c>
      <c r="J193" s="33" t="n">
        <v>48.3</v>
      </c>
      <c r="L193" s="33" t="n">
        <v>30.61</v>
      </c>
      <c r="M193" s="33" t="n">
        <v>13.33</v>
      </c>
      <c r="N193" s="33" t="n">
        <v>0.07000000000000001</v>
      </c>
      <c r="O193" s="33" t="n">
        <v>66.5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2026-10-30</t>
        </is>
      </c>
      <c r="E194" s="33" t="n">
        <v>15.157031</v>
      </c>
      <c r="F194" s="33" t="n">
        <v>10.717</v>
      </c>
      <c r="G194" s="33" t="n">
        <v>5.03</v>
      </c>
      <c r="H194" s="33" t="n">
        <v>1.610682</v>
      </c>
      <c r="I194" s="33">
        <f>IF(OR(E194="",R194="",R194&lt;=0,E194&lt;0),"",E194/R194)</f>
        <v/>
      </c>
      <c r="J194" s="33" t="n">
        <v>69.40000000000001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63.4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46.7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2026-10-30</t>
        </is>
      </c>
      <c r="E195" s="33" t="n">
        <v>12.013546</v>
      </c>
      <c r="F195" s="33" t="n">
        <v>12.507</v>
      </c>
      <c r="G195" s="33" t="n">
        <v>4.51</v>
      </c>
      <c r="H195" s="33" t="n">
        <v>1.7065142</v>
      </c>
      <c r="I195" s="33">
        <f>IF(OR(E195="",R195="",R195&lt;=0,E195&lt;0),"",E195/R195)</f>
        <v/>
      </c>
      <c r="J195" s="33" t="n">
        <v>74.2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36.7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2026-10-30</t>
        </is>
      </c>
      <c r="E196" s="33" t="n">
        <v>25.59416</v>
      </c>
      <c r="F196" s="33" t="n">
        <v>22.426</v>
      </c>
      <c r="G196" s="33" t="n">
        <v>1.9</v>
      </c>
      <c r="H196" s="33" t="n">
        <v>2.5185094</v>
      </c>
      <c r="I196" s="33">
        <f>IF(OR(E196="",R196="",R196&lt;=0,E196&lt;0),"",E196/R196)</f>
        <v/>
      </c>
      <c r="J196" s="33" t="n">
        <v>54.6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59.3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70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2026-10-30</t>
        </is>
      </c>
      <c r="E197" s="33" t="n">
        <v>33.283943</v>
      </c>
      <c r="F197" s="33" t="n">
        <v>29.202</v>
      </c>
      <c r="G197" s="33" t="n">
        <v>2.08</v>
      </c>
      <c r="H197" s="33" t="n">
        <v>5.3379035</v>
      </c>
      <c r="I197" s="33">
        <f>IF(OR(E197="",R197="",R197&lt;=0,E197&lt;0),"",E197/R197)</f>
        <v/>
      </c>
      <c r="J197" s="33" t="n">
        <v>46.4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79.59999999999999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2026-10-30</t>
        </is>
      </c>
      <c r="E198" s="33" t="n">
        <v>29.958101</v>
      </c>
      <c r="F198" s="33" t="n">
        <v>31.888</v>
      </c>
      <c r="G198" s="33" t="n">
        <v>-1.05</v>
      </c>
      <c r="H198" s="33" t="n">
        <v>2.1738713</v>
      </c>
      <c r="I198" s="33">
        <f>IF(OR(E198="",R198="",R198&lt;=0,E198&lt;0),"",E198/R198)</f>
        <v/>
      </c>
      <c r="J198" s="33" t="n">
        <v>47.4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62.2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40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2026-10-30</t>
        </is>
      </c>
      <c r="E199" s="33" t="n">
        <v>27.52085</v>
      </c>
      <c r="F199" s="33" t="n">
        <v>35.857</v>
      </c>
      <c r="G199" s="33" t="n">
        <v>2.87</v>
      </c>
      <c r="H199" s="33" t="n">
        <v>8.59557</v>
      </c>
      <c r="I199" s="33">
        <f>IF(OR(E199="",R199="",R199&lt;=0,E199&lt;0),"",E199/R199)</f>
        <v/>
      </c>
      <c r="J199" s="33" t="n">
        <v>46.1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45.8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2026-10-30</t>
        </is>
      </c>
      <c r="E200" s="33" t="n">
        <v>42.66730955025986</v>
      </c>
      <c r="H200" s="33" t="n">
        <v>15.07527</v>
      </c>
      <c r="I200" s="33">
        <f>IF(OR(E200="",R200="",R200&lt;=0,E200&lt;0),"",E200/R200)</f>
        <v/>
      </c>
      <c r="J200" s="33" t="n">
        <v>40.6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67.5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2026-10-30</t>
        </is>
      </c>
      <c r="E201" s="33" t="n">
        <v>-235.44</v>
      </c>
      <c r="F201" s="33" t="n">
        <v>-35.594</v>
      </c>
      <c r="G201" s="33" t="n">
        <v>-3.89</v>
      </c>
      <c r="H201" s="33" t="n">
        <v>10.357216</v>
      </c>
      <c r="I201" s="33">
        <f>IF(OR(E201="",R201="",R201&lt;=0,E201&lt;0),"",E201/R201)</f>
        <v/>
      </c>
      <c r="J201" s="33" t="n">
        <v>37.6</v>
      </c>
      <c r="K201" s="33" t="n">
        <v>-12.62</v>
      </c>
      <c r="L201" s="33" t="n">
        <v>46.62</v>
      </c>
      <c r="M201" s="33" t="n">
        <v>-40.25</v>
      </c>
      <c r="O201" s="33" t="n">
        <v>39.1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55.8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2026-10-30</t>
        </is>
      </c>
      <c r="E202" s="33" t="n">
        <v>14.647211</v>
      </c>
      <c r="G202" s="33" t="n">
        <v>-0.32</v>
      </c>
      <c r="H202" s="33" t="n">
        <v>30.36</v>
      </c>
      <c r="I202" s="33">
        <f>IF(OR(E202="",R202="",R202&lt;=0,E202&lt;0),"",E202/R202)</f>
        <v/>
      </c>
      <c r="J202" s="33" t="n">
        <v>46.1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63.2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2026-10-30</t>
        </is>
      </c>
      <c r="E203" s="33" t="n">
        <v>-5.6862564</v>
      </c>
      <c r="F203" s="33" t="n">
        <v>-4.872</v>
      </c>
      <c r="G203" s="33" t="n">
        <v>-18.31</v>
      </c>
      <c r="H203" s="33" t="n">
        <v>29.509892</v>
      </c>
      <c r="I203" s="33">
        <f>IF(OR(E203="",R203="",R203&lt;=0,E203&lt;0),"",E203/R203)</f>
        <v/>
      </c>
      <c r="J203" s="33" t="n">
        <v>25.4</v>
      </c>
      <c r="K203" s="33" t="n">
        <v>-51.65</v>
      </c>
      <c r="L203" s="33" t="n">
        <v>27.22</v>
      </c>
      <c r="M203" s="33" t="n">
        <v>-540.1900000000001</v>
      </c>
      <c r="O203" s="33" t="n">
        <v>9.300000000000001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36.7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2026-10-30</t>
        </is>
      </c>
      <c r="E204" s="33" t="n">
        <v>15.98248</v>
      </c>
      <c r="G204" s="33" t="n">
        <v>-8.300000000000001</v>
      </c>
      <c r="H204" s="33" t="n">
        <v>2.36</v>
      </c>
      <c r="I204" s="33">
        <f>IF(OR(E204="",R204="",R204&lt;=0,E204&lt;0),"",E204/R204)</f>
        <v/>
      </c>
      <c r="J204" s="33" t="n">
        <v>56.9</v>
      </c>
      <c r="L204" s="33" t="n">
        <v>24.49</v>
      </c>
      <c r="M204" s="33" t="n">
        <v>-19.56</v>
      </c>
      <c r="O204" s="33" t="n">
        <v>21.3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2026-10-30</t>
        </is>
      </c>
      <c r="E205" s="33" t="n">
        <v>19.51295</v>
      </c>
      <c r="F205" s="33" t="n">
        <v>18.936</v>
      </c>
      <c r="G205" s="33" t="n">
        <v>3.75</v>
      </c>
      <c r="H205" s="33" t="n">
        <v>2.6322682</v>
      </c>
      <c r="I205" s="33">
        <f>IF(OR(E205="",R205="",R205&lt;=0,E205&lt;0),"",E205/R205)</f>
        <v/>
      </c>
      <c r="J205" s="33" t="n">
        <v>63.5</v>
      </c>
      <c r="L205" s="33" t="n">
        <v>49.05</v>
      </c>
      <c r="M205" s="33" t="n">
        <v>9.880000000000001</v>
      </c>
      <c r="N205" s="33" t="n">
        <v>0.7</v>
      </c>
      <c r="O205" s="33" t="n">
        <v>80.8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43.3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2026-10-30</t>
        </is>
      </c>
      <c r="E206" s="33" t="n">
        <v>12.052369</v>
      </c>
      <c r="F206" s="33" t="n">
        <v>-15.315</v>
      </c>
      <c r="G206" s="33" t="n">
        <v>7.72</v>
      </c>
      <c r="H206" s="33" t="n">
        <v>2.5072896</v>
      </c>
      <c r="I206" s="33">
        <f>IF(OR(E206="",R206="",R206&lt;=0,E206&lt;0),"",E206/R206)</f>
        <v/>
      </c>
      <c r="J206" s="33" t="n">
        <v>82.2</v>
      </c>
      <c r="K206" s="33" t="n">
        <v>-3.65</v>
      </c>
      <c r="L206" s="33" t="n">
        <v>48.55</v>
      </c>
      <c r="M206" s="33" t="n">
        <v>19.36</v>
      </c>
      <c r="O206" s="33" t="n">
        <v>68.2</v>
      </c>
      <c r="P206" s="33" t="n">
        <v>0.44</v>
      </c>
      <c r="Q206" s="33" t="n">
        <v>-2.4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33.3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2026-10-30</t>
        </is>
      </c>
      <c r="E207" s="33" t="n">
        <v>36.04633</v>
      </c>
      <c r="F207" s="33" t="n">
        <v>79.756</v>
      </c>
      <c r="G207" s="33" t="n">
        <v>-1.68</v>
      </c>
      <c r="H207" s="33" t="n">
        <v>5.053344</v>
      </c>
      <c r="I207" s="33">
        <f>IF(OR(E207="",R207="",R207&lt;=0,E207&lt;0),"",E207/R207)</f>
        <v/>
      </c>
      <c r="J207" s="33" t="n">
        <v>41.6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48.9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2026-10-30</t>
        </is>
      </c>
      <c r="E208" s="33" t="n">
        <v>31.19992734496513</v>
      </c>
      <c r="F208" s="33" t="n">
        <v>32.447</v>
      </c>
      <c r="G208" s="33" t="n">
        <v>-0.7</v>
      </c>
      <c r="H208" s="33" t="n">
        <v>3.191363</v>
      </c>
      <c r="I208" s="33">
        <f>IF(OR(E208="",R208="",R208&lt;=0,E208&lt;0),"",E208/R208)</f>
        <v/>
      </c>
      <c r="J208" s="33" t="n">
        <v>39.1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46.1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2026-10-30</t>
        </is>
      </c>
      <c r="E209" s="33" t="n">
        <v>-10.329546</v>
      </c>
      <c r="F209" s="33" t="n">
        <v>-4.429</v>
      </c>
      <c r="G209" s="33" t="n">
        <v>-22.72</v>
      </c>
      <c r="H209" s="33" t="n">
        <v>9.701943999999999</v>
      </c>
      <c r="I209" s="33">
        <f>IF(OR(E209="",R209="",R209&lt;=0,E209&lt;0),"",E209/R209)</f>
        <v/>
      </c>
      <c r="J209" s="33" t="n">
        <v>29.1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2026-10-30</t>
        </is>
      </c>
      <c r="E210" s="33" t="n">
        <v>-316.00003</v>
      </c>
      <c r="F210" s="33" t="n">
        <v>-14.331</v>
      </c>
      <c r="G210" s="33" t="n">
        <v>-4.67</v>
      </c>
      <c r="H210" s="33" t="n">
        <v>21.137793</v>
      </c>
      <c r="I210" s="33">
        <f>IF(OR(E210="",R210="",R210&lt;=0,E210&lt;0),"",E210/R210)</f>
        <v/>
      </c>
      <c r="J210" s="33" t="n">
        <v>32.2</v>
      </c>
      <c r="K210" s="33" t="n">
        <v>-7.96</v>
      </c>
      <c r="L210" s="33" t="n">
        <v>43.72</v>
      </c>
      <c r="M210" s="33" t="n">
        <v>-98.81</v>
      </c>
      <c r="O210" s="33" t="n">
        <v>38.5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2026-10-30</t>
        </is>
      </c>
      <c r="E211" s="33" t="n">
        <v>-69.545456</v>
      </c>
      <c r="F211" s="33" t="n">
        <v>-18.616</v>
      </c>
      <c r="G211" s="33" t="n">
        <v>-6.71</v>
      </c>
      <c r="H211" s="33" t="n">
        <v>23.997002</v>
      </c>
      <c r="I211" s="33">
        <f>IF(OR(E211="",R211="",R211&lt;=0,E211&lt;0),"",E211/R211)</f>
        <v/>
      </c>
      <c r="J211" s="33" t="n">
        <v>31.6</v>
      </c>
      <c r="K211" s="33" t="n">
        <v>-6.02</v>
      </c>
      <c r="L211" s="33" t="n">
        <v>34.76</v>
      </c>
      <c r="M211" s="33" t="n">
        <v>-160.98</v>
      </c>
      <c r="O211" s="33" t="n">
        <v>30.5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2026-10-30</t>
        </is>
      </c>
      <c r="E212" s="33" t="n">
        <v>365.33334</v>
      </c>
      <c r="F212" s="33" t="n">
        <v>-38.651</v>
      </c>
      <c r="G212" s="33" t="n">
        <v>-1.31</v>
      </c>
      <c r="H212" s="33" t="n">
        <v>4.6959443</v>
      </c>
      <c r="I212" s="33">
        <f>IF(OR(E212="",R212="",R212&lt;=0,E212&lt;0),"",E212/R212)</f>
        <v/>
      </c>
      <c r="J212" s="33" t="n">
        <v>47.4</v>
      </c>
      <c r="L212" s="33" t="n">
        <v>59.3</v>
      </c>
      <c r="M212" s="33" t="n">
        <v>-6.14</v>
      </c>
      <c r="N212" s="33" t="n"/>
      <c r="O212" s="33" t="n">
        <v>61.3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2026-10-30</t>
        </is>
      </c>
      <c r="E213" s="33" t="n">
        <v>-4.5068493</v>
      </c>
      <c r="F213" s="33" t="n">
        <v>-3.656</v>
      </c>
      <c r="G213" s="33" t="n">
        <v>-22.61</v>
      </c>
      <c r="H213" s="33" t="n">
        <v>13.707457</v>
      </c>
      <c r="I213" s="33">
        <f>IF(OR(E213="",R213="",R213&lt;=0,E213&lt;0),"",E213/R213)</f>
        <v/>
      </c>
      <c r="J213" s="33" t="n">
        <v>26.4</v>
      </c>
      <c r="K213" s="33" t="n">
        <v>-39.17</v>
      </c>
      <c r="L213" s="33" t="n">
        <v>28.75</v>
      </c>
      <c r="M213" s="33" t="n">
        <v>-309.96</v>
      </c>
      <c r="O213" s="33" t="n">
        <v>14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2026-10-30</t>
        </is>
      </c>
      <c r="E214" s="33" t="n">
        <v>21.11194118653978</v>
      </c>
      <c r="F214" s="33" t="n">
        <v>37.969</v>
      </c>
      <c r="G214" s="33" t="n">
        <v>1.56</v>
      </c>
      <c r="H214" s="33" t="n">
        <v>5.594701</v>
      </c>
      <c r="I214" s="33">
        <f>IF(OR(E214="",R214="",R214&lt;=0,E214&lt;0),"",E214/R214)</f>
        <v/>
      </c>
      <c r="J214" s="33" t="n">
        <v>41.8</v>
      </c>
      <c r="K214" s="33" t="n">
        <v>4.18</v>
      </c>
      <c r="L214" s="33" t="n">
        <v>48.09</v>
      </c>
      <c r="M214" s="33" t="n">
        <v>8.710000000000001</v>
      </c>
      <c r="N214" s="33" t="n">
        <v>0.57</v>
      </c>
      <c r="O214" s="33" t="n">
        <v>36.9</v>
      </c>
      <c r="P214" s="33" t="n">
        <v>-2.95</v>
      </c>
      <c r="Q214" s="33" t="n">
        <v>29.2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38.3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2026-10-30</t>
        </is>
      </c>
      <c r="E215" s="33" t="n">
        <v>14.51788</v>
      </c>
      <c r="F215" s="33" t="n">
        <v>13.516</v>
      </c>
      <c r="G215" s="33" t="n">
        <v>10.63</v>
      </c>
      <c r="H215" s="33" t="n">
        <v>2.578972</v>
      </c>
      <c r="I215" s="33">
        <f>IF(OR(E215="",R215="",R215&lt;=0,E215&lt;0),"",E215/R215)</f>
        <v/>
      </c>
      <c r="J215" s="33" t="n">
        <v>85.90000000000001</v>
      </c>
      <c r="L215" s="33" t="n">
        <v>39.38</v>
      </c>
      <c r="M215" s="33" t="n">
        <v>27.41</v>
      </c>
      <c r="N215" s="33" t="n">
        <v>1.38</v>
      </c>
      <c r="O215" s="33" t="n">
        <v>50.8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34.2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2026-10-30</t>
        </is>
      </c>
      <c r="E216" s="33" t="n">
        <v>63.683884</v>
      </c>
      <c r="F216" s="33" t="n">
        <v>89.3</v>
      </c>
      <c r="G216" s="33" t="n">
        <v>1.17</v>
      </c>
      <c r="H216" s="33" t="n">
        <v>15.181992</v>
      </c>
      <c r="I216" s="33">
        <f>IF(OR(E216="",R216="",R216&lt;=0,E216&lt;0),"",E216/R216)</f>
        <v/>
      </c>
      <c r="J216" s="33" t="n">
        <v>30.3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46.5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70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2026-10-30</t>
        </is>
      </c>
      <c r="E217" s="33" t="n">
        <v>-49.373566</v>
      </c>
      <c r="F217" s="33" t="n">
        <v>420.1</v>
      </c>
      <c r="G217" s="33" t="n">
        <v>0.24</v>
      </c>
      <c r="H217" s="33" t="n">
        <v>3.4098172</v>
      </c>
      <c r="I217" s="33">
        <f>IF(OR(E217="",R217="",R217&lt;=0,E217&lt;0),"",E217/R217)</f>
        <v/>
      </c>
      <c r="J217" s="33" t="n">
        <v>27.6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2026-10-30</t>
        </is>
      </c>
      <c r="E218" s="33" t="n">
        <v>6.42813</v>
      </c>
      <c r="F218" s="33" t="n">
        <v>-13.2</v>
      </c>
      <c r="G218" s="33" t="n">
        <v>-13.87</v>
      </c>
      <c r="H218" s="33" t="n">
        <v>1.710823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29.2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  <row r="3217">
      <c r="A3217" s="33" t="inlineStr">
        <is>
          <t>2026-10-30</t>
        </is>
      </c>
      <c r="B3217" s="33" t="inlineStr">
        <is>
          <t>WDC</t>
        </is>
      </c>
      <c r="C3217" s="33" t="inlineStr">
        <is>
          <t>EPS YoY (objective)</t>
        </is>
      </c>
      <c r="D3217" s="33" t="inlineStr">
        <is>
          <t>161</t>
        </is>
      </c>
      <c r="E3217" s="33" t="inlineStr">
        <is>
          <t>Rule-15 ex-item value (Dom): non-GAAP EPS $4.64 vs $1.78 (+161%). GAAP +50.5% ($4.63 vs $3.07) understates growth because the prior-year quarter included a $611M Sandisk retained-interest gain; stake fully disposed by 2026-07-03. Prior-year quarter had 14 weeks. Replaces the expired blank for q/e 2026-07-03.</t>
        </is>
      </c>
      <c r="F3217" s="33" t="inlineStr">
        <is>
          <t>8-K Ex-99.1 filed 2026-10-22; 10-Q filed 2025-10-31</t>
        </is>
      </c>
      <c r="G3217" s="33" t="inlineStr">
        <is>
          <t>High</t>
        </is>
      </c>
      <c r="H3217" s="33" t="inlineStr">
        <is>
          <t>Objective refresh</t>
        </is>
      </c>
    </row>
    <row r="3218">
      <c r="A3218" s="33" t="inlineStr">
        <is>
          <t>2026-10-30</t>
        </is>
      </c>
      <c r="B3218" s="33" t="inlineStr">
        <is>
          <t>META</t>
        </is>
      </c>
      <c r="C3218" s="33" t="inlineStr">
        <is>
          <t>EPS YoY (objective)</t>
        </is>
      </c>
      <c r="D3218" s="33" t="inlineStr">
        <is>
          <t>2</t>
        </is>
      </c>
      <c r="E3218" s="33" t="inlineStr">
        <is>
          <t>Rule-15 ex-item value (Dom): EPS excluding one-offs $7.40 vs $7.25 (+2%). GAAP +265% ($3.83 vs $1.05) is dominated by the $15.93B Q3 2025 one-time tax charge and the $9.89B Q3 2026 state AG settlement charge. Same standard as WDC, same day.</t>
        </is>
      </c>
      <c r="F3218" s="33" t="inlineStr">
        <is>
          <t>8-K Ex-99.1 filed 2026-10-21; 8-K Ex-99.1 filed 2025-10-29</t>
        </is>
      </c>
      <c r="G3218" s="33" t="inlineStr">
        <is>
          <t>High</t>
        </is>
      </c>
      <c r="H3218" s="33" t="inlineStr">
        <is>
          <t>Objective refresh</t>
        </is>
      </c>
    </row>
    <row r="3219">
      <c r="A3219" s="33" t="inlineStr">
        <is>
          <t>2026-10-30</t>
        </is>
      </c>
      <c r="B3219" s="33" t="inlineStr">
        <is>
          <t>RDDT</t>
        </is>
      </c>
      <c r="C3219" s="33" t="inlineStr">
        <is>
          <t>R5</t>
        </is>
      </c>
      <c r="D3219" s="33" t="inlineStr">
        <is>
          <t>1</t>
        </is>
      </c>
      <c r="E3219" s="33" t="inlineStr">
        <is>
          <t>2-&gt;1 (Dom-approved). Q3 letter: search referrals 'down meaningfully', accelerating late in the quarter; &gt;1M referrals a week lost on average in October; company says DAUq could fall by a low-double-digit percentage in Q4; US DAUq -2% YoY. Band 1: AI tools produce the core output and active erosion is visible. Against: revenue +53%, logged-in and app DAUq up sequentially.</t>
        </is>
      </c>
      <c r="F3219" s="33" t="inlineStr">
        <is>
          <t>8-K Ex-99.2 filed 2026-10-29 (acc. 0001713445-26-000114); per-stock/RDDT/context-2026-10-29.md</t>
        </is>
      </c>
      <c r="G3219" s="33" t="inlineStr">
        <is>
          <t>Med</t>
        </is>
      </c>
      <c r="H3219" s="33" t="inlineStr">
        <is>
          <t>Update</t>
        </is>
      </c>
    </row>
    <row r="3220">
      <c r="A3220" s="33" t="inlineStr">
        <is>
          <t>2026-10-30</t>
        </is>
      </c>
      <c r="B3220" s="33" t="inlineStr">
        <is>
          <t>RDDT</t>
        </is>
      </c>
      <c r="C3220" s="33" t="inlineStr">
        <is>
          <t>D5</t>
        </is>
      </c>
      <c r="D3220" s="33" t="inlineStr">
        <is>
          <t>3</t>
        </is>
      </c>
      <c r="E3220" s="33" t="inlineStr">
        <is>
          <t>5-&gt;3 (Dom's call; Claude proposed 4). Rule-38 lens. Max campaign lift (CPA -17%, conversions +27%) is company-reported with no disclosed AI-attributable revenue, so band 5 is not met. Dom, from his work in media: AI helps the platform but is a local optimization and no better than Meta or Google, so it is not a differentiated growth engine. Filed evidence alone fits band 4; the step to 3 rests on Dom's industry judgment.</t>
        </is>
      </c>
      <c r="F3220" s="33" t="inlineStr">
        <is>
          <t>per-stock/RDDT/context-2026-10-16.md; per-stock/RDDT/context-2026-10-29.md; Dom industry context 2026-10-30</t>
        </is>
      </c>
      <c r="G3220" s="33" t="inlineStr">
        <is>
          <t>Med</t>
        </is>
      </c>
      <c r="H3220" s="33" t="inlineStr">
        <is>
          <t>Update</t>
        </is>
      </c>
    </row>
    <row r="3221">
      <c r="A3221" s="33" t="inlineStr">
        <is>
          <t>2026-10-30</t>
        </is>
      </c>
      <c r="B3221" s="33" t="inlineStr">
        <is>
          <t>RDDT</t>
        </is>
      </c>
      <c r="C3221" s="33" t="inlineStr">
        <is>
          <t>M2</t>
        </is>
      </c>
      <c r="D3221" s="33" t="inlineStr">
        <is>
          <t>1</t>
        </is>
      </c>
      <c r="E3221" s="33" t="inlineStr">
        <is>
          <t>3-&gt;1 (Dom-approved). Mechanical re-measure: 126-trading-day return -44.9% vs XLC -13.9%, a gap of -31.0pp, past the -20pp band-1 line. 63-day gap -30.7pp. Includes the -29% move on 2026-10-30 after the Q3 letter.</t>
        </is>
      </c>
      <c r="F3221" s="33" t="inlineStr">
        <is>
          <t>yfinance price history 2026-10-30; benchmark XLC set 2026-10-06</t>
        </is>
      </c>
      <c r="G3221" s="33" t="inlineStr">
        <is>
          <t>High</t>
        </is>
      </c>
      <c r="H3221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2026-10-30T20:40:56Z</dcterms:modified>
  <cp:revision>0</cp:revision>
</cp:coreProperties>
</file>