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 except 50DMA %, which is objective and banded)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>
      <c r="A36" s="40" t="inlineStr">
        <is>
          <t>% days above 50-DMA, last 120 trading days (higher = better)</t>
        </is>
      </c>
      <c r="B36" s="44" t="inlineStr">
        <is>
          <t>Threshold:</t>
        </is>
      </c>
      <c r="C36" s="45" t="inlineStr">
        <is>
          <t>≥85 → 100</t>
        </is>
      </c>
      <c r="D36" s="45" t="inlineStr">
        <is>
          <t>≥70 → 90</t>
        </is>
      </c>
      <c r="E36" s="45" t="inlineStr">
        <is>
          <t>≥55 → 75</t>
        </is>
      </c>
      <c r="F36" s="45" t="inlineStr">
        <is>
          <t>≥40 → 60</t>
        </is>
      </c>
      <c r="G36" s="45" t="inlineStr">
        <is>
          <t>≥25 → 40</t>
        </is>
      </c>
      <c r="H36" s="45" t="inlineStr">
        <is>
          <t>&lt;25 → 20</t>
        </is>
      </c>
      <c r="J36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7" ht="15" customHeight="1" s="34"/>
    <row r="38" ht="15" customHeight="1" s="34">
      <c r="A38" s="43" t="inlineStr">
        <is>
          <t>RISK (subjective 1-5; 5 = LOW risk)</t>
        </is>
      </c>
    </row>
    <row r="39" ht="15" customHeight="1" s="34">
      <c r="A39" s="40" t="inlineStr">
        <is>
          <t>Customer Concentration (1=top customer&gt;50%, 5=diversified)</t>
        </is>
      </c>
    </row>
    <row r="40" ht="15" customHeight="1" s="34">
      <c r="A40" s="40" t="inlineStr">
        <is>
          <t>Geographic/Export Risk (1=high China/export, 5=domestic safe)</t>
        </is>
      </c>
    </row>
    <row r="41">
      <c r="A41" s="40" t="inlineStr">
        <is>
          <t>Balance Sheet Risk (1=stressed, 5=fortress)</t>
        </is>
      </c>
    </row>
    <row r="42">
      <c r="A42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2026-06-10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1.0176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17.6896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2.41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1.04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-1.48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-406.27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11.53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42.43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8.619999999999999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25.36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14.84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30.02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12.39</v>
      </c>
      <c r="H31" s="33" t="n">
        <v>1.5718</v>
      </c>
      <c r="I31" s="33">
        <f>IF(OR(E32="",R32="",R32&lt;=0,E32&lt;0),"",E32/R32)</f>
        <v/>
      </c>
      <c r="J31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1" s="33" t="n">
        <v>15.2</v>
      </c>
      <c r="L31" s="33" t="n">
        <v>51.73</v>
      </c>
      <c r="M31" s="33" t="n">
        <v>19.47</v>
      </c>
      <c r="N31" s="33" t="n">
        <v>0.39</v>
      </c>
      <c r="O31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1" s="33" t="n">
        <v>2.13</v>
      </c>
      <c r="Q31" s="33" t="n">
        <v>41</v>
      </c>
      <c r="S31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IFERROR(AVERAGE(T32,U32,V32,W32,X32)*20,"")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IFERROR(AVERAGE(AE32,AF32,AG32,AH32)*20,"")</f>
        <v/>
      </c>
      <c r="AJ31" s="64">
        <f>IFERROR(J32*Weights!$B$4 + O32*Weights!$B$5 + S32*Weights!$B$6 + Y32*Weights!$B$7 + AD32*Weights!$B$8 + AI32*Weights!$B$9,"")</f>
        <v/>
      </c>
      <c r="AK31" s="65">
        <f>IF(AJ32="","",IF(AJ32&gt;=85,"✓✓✓",IF(AJ32&gt;=70,"✓✓",IF(AJ32&gt;=55,"✓",IF(AJ32&gt;=40,"?","✗")))))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-7.73</v>
      </c>
      <c r="H32" s="33" t="n">
        <v>7.1284943</v>
      </c>
      <c r="I32" s="33">
        <f>IF(OR(E33="",R33="",R33&lt;=0,E33&lt;0),"",E33/R33)</f>
        <v/>
      </c>
      <c r="J32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2" s="33" t="n">
        <v>28.3</v>
      </c>
      <c r="L32" s="33" t="n">
        <v>-31.24</v>
      </c>
      <c r="M32" s="33" t="n">
        <v>-55.07</v>
      </c>
      <c r="N32" s="33" t="n">
        <v>-1.27</v>
      </c>
      <c r="O32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2" s="33" t="n">
        <v>0.4</v>
      </c>
      <c r="Q32" s="33" t="n">
        <v>22.3</v>
      </c>
      <c r="S32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IFERROR(AVERAGE(T33,U33,V33,W33,X33)*20,"")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IFERROR(AVERAGE(AE33,AF33,AG33,AH33)*20,"")</f>
        <v/>
      </c>
      <c r="AJ32" s="64">
        <f>IFERROR(J33*Weights!$B$4 + O33*Weights!$B$5 + S33*Weights!$B$6 + Y33*Weights!$B$7 + AD33*Weights!$B$8 + AI33*Weights!$B$9,"")</f>
        <v/>
      </c>
      <c r="AK32" s="65">
        <f>IF(AJ33="","",IF(AJ33&gt;=85,"✓✓✓",IF(AJ33&gt;=70,"✓✓",IF(AJ33&gt;=55,"✓",IF(AJ33&gt;=40,"?","✗")))))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1.76</v>
      </c>
      <c r="H33" s="33" t="n">
        <v>2.8357093</v>
      </c>
      <c r="I33" s="33">
        <f>IF(OR(E34="",R34="",R34&lt;=0,E34&lt;0),"",E34/R34)</f>
        <v/>
      </c>
      <c r="J33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3" s="33" t="n">
        <v>15.7</v>
      </c>
      <c r="L33" s="33" t="n">
        <v>25.85</v>
      </c>
      <c r="M33" s="33" t="n">
        <v>4.98</v>
      </c>
      <c r="N33" s="33" t="n">
        <v>1.01</v>
      </c>
      <c r="O33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IFERROR(AVERAGE(T34,U34,V34,W34,X34)*20,"")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IFERROR(AVERAGE(AE34,AF34,AG34,AH34)*20,"")</f>
        <v/>
      </c>
      <c r="AJ33" s="64">
        <f>IFERROR(J34*Weights!$B$4 + O34*Weights!$B$5 + S34*Weights!$B$6 + Y34*Weights!$B$7 + AD34*Weights!$B$8 + AI34*Weights!$B$9,"")</f>
        <v/>
      </c>
      <c r="AK33" s="65">
        <f>IF(AJ34="","",IF(AJ34&gt;=85,"✓✓✓",IF(AJ34&gt;=70,"✓✓",IF(AJ34&gt;=55,"✓",IF(AJ34&gt;=40,"?","✗")))))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0.74</v>
      </c>
      <c r="H34" s="33" t="n">
        <v>3.587862</v>
      </c>
      <c r="I34" s="33">
        <f>IF(OR(E35="",R35="",R35&lt;=0,E35&lt;0),"",E35/R35)</f>
        <v/>
      </c>
      <c r="J34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4" s="33" t="n">
        <v>5.3</v>
      </c>
      <c r="L34" s="33" t="n">
        <v>38.14</v>
      </c>
      <c r="M34" s="33" t="n">
        <v>2.66</v>
      </c>
      <c r="N34" s="33" t="n">
        <v>2.14</v>
      </c>
      <c r="O34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IFERROR(AVERAGE(T35,U35,V35,W35,X35)*20,"")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IFERROR(AVERAGE(AE35,AF35,AG35,AH35)*20,"")</f>
        <v/>
      </c>
      <c r="AJ34" s="64">
        <f>IFERROR(J35*Weights!$B$4 + O35*Weights!$B$5 + S35*Weights!$B$6 + Y35*Weights!$B$7 + AD35*Weights!$B$8 + AI35*Weights!$B$9,"")</f>
        <v/>
      </c>
      <c r="AK34" s="65">
        <f>IF(AJ35="","",IF(AJ35&gt;=85,"✓✓✓",IF(AJ35&gt;=70,"✓✓",IF(AJ35&gt;=55,"✓",IF(AJ35&gt;=40,"?","✗")))))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1.71</v>
      </c>
      <c r="H35" s="33" t="n">
        <v>5.4379973</v>
      </c>
      <c r="I35" s="33">
        <f>IF(OR(E36="",R36="",R36&lt;=0,E36&lt;0),"",E36/R36)</f>
        <v/>
      </c>
      <c r="J35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5" s="33" t="n">
        <v>14.3</v>
      </c>
      <c r="L35" s="33" t="n">
        <v>37.1</v>
      </c>
      <c r="M35" s="33" t="n">
        <v>9.279999999999999</v>
      </c>
      <c r="N35" s="33" t="n">
        <v>3.32</v>
      </c>
      <c r="O35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IFERROR(AVERAGE(T36,U36,V36,W36,X36)*20,"")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IFERROR(AVERAGE(AE36,AF36,AG36,AH36)*20,"")</f>
        <v/>
      </c>
      <c r="AJ35" s="64">
        <f>IFERROR(J36*Weights!$B$4 + O36*Weights!$B$5 + S36*Weights!$B$6 + Y36*Weights!$B$7 + AD36*Weights!$B$8 + AI36*Weights!$B$9,"")</f>
        <v/>
      </c>
      <c r="AK35" s="65">
        <f>IF(AJ36="","",IF(AJ36&gt;=85,"✓✓✓",IF(AJ36&gt;=70,"✓✓",IF(AJ36&gt;=55,"✓",IF(AJ36&gt;=40,"?","✗")))))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IFERROR(AVERAGE(T37,U37,V37,W37,X37)*20,"")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IFERROR(AVERAGE(AE37,AF37,AG37,AH37)*20,"")</f>
        <v/>
      </c>
      <c r="AJ36" s="33">
        <f>IFERROR(J37*Weights!$B$4 + O37*Weights!$B$5 + S37*Weights!$B$6 + Y37*Weights!$B$7 + AD37*Weights!$B$8 + AI37*Weights!$B$9,"")</f>
        <v/>
      </c>
      <c r="AK36" s="33">
        <f>IF(AJ37="","",IF(AJ37&gt;=85,"✓✓✓",IF(AJ37&gt;=70,"✓✓",IF(AJ37&gt;=55,"✓",IF(AJ37&gt;=40,"?","✗")))))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0.25</v>
      </c>
      <c r="H37" s="33" t="n">
        <v>5.462164</v>
      </c>
      <c r="I37" s="33">
        <f>IF(OR(E38="",R38="",R38&lt;=0,E38&lt;0),"",E38/R38)</f>
        <v/>
      </c>
      <c r="J37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7" s="33" t="n">
        <v>18.7</v>
      </c>
      <c r="L37" s="33" t="n">
        <v>40.37</v>
      </c>
      <c r="M37" s="33" t="n">
        <v>1.38</v>
      </c>
      <c r="N37" s="33" t="n">
        <v>0.46</v>
      </c>
      <c r="O37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IFERROR(AVERAGE(T38,U38,V38,W38,X38)*20,"")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IFERROR(AVERAGE(AE38,AF38,AG38,AH38)*20,"")</f>
        <v/>
      </c>
      <c r="AJ37" s="33">
        <f>IFERROR(J38*Weights!$B$4 + O38*Weights!$B$5 + S38*Weights!$B$6 + Y38*Weights!$B$7 + AD38*Weights!$B$8 + AI38*Weights!$B$9,"")</f>
        <v/>
      </c>
      <c r="AK37" s="33">
        <f>IF(AJ38="","",IF(AJ38&gt;=85,"✓✓✓",IF(AJ38&gt;=70,"✓✓",IF(AJ38&gt;=55,"✓",IF(AJ38&gt;=40,"?","✗")))))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IFERROR(AVERAGE(T39,U39,V39,W39,X39)*20,"")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IFERROR(AVERAGE(AE39,AF39,AG39,AH39)*20,"")</f>
        <v/>
      </c>
      <c r="AJ38" s="33">
        <f>IFERROR(J39*Weights!$B$4 + O39*Weights!$B$5 + S39*Weights!$B$6 + Y39*Weights!$B$7 + AD39*Weights!$B$8 + AI39*Weights!$B$9,"")</f>
        <v/>
      </c>
      <c r="AK38" s="33">
        <f>IF(AJ39="","",IF(AJ39&gt;=85,"✓✓✓",IF(AJ39&gt;=70,"✓✓",IF(AJ39&gt;=55,"✓",IF(AJ39&gt;=40,"?","✗")))))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2.13</v>
      </c>
      <c r="H39" s="33" t="n">
        <v>4.229827</v>
      </c>
      <c r="I39" s="33">
        <f>IF(OR(E40="",R40="",R40&lt;=0,E40&lt;0),"",E40/R40)</f>
        <v/>
      </c>
      <c r="J39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39" s="33" t="n">
        <v>14.9</v>
      </c>
      <c r="L39" s="33" t="n">
        <v>35.69</v>
      </c>
      <c r="M39" s="33" t="n">
        <v>9.029999999999999</v>
      </c>
      <c r="N39" s="33" t="n">
        <v>1.51</v>
      </c>
      <c r="O39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IFERROR(AVERAGE(T40,U40,V40,W40,X40)*20,"")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IFERROR(AVERAGE(AE40,AF40,AG40,AH40)*20,"")</f>
        <v/>
      </c>
      <c r="AJ39" s="33">
        <f>IFERROR(J40*Weights!$B$4 + O40*Weights!$B$5 + S40*Weights!$B$6 + Y40*Weights!$B$7 + AD40*Weights!$B$8 + AI40*Weights!$B$9,"")</f>
        <v/>
      </c>
      <c r="AK39" s="33">
        <f>IF(AJ40="","",IF(AJ40&gt;=85,"✓✓✓",IF(AJ40&gt;=70,"✓✓",IF(AJ40&gt;=55,"✓",IF(AJ40&gt;=40,"?","✗")))))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0.9</v>
      </c>
      <c r="H40" s="33" t="n">
        <v>3.8360026</v>
      </c>
      <c r="I40" s="33">
        <f>IF(OR(E41="",R41="",R41&lt;=0,E41&lt;0),"",E41/R41)</f>
        <v/>
      </c>
      <c r="J40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0" s="33" t="n">
        <v>8.1</v>
      </c>
      <c r="L40" s="33" t="n">
        <v>15.1</v>
      </c>
      <c r="M40" s="33" t="n">
        <v>3.44</v>
      </c>
      <c r="N40" s="33" t="n">
        <v>2.24</v>
      </c>
      <c r="O40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IFERROR(AVERAGE(T41,U41,V41,W41,X41)*20,"")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IFERROR(AVERAGE(AE41,AF41,AG41,AH41)*20,"")</f>
        <v/>
      </c>
      <c r="AJ40" s="33">
        <f>IFERROR(J41*Weights!$B$4 + O41*Weights!$B$5 + S41*Weights!$B$6 + Y41*Weights!$B$7 + AD41*Weights!$B$8 + AI41*Weights!$B$9,"")</f>
        <v/>
      </c>
      <c r="AK40" s="33">
        <f>IF(AJ41="","",IF(AJ41&gt;=85,"✓✓✓",IF(AJ41&gt;=70,"✓✓",IF(AJ41&gt;=55,"✓",IF(AJ41&gt;=40,"?","✗")))))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0.04</v>
      </c>
      <c r="H41" s="33" t="n">
        <v>2.1455665</v>
      </c>
      <c r="I41" s="33">
        <f>IF(OR(E42="",R42="",R42&lt;=0,E42&lt;0),"",E42/R42)</f>
        <v/>
      </c>
      <c r="J41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1" s="33" t="n">
        <v>9.300000000000001</v>
      </c>
      <c r="L41" s="33" t="n">
        <v>12.82</v>
      </c>
      <c r="M41" s="33" t="n">
        <v>0.08</v>
      </c>
      <c r="N41" s="33" t="n">
        <v>2.28</v>
      </c>
      <c r="O41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IFERROR(AVERAGE(T42,U42,V42,W42,X42)*20,"")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IFERROR(AVERAGE(AE42,AF42,AG42,AH42)*20,"")</f>
        <v/>
      </c>
      <c r="AJ41" s="33">
        <f>IFERROR(J42*Weights!$B$4 + O42*Weights!$B$5 + S42*Weights!$B$6 + Y42*Weights!$B$7 + AD42*Weights!$B$8 + AI42*Weights!$B$9,"")</f>
        <v/>
      </c>
      <c r="AK41" s="33">
        <f>IF(AJ42="","",IF(AJ42&gt;=85,"✓✓✓",IF(AJ42&gt;=70,"✓✓",IF(AJ42&gt;=55,"✓",IF(AJ42&gt;=40,"?","✗")))))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1.81</v>
      </c>
      <c r="H42" s="33" t="n">
        <v>9.396100000000001</v>
      </c>
      <c r="I42" s="33">
        <f>IF(OR(E43="",R43="",R43&lt;=0,E43&lt;0),"",E43/R43)</f>
        <v/>
      </c>
      <c r="J42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IFERROR(AVERAGE(T43,U43,V43,W43,X43)*20,"")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IFERROR(AVERAGE(AE43,AF43,AG43,AH43)*20,"")</f>
        <v/>
      </c>
      <c r="AJ42" s="33">
        <f>IFERROR(J43*Weights!$B$4 + O43*Weights!$B$5 + S43*Weights!$B$6 + Y43*Weights!$B$7 + AD43*Weights!$B$8 + AI43*Weights!$B$9,"")</f>
        <v/>
      </c>
      <c r="AK42" s="33">
        <f>IF(AJ43="","",IF(AJ43&gt;=85,"✓✓✓",IF(AJ43&gt;=70,"✓✓",IF(AJ43&gt;=55,"✓",IF(AJ43&gt;=40,"?","✗")))))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1.39</v>
      </c>
      <c r="H43" s="33" t="n">
        <v>6.3289</v>
      </c>
      <c r="I43" s="33">
        <f>IF(OR(E44="",R44="",R44&lt;=0,E44&lt;0),"",E44/R44)</f>
        <v/>
      </c>
      <c r="J43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IFERROR(AVERAGE(T44,U44,V44,W44,X44)*20,"")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IFERROR(AVERAGE(AE44,AF44,AG44,AH44)*20,"")</f>
        <v/>
      </c>
      <c r="AJ43" s="33">
        <f>IFERROR(J44*Weights!$B$4 + O44*Weights!$B$5 + S44*Weights!$B$6 + Y44*Weights!$B$7 + AD44*Weights!$B$8 + AI44*Weights!$B$9,"")</f>
        <v/>
      </c>
      <c r="AK43" s="33">
        <f>IF(AJ44="","",IF(AJ44&gt;=85,"✓✓✓",IF(AJ44&gt;=70,"✓✓",IF(AJ44&gt;=55,"✓",IF(AJ44&gt;=40,"?","✗")))))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5.02</v>
      </c>
      <c r="H44" s="33" t="n">
        <v>1.0035</v>
      </c>
      <c r="I44" s="33">
        <f>IF(OR(E45="",R45="",R45&lt;=0,E45&lt;0),"",E45/R45)</f>
        <v/>
      </c>
      <c r="J44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IFERROR(AVERAGE(T45,U45,V45,W45,X45)*20,"")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IFERROR(AVERAGE(AE45,AF45,AG45,AH45)*20,"")</f>
        <v/>
      </c>
      <c r="AJ44" s="33">
        <f>IFERROR(J45*Weights!$B$4 + O45*Weights!$B$5 + S45*Weights!$B$6 + Y45*Weights!$B$7 + AD45*Weights!$B$8 + AI45*Weights!$B$9,"")</f>
        <v/>
      </c>
      <c r="AK44" s="33">
        <f>IF(AJ45="","",IF(AJ45&gt;=85,"✓✓✓",IF(AJ45&gt;=70,"✓✓",IF(AJ45&gt;=55,"✓",IF(AJ45&gt;=40,"?","✗")))))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IFERROR(AVERAGE(T46,U46,V46,W46,X46)*20,"")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IFERROR(AVERAGE(AE46,AF46,AG46,AH46)*20,"")</f>
        <v/>
      </c>
      <c r="AJ45" s="33">
        <f>IFERROR(J46*Weights!$B$4 + O46*Weights!$B$5 + S46*Weights!$B$6 + Y46*Weights!$B$7 + AD46*Weights!$B$8 + AI46*Weights!$B$9,"")</f>
        <v/>
      </c>
      <c r="AK45" s="33">
        <f>IF(AJ46="","",IF(AJ46&gt;=85,"✓✓✓",IF(AJ46&gt;=70,"✓✓",IF(AJ46&gt;=55,"✓",IF(AJ46&gt;=40,"?","✗")))))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-0.9399999999999999</v>
      </c>
      <c r="H46" s="33" t="n">
        <v>11.2633</v>
      </c>
      <c r="I46" s="33">
        <f>IF(OR(E47="",R47="",R47&lt;=0,E47&lt;0),"",E47/R47)</f>
        <v/>
      </c>
      <c r="J46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6" s="33" t="n">
        <v>5.2758</v>
      </c>
      <c r="L46" s="33" t="n">
        <v>51.145</v>
      </c>
      <c r="M46" s="33" t="n">
        <v>-10.58</v>
      </c>
      <c r="N46" s="33" t="n">
        <v>5.146</v>
      </c>
      <c r="O46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IFERROR(AVERAGE(T47,U47,V47,W47,X47)*20,"")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IFERROR(AVERAGE(AE47,AF47,AG47,AH47)*20,"")</f>
        <v/>
      </c>
      <c r="AJ46" s="33">
        <f>IFERROR(J47*Weights!$B$4 + O47*Weights!$B$5 + S47*Weights!$B$6 + Y47*Weights!$B$7 + AD47*Weights!$B$8 + AI47*Weights!$B$9,"")</f>
        <v/>
      </c>
      <c r="AK46" s="33">
        <f>IF(AJ47="","",IF(AJ47&gt;=85,"✓✓✓",IF(AJ47&gt;=70,"✓✓",IF(AJ47&gt;=55,"✓",IF(AJ47&gt;=40,"?","✗")))))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-1.84</v>
      </c>
      <c r="H47" s="33" t="n">
        <v>5.2726</v>
      </c>
      <c r="I47" s="33">
        <f>IF(OR(E48="",R48="",R48&lt;=0,E48&lt;0),"",E48/R48)</f>
        <v/>
      </c>
      <c r="J47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IFERROR(AVERAGE(T48,U48,V48,W48,X48)*20,"")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IFERROR(AVERAGE(AE48,AF48,AG48,AH48)*20,"")</f>
        <v/>
      </c>
      <c r="AJ47" s="33">
        <f>IFERROR(J48*Weights!$B$4 + O48*Weights!$B$5 + S48*Weights!$B$6 + Y48*Weights!$B$7 + AD48*Weights!$B$8 + AI48*Weights!$B$9,"")</f>
        <v/>
      </c>
      <c r="AK47" s="33">
        <f>IF(AJ48="","",IF(AJ48&gt;=85,"✓✓✓",IF(AJ48&gt;=70,"✓✓",IF(AJ48&gt;=55,"✓",IF(AJ48&gt;=40,"?","✗")))))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2.09</v>
      </c>
      <c r="H48" s="33" t="n">
        <v>6.5384</v>
      </c>
      <c r="I48" s="33">
        <f>IF(OR(E49="",R49="",R49&lt;=0,E49&lt;0),"",E49/R49)</f>
        <v/>
      </c>
      <c r="J48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IFERROR(AVERAGE(T49,U49,V49,W49,X49)*20,"")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IFERROR(AVERAGE(AE49,AF49,AG49,AH49)*20,"")</f>
        <v/>
      </c>
      <c r="AJ48" s="33">
        <f>IFERROR(J49*Weights!$B$4 + O49*Weights!$B$5 + S49*Weights!$B$6 + Y49*Weights!$B$7 + AD49*Weights!$B$8 + AI49*Weights!$B$9,"")</f>
        <v/>
      </c>
      <c r="AK48" s="33">
        <f>IF(AJ49="","",IF(AJ49&gt;=85,"✓✓✓",IF(AJ49&gt;=70,"✓✓",IF(AJ49&gt;=55,"✓",IF(AJ49&gt;=40,"?","✗")))))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2.81</v>
      </c>
      <c r="H49" s="33" t="n">
        <v>2.1615</v>
      </c>
      <c r="I49" s="33">
        <f>IF(OR(E50="",R50="",R50&lt;=0,E50&lt;0),"",E50/R50)</f>
        <v/>
      </c>
      <c r="J49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IFERROR(AVERAGE(T50,U50,V50,W50,X50)*20,"")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IFERROR(AVERAGE(AE50,AF50,AG50,AH50)*20,"")</f>
        <v/>
      </c>
      <c r="AJ49" s="33">
        <f>IFERROR(J50*Weights!$B$4 + O50*Weights!$B$5 + S50*Weights!$B$6 + Y50*Weights!$B$7 + AD50*Weights!$B$8 + AI50*Weights!$B$9,"")</f>
        <v/>
      </c>
      <c r="AK49" s="33">
        <f>IF(AJ50="","",IF(AJ50&gt;=85,"✓✓✓",IF(AJ50&gt;=70,"✓✓",IF(AJ50&gt;=55,"✓",IF(AJ50&gt;=40,"?","✗")))))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0.74</v>
      </c>
      <c r="H50" s="33" t="n">
        <v>4.496921</v>
      </c>
      <c r="I50" s="33">
        <f>IF(OR(E51="",R51="",R51&lt;=0,E51&lt;0),"",E51/R51)</f>
        <v/>
      </c>
      <c r="J50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IFERROR(AVERAGE(T51,U51,V51,W51,X51)*20,"")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IFERROR(AVERAGE(AE51,AF51,AG51,AH51)*20,"")</f>
        <v/>
      </c>
      <c r="AJ50" s="33">
        <f>IFERROR(J51*Weights!$B$4 + O51*Weights!$B$5 + S51*Weights!$B$6 + Y51*Weights!$B$7 + AD51*Weights!$B$8 + AI51*Weights!$B$9,"")</f>
        <v/>
      </c>
      <c r="AK50" s="33">
        <f>IF(AJ51="","",IF(AJ51&gt;=85,"✓✓✓",IF(AJ51&gt;=70,"✓✓",IF(AJ51&gt;=55,"✓",IF(AJ51&gt;=40,"?","✗")))))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3.13</v>
      </c>
      <c r="H51" s="33" t="n">
        <v>2.4644</v>
      </c>
      <c r="I51" s="33">
        <f>IF(OR(E52="",R52="",R52&lt;=0,E52&lt;0),"",E52/R52)</f>
        <v/>
      </c>
      <c r="J51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IFERROR(AVERAGE(T52,U52,V52,W52,X52)*20,"")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IFERROR(AVERAGE(AE52,AF52,AG52,AH52)*20,"")</f>
        <v/>
      </c>
      <c r="AJ51" s="33">
        <f>IFERROR(J52*Weights!$B$4 + O52*Weights!$B$5 + S52*Weights!$B$6 + Y52*Weights!$B$7 + AD52*Weights!$B$8 + AI52*Weights!$B$9,"")</f>
        <v/>
      </c>
      <c r="AK51" s="33">
        <f>IF(AJ52="","",IF(AJ52&gt;=85,"✓✓✓",IF(AJ52&gt;=70,"✓✓",IF(AJ52&gt;=55,"✓",IF(AJ52&gt;=40,"?","✗")))))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3.08</v>
      </c>
      <c r="H52" s="33" t="n">
        <v>4.7217</v>
      </c>
      <c r="I52" s="33">
        <f>IF(OR(E53="",R53="",R53&lt;=0,E53&lt;0),"",E53/R53)</f>
        <v/>
      </c>
      <c r="J52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IFERROR(AVERAGE(T53,U53,V53,W53,X53)*20,"")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IFERROR(AVERAGE(AE53,AF53,AG53,AH53)*20,"")</f>
        <v/>
      </c>
      <c r="AJ52" s="33">
        <f>IFERROR(J53*Weights!$B$4 + O53*Weights!$B$5 + S53*Weights!$B$6 + Y53*Weights!$B$7 + AD53*Weights!$B$8 + AI53*Weights!$B$9,"")</f>
        <v/>
      </c>
      <c r="AK52" s="33">
        <f>IF(AJ53="","",IF(AJ53&gt;=85,"✓✓✓",IF(AJ53&gt;=70,"✓✓",IF(AJ53&gt;=55,"✓",IF(AJ53&gt;=40,"?","✗")))))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1.6</v>
      </c>
      <c r="H53" s="33" t="n">
        <v>3.5014</v>
      </c>
      <c r="I53" s="33">
        <f>IF(OR(E54="",R54="",R54&lt;=0,E54&lt;0),"",E54/R54)</f>
        <v/>
      </c>
      <c r="J53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IFERROR(AVERAGE(T54,U54,V54,W54,X54)*20,"")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IFERROR(AVERAGE(AE54,AF54,AG54,AH54)*20,"")</f>
        <v/>
      </c>
      <c r="AJ53" s="33">
        <f>IFERROR(J54*Weights!$B$4 + O54*Weights!$B$5 + S54*Weights!$B$6 + Y54*Weights!$B$7 + AD54*Weights!$B$8 + AI54*Weights!$B$9,"")</f>
        <v/>
      </c>
      <c r="AK53" s="33">
        <f>IF(AJ54="","",IF(AJ54&gt;=85,"✓✓✓",IF(AJ54&gt;=70,"✓✓",IF(AJ54&gt;=55,"✓",IF(AJ54&gt;=40,"?","✗")))))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1.42</v>
      </c>
      <c r="H54" s="33" t="n">
        <v>18.6691</v>
      </c>
      <c r="I54" s="33">
        <f>IF(OR(E55="",R55="",R55&lt;=0,E55&lt;0),"",E55/R55)</f>
        <v/>
      </c>
      <c r="J54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IFERROR(AVERAGE(T55,U55,V55,W55,X55)*20,"")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IFERROR(AVERAGE(AE55,AF55,AG55,AH55)*20,"")</f>
        <v/>
      </c>
      <c r="AJ54" s="33">
        <f>IFERROR(J55*Weights!$B$4 + O55*Weights!$B$5 + S55*Weights!$B$6 + Y55*Weights!$B$7 + AD55*Weights!$B$8 + AI55*Weights!$B$9,"")</f>
        <v/>
      </c>
      <c r="AK54" s="33">
        <f>IF(AJ55="","",IF(AJ55&gt;=85,"✓✓✓",IF(AJ55&gt;=70,"✓✓",IF(AJ55&gt;=55,"✓",IF(AJ55&gt;=40,"?","✗")))))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1.48</v>
      </c>
      <c r="H55" s="33" t="n">
        <v>12.4436</v>
      </c>
      <c r="I55" s="33">
        <f>IF(OR(E56="",R56="",R56&lt;=0,E56&lt;0),"",E56/R56)</f>
        <v/>
      </c>
      <c r="J55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IFERROR(AVERAGE(T56,U56,V56,W56,X56)*20,"")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IFERROR(AVERAGE(AE56,AF56,AG56,AH56)*20,"")</f>
        <v/>
      </c>
      <c r="AJ55" s="33">
        <f>IFERROR(J56*Weights!$B$4 + O56*Weights!$B$5 + S56*Weights!$B$6 + Y56*Weights!$B$7 + AD56*Weights!$B$8 + AI56*Weights!$B$9,"")</f>
        <v/>
      </c>
      <c r="AK55" s="33">
        <f>IF(AJ56="","",IF(AJ56&gt;=85,"✓✓✓",IF(AJ56&gt;=70,"✓✓",IF(AJ56&gt;=55,"✓",IF(AJ56&gt;=40,"?","✗")))))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1.49</v>
      </c>
      <c r="H56" s="33" t="n">
        <v>18.6116</v>
      </c>
      <c r="I56" s="33">
        <f>IF(OR(E57="",R57="",R57&lt;=0,E57&lt;0),"",E57/R57)</f>
        <v/>
      </c>
      <c r="J56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IFERROR(AVERAGE(T57,U57,V57,W57,X57)*20,"")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IFERROR(AVERAGE(AE57,AF57,AG57,AH57)*20,"")</f>
        <v/>
      </c>
      <c r="AJ56" s="33">
        <f>IFERROR(J57*Weights!$B$4 + O57*Weights!$B$5 + S57*Weights!$B$6 + Y57*Weights!$B$7 + AD57*Weights!$B$8 + AI57*Weights!$B$9,"")</f>
        <v/>
      </c>
      <c r="AK56" s="33">
        <f>IF(AJ57="","",IF(AJ57&gt;=85,"✓✓✓",IF(AJ57&gt;=70,"✓✓",IF(AJ57&gt;=55,"✓",IF(AJ57&gt;=40,"?","✗")))))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1.53</v>
      </c>
      <c r="H57" s="33" t="n">
        <v>20.0618</v>
      </c>
      <c r="I57" s="33">
        <f>IF(OR(E58="",R58="",R58&lt;=0,E58&lt;0),"",E58/R58)</f>
        <v/>
      </c>
      <c r="J57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IFERROR(AVERAGE(T58,U58,V58,W58,X58)*20,"")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IFERROR(AVERAGE(AE58,AF58,AG58,AH58)*20,"")</f>
        <v/>
      </c>
      <c r="AJ57" s="33">
        <f>IFERROR(J58*Weights!$B$4 + O58*Weights!$B$5 + S58*Weights!$B$6 + Y58*Weights!$B$7 + AD58*Weights!$B$8 + AI58*Weights!$B$9,"")</f>
        <v/>
      </c>
      <c r="AK57" s="33">
        <f>IF(AJ58="","",IF(AJ58&gt;=85,"✓✓✓",IF(AJ58&gt;=70,"✓✓",IF(AJ58&gt;=55,"✓",IF(AJ58&gt;=40,"?","✗")))))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IFERROR(AVERAGE(T59,U59,V59,W59,X59)*20,"")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IFERROR(AVERAGE(AE59,AF59,AG59,AH59)*20,"")</f>
        <v/>
      </c>
      <c r="AJ58" s="33">
        <f>IFERROR(J59*Weights!$B$4 + O59*Weights!$B$5 + S59*Weights!$B$6 + Y59*Weights!$B$7 + AD59*Weights!$B$8 + AI59*Weights!$B$9,"")</f>
        <v/>
      </c>
      <c r="AK58" s="33">
        <f>IF(AJ59="","",IF(AJ59&gt;=85,"✓✓✓",IF(AJ59&gt;=70,"✓✓",IF(AJ59&gt;=55,"✓",IF(AJ59&gt;=40,"?","✗")))))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0.91</v>
      </c>
      <c r="H59" s="33" t="n">
        <v>16.0865</v>
      </c>
      <c r="I59" s="33">
        <f>IF(OR(E60="",R60="",R60&lt;=0,E60&lt;0),"",E60/R60)</f>
        <v/>
      </c>
      <c r="J59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IFERROR(AVERAGE(T60,U60,V60,W60,X60)*20,"")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IFERROR(AVERAGE(AE60,AF60,AG60,AH60)*20,"")</f>
        <v/>
      </c>
      <c r="AJ59" s="33">
        <f>IFERROR(J60*Weights!$B$4 + O60*Weights!$B$5 + S60*Weights!$B$6 + Y60*Weights!$B$7 + AD60*Weights!$B$8 + AI60*Weights!$B$9,"")</f>
        <v/>
      </c>
      <c r="AK59" s="33">
        <f>IF(AJ60="","",IF(AJ60&gt;=85,"✓✓✓",IF(AJ60&gt;=70,"✓✓",IF(AJ60&gt;=55,"✓",IF(AJ60&gt;=40,"?","✗")))))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1.75</v>
      </c>
      <c r="H60" s="33" t="n">
        <v>13.2332</v>
      </c>
      <c r="I60" s="33">
        <f>IF(OR(E61="",R61="",R61&lt;=0,E61&lt;0),"",E61/R61)</f>
        <v/>
      </c>
      <c r="J60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IFERROR(AVERAGE(T61,U61,V61,W61,X61)*20,"")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IFERROR(AVERAGE(AE61,AF61,AG61,AH61)*20,"")</f>
        <v/>
      </c>
      <c r="AJ60" s="33">
        <f>IFERROR(J61*Weights!$B$4 + O61*Weights!$B$5 + S61*Weights!$B$6 + Y61*Weights!$B$7 + AD61*Weights!$B$8 + AI61*Weights!$B$9,"")</f>
        <v/>
      </c>
      <c r="AK60" s="33">
        <f>IF(AJ61="","",IF(AJ61&gt;=85,"✓✓✓",IF(AJ61&gt;=70,"✓✓",IF(AJ61&gt;=55,"✓",IF(AJ61&gt;=40,"?","✗")))))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IFERROR(AVERAGE(T62,U62,V62,W62,X62)*20,"")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IFERROR(AVERAGE(AE62,AF62,AG62,AH62)*20,"")</f>
        <v/>
      </c>
      <c r="AJ61" s="33">
        <f>IFERROR(J62*Weights!$B$4 + O62*Weights!$B$5 + S62*Weights!$B$6 + Y62*Weights!$B$7 + AD62*Weights!$B$8 + AI62*Weights!$B$9,"")</f>
        <v/>
      </c>
      <c r="AK61" s="33">
        <f>IF(AJ62="","",IF(AJ62&gt;=85,"✓✓✓",IF(AJ62&gt;=70,"✓✓",IF(AJ62&gt;=55,"✓",IF(AJ62&gt;=40,"?","✗")))))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0.08</v>
      </c>
      <c r="H62" s="33" t="n">
        <v>7.3961</v>
      </c>
      <c r="I62" s="33">
        <f>IF(OR(E63="",R63="",R63&lt;=0,E63&lt;0),"",E63/R63)</f>
        <v/>
      </c>
      <c r="J62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IFERROR(AVERAGE(T63,U63,V63,W63,X63)*20,"")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IFERROR(AVERAGE(AE63,AF63,AG63,AH63)*20,"")</f>
        <v/>
      </c>
      <c r="AJ62" s="33">
        <f>IFERROR(J63*Weights!$B$4 + O63*Weights!$B$5 + S63*Weights!$B$6 + Y63*Weights!$B$7 + AD63*Weights!$B$8 + AI63*Weights!$B$9,"")</f>
        <v/>
      </c>
      <c r="AK62" s="33">
        <f>IF(AJ63="","",IF(AJ63&gt;=85,"✓✓✓",IF(AJ63&gt;=70,"✓✓",IF(AJ63&gt;=55,"✓",IF(AJ63&gt;=40,"?","✗")))))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2.33</v>
      </c>
      <c r="H63" s="33" t="n">
        <v>6.6902</v>
      </c>
      <c r="I63" s="33">
        <f>IF(OR(E64="",R64="",R64&lt;=0,E64&lt;0),"",E64/R64)</f>
        <v/>
      </c>
      <c r="J63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IFERROR(AVERAGE(T64,U64,V64,W64,X64)*20,"")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IFERROR(AVERAGE(AE64,AF64,AG64,AH64)*20,"")</f>
        <v/>
      </c>
      <c r="AJ63" s="33">
        <f>IFERROR(J64*Weights!$B$4 + O64*Weights!$B$5 + S64*Weights!$B$6 + Y64*Weights!$B$7 + AD64*Weights!$B$8 + AI64*Weights!$B$9,"")</f>
        <v/>
      </c>
      <c r="AK63" s="33">
        <f>IF(AJ64="","",IF(AJ64&gt;=85,"✓✓✓",IF(AJ64&gt;=70,"✓✓",IF(AJ64&gt;=55,"✓",IF(AJ64&gt;=40,"?","✗")))))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1.78</v>
      </c>
      <c r="H64" s="33" t="n">
        <v>5.542</v>
      </c>
      <c r="I64" s="33">
        <f>IF(OR(E65="",R65="",R65&lt;=0,E65&lt;0),"",E65/R65)</f>
        <v/>
      </c>
      <c r="J64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IFERROR(AVERAGE(T65,U65,V65,W65,X65)*20,"")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IFERROR(AVERAGE(AE65,AF65,AG65,AH65)*20,"")</f>
        <v/>
      </c>
      <c r="AJ64" s="33">
        <f>IFERROR(J65*Weights!$B$4 + O65*Weights!$B$5 + S65*Weights!$B$6 + Y65*Weights!$B$7 + AD65*Weights!$B$8 + AI65*Weights!$B$9,"")</f>
        <v/>
      </c>
      <c r="AK64" s="33">
        <f>IF(AJ65="","",IF(AJ65&gt;=85,"✓✓✓",IF(AJ65&gt;=70,"✓✓",IF(AJ65&gt;=55,"✓",IF(AJ65&gt;=40,"?","✗")))))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2.05</v>
      </c>
      <c r="H65" s="33" t="n">
        <v>3.7231</v>
      </c>
      <c r="I65" s="33">
        <f>IF(OR(E66="",R66="",R66&lt;=0,E66&lt;0),"",E66/R66)</f>
        <v/>
      </c>
      <c r="J65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IFERROR(AVERAGE(T66,U66,V66,W66,X66)*20,"")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IFERROR(AVERAGE(AE66,AF66,AG66,AH66)*20,"")</f>
        <v/>
      </c>
      <c r="AJ65" s="33">
        <f>IFERROR(J66*Weights!$B$4 + O66*Weights!$B$5 + S66*Weights!$B$6 + Y66*Weights!$B$7 + AD66*Weights!$B$8 + AI66*Weights!$B$9,"")</f>
        <v/>
      </c>
      <c r="AK65" s="33">
        <f>IF(AJ66="","",IF(AJ66&gt;=85,"✓✓✓",IF(AJ66&gt;=70,"✓✓",IF(AJ66&gt;=55,"✓",IF(AJ66&gt;=40,"?","✗")))))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-1.11</v>
      </c>
      <c r="H66" s="33" t="n">
        <v>1.8948</v>
      </c>
      <c r="I66" s="33">
        <f>IF(OR(E67="",R67="",R67&lt;=0,E67&lt;0),"",E67/R67)</f>
        <v/>
      </c>
      <c r="J66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IFERROR(AVERAGE(T67,U67,V67,W67,X67)*20,"")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IFERROR(AVERAGE(AE67,AF67,AG67,AH67)*20,"")</f>
        <v/>
      </c>
      <c r="AJ66" s="33">
        <f>IFERROR(J67*Weights!$B$4 + O67*Weights!$B$5 + S67*Weights!$B$6 + Y67*Weights!$B$7 + AD67*Weights!$B$8 + AI67*Weights!$B$9,"")</f>
        <v/>
      </c>
      <c r="AK66" s="33">
        <f>IF(AJ67="","",IF(AJ67&gt;=85,"✓✓✓",IF(AJ67&gt;=70,"✓✓",IF(AJ67&gt;=55,"✓",IF(AJ67&gt;=40,"?","✗")))))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1.36</v>
      </c>
      <c r="H67" s="33" t="n">
        <v>19.0451</v>
      </c>
      <c r="I67" s="33">
        <f>IF(OR(E68="",R68="",R68&lt;=0,E68&lt;0),"",E68/R68)</f>
        <v/>
      </c>
      <c r="J67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IFERROR(AVERAGE(T68,U68,V68,W68,X68)*20,"")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IFERROR(AVERAGE(AE68,AF68,AG68,AH68)*20,"")</f>
        <v/>
      </c>
      <c r="AJ67" s="33">
        <f>IFERROR(J68*Weights!$B$4 + O68*Weights!$B$5 + S68*Weights!$B$6 + Y68*Weights!$B$7 + AD68*Weights!$B$8 + AI68*Weights!$B$9,"")</f>
        <v/>
      </c>
      <c r="AK67" s="33">
        <f>IF(AJ68="","",IF(AJ68&gt;=85,"✓✓✓",IF(AJ68&gt;=70,"✓✓",IF(AJ68&gt;=55,"✓",IF(AJ68&gt;=40,"?","✗")))))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2.23</v>
      </c>
      <c r="H68" s="33" t="n">
        <v>12.7879</v>
      </c>
      <c r="I68" s="33">
        <f>IF(OR(E69="",R69="",R69&lt;=0,E69&lt;0),"",E69/R69)</f>
        <v/>
      </c>
      <c r="J68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8" s="33" t="n">
        <v>4.2354</v>
      </c>
      <c r="L68" s="33" t="n">
        <v>75.137</v>
      </c>
      <c r="M68" s="33" t="n">
        <v>28.46</v>
      </c>
      <c r="N68" s="33" t="n">
        <v>3.074</v>
      </c>
      <c r="O68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IFERROR(AVERAGE(T69,U69,V69,W69,X69)*20,"")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IFERROR(AVERAGE(AE69,AF69,AG69,AH69)*20,"")</f>
        <v/>
      </c>
      <c r="AJ68" s="33">
        <f>IFERROR(J69*Weights!$B$4 + O69*Weights!$B$5 + S69*Weights!$B$6 + Y69*Weights!$B$7 + AD69*Weights!$B$8 + AI69*Weights!$B$9,"")</f>
        <v/>
      </c>
      <c r="AK68" s="33">
        <f>IF(AJ69="","",IF(AJ69&gt;=85,"✓✓✓",IF(AJ69&gt;=70,"✓✓",IF(AJ69&gt;=55,"✓",IF(AJ69&gt;=40,"?","✗")))))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0.28</v>
      </c>
      <c r="H69" s="33" t="n">
        <v>73.17010000000001</v>
      </c>
      <c r="I69" s="33">
        <f>IF(OR(E70="",R70="",R70&lt;=0,E70&lt;0),"",E70/R70)</f>
        <v/>
      </c>
      <c r="J69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69" s="33" t="n">
        <v>15.7</v>
      </c>
      <c r="L69" s="33" t="n">
        <v>97.5</v>
      </c>
      <c r="M69" s="33" t="n">
        <v>20.53</v>
      </c>
      <c r="N69" s="33" t="n">
        <v>-2.87</v>
      </c>
      <c r="O69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IFERROR(AVERAGE(T70,U70,V70,W70,X70)*20,"")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IFERROR(AVERAGE(AE70,AF70,AG70,AH70)*20,"")</f>
        <v/>
      </c>
      <c r="AJ69" s="33">
        <f>IFERROR(J70*Weights!$B$4 + O70*Weights!$B$5 + S70*Weights!$B$6 + Y70*Weights!$B$7 + AD70*Weights!$B$8 + AI70*Weights!$B$9,"")</f>
        <v/>
      </c>
      <c r="AK69" s="33">
        <f>IF(AJ70="","",IF(AJ70&gt;=85,"✓✓✓",IF(AJ70&gt;=70,"✓✓",IF(AJ70&gt;=55,"✓",IF(AJ70&gt;=40,"?","✗")))))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1.56</v>
      </c>
      <c r="H70" s="33" t="n">
        <v>16.38</v>
      </c>
      <c r="I70" s="33">
        <f>IF(OR(E71="",R71="",R71&lt;=0,E71&lt;0),"",E71/R71)</f>
        <v/>
      </c>
      <c r="J70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0" s="33" t="n">
        <v>48.6</v>
      </c>
      <c r="L70" s="33" t="n">
        <v>61.9</v>
      </c>
      <c r="M70" s="33" t="n">
        <v>25.5</v>
      </c>
      <c r="N70" s="33" t="n">
        <v>-0.65</v>
      </c>
      <c r="O70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IFERROR(AVERAGE(T71,U71,V71,W71,X71)*20,"")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IFERROR(AVERAGE(AE71,AF71,AG71,AH71)*20,"")</f>
        <v/>
      </c>
      <c r="AJ70" s="33">
        <f>IFERROR(J71*Weights!$B$4 + O71*Weights!$B$5 + S71*Weights!$B$6 + Y71*Weights!$B$7 + AD71*Weights!$B$8 + AI71*Weights!$B$9,"")</f>
        <v/>
      </c>
      <c r="AK70" s="33">
        <f>IF(AJ71="","",IF(AJ71&gt;=85,"✓✓✓",IF(AJ71&gt;=70,"✓✓",IF(AJ71&gt;=55,"✓",IF(AJ71&gt;=40,"?","✗")))))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-0.5</v>
      </c>
      <c r="H71" s="33" t="n">
        <v>11.5472</v>
      </c>
      <c r="I71" s="33">
        <f>IF(OR(E72="",R72="",R72&lt;=0,E72&lt;0),"",E72/R72)</f>
        <v/>
      </c>
      <c r="J71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IFERROR(AVERAGE(T72,U72,V72,W72,X72)*20,"")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IFERROR(AVERAGE(AE72,AF72,AG72,AH72)*20,"")</f>
        <v/>
      </c>
      <c r="AJ71" s="33">
        <f>IFERROR(J72*Weights!$B$4 + O72*Weights!$B$5 + S72*Weights!$B$6 + Y72*Weights!$B$7 + AD72*Weights!$B$8 + AI72*Weights!$B$9,"")</f>
        <v/>
      </c>
      <c r="AK71" s="33">
        <f>IF(AJ72="","",IF(AJ72&gt;=85,"✓✓✓",IF(AJ72&gt;=70,"✓✓",IF(AJ72&gt;=55,"✓",IF(AJ72&gt;=40,"?","✗")))))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2.18</v>
      </c>
      <c r="H72" s="33" t="n">
        <v>7.2128</v>
      </c>
      <c r="I72" s="33">
        <f>IF(OR(E73="",R73="",R73&lt;=0,E73&lt;0),"",E73/R73)</f>
        <v/>
      </c>
      <c r="J72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IFERROR(AVERAGE(T73,U73,V73,W73,X73)*20,"")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IFERROR(AVERAGE(AE73,AF73,AG73,AH73)*20,"")</f>
        <v/>
      </c>
      <c r="AJ72" s="33">
        <f>IFERROR(J73*Weights!$B$4 + O73*Weights!$B$5 + S73*Weights!$B$6 + Y73*Weights!$B$7 + AD73*Weights!$B$8 + AI73*Weights!$B$9,"")</f>
        <v/>
      </c>
      <c r="AK72" s="33">
        <f>IF(AJ73="","",IF(AJ73&gt;=85,"✓✓✓",IF(AJ73&gt;=70,"✓✓",IF(AJ73&gt;=55,"✓",IF(AJ73&gt;=40,"?","✗")))))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0.9399999999999999</v>
      </c>
      <c r="H73" s="33" t="n">
        <v>21.1721</v>
      </c>
      <c r="I73" s="33">
        <f>IF(OR(E74="",R74="",R74&lt;=0,E74&lt;0),"",E74/R74)</f>
        <v/>
      </c>
      <c r="J73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IFERROR(AVERAGE(T74,U74,V74,W74,X74)*20,"")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IFERROR(AVERAGE(AE74,AF74,AG74,AH74)*20,"")</f>
        <v/>
      </c>
      <c r="AJ73" s="33">
        <f>IFERROR(J74*Weights!$B$4 + O74*Weights!$B$5 + S74*Weights!$B$6 + Y74*Weights!$B$7 + AD74*Weights!$B$8 + AI74*Weights!$B$9,"")</f>
        <v/>
      </c>
      <c r="AK73" s="33">
        <f>IF(AJ74="","",IF(AJ74&gt;=85,"✓✓✓",IF(AJ74&gt;=70,"✓✓",IF(AJ74&gt;=55,"✓",IF(AJ74&gt;=40,"?","✗")))))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79.51000000000001</v>
      </c>
      <c r="H74" s="33" t="n">
        <v>0.1794825</v>
      </c>
      <c r="I74" s="33">
        <f>IF(OR(E75="",R75="",R75&lt;=0,E75&lt;0),"",E75/R75)</f>
        <v/>
      </c>
      <c r="J74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4" s="33" t="n">
        <v>9.699999999999999</v>
      </c>
      <c r="L74" s="33" t="n">
        <v>29.61</v>
      </c>
      <c r="M74" s="33" t="n">
        <v>14.27</v>
      </c>
      <c r="N74" s="33" t="n">
        <v>-0.5600000000000001</v>
      </c>
      <c r="O74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IFERROR(AVERAGE(T75,U75,V75,W75,X75)*20,"")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IFERROR(AVERAGE(AE75,AF75,AG75,AH75)*20,"")</f>
        <v/>
      </c>
      <c r="AJ74" s="33">
        <f>IFERROR(J75*Weights!$B$4 + O75*Weights!$B$5 + S75*Weights!$B$6 + Y75*Weights!$B$7 + AD75*Weights!$B$8 + AI75*Weights!$B$9,"")</f>
        <v/>
      </c>
      <c r="AK74" s="33">
        <f>IF(AJ75="","",IF(AJ75&gt;=85,"✓✓✓",IF(AJ75&gt;=70,"✓✓",IF(AJ75&gt;=55,"✓",IF(AJ75&gt;=40,"?","✗")))))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1.49</v>
      </c>
      <c r="H75" s="33" t="n">
        <v>24.167109</v>
      </c>
      <c r="I75" s="33">
        <f>IF(OR(E76="",R76="",R76&lt;=0,E76&lt;0),"",E76/R76)</f>
        <v/>
      </c>
      <c r="J75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5" s="33" t="n">
        <v>21.3</v>
      </c>
      <c r="L75" s="33" t="n">
        <v>76.28</v>
      </c>
      <c r="M75" s="33" t="n">
        <v>36.06</v>
      </c>
      <c r="N75" s="33" t="n">
        <v>1.08</v>
      </c>
      <c r="O75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IFERROR(AVERAGE(T76,U76,V76,W76,X76)*20,"")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IFERROR(AVERAGE(AE76,AF76,AG76,AH76)*20,"")</f>
        <v/>
      </c>
      <c r="AJ75" s="33">
        <f>IFERROR(J76*Weights!$B$4 + O76*Weights!$B$5 + S76*Weights!$B$6 + Y76*Weights!$B$7 + AD76*Weights!$B$8 + AI76*Weights!$B$9,"")</f>
        <v/>
      </c>
      <c r="AK75" s="33">
        <f>IF(AJ76="","",IF(AJ76&gt;=85,"✓✓✓",IF(AJ76&gt;=70,"✓✓",IF(AJ76&gt;=55,"✓",IF(AJ76&gt;=40,"?","✗")))))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0.91</v>
      </c>
      <c r="H76" s="33" t="n">
        <v>28.758232</v>
      </c>
      <c r="I76" s="33">
        <f>IF(OR(E77="",R77="",R77&lt;=0,E77&lt;0),"",E77/R77)</f>
        <v/>
      </c>
      <c r="J76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6" s="33" t="n">
        <v>17.3565</v>
      </c>
      <c r="L76" s="33" t="n">
        <v>51.5</v>
      </c>
      <c r="M76" s="33" t="n">
        <v>26.04</v>
      </c>
      <c r="N76" s="33" t="n">
        <v>0.53</v>
      </c>
      <c r="O76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IFERROR(AVERAGE(T77,U77,V77,W77,X77)*20,"")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IFERROR(AVERAGE(AE77,AF77,AG77,AH77)*20,"")</f>
        <v/>
      </c>
      <c r="AJ76" s="33">
        <f>IFERROR(J77*Weights!$B$4 + O77*Weights!$B$5 + S77*Weights!$B$6 + Y77*Weights!$B$7 + AD77*Weights!$B$8 + AI77*Weights!$B$9,"")</f>
        <v/>
      </c>
      <c r="AK76" s="33">
        <f>IF(AJ77="","",IF(AJ77&gt;=85,"✓✓✓",IF(AJ77&gt;=70,"✓✓",IF(AJ77&gt;=55,"✓",IF(AJ77&gt;=40,"?","✗")))))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0.63</v>
      </c>
      <c r="H77" s="33" t="n">
        <v>54.5524</v>
      </c>
      <c r="I77" s="33">
        <f>IF(OR(E78="",R78="",R78&lt;=0,E78&lt;0),"",E78/R78)</f>
        <v/>
      </c>
      <c r="J77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IFERROR(AVERAGE(T78,U78,V78,W78,X78)*20,"")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IFERROR(AVERAGE(AE78,AF78,AG78,AH78)*20,"")</f>
        <v/>
      </c>
      <c r="AJ77" s="33">
        <f>IFERROR(J78*Weights!$B$4 + O78*Weights!$B$5 + S78*Weights!$B$6 + Y78*Weights!$B$7 + AD78*Weights!$B$8 + AI78*Weights!$B$9,"")</f>
        <v/>
      </c>
      <c r="AK77" s="33">
        <f>IF(AJ78="","",IF(AJ78&gt;=85,"✓✓✓",IF(AJ78&gt;=70,"✓✓",IF(AJ78&gt;=55,"✓",IF(AJ78&gt;=40,"?","✗")))))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1.89</v>
      </c>
      <c r="H78" s="33" t="n">
        <v>17.8547</v>
      </c>
      <c r="I78" s="33">
        <f>IF(OR(E79="",R79="",R79&lt;=0,E79&lt;0),"",E79/R79)</f>
        <v/>
      </c>
      <c r="J78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8" s="33" t="n">
        <v>251</v>
      </c>
      <c r="R78" s="33" t="n">
        <v>272.8</v>
      </c>
      <c r="S78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IFERROR(AVERAGE(T79,U79,V79,W79,X79)*20,"")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IFERROR(AVERAGE(AE79,AF79,AG79,AH79)*20,"")</f>
        <v/>
      </c>
      <c r="AJ78" s="33">
        <f>IFERROR(J79*Weights!$B$4 + O79*Weights!$B$5 + S79*Weights!$B$6 + Y79*Weights!$B$7 + AD79*Weights!$B$8 + AI79*Weights!$B$9,"")</f>
        <v/>
      </c>
      <c r="AK78" s="33">
        <f>IF(AJ79="","",IF(AJ79&gt;=85,"✓✓✓",IF(AJ79&gt;=70,"✓✓",IF(AJ79&gt;=55,"✓",IF(AJ79&gt;=40,"?","✗")))))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-0.72</v>
      </c>
      <c r="H79" s="33" t="n">
        <v>11.3005</v>
      </c>
      <c r="I79" s="33">
        <f>IF(OR(E80="",R80="",R80&lt;=0,E80&lt;0),"",E80/R80)</f>
        <v/>
      </c>
      <c r="J79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IFERROR(AVERAGE(T80,U80,V80,W80,X80)*20,"")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IFERROR(AVERAGE(AE80,AF80,AG80,AH80)*20,"")</f>
        <v/>
      </c>
      <c r="AJ79" s="33">
        <f>IFERROR(J80*Weights!$B$4 + O80*Weights!$B$5 + S80*Weights!$B$6 + Y80*Weights!$B$7 + AD80*Weights!$B$8 + AI80*Weights!$B$9,"")</f>
        <v/>
      </c>
      <c r="AK79" s="33">
        <f>IF(AJ80="","",IF(AJ80&gt;=85,"✓✓✓",IF(AJ80&gt;=70,"✓✓",IF(AJ80&gt;=55,"✓",IF(AJ80&gt;=40,"?","✗")))))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IFERROR(AVERAGE(T81,U81,V81,W81,X81)*20,"")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IFERROR(AVERAGE(AE81,AF81,AG81,AH81)*20,"")</f>
        <v/>
      </c>
      <c r="AJ80" s="33">
        <f>IFERROR(J81*Weights!$B$4 + O81*Weights!$B$5 + S81*Weights!$B$6 + Y81*Weights!$B$7 + AD81*Weights!$B$8 + AI81*Weights!$B$9,"")</f>
        <v/>
      </c>
      <c r="AK80" s="33">
        <f>IF(AJ81="","",IF(AJ81&gt;=85,"✓✓✓",IF(AJ81&gt;=70,"✓✓",IF(AJ81&gt;=55,"✓",IF(AJ81&gt;=40,"?","✗")))))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0.18</v>
      </c>
      <c r="H81" s="33" t="n">
        <v>5.7596</v>
      </c>
      <c r="I81" s="33">
        <f>IF(OR(E82="",R82="",R82&lt;=0,E82&lt;0),"",E82/R82)</f>
        <v/>
      </c>
      <c r="J81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IFERROR(AVERAGE(T82,U82,V82,W82,X82)*20,"")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IFERROR(AVERAGE(AE82,AF82,AG82,AH82)*20,"")</f>
        <v/>
      </c>
      <c r="AJ81" s="33">
        <f>IFERROR(J82*Weights!$B$4 + O82*Weights!$B$5 + S82*Weights!$B$6 + Y82*Weights!$B$7 + AD82*Weights!$B$8 + AI82*Weights!$B$9,"")</f>
        <v/>
      </c>
      <c r="AK81" s="33">
        <f>IF(AJ82="","",IF(AJ82&gt;=85,"✓✓✓",IF(AJ82&gt;=70,"✓✓",IF(AJ82&gt;=55,"✓",IF(AJ82&gt;=40,"?","✗")))))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-2.93</v>
      </c>
      <c r="H82" s="33" t="n">
        <v>28.1119</v>
      </c>
      <c r="I82" s="33">
        <f>IF(OR(E83="",R83="",R83&lt;=0,E83&lt;0),"",E83/R83)</f>
        <v/>
      </c>
      <c r="J82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IFERROR(AVERAGE(T83,U83,V83,W83,X83)*20,"")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IFERROR(AVERAGE(AE83,AF83,AG83,AH83)*20,"")</f>
        <v/>
      </c>
      <c r="AJ82" s="33">
        <f>IFERROR(J83*Weights!$B$4 + O83*Weights!$B$5 + S83*Weights!$B$6 + Y83*Weights!$B$7 + AD83*Weights!$B$8 + AI83*Weights!$B$9,"")</f>
        <v/>
      </c>
      <c r="AK82" s="33">
        <f>IF(AJ83="","",IF(AJ83&gt;=85,"✓✓✓",IF(AJ83&gt;=70,"✓✓",IF(AJ83&gt;=55,"✓",IF(AJ83&gt;=40,"?","✗")))))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-1.52</v>
      </c>
      <c r="H83" s="33" t="n">
        <v>1632.4184</v>
      </c>
      <c r="I83" s="33">
        <f>IF(OR(E84="",R84="",R84&lt;=0,E84&lt;0),"",E84/R84)</f>
        <v/>
      </c>
      <c r="J83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3" s="33" t="n">
        <v>-14.6604</v>
      </c>
      <c r="L83" s="33" t="inlineStr"/>
      <c r="M83" s="33" t="n">
        <v>-2488.91</v>
      </c>
      <c r="N83" s="33" t="n">
        <v>0.122</v>
      </c>
      <c r="O83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IFERROR(AVERAGE(T84,U84,V84,W84,X84)*20,"")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IFERROR(AVERAGE(AE84,AF84,AG84,AH84)*20,"")</f>
        <v/>
      </c>
      <c r="AJ83" s="33">
        <f>IFERROR(J84*Weights!$B$4 + O84*Weights!$B$5 + S84*Weights!$B$6 + Y84*Weights!$B$7 + AD84*Weights!$B$8 + AI84*Weights!$B$9,"")</f>
        <v/>
      </c>
      <c r="AK83" s="33">
        <f>IF(AJ84="","",IF(AJ84&gt;=85,"✓✓✓",IF(AJ84&gt;=70,"✓✓",IF(AJ84&gt;=55,"✓",IF(AJ84&gt;=40,"?","✗")))))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2.65</v>
      </c>
      <c r="H84" s="33" t="n">
        <v>20.4906</v>
      </c>
      <c r="I84" s="33">
        <f>IF(OR(E85="",R85="",R85&lt;=0,E85&lt;0),"",E85/R85)</f>
        <v/>
      </c>
      <c r="J84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IFERROR(AVERAGE(T85,U85,V85,W85,X85)*20,"")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IFERROR(AVERAGE(AE85,AF85,AG85,AH85)*20,"")</f>
        <v/>
      </c>
      <c r="AJ84" s="33">
        <f>IFERROR(J85*Weights!$B$4 + O85*Weights!$B$5 + S85*Weights!$B$6 + Y85*Weights!$B$7 + AD85*Weights!$B$8 + AI85*Weights!$B$9,"")</f>
        <v/>
      </c>
      <c r="AK84" s="33">
        <f>IF(AJ85="","",IF(AJ85&gt;=85,"✓✓✓",IF(AJ85&gt;=70,"✓✓",IF(AJ85&gt;=55,"✓",IF(AJ85&gt;=40,"?","✗")))))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2.53</v>
      </c>
      <c r="H85" s="33" t="n">
        <v>7.6777</v>
      </c>
      <c r="I85" s="33">
        <f>IF(OR(E86="",R86="",R86&lt;=0,E86&lt;0),"",E86/R86)</f>
        <v/>
      </c>
      <c r="J85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IFERROR(AVERAGE(T86,U86,V86,W86,X86)*20,"")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IFERROR(AVERAGE(AE86,AF86,AG86,AH86)*20,"")</f>
        <v/>
      </c>
      <c r="AJ85" s="33">
        <f>IFERROR(J86*Weights!$B$4 + O86*Weights!$B$5 + S86*Weights!$B$6 + Y86*Weights!$B$7 + AD86*Weights!$B$8 + AI86*Weights!$B$9,"")</f>
        <v/>
      </c>
      <c r="AK85" s="33">
        <f>IF(AJ86="","",IF(AJ86&gt;=85,"✓✓✓",IF(AJ86&gt;=70,"✓✓",IF(AJ86&gt;=55,"✓",IF(AJ86&gt;=40,"?","✗")))))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0.87</v>
      </c>
      <c r="H86" s="33" t="n">
        <v>16.622208</v>
      </c>
      <c r="I86" s="33">
        <f>IF(OR(E87="",R87="",R87&lt;=0,E87&lt;0),"",E87/R87)</f>
        <v/>
      </c>
      <c r="J86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6" s="33" t="n">
        <v>11</v>
      </c>
      <c r="L86" s="33" t="n">
        <v>42.13</v>
      </c>
      <c r="M86" s="33" t="n">
        <v>14.48</v>
      </c>
      <c r="N86" s="33" t="n">
        <v>0.91</v>
      </c>
      <c r="O86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IFERROR(AVERAGE(T87,U87,V87,W87,X87)*20,"")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IFERROR(AVERAGE(AE87,AF87,AG87,AH87)*20,"")</f>
        <v/>
      </c>
      <c r="AJ86" s="33">
        <f>IFERROR(J87*Weights!$B$4 + O87*Weights!$B$5 + S87*Weights!$B$6 + Y87*Weights!$B$7 + AD87*Weights!$B$8 + AI87*Weights!$B$9,"")</f>
        <v/>
      </c>
      <c r="AK86" s="33">
        <f>IF(AJ87="","",IF(AJ87&gt;=85,"✓✓✓",IF(AJ87&gt;=70,"✓✓",IF(AJ87&gt;=55,"✓",IF(AJ87&gt;=40,"?","✗")))))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2.7</v>
      </c>
      <c r="H87" s="33" t="n">
        <v>6.628044</v>
      </c>
      <c r="I87" s="33">
        <f>IF(OR(E88="",R88="",R88&lt;=0,E88&lt;0),"",E88/R88)</f>
        <v/>
      </c>
      <c r="J87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IFERROR(AVERAGE(T88,U88,V88,W88,X88)*20,"")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IFERROR(AVERAGE(AE88,AF88,AG88,AH88)*20,"")</f>
        <v/>
      </c>
      <c r="AJ87" s="33">
        <f>IFERROR(J88*Weights!$B$4 + O88*Weights!$B$5 + S88*Weights!$B$6 + Y88*Weights!$B$7 + AD88*Weights!$B$8 + AI88*Weights!$B$9,"")</f>
        <v/>
      </c>
      <c r="AK87" s="33">
        <f>IF(AJ88="","",IF(AJ88&gt;=85,"✓✓✓",IF(AJ88&gt;=70,"✓✓",IF(AJ88&gt;=55,"✓",IF(AJ88&gt;=40,"?","✗")))))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5.57</v>
      </c>
      <c r="H88" s="33" t="n">
        <v>3.256818</v>
      </c>
      <c r="I88" s="33">
        <f>IF(OR(E89="",R89="",R89&lt;=0,E89&lt;0),"",E89/R89)</f>
        <v/>
      </c>
      <c r="J88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IFERROR(AVERAGE(T89,U89,V89,W89,X89)*20,"")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IFERROR(AVERAGE(AE89,AF89,AG89,AH89)*20,"")</f>
        <v/>
      </c>
      <c r="AJ88" s="33">
        <f>IFERROR(J89*Weights!$B$4 + O89*Weights!$B$5 + S89*Weights!$B$6 + Y89*Weights!$B$7 + AD89*Weights!$B$8 + AI89*Weights!$B$9,"")</f>
        <v/>
      </c>
      <c r="AK88" s="33">
        <f>IF(AJ89="","",IF(AJ89&gt;=85,"✓✓✓",IF(AJ89&gt;=70,"✓✓",IF(AJ89&gt;=55,"✓",IF(AJ89&gt;=40,"?","✗")))))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0.89</v>
      </c>
      <c r="H89" s="33" t="n">
        <v>10.344423</v>
      </c>
      <c r="I89" s="33">
        <f>IF(OR(E90="",R90="",R90&lt;=0,E90&lt;0),"",E90/R90)</f>
        <v/>
      </c>
      <c r="J89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IFERROR(AVERAGE(T90,U90,V90,W90,X90)*20,"")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IFERROR(AVERAGE(AE90,AF90,AG90,AH90)*20,"")</f>
        <v/>
      </c>
      <c r="AJ89" s="33">
        <f>IFERROR(J90*Weights!$B$4 + O90*Weights!$B$5 + S90*Weights!$B$6 + Y90*Weights!$B$7 + AD90*Weights!$B$8 + AI90*Weights!$B$9,"")</f>
        <v/>
      </c>
      <c r="AK89" s="33">
        <f>IF(AJ90="","",IF(AJ90&gt;=85,"✓✓✓",IF(AJ90&gt;=70,"✓✓",IF(AJ90&gt;=55,"✓",IF(AJ90&gt;=40,"?","✗")))))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-30.7</v>
      </c>
      <c r="H90" s="33" t="n">
        <v>0.662092</v>
      </c>
      <c r="I90" s="33">
        <f>IF(OR(E91="",R91="",R91&lt;=0,E91&lt;0),"",E91/R91)</f>
        <v/>
      </c>
      <c r="J90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IFERROR(AVERAGE(T91,U91,V91,W91,X91)*20,"")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IFERROR(AVERAGE(AE91,AF91,AG91,AH91)*20,"")</f>
        <v/>
      </c>
      <c r="AJ90" s="33">
        <f>IFERROR(J91*Weights!$B$4 + O91*Weights!$B$5 + S91*Weights!$B$6 + Y91*Weights!$B$7 + AD91*Weights!$B$8 + AI91*Weights!$B$9,"")</f>
        <v/>
      </c>
      <c r="AK90" s="33">
        <f>IF(AJ91="","",IF(AJ91&gt;=85,"✓✓✓",IF(AJ91&gt;=70,"✓✓",IF(AJ91&gt;=55,"✓",IF(AJ91&gt;=40,"?","✗")))))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4.32</v>
      </c>
      <c r="H91" s="33" t="n">
        <v>1.745409</v>
      </c>
      <c r="I91" s="33">
        <f>IF(OR(E92="",R92="",R92&lt;=0,E92&lt;0),"",E92/R92)</f>
        <v/>
      </c>
      <c r="J91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1" s="33" t="n">
        <v>38.5</v>
      </c>
      <c r="L91" s="33" t="n">
        <v>20</v>
      </c>
      <c r="M91" s="33" t="n">
        <v>7.53</v>
      </c>
      <c r="N91" s="33" t="n">
        <v>1.68</v>
      </c>
      <c r="O91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IFERROR(AVERAGE(T92,U92,V92,W92,X92)*20,"")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IFERROR(AVERAGE(AE92,AF92,AG92,AH92)*20,"")</f>
        <v/>
      </c>
      <c r="AJ91" s="33">
        <f>IFERROR(J92*Weights!$B$4 + O92*Weights!$B$5 + S92*Weights!$B$6 + Y92*Weights!$B$7 + AD92*Weights!$B$8 + AI92*Weights!$B$9,"")</f>
        <v/>
      </c>
      <c r="AK91" s="33">
        <f>IF(AJ92="","",IF(AJ92&gt;=85,"✓✓✓",IF(AJ92&gt;=70,"✓✓",IF(AJ92&gt;=55,"✓",IF(AJ92&gt;=40,"?","✗")))))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4.27</v>
      </c>
      <c r="H92" s="33" t="n">
        <v>1.412866</v>
      </c>
      <c r="I92" s="33">
        <f>IF(OR(E93="",R93="",R93&lt;=0,E93&lt;0),"",E93/R93)</f>
        <v/>
      </c>
      <c r="J92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2" s="33" t="n">
        <v>3.3</v>
      </c>
      <c r="L92" s="33" t="n">
        <v>31.96</v>
      </c>
      <c r="M92" s="33" t="n">
        <v>6.03</v>
      </c>
      <c r="N92" s="33" t="n">
        <v>3.55</v>
      </c>
      <c r="O92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IFERROR(AVERAGE(T93,U93,V93,W93,X93)*20,"")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IFERROR(AVERAGE(AE93,AF93,AG93,AH93)*20,"")</f>
        <v/>
      </c>
      <c r="AJ92" s="33">
        <f>IFERROR(J93*Weights!$B$4 + O93*Weights!$B$5 + S93*Weights!$B$6 + Y93*Weights!$B$7 + AD93*Weights!$B$8 + AI93*Weights!$B$9,"")</f>
        <v/>
      </c>
      <c r="AK92" s="33">
        <f>IF(AJ93="","",IF(AJ93&gt;=85,"✓✓✓",IF(AJ93&gt;=70,"✓✓",IF(AJ93&gt;=55,"✓",IF(AJ93&gt;=40,"?","✗")))))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2.36</v>
      </c>
      <c r="H93" s="33" t="n">
        <v>9.710100000000001</v>
      </c>
      <c r="I93" s="33">
        <f>IF(OR(E94="",R94="",R94&lt;=0,E94&lt;0),"",E94/R94)</f>
        <v/>
      </c>
      <c r="J93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IFERROR(AVERAGE(T94,U94,V94,W94,X94)*20,"")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IFERROR(AVERAGE(AE94,AF94,AG94,AH94)*20,"")</f>
        <v/>
      </c>
      <c r="AJ93" s="33">
        <f>IFERROR(J94*Weights!$B$4 + O94*Weights!$B$5 + S94*Weights!$B$6 + Y94*Weights!$B$7 + AD94*Weights!$B$8 + AI94*Weights!$B$9,"")</f>
        <v/>
      </c>
      <c r="AK93" s="33">
        <f>IF(AJ94="","",IF(AJ94&gt;=85,"✓✓✓",IF(AJ94&gt;=70,"✓✓",IF(AJ94&gt;=55,"✓",IF(AJ94&gt;=40,"?","✗")))))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1.37</v>
      </c>
      <c r="H94" s="33" t="n">
        <v>11.1514</v>
      </c>
      <c r="I94" s="33">
        <f>IF(OR(E95="",R95="",R95&lt;=0,E95&lt;0),"",E95/R95)</f>
        <v/>
      </c>
      <c r="J94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IFERROR(AVERAGE(T95,U95,V95,W95,X95)*20,"")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IFERROR(AVERAGE(AE95,AF95,AG95,AH95)*20,"")</f>
        <v/>
      </c>
      <c r="AJ94" s="33">
        <f>IFERROR(J95*Weights!$B$4 + O95*Weights!$B$5 + S95*Weights!$B$6 + Y95*Weights!$B$7 + AD95*Weights!$B$8 + AI95*Weights!$B$9,"")</f>
        <v/>
      </c>
      <c r="AK94" s="33">
        <f>IF(AJ95="","",IF(AJ95&gt;=85,"✓✓✓",IF(AJ95&gt;=70,"✓✓",IF(AJ95&gt;=55,"✓",IF(AJ95&gt;=40,"?","✗")))))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-0.09</v>
      </c>
      <c r="H95" s="33" t="n">
        <v>3.842011</v>
      </c>
      <c r="I95" s="33">
        <f>IF(OR(E96="",R96="",R96&lt;=0,E96&lt;0),"",E96/R96)</f>
        <v/>
      </c>
      <c r="J95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IFERROR(AVERAGE(T96,U96,V96,W96,X96)*20,"")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IFERROR(AVERAGE(AE96,AF96,AG96,AH96)*20,"")</f>
        <v/>
      </c>
      <c r="AJ95" s="33">
        <f>IFERROR(J96*Weights!$B$4 + O96*Weights!$B$5 + S96*Weights!$B$6 + Y96*Weights!$B$7 + AD96*Weights!$B$8 + AI96*Weights!$B$9,"")</f>
        <v/>
      </c>
      <c r="AK95" s="33">
        <f>IF(AJ96="","",IF(AJ96&gt;=85,"✓✓✓",IF(AJ96&gt;=70,"✓✓",IF(AJ96&gt;=55,"✓",IF(AJ96&gt;=40,"?","✗")))))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3.1</v>
      </c>
      <c r="H96" s="33" t="n">
        <v>7.230944</v>
      </c>
      <c r="I96" s="33">
        <f>IF(OR(E97="",R97="",R97&lt;=0,E97&lt;0),"",E97/R97)</f>
        <v/>
      </c>
      <c r="J96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IFERROR(AVERAGE(T97,U97,V97,W97,X97)*20,"")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IFERROR(AVERAGE(AE97,AF97,AG97,AH97)*20,"")</f>
        <v/>
      </c>
      <c r="AJ96" s="33">
        <f>IFERROR(J97*Weights!$B$4 + O97*Weights!$B$5 + S97*Weights!$B$6 + Y97*Weights!$B$7 + AD97*Weights!$B$8 + AI97*Weights!$B$9,"")</f>
        <v/>
      </c>
      <c r="AK96" s="33">
        <f>IF(AJ97="","",IF(AJ97&gt;=85,"✓✓✓",IF(AJ97&gt;=70,"✓✓",IF(AJ97&gt;=55,"✓",IF(AJ97&gt;=40,"?","✗")))))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-3.84</v>
      </c>
      <c r="H97" s="33" t="n">
        <v>7.8684883</v>
      </c>
      <c r="I97" s="33">
        <f>IF(OR(E98="",R98="",R98&lt;=0,E98&lt;0),"",E98/R98)</f>
        <v/>
      </c>
      <c r="J97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7" s="33" t="n">
        <v>11.9</v>
      </c>
      <c r="L97" s="33" t="n">
        <v>65.81999999999999</v>
      </c>
      <c r="M97" s="33" t="n">
        <v>-30.19</v>
      </c>
      <c r="N97" s="33" t="n">
        <v>3.92</v>
      </c>
      <c r="O97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IFERROR(AVERAGE(T98,U98,V98,W98,X98)*20,"")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IFERROR(AVERAGE(AE98,AF98,AG98,AH98)*20,"")</f>
        <v/>
      </c>
      <c r="AJ97" s="33">
        <f>IFERROR(J98*Weights!$B$4 + O98*Weights!$B$5 + S98*Weights!$B$6 + Y98*Weights!$B$7 + AD98*Weights!$B$8 + AI98*Weights!$B$9,"")</f>
        <v/>
      </c>
      <c r="AK97" s="33">
        <f>IF(AJ98="","",IF(AJ98&gt;=85,"✓✓✓",IF(AJ98&gt;=70,"✓✓",IF(AJ98&gt;=55,"✓",IF(AJ98&gt;=40,"?","✗")))))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-1430.618</v>
      </c>
      <c r="G98" s="33" t="n">
        <v>-5.97</v>
      </c>
      <c r="H98" s="33" t="n">
        <v>60.476312</v>
      </c>
      <c r="I98" s="33">
        <f>IF(OR(E99="",R99="",R99&lt;=0,E99&lt;0),"",E99/R99)</f>
        <v/>
      </c>
      <c r="J98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8" s="33" t="n">
        <v>-8.199999999999999</v>
      </c>
      <c r="L98" s="33" t="n">
        <v>72.47</v>
      </c>
      <c r="M98" s="33" t="n">
        <v>-361.16</v>
      </c>
      <c r="N98" s="33" t="n">
        <v>0.13</v>
      </c>
      <c r="O98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8" s="33" t="n">
        <v>239.83</v>
      </c>
      <c r="Q98" s="33" t="n">
        <v>683.9</v>
      </c>
      <c r="S98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IFERROR(AVERAGE(T99,U99,V99,W99,X99)*20,"")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IFERROR(AVERAGE(AE99,AF99,AG99,AH99)*20,"")</f>
        <v/>
      </c>
      <c r="AJ98" s="33">
        <f>IFERROR(J99*Weights!$B$4 + O99*Weights!$B$5 + S99*Weights!$B$6 + Y99*Weights!$B$7 + AD99*Weights!$B$8 + AI99*Weights!$B$9,"")</f>
        <v/>
      </c>
      <c r="AK98" s="33">
        <f>IF(AJ99="","",IF(AJ99&gt;=85,"✓✓✓",IF(AJ99&gt;=70,"✓✓",IF(AJ99&gt;=55,"✓",IF(AJ99&gt;=40,"?","✗")))))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1092.522</v>
      </c>
      <c r="G99" s="33" t="n">
        <v>-14.04</v>
      </c>
      <c r="H99" s="33" t="n">
        <v>45.398555</v>
      </c>
      <c r="I99" s="33">
        <f>IF(OR(E100="",R100="",R100&lt;=0,E100&lt;0),"",E100/R100)</f>
        <v/>
      </c>
      <c r="J99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99" s="33" t="n">
        <v>-1.9</v>
      </c>
      <c r="L99" s="33" t="n">
        <v>40.92</v>
      </c>
      <c r="M99" s="33" t="n">
        <v>-637.35</v>
      </c>
      <c r="N99" s="33" t="n">
        <v>-12326.29</v>
      </c>
      <c r="O99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99" s="33" t="n">
        <v>156.45</v>
      </c>
      <c r="Q99" s="33" t="n">
        <v>139.3</v>
      </c>
      <c r="S99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IFERROR(AVERAGE(T100,U100,V100,W100,X100)*20,"")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IFERROR(AVERAGE(AE100,AF100,AG100,AH100)*20,"")</f>
        <v/>
      </c>
      <c r="AJ99" s="33">
        <f>IFERROR(J100*Weights!$B$4 + O100*Weights!$B$5 + S100*Weights!$B$6 + Y100*Weights!$B$7 + AD100*Weights!$B$8 + AI100*Weights!$B$9,"")</f>
        <v/>
      </c>
      <c r="AK99" s="33">
        <f>IF(AJ100="","",IF(AJ100&gt;=85,"✓✓✓",IF(AJ100&gt;=70,"✓✓",IF(AJ100&gt;=55,"✓",IF(AJ100&gt;=40,"?","✗")))))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-94.898</v>
      </c>
      <c r="G100" s="33" t="n">
        <v>-5.5</v>
      </c>
      <c r="H100" s="33" t="n">
        <v>23.630496</v>
      </c>
      <c r="I100" s="33">
        <f>IF(OR(E101="",R101="",R101&lt;=0,E101&lt;0),"",E101/R101)</f>
        <v/>
      </c>
      <c r="J100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0" s="33" t="n">
        <v>-20.72</v>
      </c>
      <c r="Q100" s="33" t="n">
        <v>44.9</v>
      </c>
      <c r="S100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IFERROR(AVERAGE(T101,U101,V101,W101,X101)*20,"")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IFERROR(AVERAGE(AE101,AF101,AG101,AH101)*20,"")</f>
        <v/>
      </c>
      <c r="AJ100" s="33">
        <f>IFERROR(J101*Weights!$B$4 + O101*Weights!$B$5 + S101*Weights!$B$6 + Y101*Weights!$B$7 + AD101*Weights!$B$8 + AI101*Weights!$B$9,"")</f>
        <v/>
      </c>
      <c r="AK100" s="33">
        <f>IF(AJ101="","",IF(AJ101&gt;=85,"✓✓✓",IF(AJ101&gt;=70,"✓✓",IF(AJ101&gt;=55,"✓",IF(AJ101&gt;=40,"?","✗")))))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149.899</v>
      </c>
      <c r="G101" s="33" t="n">
        <v>-9.99</v>
      </c>
      <c r="H101" s="33" t="n">
        <v>28.219298</v>
      </c>
      <c r="I101" s="33">
        <f>IF(OR(E102="",R102="",R102&lt;=0,E102&lt;0),"",E102/R102)</f>
        <v/>
      </c>
      <c r="J101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1" s="33" t="n">
        <v>-5.1</v>
      </c>
      <c r="L101" s="33" t="n">
        <v>53.58</v>
      </c>
      <c r="M101" s="33" t="n">
        <v>-281.89</v>
      </c>
      <c r="N101" s="33" t="n">
        <v>3.67</v>
      </c>
      <c r="O101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1" s="33" t="n">
        <v>103.98</v>
      </c>
      <c r="Q101" s="33" t="n">
        <v>0</v>
      </c>
      <c r="S101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IFERROR(AVERAGE(T102,U102,V102,W102,X102)*20,"")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IFERROR(AVERAGE(AE102,AF102,AG102,AH102)*20,"")</f>
        <v/>
      </c>
      <c r="AJ101" s="33">
        <f>IFERROR(J102*Weights!$B$4 + O102*Weights!$B$5 + S102*Weights!$B$6 + Y102*Weights!$B$7 + AD102*Weights!$B$8 + AI102*Weights!$B$9,"")</f>
        <v/>
      </c>
      <c r="AK101" s="33">
        <f>IF(AJ102="","",IF(AJ102&gt;=85,"✓✓✓",IF(AJ102&gt;=70,"✓✓",IF(AJ102&gt;=55,"✓",IF(AJ102&gt;=40,"?","✗")))))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81.254</v>
      </c>
      <c r="G102" s="33" t="n">
        <v>-10.8</v>
      </c>
      <c r="H102" s="33" t="n">
        <v>44.877838</v>
      </c>
      <c r="I102" s="33">
        <f>IF(OR(E103="",R103="",R103&lt;=0,E103&lt;0),"",E103/R103)</f>
        <v/>
      </c>
      <c r="J102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2" s="33" t="n">
        <v>319.34</v>
      </c>
      <c r="Q102" s="33" t="n">
        <v>-28.8</v>
      </c>
      <c r="S102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IFERROR(AVERAGE(T103,U103,V103,W103,X103)*20,"")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IFERROR(AVERAGE(AE103,AF103,AG103,AH103)*20,"")</f>
        <v/>
      </c>
      <c r="AJ102" s="33">
        <f>IFERROR(J103*Weights!$B$4 + O103*Weights!$B$5 + S103*Weights!$B$6 + Y103*Weights!$B$7 + AD103*Weights!$B$8 + AI103*Weights!$B$9,"")</f>
        <v/>
      </c>
      <c r="AK102" s="33">
        <f>IF(AJ103="","",IF(AJ103&gt;=85,"✓✓✓",IF(AJ103&gt;=70,"✓✓",IF(AJ103&gt;=55,"✓",IF(AJ103&gt;=40,"?","✗")))))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-14.521</v>
      </c>
      <c r="G103" s="33" t="n">
        <v>-24.39</v>
      </c>
      <c r="H103" s="33" t="n">
        <v>5.941074</v>
      </c>
      <c r="I103" s="33">
        <f>IF(OR(E104="",R104="",R104&lt;=0,E104&lt;0),"",E104/R104)</f>
        <v/>
      </c>
      <c r="J103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3" s="33" t="n">
        <v>79.94</v>
      </c>
      <c r="Q103" s="33" t="n">
        <v>-24.9</v>
      </c>
      <c r="S103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IFERROR(AVERAGE(T104,U104,V104,W104,X104)*20,"")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IFERROR(AVERAGE(AE104,AF104,AG104,AH104)*20,"")</f>
        <v/>
      </c>
      <c r="AJ103" s="33">
        <f>IFERROR(J104*Weights!$B$4 + O104*Weights!$B$5 + S104*Weights!$B$6 + Y104*Weights!$B$7 + AD104*Weights!$B$8 + AI104*Weights!$B$9,"")</f>
        <v/>
      </c>
      <c r="AK103" s="33">
        <f>IF(AJ104="","",IF(AJ104&gt;=85,"✓✓✓",IF(AJ104&gt;=70,"✓✓",IF(AJ104&gt;=55,"✓",IF(AJ104&gt;=40,"?","✗")))))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11.227</v>
      </c>
      <c r="G104" s="33" t="n">
        <v>-57.59</v>
      </c>
      <c r="H104" s="33" t="n">
        <v>4.974554</v>
      </c>
      <c r="I104" s="33">
        <f>IF(OR(E105="",R105="",R105&lt;=0,E105&lt;0),"",E105/R105)</f>
        <v/>
      </c>
      <c r="J104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4" s="33" t="n">
        <v>23</v>
      </c>
      <c r="Q104" s="33" t="n">
        <v>169.4</v>
      </c>
      <c r="S104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IFERROR(AVERAGE(T105,U105,V105,W105,X105)*20,"")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IFERROR(AVERAGE(AE105,AF105,AG105,AH105)*20,"")</f>
        <v/>
      </c>
      <c r="AJ104" s="33">
        <f>IFERROR(J105*Weights!$B$4 + O105*Weights!$B$5 + S105*Weights!$B$6 + Y105*Weights!$B$7 + AD105*Weights!$B$8 + AI105*Weights!$B$9,"")</f>
        <v/>
      </c>
      <c r="AK104" s="33">
        <f>IF(AJ105="","",IF(AJ105&gt;=85,"✓✓✓",IF(AJ105&gt;=70,"✓✓",IF(AJ105&gt;=55,"✓",IF(AJ105&gt;=40,"?","✗")))))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-31.753</v>
      </c>
      <c r="G105" s="33" t="n">
        <v>-6.43</v>
      </c>
      <c r="H105" s="33" t="n">
        <v>44.567183</v>
      </c>
      <c r="I105" s="33">
        <f>IF(OR(E106="",R106="",R106&lt;=0,E106&lt;0),"",E106/R106)</f>
        <v/>
      </c>
      <c r="J105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5" s="33" t="n">
        <v>43.73</v>
      </c>
      <c r="Q105" s="33" t="n">
        <v>225.5</v>
      </c>
      <c r="S105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IFERROR(AVERAGE(T106,U106,V106,W106,X106)*20,"")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IFERROR(AVERAGE(AE106,AF106,AG106,AH106)*20,"")</f>
        <v/>
      </c>
      <c r="AJ105" s="33">
        <f>IFERROR(J106*Weights!$B$4 + O106*Weights!$B$5 + S106*Weights!$B$6 + Y106*Weights!$B$7 + AD106*Weights!$B$8 + AI106*Weights!$B$9,"")</f>
        <v/>
      </c>
      <c r="AK105" s="33">
        <f>IF(AJ106="","",IF(AJ106&gt;=85,"✓✓✓",IF(AJ106&gt;=70,"✓✓",IF(AJ106&gt;=55,"✓",IF(AJ106&gt;=40,"?","✗")))))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-293.89</v>
      </c>
      <c r="G106" s="33" t="n">
        <v>-12.44</v>
      </c>
      <c r="H106" s="33" t="n">
        <v>14.97</v>
      </c>
      <c r="I106" s="33">
        <f>IF(OR(E107="",R107="",R107&lt;=0,E107&lt;0),"",E107/R107)</f>
        <v/>
      </c>
      <c r="J106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6" s="33" t="n">
        <v>17.2</v>
      </c>
      <c r="Q106" s="33" t="n">
        <v>-22.4</v>
      </c>
      <c r="S106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IFERROR(AVERAGE(T107,U107,V107,W107,X107)*20,"")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IFERROR(AVERAGE(AE107,AF107,AG107,AH107)*20,"")</f>
        <v/>
      </c>
      <c r="AJ106" s="33">
        <f>IFERROR(J107*Weights!$B$4 + O107*Weights!$B$5 + S107*Weights!$B$6 + Y107*Weights!$B$7 + AD107*Weights!$B$8 + AI107*Weights!$B$9,"")</f>
        <v/>
      </c>
      <c r="AK106" s="33">
        <f>IF(AJ107="","",IF(AJ107&gt;=85,"✓✓✓",IF(AJ107&gt;=70,"✓✓",IF(AJ107&gt;=55,"✓",IF(AJ107&gt;=40,"?","✗")))))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-32.242</v>
      </c>
      <c r="G107" s="33" t="n">
        <v>-12.9</v>
      </c>
      <c r="H107" s="33" t="n">
        <v>15.096712</v>
      </c>
      <c r="I107" s="33">
        <f>IF(OR(E108="",R108="",R108&lt;=0,E108&lt;0),"",E108/R108)</f>
        <v/>
      </c>
      <c r="J107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7" s="33" t="n">
        <v>35.69</v>
      </c>
      <c r="Q107" s="33" t="n">
        <v>3.6</v>
      </c>
      <c r="S107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IFERROR(AVERAGE(T108,U108,V108,W108,X108)*20,"")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IFERROR(AVERAGE(AE108,AF108,AG108,AH108)*20,"")</f>
        <v/>
      </c>
      <c r="AJ107" s="33">
        <f>IFERROR(J108*Weights!$B$4 + O108*Weights!$B$5 + S108*Weights!$B$6 + Y108*Weights!$B$7 + AD108*Weights!$B$8 + AI108*Weights!$B$9,"")</f>
        <v/>
      </c>
      <c r="AK107" s="33">
        <f>IF(AJ108="","",IF(AJ108&gt;=85,"✓✓✓",IF(AJ108&gt;=70,"✓✓",IF(AJ108&gt;=55,"✓",IF(AJ108&gt;=40,"?","✗")))))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-96.663</v>
      </c>
      <c r="G108" s="33" t="n">
        <v>-13.52</v>
      </c>
      <c r="H108" s="33" t="n">
        <v>74.243503</v>
      </c>
      <c r="I108" s="33">
        <f>IF(OR(E109="",R109="",R109&lt;=0,E109&lt;0),"",E109/R109)</f>
        <v/>
      </c>
      <c r="J108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8" s="33" t="n">
        <v>123.78</v>
      </c>
      <c r="Q108" s="33" t="n">
        <v>-1.1</v>
      </c>
      <c r="S108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IFERROR(AVERAGE(T109,U109,V109,W109,X109)*20,"")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IFERROR(AVERAGE(AE109,AF109,AG109,AH109)*20,"")</f>
        <v/>
      </c>
      <c r="AJ108" s="33">
        <f>IFERROR(J109*Weights!$B$4 + O109*Weights!$B$5 + S109*Weights!$B$6 + Y109*Weights!$B$7 + AD109*Weights!$B$8 + AI109*Weights!$B$9,"")</f>
        <v/>
      </c>
      <c r="AK108" s="33">
        <f>IF(AJ109="","",IF(AJ109&gt;=85,"✓✓✓",IF(AJ109&gt;=70,"✓✓",IF(AJ109&gt;=55,"✓",IF(AJ109&gt;=40,"?","✗")))))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118.9</v>
      </c>
      <c r="G109" s="33" t="n">
        <v>0.82</v>
      </c>
      <c r="H109" s="33" t="n">
        <v>62.684137</v>
      </c>
      <c r="I109" s="33">
        <f>IF(OR(E110="",R110="",R110&lt;=0,E110&lt;0),"",E110/R110)</f>
        <v/>
      </c>
      <c r="J109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IFERROR(AVERAGE(T110,U110,V110,W110,X110)*20,"")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IFERROR(AVERAGE(AE110,AF110,AG110,AH110)*20,"")</f>
        <v/>
      </c>
      <c r="AJ109" s="33">
        <f>IFERROR(J110*Weights!$B$4 + O110*Weights!$B$5 + S110*Weights!$B$6 + Y110*Weights!$B$7 + AD110*Weights!$B$8 + AI110*Weights!$B$9,"")</f>
        <v/>
      </c>
      <c r="AK109" s="33">
        <f>IF(AJ110="","",IF(AJ110&gt;=85,"✓✓✓",IF(AJ110&gt;=70,"✓✓",IF(AJ110&gt;=55,"✓",IF(AJ110&gt;=40,"?","✗")))))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53.7</v>
      </c>
      <c r="G110" s="33" t="n">
        <v>1.81</v>
      </c>
      <c r="H110" s="33" t="n">
        <v>13.142056</v>
      </c>
      <c r="I110" s="33">
        <f>IF(OR(E111="",R111="",R111&lt;=0,E111&lt;0),"",E111/R111)</f>
        <v/>
      </c>
      <c r="J110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0" s="33" t="n">
        <v>-61.7</v>
      </c>
      <c r="L110" s="33" t="n">
        <v>67.17</v>
      </c>
      <c r="M110" s="33" t="n">
        <v>23.85</v>
      </c>
      <c r="N110" s="33" t="n">
        <v>0.08</v>
      </c>
      <c r="O110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0" s="33" t="n">
        <v>31.38</v>
      </c>
      <c r="Q110" s="33" t="n">
        <v>30.1</v>
      </c>
      <c r="S110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IFERROR(AVERAGE(T111,U111,V111,W111,X111)*20,"")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IFERROR(AVERAGE(AE111,AF111,AG111,AH111)*20,"")</f>
        <v/>
      </c>
      <c r="AJ110" s="33">
        <f>IFERROR(J111*Weights!$B$4 + O111*Weights!$B$5 + S111*Weights!$B$6 + Y111*Weights!$B$7 + AD111*Weights!$B$8 + AI111*Weights!$B$9,"")</f>
        <v/>
      </c>
      <c r="AK110" s="33">
        <f>IF(AJ111="","",IF(AJ111&gt;=85,"✓✓✓",IF(AJ111&gt;=70,"✓✓",IF(AJ111&gt;=55,"✓",IF(AJ111&gt;=40,"?","✗")))))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21.7</v>
      </c>
      <c r="G111" s="33" t="n">
        <v>4.49</v>
      </c>
      <c r="H111" s="33" t="n">
        <v>7.381683</v>
      </c>
      <c r="I111" s="33">
        <f>IF(OR(E112="",R112="",R112&lt;=0,E112&lt;0),"",E112/R112)</f>
        <v/>
      </c>
      <c r="J111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IFERROR(AVERAGE(T112,U112,V112,W112,X112)*20,"")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IFERROR(AVERAGE(AE112,AF112,AG112,AH112)*20,"")</f>
        <v/>
      </c>
      <c r="AJ111" s="33">
        <f>IFERROR(J112*Weights!$B$4 + O112*Weights!$B$5 + S112*Weights!$B$6 + Y112*Weights!$B$7 + AD112*Weights!$B$8 + AI112*Weights!$B$9,"")</f>
        <v/>
      </c>
      <c r="AK111" s="33">
        <f>IF(AJ112="","",IF(AJ112&gt;=85,"✓✓✓",IF(AJ112&gt;=70,"✓✓",IF(AJ112&gt;=55,"✓",IF(AJ112&gt;=40,"?","✗")))))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12.1</v>
      </c>
      <c r="G112" s="33" t="n">
        <v>9.83</v>
      </c>
      <c r="H112" s="33" t="n">
        <v>3.527924</v>
      </c>
      <c r="I112" s="33">
        <f>IF(OR(E113="",R113="",R113&lt;=0,E113&lt;0),"",E113/R113)</f>
        <v/>
      </c>
      <c r="J112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2" s="33" t="n">
        <v>10.1</v>
      </c>
      <c r="L112" s="33" t="n">
        <v>77.68000000000001</v>
      </c>
      <c r="M112" s="33" t="n">
        <v>34.68</v>
      </c>
      <c r="N112" s="33" t="n">
        <v>0.78</v>
      </c>
      <c r="O112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IFERROR(AVERAGE(T113,U113,V113,W113,X113)*20,"")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IFERROR(AVERAGE(AE113,AF113,AG113,AH113)*20,"")</f>
        <v/>
      </c>
      <c r="AJ112" s="33">
        <f>IFERROR(J113*Weights!$B$4 + O113*Weights!$B$5 + S113*Weights!$B$6 + Y113*Weights!$B$7 + AD113*Weights!$B$8 + AI113*Weights!$B$9,"")</f>
        <v/>
      </c>
      <c r="AK112" s="33">
        <f>IF(AJ113="","",IF(AJ113&gt;=85,"✓✓✓",IF(AJ113&gt;=70,"✓✓",IF(AJ113&gt;=55,"✓",IF(AJ113&gt;=40,"?","✗")))))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1.82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3" s="33" t="n"/>
      <c r="L113" s="33" t="n">
        <v>62.14</v>
      </c>
      <c r="M113" s="33" t="n">
        <v>17.83</v>
      </c>
      <c r="N113" s="33" t="n">
        <v>0.25</v>
      </c>
      <c r="O113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IFERROR(AVERAGE(T114,U114,V114,W114,X114)*20,"")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IFERROR(AVERAGE(AE114,AF114,AG114,AH114)*20,"")</f>
        <v/>
      </c>
      <c r="AJ113" s="33">
        <f>IFERROR(J114*Weights!$B$4 + O114*Weights!$B$5 + S114*Weights!$B$6 + Y114*Weights!$B$7 + AD114*Weights!$B$8 + AI114*Weights!$B$9,"")</f>
        <v/>
      </c>
      <c r="AK113" s="33">
        <f>IF(AJ114="","",IF(AJ114&gt;=85,"✓✓✓",IF(AJ114&gt;=70,"✓✓",IF(AJ114&gt;=55,"✓",IF(AJ114&gt;=40,"?","✗")))))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IFERROR(AVERAGE(T115,U115,V115,W115,X115)*20,"")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IFERROR(AVERAGE(AE115,AF115,AG115,AH115)*20,"")</f>
        <v/>
      </c>
      <c r="AJ114" s="33">
        <f>IFERROR(J115*Weights!$B$4 + O115*Weights!$B$5 + S115*Weights!$B$6 + Y115*Weights!$B$7 + AD115*Weights!$B$8 + AI115*Weights!$B$9,"")</f>
        <v/>
      </c>
      <c r="AK114" s="33">
        <f>IF(AJ115="","",IF(AJ115&gt;=85,"✓✓✓",IF(AJ115&gt;=70,"✓✓",IF(AJ115&gt;=55,"✓",IF(AJ115&gt;=40,"?","✗")))))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2026-05-26</t>
        </is>
      </c>
      <c r="E115" s="33" t="n">
        <v>55.14068</v>
      </c>
      <c r="F115" s="33" t="n">
        <v>89.548</v>
      </c>
      <c r="G115" s="33" t="n">
        <v>0.77</v>
      </c>
      <c r="H115" s="33" t="n">
        <v>27.62926</v>
      </c>
      <c r="I115" s="33">
        <f>IF(OR(E116="",R116="",R116&lt;=0,E116&lt;0),"",E116/R116)</f>
        <v/>
      </c>
      <c r="J115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5" s="33" t="n">
        <v>24.7</v>
      </c>
      <c r="L115" s="33" t="n">
        <v>55.18</v>
      </c>
      <c r="M115" s="33" t="n">
        <v>21.19</v>
      </c>
      <c r="N115" s="33" t="n">
        <v>-1.22</v>
      </c>
      <c r="O115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5" s="33" t="n">
        <v>15.86</v>
      </c>
      <c r="Q115" s="33" t="n">
        <v>26.1</v>
      </c>
      <c r="R115" s="33" t="n">
        <v>39.5</v>
      </c>
      <c r="S115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5" s="33" t="n">
        <v>4</v>
      </c>
      <c r="U115" s="33" t="n">
        <v>4</v>
      </c>
      <c r="V115" s="33" t="n">
        <v>3</v>
      </c>
      <c r="W115" s="33" t="n">
        <v>4</v>
      </c>
      <c r="X115" s="33" t="n">
        <v>4</v>
      </c>
      <c r="Y115" s="33">
        <f>IFERROR(AVERAGE(T116,U116,V116,W116,X116)*20,"")</f>
        <v/>
      </c>
      <c r="Z115" s="33" t="n">
        <v>5</v>
      </c>
      <c r="AA115" s="33" t="n">
        <v>5</v>
      </c>
      <c r="AB115" s="33" t="n">
        <v>3</v>
      </c>
      <c r="AC115" s="71" t="n">
        <v>75.8</v>
      </c>
      <c r="AD115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4</v>
      </c>
      <c r="AI115" s="33">
        <f>IFERROR(AVERAGE(AE116,AF116,AG116,AH116)*20,"")</f>
        <v/>
      </c>
      <c r="AJ115" s="33">
        <f>IFERROR(J116*Weights!$B$4 + O116*Weights!$B$5 + S116*Weights!$B$6 + Y116*Weights!$B$7 + AD116*Weights!$B$8 + AI116*Weights!$B$9,"")</f>
        <v/>
      </c>
      <c r="AK115" s="33">
        <f>IF(AJ116="","",IF(AJ116&gt;=85,"✓✓✓",IF(AJ116&gt;=70,"✓✓",IF(AJ116&gt;=55,"✓",IF(AJ116&gt;=40,"?","✗")))))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0.6899999999999999</v>
      </c>
      <c r="H116" s="33" t="n">
        <v>38.273597</v>
      </c>
      <c r="I116" s="33">
        <f>IF(OR(E117="",R117="",R117&lt;=0,E117&lt;0),"",E117/R117)</f>
        <v/>
      </c>
      <c r="J116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6" s="33" t="n">
        <v>49.5</v>
      </c>
      <c r="L116" s="33" t="n">
        <v>67.83</v>
      </c>
      <c r="M116" s="33" t="n">
        <v>26.56</v>
      </c>
      <c r="N116" s="33" t="n">
        <v>-3.44</v>
      </c>
      <c r="O116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IFERROR(AVERAGE(T117,U117,V117,W117,X117)*20,"")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IFERROR(AVERAGE(AE117,AF117,AG117,AH117)*20,"")</f>
        <v/>
      </c>
      <c r="AJ116" s="33">
        <f>IFERROR(J117*Weights!$B$4 + O117*Weights!$B$5 + S117*Weights!$B$6 + Y117*Weights!$B$7 + AD117*Weights!$B$8 + AI117*Weights!$B$9,"")</f>
        <v/>
      </c>
      <c r="AK116" s="33">
        <f>IF(AJ117="","",IF(AJ117&gt;=85,"✓✓✓",IF(AJ117&gt;=70,"✓✓",IF(AJ117&gt;=55,"✓",IF(AJ117&gt;=40,"?","✗")))))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2</v>
      </c>
      <c r="H117" s="33" t="n">
        <v>1.880059</v>
      </c>
      <c r="I117" s="33">
        <f>IF(OR(E118="",R118="",R118&lt;=0,E118&lt;0),"",E118/R118)</f>
        <v/>
      </c>
      <c r="J117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IFERROR(AVERAGE(T118,U118,V118,W118,X118)*20,"")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IFERROR(AVERAGE(AE118,AF118,AG118,AH118)*20,"")</f>
        <v/>
      </c>
      <c r="AJ117" s="33">
        <f>IFERROR(J118*Weights!$B$4 + O118*Weights!$B$5 + S118*Weights!$B$6 + Y118*Weights!$B$7 + AD118*Weights!$B$8 + AI118*Weights!$B$9,"")</f>
        <v/>
      </c>
      <c r="AK117" s="33">
        <f>IF(AJ118="","",IF(AJ118&gt;=85,"✓✓✓",IF(AJ118&gt;=70,"✓✓",IF(AJ118&gt;=55,"✓",IF(AJ118&gt;=40,"?","✗")))))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1.11</v>
      </c>
      <c r="H118" s="33" t="n">
        <v>6.135206</v>
      </c>
      <c r="I118" s="33">
        <f>IF(OR(E119="",R119="",R119&lt;=0,E119&lt;0),"",E119/R119)</f>
        <v/>
      </c>
      <c r="J118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8" s="33" t="n">
        <v>11.9</v>
      </c>
      <c r="L118" s="33" t="n">
        <v>70.23</v>
      </c>
      <c r="M118" s="33" t="n">
        <v>6.81</v>
      </c>
      <c r="N118" s="33" t="n">
        <v>-1.01</v>
      </c>
      <c r="O118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8" s="33" t="n">
        <v>9.98</v>
      </c>
      <c r="S118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IFERROR(AVERAGE(T119,U119,V119,W119,X119)*20,"")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IFERROR(AVERAGE(AE119,AF119,AG119,AH119)*20,"")</f>
        <v/>
      </c>
      <c r="AJ118" s="33">
        <f>IFERROR(J119*Weights!$B$4 + O119*Weights!$B$5 + S119*Weights!$B$6 + Y119*Weights!$B$7 + AD119*Weights!$B$8 + AI119*Weights!$B$9,"")</f>
        <v/>
      </c>
      <c r="AK118" s="33">
        <f>IF(AJ119="","",IF(AJ119&gt;=85,"✓✓✓",IF(AJ119&gt;=70,"✓✓",IF(AJ119&gt;=55,"✓",IF(AJ119&gt;=40,"?","✗")))))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79.40000000000001</v>
      </c>
      <c r="G119" s="33" t="n">
        <v>1.21</v>
      </c>
      <c r="H119" s="33" t="n">
        <v>21.680235</v>
      </c>
      <c r="I119" s="33">
        <f>IF(OR(E120="",R120="",R120&lt;=0,E120&lt;0),"",E120/R120)</f>
        <v/>
      </c>
      <c r="J119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IFERROR(AVERAGE(T120,U120,V120,W120,X120)*20,"")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IFERROR(AVERAGE(AE120,AF120,AG120,AH120)*20,"")</f>
        <v/>
      </c>
      <c r="AJ119" s="33">
        <f>IFERROR(J120*Weights!$B$4 + O120*Weights!$B$5 + S120*Weights!$B$6 + Y120*Weights!$B$7 + AD120*Weights!$B$8 + AI120*Weights!$B$9,"")</f>
        <v/>
      </c>
      <c r="AK119" s="33">
        <f>IF(AJ120="","",IF(AJ120&gt;=85,"✓✓✓",IF(AJ120&gt;=70,"✓✓",IF(AJ120&gt;=55,"✓",IF(AJ120&gt;=40,"?","✗")))))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133.7</v>
      </c>
      <c r="G120" s="33" t="n">
        <v>0.73</v>
      </c>
      <c r="H120" s="33" t="n">
        <v>35.522409</v>
      </c>
      <c r="I120" s="33">
        <f>IF(OR(E121="",R121="",R121&lt;=0,E121&lt;0),"",E121/R121)</f>
        <v/>
      </c>
      <c r="J120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0" s="33" t="n">
        <v>-1263.2</v>
      </c>
      <c r="L120" s="33" t="n">
        <v>74.67</v>
      </c>
      <c r="M120" s="33" t="n">
        <v>25.8</v>
      </c>
      <c r="N120" s="33" t="n">
        <v>-24.17</v>
      </c>
      <c r="O120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0" s="33" t="n">
        <v>29.01</v>
      </c>
      <c r="Q120" s="33" t="n">
        <v>23.3</v>
      </c>
      <c r="S120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IFERROR(AVERAGE(T121,U121,V121,W121,X121)*20,"")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IFERROR(AVERAGE(AE121,AF121,AG121,AH121)*20,"")</f>
        <v/>
      </c>
      <c r="AJ120" s="33">
        <f>IFERROR(J121*Weights!$B$4 + O121*Weights!$B$5 + S121*Weights!$B$6 + Y121*Weights!$B$7 + AD121*Weights!$B$8 + AI121*Weights!$B$9,"")</f>
        <v/>
      </c>
      <c r="AK120" s="33">
        <f>IF(AJ121="","",IF(AJ121&gt;=85,"✓✓✓",IF(AJ121&gt;=70,"✓✓",IF(AJ121&gt;=55,"✓",IF(AJ121&gt;=40,"?","✗")))))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44.7</v>
      </c>
      <c r="G121" s="33" t="n">
        <v>2.02</v>
      </c>
      <c r="H121" s="33" t="n">
        <v>10.042084</v>
      </c>
      <c r="I121" s="33">
        <f>IF(OR(E122="",R122="",R122&lt;=0,E122&lt;0),"",E122/R122)</f>
        <v/>
      </c>
      <c r="J121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1" s="33" t="n">
        <v>-5.7</v>
      </c>
      <c r="L121" s="33" t="n">
        <v>71.75</v>
      </c>
      <c r="M121" s="33" t="n">
        <v>20.3</v>
      </c>
      <c r="N121" s="33" t="n">
        <v>69.34999999999999</v>
      </c>
      <c r="O121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IFERROR(AVERAGE(T122,U122,V122,W122,X122)*20,"")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IFERROR(AVERAGE(AE122,AF122,AG122,AH122)*20,"")</f>
        <v/>
      </c>
      <c r="AJ121" s="33">
        <f>IFERROR(J122*Weights!$B$4 + O122*Weights!$B$5 + S122*Weights!$B$6 + Y122*Weights!$B$7 + AD122*Weights!$B$8 + AI122*Weights!$B$9,"")</f>
        <v/>
      </c>
      <c r="AK121" s="33">
        <f>IF(AJ122="","",IF(AJ122&gt;=85,"✓✓✓",IF(AJ122&gt;=70,"✓✓",IF(AJ122&gt;=55,"✓",IF(AJ122&gt;=40,"?","✗")))))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12.5</v>
      </c>
      <c r="G122" s="33" t="n">
        <v>6.1</v>
      </c>
      <c r="H122" s="33" t="n">
        <v>3.583644</v>
      </c>
      <c r="I122" s="33">
        <f>IF(OR(E123="",R123="",R123&lt;=0,E123&lt;0),"",E123/R123)</f>
        <v/>
      </c>
      <c r="J122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2" s="33" t="n">
        <v>12.3</v>
      </c>
      <c r="L122" s="33" t="n">
        <v>83.17</v>
      </c>
      <c r="M122" s="33" t="n">
        <v>21.87</v>
      </c>
      <c r="N122" s="33" t="n">
        <v>-10.71</v>
      </c>
      <c r="O122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IFERROR(AVERAGE(T123,U123,V123,W123,X123)*20,"")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IFERROR(AVERAGE(AE123,AF123,AG123,AH123)*20,"")</f>
        <v/>
      </c>
      <c r="AJ122" s="33">
        <f>IFERROR(J123*Weights!$B$4 + O123*Weights!$B$5 + S123*Weights!$B$6 + Y123*Weights!$B$7 + AD123*Weights!$B$8 + AI123*Weights!$B$9,"")</f>
        <v/>
      </c>
      <c r="AK122" s="33">
        <f>IF(AJ123="","",IF(AJ123&gt;=85,"✓✓✓",IF(AJ123&gt;=70,"✓✓",IF(AJ123&gt;=55,"✓",IF(AJ123&gt;=40,"?","✗")))))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1.46</v>
      </c>
      <c r="H123" s="61" t="n">
        <v>10.17</v>
      </c>
      <c r="I123" s="33">
        <f>IF(OR(E124="",R124="",R124&lt;=0,E124&lt;0),"",E124/R124)</f>
        <v/>
      </c>
      <c r="J123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3" s="62" t="n">
        <v>-19.8</v>
      </c>
      <c r="L123" s="62" t="n">
        <v>59.19</v>
      </c>
      <c r="M123" s="62" t="n">
        <v>14.8</v>
      </c>
      <c r="N123" s="61" t="n"/>
      <c r="O123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IFERROR(AVERAGE(T124,U124,V124,W124,X124)*20,"")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IFERROR(AVERAGE(AE124,AF124,AG124,AH124)*20,"")</f>
        <v/>
      </c>
      <c r="AJ123" s="64">
        <f>IFERROR(J124*Weights!$B$4 + O124*Weights!$B$5 + S124*Weights!$B$6 + Y124*Weights!$B$7 + AD124*Weights!$B$8 + AI124*Weights!$B$9,"")</f>
        <v/>
      </c>
      <c r="AK123" s="65">
        <f>IF(AJ124="","",IF(AJ124&gt;=85,"✓✓✓",IF(AJ124&gt;=70,"✓✓",IF(AJ124&gt;=55,"✓",IF(AJ124&gt;=40,"?","✗")))))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-0.51</v>
      </c>
      <c r="H124" s="61" t="n">
        <v>10.05</v>
      </c>
      <c r="I124" s="33">
        <f>IF(OR(E125="",R125="",R125&lt;=0,E125&lt;0),"",E125/R125)</f>
        <v/>
      </c>
      <c r="J124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4" s="62" t="n">
        <v>-3.4</v>
      </c>
      <c r="L124" s="62" t="n">
        <v>87.2</v>
      </c>
      <c r="M124" s="62" t="n">
        <v>-5.1</v>
      </c>
      <c r="N124" s="61" t="n"/>
      <c r="O124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IFERROR(AVERAGE(T125,U125,V125,W125,X125)*20,"")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IFERROR(AVERAGE(AE125,AF125,AG125,AH125)*20,"")</f>
        <v/>
      </c>
      <c r="AJ124" s="64">
        <f>IFERROR(J125*Weights!$B$4 + O125*Weights!$B$5 + S125*Weights!$B$6 + Y125*Weights!$B$7 + AD125*Weights!$B$8 + AI125*Weights!$B$9,"")</f>
        <v/>
      </c>
      <c r="AK124" s="65">
        <f>IF(AJ125="","",IF(AJ125&gt;=85,"✓✓✓",IF(AJ125&gt;=70,"✓✓",IF(AJ125&gt;=55,"✓",IF(AJ125&gt;=40,"?","✗")))))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-0.27</v>
      </c>
      <c r="H125" s="61" t="n">
        <v>22.16</v>
      </c>
      <c r="I125" s="33">
        <f>IF(OR(E127="",R127="",R127&lt;=0,E127&lt;0),"",E127/R127)</f>
        <v/>
      </c>
      <c r="J125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5" s="62" t="n">
        <v>-40</v>
      </c>
      <c r="L125" s="62" t="n">
        <v>88.8</v>
      </c>
      <c r="M125" s="62" t="n">
        <v>-6.1</v>
      </c>
      <c r="N125" s="61" t="n"/>
      <c r="O125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IFERROR(AVERAGE(T127,U127,V127,W127,X127)*20,"")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IFERROR(AVERAGE(AE126,AF126,AG126,AH126)*20,"")</f>
        <v/>
      </c>
      <c r="AJ125" s="64">
        <f>IFERROR(J126*Weights!$B$4 + O126*Weights!$B$5 + S126*Weights!$B$6 + Y126*Weights!$B$7 + AD126*Weights!$B$8 + AI126*Weights!$B$9,"")</f>
        <v/>
      </c>
      <c r="AK125" s="65">
        <f>IF(AJ126="","",IF(AJ126&gt;=85,"✓✓✓",IF(AJ126&gt;=70,"✓✓",IF(AJ126&gt;=55,"✓",IF(AJ126&gt;=40,"?","✗")))))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2.27</v>
      </c>
      <c r="H126" s="61" t="n">
        <v>5.24</v>
      </c>
      <c r="I126" s="33">
        <f>IF(OR(E128="",R128="",R128&lt;=0,E128&lt;0),"",E128/R128)</f>
        <v/>
      </c>
      <c r="J126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IFERROR(AVERAGE(T128,U128,V128,W128,X128)*20,"")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IFERROR(AVERAGE(AE127,AF127,AG127,AH127)*20,"")</f>
        <v/>
      </c>
      <c r="AJ126" s="64">
        <f>IFERROR(J127*Weights!$B$4 + O127*Weights!$B$5 + S127*Weights!$B$6 + Y127*Weights!$B$7 + AD127*Weights!$B$8 + AI127*Weights!$B$9,"")</f>
        <v/>
      </c>
      <c r="AK126" s="65">
        <f>IF(AJ127="","",IF(AJ127&gt;=85,"✓✓✓",IF(AJ127&gt;=70,"✓✓",IF(AJ127&gt;=55,"✓",IF(AJ127&gt;=40,"?","✗")))))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1.56</v>
      </c>
      <c r="H127" s="33" t="n">
        <v>5.625334</v>
      </c>
      <c r="I127" s="33">
        <f>IF(OR(E128="",R128="",R128&lt;=0,E128&lt;0),"",E128/R128)</f>
        <v/>
      </c>
      <c r="J127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7" s="33" t="n">
        <v>21.92</v>
      </c>
      <c r="M127" s="33" t="n">
        <v>8.76</v>
      </c>
      <c r="N127" s="33" t="n">
        <v>-1.48</v>
      </c>
      <c r="O127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IFERROR(AVERAGE(T128,U128,V128,W128,X128)*20,"")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IFERROR(AVERAGE(AE128,AF128,AG128,AH128)*20,"")</f>
        <v/>
      </c>
      <c r="AJ127" s="33">
        <f>IFERROR(J128*Weights!$B$4 + O128*Weights!$B$5 + S128*Weights!$B$6 + Y128*Weights!$B$7 + AD128*Weights!$B$8 + AI128*Weights!$B$9,"")</f>
        <v/>
      </c>
      <c r="AK127" s="33">
        <f>IF(AJ128="","",IF(AJ128&gt;=85,"✓✓✓",IF(AJ128&gt;=70,"✓✓",IF(AJ128&gt;=55,"✓",IF(AJ128&gt;=40,"?","✗")))))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-1.98</v>
      </c>
      <c r="H128" s="33" t="n">
        <v>6.7182517</v>
      </c>
      <c r="I128" s="33">
        <f>IF(OR(E129="",R129="",R129&lt;=0,E129&lt;0),"",E129/R129)</f>
        <v/>
      </c>
      <c r="J128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8" s="33" t="n">
        <v>26.24</v>
      </c>
      <c r="M128" s="33" t="n">
        <v>-13.3</v>
      </c>
      <c r="N128" s="33" t="n">
        <v>1.77</v>
      </c>
      <c r="O128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IFERROR(AVERAGE(T129,U129,V129,W129,X129)*20,"")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IFERROR(AVERAGE(AE129,AF129,AG129,AH129)*20,"")</f>
        <v/>
      </c>
      <c r="AJ128" s="33">
        <f>IFERROR(J129*Weights!$B$4 + O129*Weights!$B$5 + S129*Weights!$B$6 + Y129*Weights!$B$7 + AD129*Weights!$B$8 + AI129*Weights!$B$9,"")</f>
        <v/>
      </c>
      <c r="AK128" s="33">
        <f>IF(AJ129="","",IF(AJ129&gt;=85,"✓✓✓",IF(AJ129&gt;=70,"✓✓",IF(AJ129&gt;=55,"✓",IF(AJ129&gt;=40,"?","✗")))))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0.57</v>
      </c>
      <c r="H129" s="33" t="n">
        <v>41.696236</v>
      </c>
      <c r="I129" s="33">
        <f>IF(OR(E130="",R130="",R130&lt;=0,E130&lt;0),"",E130/R130)</f>
        <v/>
      </c>
      <c r="J129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29" s="33" t="n">
        <v>63.27</v>
      </c>
      <c r="M129" s="33" t="n">
        <v>23.97</v>
      </c>
      <c r="N129" s="33" t="n">
        <v>-0.44</v>
      </c>
      <c r="O129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IFERROR(AVERAGE(T130,U130,V130,W130,X130)*20,"")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IFERROR(AVERAGE(AE130,AF130,AG130,AH130)*20,"")</f>
        <v/>
      </c>
      <c r="AJ129" s="33">
        <f>IFERROR(J130*Weights!$B$4 + O130*Weights!$B$5 + S130*Weights!$B$6 + Y130*Weights!$B$7 + AD130*Weights!$B$8 + AI130*Weights!$B$9,"")</f>
        <v/>
      </c>
      <c r="AK129" s="33">
        <f>IF(AJ130="","",IF(AJ130&gt;=85,"✓✓✓",IF(AJ130&gt;=70,"✓✓",IF(AJ130&gt;=55,"✓",IF(AJ130&gt;=40,"?","✗")))))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-0.01</v>
      </c>
      <c r="H130" s="33" t="n">
        <v>10.832969</v>
      </c>
      <c r="I130" s="33">
        <f>IF(OR(E131="",R131="",R131&lt;=0,E131&lt;0),"",E131/R131)</f>
        <v/>
      </c>
      <c r="J130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0" s="33" t="n">
        <v>42.2</v>
      </c>
      <c r="M130" s="33" t="n">
        <v>-0.07000000000000001</v>
      </c>
      <c r="N130" s="33" t="n">
        <v>-1.98</v>
      </c>
      <c r="O130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IFERROR(AVERAGE(T131,U131,V131,W131,X131)*20,"")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IFERROR(AVERAGE(AE131,AF131,AG131,AH131)*20,"")</f>
        <v/>
      </c>
      <c r="AJ130" s="33">
        <f>IFERROR(J131*Weights!$B$4 + O131*Weights!$B$5 + S131*Weights!$B$6 + Y131*Weights!$B$7 + AD131*Weights!$B$8 + AI131*Weights!$B$9,"")</f>
        <v/>
      </c>
      <c r="AK130" s="33">
        <f>IF(AJ131="","",IF(AJ131&gt;=85,"✓✓✓",IF(AJ131&gt;=70,"✓✓",IF(AJ131&gt;=55,"✓",IF(AJ131&gt;=40,"?","✗")))))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0.42</v>
      </c>
      <c r="H131" s="33" t="n">
        <v>6.191235</v>
      </c>
      <c r="I131" s="33">
        <f>IF(OR(E132="",R132="",R132&lt;=0,E132&lt;0),"",E132/R132)</f>
        <v/>
      </c>
      <c r="J131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1" s="33" t="n">
        <v>39</v>
      </c>
      <c r="M131" s="33" t="n">
        <v>2.58</v>
      </c>
      <c r="N131" s="33" t="n">
        <v>-0.06</v>
      </c>
      <c r="O131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IFERROR(AVERAGE(T132,U132,V132,W132,X132)*20,"")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IFERROR(AVERAGE(AE132,AF132,AG132,AH132)*20,"")</f>
        <v/>
      </c>
      <c r="AJ131" s="33">
        <f>IFERROR(J132*Weights!$B$4 + O132*Weights!$B$5 + S132*Weights!$B$6 + Y132*Weights!$B$7 + AD132*Weights!$B$8 + AI132*Weights!$B$9,"")</f>
        <v/>
      </c>
      <c r="AK131" s="33">
        <f>IF(AJ132="","",IF(AJ132&gt;=85,"✓✓✓",IF(AJ132&gt;=70,"✓✓",IF(AJ132&gt;=55,"✓",IF(AJ132&gt;=40,"?","✗")))))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/>
      <c r="H132" s="33" t="n">
        <v>146.77313</v>
      </c>
      <c r="I132" s="33">
        <f>IF(OR(E133="",R133="",R133&lt;=0,E133&lt;0),"",E133/R133)</f>
        <v/>
      </c>
      <c r="J132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2" s="33" t="n">
        <v>30.07</v>
      </c>
      <c r="M132" s="33" t="n"/>
      <c r="O132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2" s="33" t="n">
        <v>6.56</v>
      </c>
      <c r="Q132" s="33" t="n">
        <v>-38.7</v>
      </c>
      <c r="S132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IFERROR(AVERAGE(T133,U133,V133,W133,X133)*20,"")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IFERROR(AVERAGE(AE133,AF133,AG133,AH133)*20,"")</f>
        <v/>
      </c>
      <c r="AJ132" s="33">
        <f>IFERROR(J133*Weights!$B$4 + O133*Weights!$B$5 + S133*Weights!$B$6 + Y133*Weights!$B$7 + AD133*Weights!$B$8 + AI133*Weights!$B$9,"")</f>
        <v/>
      </c>
      <c r="AK132" s="33">
        <f>IF(AJ133="","",IF(AJ133&gt;=85,"✓✓✓",IF(AJ133&gt;=70,"✓✓",IF(AJ133&gt;=55,"✓",IF(AJ133&gt;=40,"?","✗")))))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3" s="33" t="n">
        <v>68.44</v>
      </c>
      <c r="M133" s="33" t="n">
        <v>20.62</v>
      </c>
      <c r="N133" s="33" t="n">
        <v>-1.43</v>
      </c>
      <c r="O133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IFERROR(AVERAGE(T134,U134,V134,W134,X134)*20,"")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IFERROR(AVERAGE(AE134,AF134,AG134,AH134)*20,"")</f>
        <v/>
      </c>
      <c r="AJ133" s="33">
        <f>IFERROR(J134*Weights!$B$4 + O134*Weights!$B$5 + S134*Weights!$B$6 + Y134*Weights!$B$7 + AD134*Weights!$B$8 + AI134*Weights!$B$9,"")</f>
        <v/>
      </c>
      <c r="AK133" s="33">
        <f>IF(AJ134="","",IF(AJ134&gt;=85,"✓✓✓",IF(AJ134&gt;=70,"✓✓",IF(AJ134&gt;=55,"✓",IF(AJ134&gt;=40,"?","✗")))))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1.59</v>
      </c>
      <c r="H134" s="33" t="n">
        <v>21.789188</v>
      </c>
      <c r="I134" s="33">
        <f>IF(OR(E135="",R135="",R135&lt;=0,E135&lt;0),"",E135/R135)</f>
        <v/>
      </c>
      <c r="J134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4" s="33" t="n">
        <v>80.41</v>
      </c>
      <c r="M134" s="33" t="n">
        <v>34.64</v>
      </c>
      <c r="N134" s="33" t="n">
        <v>-2.52</v>
      </c>
      <c r="O134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IFERROR(AVERAGE(T135,U135,V135,W135,X135)*20,"")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IFERROR(AVERAGE(AE135,AF135,AG135,AH135)*20,"")</f>
        <v/>
      </c>
      <c r="AJ134" s="33">
        <f>IFERROR(J135*Weights!$B$4 + O135*Weights!$B$5 + S135*Weights!$B$6 + Y135*Weights!$B$7 + AD135*Weights!$B$8 + AI135*Weights!$B$9,"")</f>
        <v/>
      </c>
      <c r="AK134" s="33">
        <f>IF(AJ135="","",IF(AJ135&gt;=85,"✓✓✓",IF(AJ135&gt;=70,"✓✓",IF(AJ135&gt;=55,"✓",IF(AJ135&gt;=40,"?","✗")))))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0.85</v>
      </c>
      <c r="H135" s="33" t="n">
        <v>17.259521</v>
      </c>
      <c r="I135" s="33">
        <f>IF(OR(E136="",R136="",R136&lt;=0,E136&lt;0),"",E136/R136)</f>
        <v/>
      </c>
      <c r="J135" s="33">
        <f>IFERROR(AVERAGE(IFERROR(IF(E136="","",IF(E136&lt;0,5,IF(E136&lt;=15,90,IF(E136&lt;=20,75,IF(E136&lt;=25,60,IF(E136&lt;=30,45,IF(E136&lt;=40,30,IF(E136&lt;=60,15,5)))))))),""),IFERROR(IF(F136="","",IF(F136&lt;0,5,IF(F136&lt;=10,90,IF(F136&lt;=15,75,IF(F136&lt;=20,60,IF(F136&lt;=25,45,IF(F136&lt;=35,30,IF(F136&lt;=50,15,5)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5" s="33" t="n">
        <v>41.57</v>
      </c>
      <c r="M135" s="33" t="n">
        <v>14.62</v>
      </c>
      <c r="N135" s="33" t="n">
        <v>0.86</v>
      </c>
      <c r="O135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IFERROR(AVERAGE(T136,U136,V136,W136,X136)*20,"")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IFERROR(AVERAGE(AE136,AF136,AG136,AH136)*20,"")</f>
        <v/>
      </c>
      <c r="AJ135" s="33">
        <f>IFERROR(J136*Weights!$B$4 + O136*Weights!$B$5 + S136*Weights!$B$6 + Y136*Weights!$B$7 + AD136*Weights!$B$8 + AI136*Weights!$B$9,"")</f>
        <v/>
      </c>
      <c r="AK135" s="33">
        <f>IF(AJ136="","",IF(AJ136&gt;=85,"✓✓✓",IF(AJ136&gt;=70,"✓✓",IF(AJ136&gt;=55,"✓",IF(AJ136&gt;=40,"?","✗")))))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-48.674</v>
      </c>
      <c r="G136" s="33" t="n">
        <v>-0.67</v>
      </c>
      <c r="H136" s="33" t="n">
        <v>6.111559</v>
      </c>
      <c r="I136" s="33">
        <f>IF(OR(E137="",R137="",R137&lt;=0,E137&lt;0),"",E137/R137)</f>
        <v/>
      </c>
      <c r="J136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6" s="33" t="n">
        <v>63.39</v>
      </c>
      <c r="M136" s="33" t="n">
        <v>-4.09</v>
      </c>
      <c r="O136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6" s="33" t="n">
        <v>58.29</v>
      </c>
      <c r="Q136" s="33" t="n">
        <v>36.1</v>
      </c>
      <c r="S136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IFERROR(AVERAGE(T137,U137,V137,W137,X137)*20,"")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IFERROR(AVERAGE(AE137,AF137,AG137,AH137)*20,"")</f>
        <v/>
      </c>
      <c r="AJ136" s="33">
        <f>IFERROR(J137*Weights!$B$4 + O137*Weights!$B$5 + S137*Weights!$B$6 + Y137*Weights!$B$7 + AD137*Weights!$B$8 + AI137*Weights!$B$9,"")</f>
        <v/>
      </c>
      <c r="AK136" s="33">
        <f>IF(AJ137="","",IF(AJ137&gt;=85,"✓✓✓",IF(AJ137&gt;=70,"✓✓",IF(AJ137&gt;=55,"✓",IF(AJ137&gt;=40,"?","✗")))))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5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2026-06-12T18:25:06Z</dcterms:modified>
  <cp:revision>0</cp:revision>
</cp:coreProperties>
</file>