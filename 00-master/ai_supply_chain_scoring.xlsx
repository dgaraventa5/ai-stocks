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2026-10-06</t>
        </is>
      </c>
      <c r="E2" s="61" t="n">
        <v>59.80555</v>
      </c>
      <c r="F2" s="61" t="n">
        <v>202.048</v>
      </c>
      <c r="G2" s="62" t="n">
        <v>0.72</v>
      </c>
      <c r="H2" s="61" t="n">
        <v>27.962667</v>
      </c>
      <c r="I2" s="33">
        <f>IF(OR(E2="",R2="",R2&lt;=0,E2&lt;0),"",E2/R2)</f>
        <v/>
      </c>
      <c r="J2" s="63" t="n">
        <v>30.9</v>
      </c>
      <c r="K2" s="62" t="n">
        <v>7.67</v>
      </c>
      <c r="L2" s="62" t="n">
        <v>31.65</v>
      </c>
      <c r="M2" s="62" t="n">
        <v>20.07</v>
      </c>
      <c r="N2" s="61" t="n">
        <v>0.23</v>
      </c>
      <c r="O2" s="63" t="n">
        <v>67.09999999999999</v>
      </c>
      <c r="P2" s="62" t="n">
        <v>19.06</v>
      </c>
      <c r="Q2" s="62" t="n">
        <v>165.5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62.5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2026-10-06</t>
        </is>
      </c>
      <c r="E3" s="61" t="n">
        <v>-50.5878</v>
      </c>
      <c r="F3" s="61" t="n">
        <v>22.4</v>
      </c>
      <c r="G3" s="62" t="n">
        <v>-27.06</v>
      </c>
      <c r="H3" s="61" t="n">
        <v>6.6478686</v>
      </c>
      <c r="I3" s="33">
        <f>IF(OR(E3="",R3="",R3&lt;=0,E3&lt;0),"",E3/R3)</f>
        <v/>
      </c>
      <c r="J3" s="63" t="n">
        <v>27.5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54.4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48.3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2026-10-06</t>
        </is>
      </c>
      <c r="E4" s="61" t="n">
        <v>27.819876</v>
      </c>
      <c r="F4" s="61" t="n">
        <v>36.534</v>
      </c>
      <c r="G4" s="62" t="n">
        <v>2.97</v>
      </c>
      <c r="H4" s="61" t="n">
        <v>8.563435</v>
      </c>
      <c r="I4" s="33">
        <f>IF(OR(E4="",R4="",R4&lt;=0,E4&lt;0),"",E4/R4)</f>
        <v/>
      </c>
      <c r="J4" s="63" t="n">
        <v>51.7</v>
      </c>
      <c r="K4" s="62" t="n">
        <v>21.07</v>
      </c>
      <c r="L4" s="62" t="n">
        <v>38.04</v>
      </c>
      <c r="M4" s="62" t="n">
        <v>25.47</v>
      </c>
      <c r="N4" s="61" t="n">
        <v>0.08</v>
      </c>
      <c r="O4" s="63" t="n">
        <v>80.5</v>
      </c>
      <c r="P4" s="62" t="n">
        <v>21.59</v>
      </c>
      <c r="Q4" s="62" t="n">
        <v>24.1</v>
      </c>
      <c r="R4" s="62" t="n">
        <v>53.5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2</v>
      </c>
      <c r="AB4" s="60" t="n">
        <v>3</v>
      </c>
      <c r="AC4" s="70" t="n">
        <v>33.3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2026-10-06</t>
        </is>
      </c>
      <c r="E5" s="61" t="n">
        <v>41.59801</v>
      </c>
      <c r="F5" s="61" t="n">
        <v>65.146</v>
      </c>
      <c r="G5" s="62" t="n">
        <v>4.46</v>
      </c>
      <c r="H5" s="61" t="n">
        <v>6.742327</v>
      </c>
      <c r="I5" s="33">
        <f>IF(OR(E5="",R5="",R5&lt;=0,E5&lt;0),"",E5/R5)</f>
        <v/>
      </c>
      <c r="J5" s="63" t="n">
        <v>31.7</v>
      </c>
      <c r="K5" s="62" t="n">
        <v>7.22</v>
      </c>
      <c r="L5" s="62" t="n">
        <v>20.57</v>
      </c>
      <c r="M5" s="62" t="n">
        <v>30.07</v>
      </c>
      <c r="N5" s="61" t="n">
        <v>-2.29</v>
      </c>
      <c r="O5" s="63" t="n">
        <v>58</v>
      </c>
      <c r="P5" s="62" t="n">
        <v>8.68</v>
      </c>
      <c r="Q5" s="62" t="n">
        <v>21.9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49.2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2026-10-06</t>
        </is>
      </c>
      <c r="E6" s="61" t="n">
        <v>5.1422977</v>
      </c>
      <c r="F6" s="61" t="n">
        <v>10.694</v>
      </c>
      <c r="G6" s="62" t="n">
        <v>2.18</v>
      </c>
      <c r="H6" s="61" t="n">
        <v>9.031211000000001</v>
      </c>
      <c r="I6" s="33">
        <f>IF(OR(E6="",R6="",R6&lt;=0,E6&lt;0),"",E6/R6)</f>
        <v/>
      </c>
      <c r="J6" s="63" t="n">
        <v>60.3</v>
      </c>
      <c r="K6" s="62" t="n">
        <v>44.18</v>
      </c>
      <c r="L6" s="62" t="n">
        <v>80.72</v>
      </c>
      <c r="M6" s="62" t="n">
        <v>19.65</v>
      </c>
      <c r="N6" s="61" t="n">
        <v>-0.35</v>
      </c>
      <c r="O6" s="63" t="n">
        <v>86.8</v>
      </c>
      <c r="P6" s="62" t="n">
        <v>6.71</v>
      </c>
      <c r="Q6" s="62" t="n">
        <v>379.3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76.7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2026-10-06</t>
        </is>
      </c>
      <c r="E7" s="33" t="n">
        <v>23.051151</v>
      </c>
      <c r="F7" s="33" t="n">
        <v>14.986</v>
      </c>
      <c r="G7" s="33" t="n">
        <v>0.28</v>
      </c>
      <c r="H7" s="33" t="n">
        <v>3.4789996</v>
      </c>
      <c r="I7" s="33">
        <f>IF(OR(E7="",R7="",R7&lt;=0,E7&lt;0),"",E7/R7)</f>
        <v/>
      </c>
      <c r="J7" s="66" t="n">
        <v>50.8</v>
      </c>
      <c r="K7" s="33" t="n">
        <v>3.56</v>
      </c>
      <c r="L7" s="33" t="n">
        <v>22.11</v>
      </c>
      <c r="M7" s="33" t="n">
        <v>0.99</v>
      </c>
      <c r="N7" s="33" t="n">
        <v>3.02</v>
      </c>
      <c r="O7" s="66" t="n">
        <v>44.3</v>
      </c>
      <c r="P7" s="33" t="n">
        <v>1.47</v>
      </c>
      <c r="Q7" s="33" t="n">
        <v>23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39.2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2026-10-06</t>
        </is>
      </c>
      <c r="E8" s="33" t="n">
        <v>15.344413</v>
      </c>
      <c r="F8" s="33" t="n">
        <v>28.489</v>
      </c>
      <c r="G8" s="33" t="n">
        <v>2.17</v>
      </c>
      <c r="H8" s="33" t="n">
        <v>19.321104</v>
      </c>
      <c r="I8" s="33">
        <f>IF(OR(E8="",R8="",R8&lt;=0,E8&lt;0),"",E8/R8)</f>
        <v/>
      </c>
      <c r="J8" s="66" t="n">
        <v>69.90000000000001</v>
      </c>
      <c r="K8" s="33" t="n">
        <v>59.83</v>
      </c>
      <c r="L8" s="33" t="n">
        <v>74.67</v>
      </c>
      <c r="M8" s="33" t="n">
        <v>41.92</v>
      </c>
      <c r="N8" s="33" t="n">
        <v>-0.12</v>
      </c>
      <c r="O8" s="66" t="n">
        <v>92.5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73.3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3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2026-10-06</t>
        </is>
      </c>
      <c r="E9" s="33" t="n">
        <v>40.76959</v>
      </c>
      <c r="F9" s="33" t="n">
        <v>106.932</v>
      </c>
      <c r="G9" s="33" t="n">
        <v>0.8</v>
      </c>
      <c r="H9" s="33" t="n">
        <v>25.332903</v>
      </c>
      <c r="I9" s="33">
        <f>IF(OR(E9="",R9="",R9&lt;=0,E9&lt;0),"",E9/R9)</f>
        <v/>
      </c>
      <c r="J9" s="66" t="n">
        <v>34.4</v>
      </c>
      <c r="K9" s="33" t="n">
        <v>7.66</v>
      </c>
      <c r="L9" s="33" t="n">
        <v>55.72</v>
      </c>
      <c r="M9" s="33" t="n">
        <v>20.34</v>
      </c>
      <c r="N9" s="33" t="n">
        <v>-0.92</v>
      </c>
      <c r="O9" s="66" t="n">
        <v>57.8</v>
      </c>
      <c r="P9" s="33" t="n">
        <v>13.64</v>
      </c>
      <c r="Q9" s="33" t="n">
        <v>50.1</v>
      </c>
      <c r="R9" s="33" t="n">
        <v>163.4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75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2026-10-06</t>
        </is>
      </c>
      <c r="E10" s="33" t="n">
        <v>16.03207</v>
      </c>
      <c r="F10" s="33" t="n">
        <v>13.545</v>
      </c>
      <c r="G10" s="33" t="n">
        <v>-11.79</v>
      </c>
      <c r="H10" s="33" t="n">
        <v>2.968321</v>
      </c>
      <c r="I10" s="33">
        <f>IF(OR(E10="",R10="",R10&lt;=0,E10&lt;0),"",E10/R10)</f>
        <v/>
      </c>
      <c r="J10" s="66" t="n">
        <v>41.3</v>
      </c>
      <c r="K10" s="33" t="n">
        <v>3.98</v>
      </c>
      <c r="L10" s="33" t="n">
        <v>46.22</v>
      </c>
      <c r="M10" s="33" t="n">
        <v>-35</v>
      </c>
      <c r="N10" s="33" t="n">
        <v>6.43</v>
      </c>
      <c r="O10" s="66" t="n">
        <v>39.2</v>
      </c>
      <c r="P10" s="33" t="n">
        <v>5.8</v>
      </c>
      <c r="Q10" s="33" t="n">
        <v>17.6</v>
      </c>
      <c r="R10" s="33" t="n">
        <v>-55.3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52.5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2026-10-06</t>
        </is>
      </c>
      <c r="E11" s="33" t="n">
        <v>17.544525</v>
      </c>
      <c r="F11" s="33" t="n">
        <v>13.214</v>
      </c>
      <c r="G11" s="33" t="n">
        <v>-3.72</v>
      </c>
      <c r="H11" s="33" t="n">
        <v>2.8735468</v>
      </c>
      <c r="I11" s="33">
        <f>IF(OR(E11="",R11="",R11&lt;=0,E11&lt;0),"",E11/R11)</f>
        <v/>
      </c>
      <c r="J11" s="66" t="n">
        <v>49.5</v>
      </c>
      <c r="K11" s="33" t="n">
        <v>4.47</v>
      </c>
      <c r="L11" s="33" t="n">
        <v>46.35</v>
      </c>
      <c r="M11" s="33" t="n">
        <v>-10.69</v>
      </c>
      <c r="N11" s="33" t="n">
        <v>5.86</v>
      </c>
      <c r="O11" s="66" t="n">
        <v>43.9</v>
      </c>
      <c r="P11" s="33" t="n">
        <v>3.66</v>
      </c>
      <c r="Q11" s="33" t="n">
        <v>7</v>
      </c>
      <c r="R11" s="33" t="n">
        <v>-41.8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32.5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2026-10-06</t>
        </is>
      </c>
      <c r="E12" s="33" t="n">
        <v>15.931405</v>
      </c>
      <c r="F12" s="33" t="n">
        <v>11.036</v>
      </c>
      <c r="G12" s="33" t="n">
        <v>-4.8</v>
      </c>
      <c r="H12" s="33" t="n">
        <v>2.715635</v>
      </c>
      <c r="I12" s="33">
        <f>IF(OR(E12="",R12="",R12&lt;=0,E12&lt;0),"",E12/R12)</f>
        <v/>
      </c>
      <c r="J12" s="66" t="n">
        <v>60.5</v>
      </c>
      <c r="K12" s="33" t="n">
        <v>4.23</v>
      </c>
      <c r="L12" s="33" t="n">
        <v>51.97</v>
      </c>
      <c r="M12" s="33" t="n">
        <v>-13.03</v>
      </c>
      <c r="N12" s="33" t="n">
        <v>5.51</v>
      </c>
      <c r="O12" s="66" t="n">
        <v>47.1</v>
      </c>
      <c r="P12" s="33" t="n">
        <v>3.87</v>
      </c>
      <c r="Q12" s="33" t="n">
        <v>1.1</v>
      </c>
      <c r="R12" s="33" t="n">
        <v>11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22.5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2026-10-06</t>
        </is>
      </c>
      <c r="E13" s="33" t="n">
        <v>17.106726</v>
      </c>
      <c r="F13" s="33" t="n">
        <v>12.152</v>
      </c>
      <c r="G13" s="33" t="n">
        <v>-3.37</v>
      </c>
      <c r="H13" s="33" t="n">
        <v>3.2102976</v>
      </c>
      <c r="I13" s="33">
        <f>IF(OR(E13="",R13="",R13&lt;=0,E13&lt;0),"",E13/R13)</f>
        <v/>
      </c>
      <c r="J13" s="66" t="n">
        <v>44.6</v>
      </c>
      <c r="K13" s="33" t="n">
        <v>4.35</v>
      </c>
      <c r="L13" s="33" t="n">
        <v>48.29</v>
      </c>
      <c r="M13" s="33" t="n">
        <v>-10.83</v>
      </c>
      <c r="N13" s="33" t="n">
        <v>5.2</v>
      </c>
      <c r="O13" s="66" t="n">
        <v>47.1</v>
      </c>
      <c r="P13" s="33" t="n">
        <v>0.31</v>
      </c>
      <c r="Q13" s="33" t="n">
        <v>0.1</v>
      </c>
      <c r="R13" s="33" t="n">
        <v>33.4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29.2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2026-10-06</t>
        </is>
      </c>
      <c r="E14" s="33" t="n">
        <v>17.434021</v>
      </c>
      <c r="F14" s="33" t="n">
        <v>19.014</v>
      </c>
      <c r="G14" s="33" t="n">
        <v>1.91</v>
      </c>
      <c r="H14" s="33" t="n">
        <v>5.56273</v>
      </c>
      <c r="I14" s="33">
        <f>IF(OR(E14="",R14="",R14&lt;=0,E14&lt;0),"",E14/R14)</f>
        <v/>
      </c>
      <c r="J14" s="66" t="n">
        <v>46.9</v>
      </c>
      <c r="K14" s="33" t="n">
        <v>3.99</v>
      </c>
      <c r="L14" s="33" t="n">
        <v>61.02</v>
      </c>
      <c r="M14" s="33" t="n">
        <v>10.62</v>
      </c>
      <c r="N14" s="33" t="n">
        <v>7.35</v>
      </c>
      <c r="O14" s="66" t="n">
        <v>54.4</v>
      </c>
      <c r="P14" s="33" t="n">
        <v>9.359999999999999</v>
      </c>
      <c r="Q14" s="33" t="n">
        <v>12.4</v>
      </c>
      <c r="R14" s="33" t="n">
        <v>55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26.7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2026-10-06</t>
        </is>
      </c>
      <c r="E15" s="33" t="n">
        <v>19.817215</v>
      </c>
      <c r="F15" s="33" t="n">
        <v>14.108</v>
      </c>
      <c r="G15" s="33" t="n">
        <v>-6.52</v>
      </c>
      <c r="H15" s="33" t="n">
        <v>3.5846884</v>
      </c>
      <c r="I15" s="33">
        <f>IF(OR(E15="",R15="",R15&lt;=0,E15&lt;0),"",E15/R15)</f>
        <v/>
      </c>
      <c r="J15" s="66" t="n">
        <v>34.2</v>
      </c>
      <c r="K15" s="33" t="n">
        <v>3.62</v>
      </c>
      <c r="L15" s="33" t="n">
        <v>47</v>
      </c>
      <c r="M15" s="33" t="n">
        <v>-23.37</v>
      </c>
      <c r="N15" s="33" t="n">
        <v>5.56</v>
      </c>
      <c r="O15" s="66" t="n">
        <v>35.5</v>
      </c>
      <c r="P15" s="33" t="n">
        <v>-2.02</v>
      </c>
      <c r="Q15" s="33" t="n">
        <v>5.9</v>
      </c>
      <c r="R15" s="33" t="n">
        <v>3.1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42.5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2026-10-06</t>
        </is>
      </c>
      <c r="E16" s="33" t="n">
        <v>15.638346</v>
      </c>
      <c r="F16" s="33" t="n">
        <v>11.929</v>
      </c>
      <c r="G16" s="33" t="n">
        <v>-7.99</v>
      </c>
      <c r="H16" s="33" t="n">
        <v>2.6536856</v>
      </c>
      <c r="I16" s="33">
        <f>IF(OR(E16="",R16="",R16&lt;=0,E16&lt;0),"",E16/R16)</f>
        <v/>
      </c>
      <c r="J16" s="66" t="n">
        <v>54.5</v>
      </c>
      <c r="K16" s="33" t="n">
        <v>4.26</v>
      </c>
      <c r="L16" s="33" t="n">
        <v>44.09</v>
      </c>
      <c r="M16" s="33" t="n">
        <v>-21.2</v>
      </c>
      <c r="N16" s="33" t="n">
        <v>5.33</v>
      </c>
      <c r="O16" s="66" t="n">
        <v>38.6</v>
      </c>
      <c r="P16" s="33" t="n">
        <v>4.59</v>
      </c>
      <c r="Q16" s="33" t="n">
        <v>4.2</v>
      </c>
      <c r="R16" s="33" t="n">
        <v>25.7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23.3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2026-10-06</t>
        </is>
      </c>
      <c r="E17" s="33" t="n">
        <v>15.781226</v>
      </c>
      <c r="F17" s="33" t="n">
        <v>13.766</v>
      </c>
      <c r="G17" s="33" t="n">
        <v>-17.2</v>
      </c>
      <c r="H17" s="33" t="n">
        <v>3.0603492</v>
      </c>
      <c r="I17" s="33">
        <f>IF(OR(E17="",R17="",R17&lt;=0,E17&lt;0),"",E17/R17)</f>
        <v/>
      </c>
      <c r="J17" s="66" t="n">
        <v>49.3</v>
      </c>
      <c r="K17" s="33" t="n">
        <v>3.91</v>
      </c>
      <c r="L17" s="33" t="n">
        <v>46.83</v>
      </c>
      <c r="M17" s="33" t="n">
        <v>-52.63</v>
      </c>
      <c r="N17" s="33" t="n">
        <v>6.47</v>
      </c>
      <c r="O17" s="66" t="n">
        <v>33.9</v>
      </c>
      <c r="P17" s="33" t="n">
        <v>-1.42</v>
      </c>
      <c r="Q17" s="33" t="n">
        <v>-5.1</v>
      </c>
      <c r="R17" s="33" t="n">
        <v>32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30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2026-10-06</t>
        </is>
      </c>
      <c r="E18" s="33" t="n">
        <v>15.31536</v>
      </c>
      <c r="F18" s="33" t="n">
        <v>10.712</v>
      </c>
      <c r="G18" s="33" t="n">
        <v>4.21</v>
      </c>
      <c r="H18" s="33" t="n">
        <v>2.787002</v>
      </c>
      <c r="I18" s="33">
        <f>IF(OR(E18="",R18="",R18&lt;=0,E18&lt;0),"",E18/R18)</f>
        <v/>
      </c>
      <c r="J18" s="66" t="n">
        <v>71.59999999999999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65.09999999999999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35.8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2026-10-06</t>
        </is>
      </c>
      <c r="E19" s="33" t="n">
        <v>11.738035</v>
      </c>
      <c r="F19" s="33" t="n">
        <v>43.413</v>
      </c>
      <c r="G19" s="33" t="n">
        <v>2.6</v>
      </c>
      <c r="H19" s="33" t="n">
        <v>4.564368</v>
      </c>
      <c r="I19" s="33">
        <f>IF(OR(E19="",R19="",R19&lt;=0,E19&lt;0),"",E19/R19)</f>
        <v/>
      </c>
      <c r="J19" s="66" t="n">
        <v>49.5</v>
      </c>
      <c r="K19" s="33" t="n">
        <v>2.69</v>
      </c>
      <c r="L19" s="33" t="n">
        <v>42.1</v>
      </c>
      <c r="M19" s="33" t="n">
        <v>11.87</v>
      </c>
      <c r="N19" s="33" t="n">
        <v>16.05</v>
      </c>
      <c r="O19" s="66" t="n">
        <v>47.1</v>
      </c>
      <c r="P19" s="33" t="n">
        <v>13.95</v>
      </c>
      <c r="Q19" s="33" t="n">
        <v>111.2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47.5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2026-10-06</t>
        </is>
      </c>
      <c r="E20" s="33" t="n">
        <v>9.323293</v>
      </c>
      <c r="F20" s="33" t="n">
        <v>13.619</v>
      </c>
      <c r="G20" s="33" t="n">
        <v>1.44</v>
      </c>
      <c r="H20" s="33" t="n">
        <v>0.6620123</v>
      </c>
      <c r="I20" s="33">
        <f>IF(OR(E20="",R20="",R20&lt;=0,E20&lt;0),"",E20/R20)</f>
        <v/>
      </c>
      <c r="J20" s="66" t="n">
        <v>55.4</v>
      </c>
      <c r="K20" s="33" t="n">
        <v>5.62</v>
      </c>
      <c r="L20" s="33" t="n">
        <v>18.8</v>
      </c>
      <c r="M20" s="33" t="n">
        <v>0.95</v>
      </c>
      <c r="N20" s="33" t="n">
        <v>7.16</v>
      </c>
      <c r="O20" s="66" t="n">
        <v>35.9</v>
      </c>
      <c r="P20" s="33" t="n">
        <v>-0.88</v>
      </c>
      <c r="Q20" s="33" t="n">
        <v>11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15.8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2026-10-06</t>
        </is>
      </c>
      <c r="E21" s="33" t="n">
        <v>49.96529</v>
      </c>
      <c r="F21" s="33" t="n">
        <v>70.69</v>
      </c>
      <c r="G21" s="33" t="n">
        <v>0.99</v>
      </c>
      <c r="H21" s="33" t="n">
        <v>16.21</v>
      </c>
      <c r="I21" s="33">
        <f>IF(OR(E21="",R21="",R21&lt;=0,E21&lt;0),"",E21/R21)</f>
        <v/>
      </c>
      <c r="J21" s="66" t="n">
        <v>39.6</v>
      </c>
      <c r="K21" s="33" t="n">
        <v>4.17</v>
      </c>
      <c r="L21" s="33" t="n">
        <v>35.11</v>
      </c>
      <c r="M21" s="33" t="n">
        <v>16</v>
      </c>
      <c r="N21" s="33" t="n">
        <v>0.14</v>
      </c>
      <c r="O21" s="66" t="n">
        <v>76</v>
      </c>
      <c r="P21" s="33" t="n">
        <v>23.07</v>
      </c>
      <c r="Q21" s="33" t="n">
        <v>-7.2</v>
      </c>
      <c r="R21" s="33" t="n">
        <v>-92.09999999999999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34.2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2026-10-06</t>
        </is>
      </c>
      <c r="E22" s="33" t="n">
        <v>-326.83334</v>
      </c>
      <c r="F22" s="33" t="n">
        <v>-32.808</v>
      </c>
      <c r="G22" s="33" t="n">
        <v>-2.47</v>
      </c>
      <c r="H22" s="33" t="n">
        <v>130.44853</v>
      </c>
      <c r="I22" s="33">
        <f>IF(OR(E22="",R22="",R22&lt;=0,E22&lt;0),"",E22/R22)</f>
        <v/>
      </c>
      <c r="J22" s="66" t="n">
        <v>35.7</v>
      </c>
      <c r="K22" s="33" t="n">
        <v>-6.61</v>
      </c>
      <c r="L22" s="33" t="n">
        <v>-183.96</v>
      </c>
      <c r="M22" s="33" t="n">
        <v>-322.78</v>
      </c>
      <c r="N22" s="33" t="n"/>
      <c r="O22" s="66" t="n">
        <v>8.699999999999999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36.7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2026-10-06</t>
        </is>
      </c>
      <c r="E23" s="33" t="n">
        <v>39.09804</v>
      </c>
      <c r="F23" s="33" t="n">
        <v>211.003</v>
      </c>
      <c r="G23" s="33" t="n">
        <v>-5.36</v>
      </c>
      <c r="H23" s="33" t="n">
        <v>6.4503465</v>
      </c>
      <c r="I23" s="33">
        <f>IF(OR(E23="",R23="",R23&lt;=0,E23&lt;0),"",E23/R23)</f>
        <v/>
      </c>
      <c r="J23" s="66" t="n">
        <v>26.1</v>
      </c>
      <c r="K23" s="33" t="n">
        <v>0.35</v>
      </c>
      <c r="L23" s="33" t="n">
        <v>23.66</v>
      </c>
      <c r="M23" s="33" t="n">
        <v>-34.56</v>
      </c>
      <c r="N23" s="33" t="n">
        <v>-68.42</v>
      </c>
      <c r="O23" s="66" t="n">
        <v>48.6</v>
      </c>
      <c r="P23" s="33" t="n">
        <v>15.16</v>
      </c>
      <c r="Q23" s="33" t="n">
        <v>14</v>
      </c>
      <c r="R23" s="33" t="n">
        <v>-41.9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35.8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2026-10-06</t>
        </is>
      </c>
      <c r="E24" s="33" t="n">
        <v>28.003128</v>
      </c>
      <c r="F24" s="33" t="n">
        <v>28.988</v>
      </c>
      <c r="G24" s="33" t="n">
        <v>2.36</v>
      </c>
      <c r="H24" s="33" t="n">
        <v>3.8187456</v>
      </c>
      <c r="I24" s="33">
        <f>IF(OR(E24="",R24="",R24&lt;=0,E24&lt;0),"",E24/R24)</f>
        <v/>
      </c>
      <c r="J24" s="66" t="n">
        <v>38.3</v>
      </c>
      <c r="K24" s="33" t="n">
        <v>7.6</v>
      </c>
      <c r="L24" s="33" t="n">
        <v>22.08</v>
      </c>
      <c r="M24" s="33" t="n">
        <v>9.01</v>
      </c>
      <c r="N24" s="33" t="n">
        <v>2.96</v>
      </c>
      <c r="O24" s="66" t="n">
        <v>54.4</v>
      </c>
      <c r="P24" s="33" t="n">
        <v>12.73</v>
      </c>
      <c r="Q24" s="33" t="n">
        <v>18</v>
      </c>
      <c r="R24" s="33" t="n">
        <v>13.6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12.5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2026-10-06</t>
        </is>
      </c>
      <c r="E25" s="33" t="n">
        <v>-12.316317</v>
      </c>
      <c r="F25" s="33" t="n">
        <v>-9.098000000000001</v>
      </c>
      <c r="G25" s="33" t="n">
        <v>-23.34</v>
      </c>
      <c r="H25" s="33" t="n">
        <v>312.11102</v>
      </c>
      <c r="I25" s="33">
        <f>IF(OR(E25="",R25="",R25&lt;=0,E25&lt;0),"",E25/R25)</f>
        <v/>
      </c>
      <c r="J25" s="66" t="n">
        <v>28.1</v>
      </c>
      <c r="K25" s="33" t="n">
        <v>-28.65</v>
      </c>
      <c r="L25" s="33" t="n">
        <v>23.54</v>
      </c>
      <c r="M25" s="33" t="n">
        <v>-7284.85</v>
      </c>
      <c r="N25" s="33" t="n"/>
      <c r="O25" s="66" t="n">
        <v>11.6</v>
      </c>
      <c r="P25" s="33" t="n">
        <v>38.67</v>
      </c>
      <c r="Q25" s="33" t="n">
        <v>-99.09999999999999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35.8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2026-10-06</t>
        </is>
      </c>
      <c r="E26" s="33" t="n">
        <v>-36.490025</v>
      </c>
      <c r="F26" s="33" t="n">
        <v>-19.511</v>
      </c>
      <c r="G26" s="33" t="n">
        <v>-3.87</v>
      </c>
      <c r="H26" s="33" t="n">
        <v>5891.0713</v>
      </c>
      <c r="I26" s="33">
        <f>IF(OR(E26="",R26="",R26&lt;=0,E26&lt;0),"",E26/R26)</f>
        <v/>
      </c>
      <c r="J26" s="66" t="n">
        <v>47.5</v>
      </c>
      <c r="K26" s="33" t="n">
        <v>-5.21</v>
      </c>
      <c r="L26" s="33" t="n">
        <v>40.41</v>
      </c>
      <c r="M26" s="33" t="n">
        <v>-22794.71</v>
      </c>
      <c r="N26" s="33" t="n"/>
      <c r="O26" s="66" t="n">
        <v>12.1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27.5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2026-10-06</t>
        </is>
      </c>
      <c r="E27" s="33" t="n">
        <v>-16.352356</v>
      </c>
      <c r="F27" s="33" t="n">
        <v>-4.928</v>
      </c>
      <c r="G27" s="33" t="n">
        <v>-4.3</v>
      </c>
      <c r="H27" s="33" t="n">
        <v>4133.1934</v>
      </c>
      <c r="I27" s="33">
        <f>IF(OR(E27="",R27="",R27&lt;=0,E27&lt;0),"",E27/R27)</f>
        <v/>
      </c>
      <c r="J27" s="66" t="n">
        <v>37.9</v>
      </c>
      <c r="K27" s="33" t="n">
        <v>-6.66</v>
      </c>
      <c r="L27" s="33" t="n">
        <v>29.07</v>
      </c>
      <c r="M27" s="33" t="n">
        <v>-17776.09</v>
      </c>
      <c r="N27" s="33" t="n"/>
      <c r="O27" s="66" t="n">
        <v>9.1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31.7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2026-10-06</t>
        </is>
      </c>
      <c r="E28" s="33" t="n">
        <v>13.551965</v>
      </c>
      <c r="F28" s="33" t="n">
        <v>5.879</v>
      </c>
      <c r="G28" s="33" t="n">
        <v>11.76</v>
      </c>
      <c r="H28" s="33" t="n">
        <v>3.4395604</v>
      </c>
      <c r="I28" s="33">
        <f>IF(OR(E28="",R28="",R28&lt;=0,E28&lt;0),"",E28/R28)</f>
        <v/>
      </c>
      <c r="J28" s="66" t="n">
        <v>78.2</v>
      </c>
      <c r="K28" s="33" t="n">
        <v>7.96</v>
      </c>
      <c r="L28" s="33" t="n">
        <v>80.75</v>
      </c>
      <c r="M28" s="33" t="n">
        <v>40.44</v>
      </c>
      <c r="N28" s="33" t="n">
        <v>0.79</v>
      </c>
      <c r="O28" s="66" t="n">
        <v>91.8</v>
      </c>
      <c r="P28" s="33" t="n">
        <v>-11.72</v>
      </c>
      <c r="Q28" s="33" t="n">
        <v>-3.9</v>
      </c>
      <c r="R28" s="33" t="n">
        <v>-73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27.5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2026-10-06</t>
        </is>
      </c>
      <c r="E29" s="33" t="n">
        <v>9.876078</v>
      </c>
      <c r="F29" s="33" t="n">
        <v>6.189</v>
      </c>
      <c r="G29" s="33" t="n">
        <v>7.61</v>
      </c>
      <c r="H29" s="33" t="n">
        <v>2.7710829</v>
      </c>
      <c r="I29" s="33">
        <f>IF(OR(E29="",R29="",R29&lt;=0,E29&lt;0),"",E29/R29)</f>
        <v/>
      </c>
      <c r="J29" s="66" t="n">
        <v>77.90000000000001</v>
      </c>
      <c r="K29" s="33" t="n">
        <v>12.19</v>
      </c>
      <c r="L29" s="33" t="n">
        <v>52.12</v>
      </c>
      <c r="M29" s="33" t="n">
        <v>21.1</v>
      </c>
      <c r="N29" s="33" t="n">
        <v>0.63</v>
      </c>
      <c r="O29" s="66" t="n">
        <v>88.59999999999999</v>
      </c>
      <c r="P29" s="33" t="n">
        <v>-17.55</v>
      </c>
      <c r="Q29" s="33" t="n">
        <v>8.6</v>
      </c>
      <c r="R29" s="33" t="n">
        <v>-17.8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2026-10-06</t>
        </is>
      </c>
      <c r="E30" s="33" t="n">
        <v>7.9169903</v>
      </c>
      <c r="F30" s="33" t="n"/>
      <c r="G30" s="33" t="n">
        <v>15</v>
      </c>
      <c r="H30" s="33" t="n">
        <v>1.8386568</v>
      </c>
      <c r="I30" s="33">
        <f>IF(OR(E30="",R30="",R30&lt;=0,E30&lt;0),"",E30/R30)</f>
        <v/>
      </c>
      <c r="J30" s="66" t="n">
        <v>86.8</v>
      </c>
      <c r="K30" s="33" t="n">
        <v>6.71</v>
      </c>
      <c r="L30" s="33" t="n">
        <v>67.15000000000001</v>
      </c>
      <c r="M30" s="33" t="n">
        <v>27.58</v>
      </c>
      <c r="N30" s="33" t="n"/>
      <c r="O30" s="66" t="n">
        <v>86.3</v>
      </c>
      <c r="P30" s="33" t="n">
        <v>-15.47</v>
      </c>
      <c r="Q30" s="33" t="n">
        <v>12.6</v>
      </c>
      <c r="R30" s="33" t="n">
        <v>78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30.8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2026-10-06</t>
        </is>
      </c>
      <c r="E31" s="33" t="n">
        <v>10.0616</v>
      </c>
      <c r="F31" s="33" t="n">
        <v>3.433</v>
      </c>
      <c r="G31" s="33" t="n">
        <v>12.41</v>
      </c>
      <c r="H31" s="33" t="n">
        <v>1.5767058</v>
      </c>
      <c r="I31" s="33">
        <f>IF(OR(E31="",R31="",R31&lt;=0,E31&lt;0),"",E31/R31)</f>
        <v/>
      </c>
      <c r="J31" s="66" t="n">
        <v>82.8</v>
      </c>
      <c r="K31" s="33" t="n">
        <v>12.56</v>
      </c>
      <c r="L31" s="33" t="n">
        <v>47.07</v>
      </c>
      <c r="M31" s="33" t="n">
        <v>19.57</v>
      </c>
      <c r="N31" s="33" t="n">
        <v>0.46</v>
      </c>
      <c r="O31" s="66" t="n">
        <v>86.2</v>
      </c>
      <c r="P31" s="33" t="n">
        <v>2.13</v>
      </c>
      <c r="Q31" s="33" t="n">
        <v>-10.6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30.8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2026-10-06</t>
        </is>
      </c>
      <c r="E32" s="33" t="n">
        <v>-12.944111</v>
      </c>
      <c r="F32" s="33" t="n">
        <v>-6.856</v>
      </c>
      <c r="G32" s="33" t="n">
        <v>-20.89</v>
      </c>
      <c r="H32" s="33" t="n">
        <v>3.6052437</v>
      </c>
      <c r="I32" s="33">
        <f>IF(OR(E32="",R32="",R32&lt;=0,E32&lt;0),"",E32/R32)</f>
        <v/>
      </c>
      <c r="J32" s="66" t="n">
        <v>31.6</v>
      </c>
      <c r="K32" s="33" t="n">
        <v>-23.36</v>
      </c>
      <c r="L32" s="33" t="n">
        <v>-24.75</v>
      </c>
      <c r="M32" s="33" t="n">
        <v>-75.33</v>
      </c>
      <c r="N32" s="33" t="n"/>
      <c r="O32" s="66" t="n">
        <v>4.7</v>
      </c>
      <c r="P32" s="33" t="n">
        <v>0.4</v>
      </c>
      <c r="Q32" s="33" t="n">
        <v>2.5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30.8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2026-10-06</t>
        </is>
      </c>
      <c r="E33" s="33" t="n">
        <v>15.593797</v>
      </c>
      <c r="F33" s="33" t="n">
        <v>15.432</v>
      </c>
      <c r="G33" s="33" t="n">
        <v>4.54</v>
      </c>
      <c r="H33" s="33" t="n">
        <v>2.1385827</v>
      </c>
      <c r="I33" s="33">
        <f>IF(OR(E33="",R33="",R33&lt;=0,E33&lt;0),"",E33/R33)</f>
        <v/>
      </c>
      <c r="J33" s="66" t="n">
        <v>57.6</v>
      </c>
      <c r="K33" s="33" t="n">
        <v>11.39</v>
      </c>
      <c r="L33" s="33" t="n">
        <v>25.77</v>
      </c>
      <c r="M33" s="33" t="n">
        <v>9.699999999999999</v>
      </c>
      <c r="N33" s="33" t="n">
        <v>0.87</v>
      </c>
      <c r="O33" s="66" t="n">
        <v>67.09999999999999</v>
      </c>
      <c r="P33" s="33" t="n">
        <v>6.25</v>
      </c>
      <c r="Q33" s="33" t="n">
        <v>9.4</v>
      </c>
      <c r="R33" s="33" t="n">
        <v>4.7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44.2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2026-10-06</t>
        </is>
      </c>
      <c r="E34" s="33" t="n">
        <v>17.597675</v>
      </c>
      <c r="F34" s="33" t="n">
        <v>21.749</v>
      </c>
      <c r="G34" s="33" t="n">
        <v>2.84</v>
      </c>
      <c r="H34" s="33" t="n">
        <v>3.0121992</v>
      </c>
      <c r="I34" s="33">
        <f>IF(OR(E34="",R34="",R34&lt;=0,E34&lt;0),"",E34/R34)</f>
        <v/>
      </c>
      <c r="J34" s="66" t="n">
        <v>57.9</v>
      </c>
      <c r="K34" s="33" t="n">
        <v>7.06</v>
      </c>
      <c r="L34" s="33" t="n">
        <v>39.54</v>
      </c>
      <c r="M34" s="33" t="n">
        <v>8.539999999999999</v>
      </c>
      <c r="N34" s="33" t="n">
        <v>1.79</v>
      </c>
      <c r="O34" s="66" t="n">
        <v>61</v>
      </c>
      <c r="P34" s="33" t="n">
        <v>-2.67</v>
      </c>
      <c r="Q34" s="33" t="n">
        <v>10.6</v>
      </c>
      <c r="R34" s="33" t="n">
        <v>93.5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52.5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2026-10-06</t>
        </is>
      </c>
      <c r="E35" s="33" t="n">
        <v>27.348215</v>
      </c>
      <c r="F35" s="33" t="n">
        <v>28.423</v>
      </c>
      <c r="G35" s="33" t="n">
        <v>2.28</v>
      </c>
      <c r="H35" s="33" t="n">
        <v>5.742825</v>
      </c>
      <c r="I35" s="33">
        <f>IF(OR(E35="",R35="",R35&lt;=0,E35&lt;0),"",E35/R35)</f>
        <v/>
      </c>
      <c r="J35" s="66" t="n">
        <v>33.4</v>
      </c>
      <c r="K35" s="33" t="n">
        <v>9.550000000000001</v>
      </c>
      <c r="L35" s="33" t="n">
        <v>36.02</v>
      </c>
      <c r="M35" s="33" t="n">
        <v>13.1</v>
      </c>
      <c r="N35" s="33" t="n">
        <v>3.11</v>
      </c>
      <c r="O35" s="66" t="n">
        <v>55.6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68.3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2026-10-06</t>
        </is>
      </c>
      <c r="E36" s="33" t="n">
        <v>20.954208</v>
      </c>
      <c r="F36" s="33" t="n">
        <v>19.17</v>
      </c>
      <c r="G36" s="33" t="n">
        <v>3.66</v>
      </c>
      <c r="H36" s="33" t="n">
        <v>3.5</v>
      </c>
      <c r="I36" s="33">
        <f>IF(OR(E36="",R36="",R36&lt;=0,E36&lt;0),"",E36/R36)</f>
        <v/>
      </c>
      <c r="J36" s="33" t="n">
        <v>69.8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79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4</v>
      </c>
      <c r="AB36" s="33" t="n">
        <v>3</v>
      </c>
      <c r="AC36" s="71" t="n">
        <v>70.8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3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2026-10-06</t>
        </is>
      </c>
      <c r="E37" s="33" t="n">
        <v>26.928871</v>
      </c>
      <c r="F37" s="33" t="n">
        <v>100.473</v>
      </c>
      <c r="G37" s="33" t="n">
        <v>2.33</v>
      </c>
      <c r="H37" s="33" t="n">
        <v>4.9841886</v>
      </c>
      <c r="I37" s="33">
        <f>IF(OR(E37="",R37="",R37&lt;=0,E37&lt;0),"",E37/R37)</f>
        <v/>
      </c>
      <c r="J37" s="33" t="n">
        <v>32.2</v>
      </c>
      <c r="K37" s="33" t="n">
        <v>16.73</v>
      </c>
      <c r="L37" s="33" t="n">
        <v>40.25</v>
      </c>
      <c r="M37" s="33" t="n">
        <v>11.63</v>
      </c>
      <c r="N37" s="33" t="n">
        <v>0.46</v>
      </c>
      <c r="O37" s="33" t="n">
        <v>78.2</v>
      </c>
      <c r="P37" s="33" t="n">
        <v>4.1</v>
      </c>
      <c r="Q37" s="33" t="n">
        <v>14.2</v>
      </c>
      <c r="R37" s="33" t="n">
        <v>7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52.5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2026-10-06</t>
        </is>
      </c>
      <c r="E38" s="33" t="n">
        <v>14.455645</v>
      </c>
      <c r="F38" s="33" t="n">
        <v>13.96</v>
      </c>
      <c r="G38" s="33" t="n"/>
      <c r="H38" s="33" t="n">
        <v>2.29</v>
      </c>
      <c r="I38" s="33">
        <f>IF(OR(E38="",R38="",R38&lt;=0,E38&lt;0),"",E38/R38)</f>
        <v/>
      </c>
      <c r="J38" s="33" t="n">
        <v>84.09999999999999</v>
      </c>
      <c r="K38" s="33" t="n">
        <v>9.800000000000001</v>
      </c>
      <c r="L38" s="33" t="n">
        <v>30.15</v>
      </c>
      <c r="M38" s="33" t="n">
        <v>11.46</v>
      </c>
      <c r="N38" s="33" t="n">
        <v>-0.47</v>
      </c>
      <c r="O38" s="33" t="n">
        <v>58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65.8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2026-10-06</t>
        </is>
      </c>
      <c r="E39" s="33" t="n">
        <v>21.390533</v>
      </c>
      <c r="F39" s="33" t="n">
        <v>20.17</v>
      </c>
      <c r="G39" s="33" t="n">
        <v>3.47</v>
      </c>
      <c r="H39" s="33" t="n">
        <v>4.1685996</v>
      </c>
      <c r="I39" s="33">
        <f>IF(OR(E39="",R39="",R39&lt;=0,E39&lt;0),"",E39/R39)</f>
        <v/>
      </c>
      <c r="J39" s="33" t="n">
        <v>63</v>
      </c>
      <c r="K39" s="33" t="n">
        <v>10.07</v>
      </c>
      <c r="L39" s="33" t="n">
        <v>35.34</v>
      </c>
      <c r="M39" s="33" t="n">
        <v>14.48</v>
      </c>
      <c r="N39" s="33" t="n">
        <v>3.41</v>
      </c>
      <c r="O39" s="33" t="n">
        <v>60.1</v>
      </c>
      <c r="P39" s="33" t="n">
        <v>5.71</v>
      </c>
      <c r="Q39" s="33" t="n">
        <v>15.3</v>
      </c>
      <c r="R39" s="33" t="n">
        <v>-1.6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30.8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2026-10-06</t>
        </is>
      </c>
      <c r="E40" s="33" t="n">
        <v>36.08689</v>
      </c>
      <c r="F40" s="33" t="n">
        <v>35.779</v>
      </c>
      <c r="G40" s="33" t="n">
        <v>2.23</v>
      </c>
      <c r="H40" s="33" t="n">
        <v>3.2603428</v>
      </c>
      <c r="I40" s="33">
        <f>IF(OR(E40="",R40="",R40&lt;=0,E40&lt;0),"",E40/R40)</f>
        <v/>
      </c>
      <c r="J40" s="33" t="n">
        <v>56.4</v>
      </c>
      <c r="K40" s="33" t="n">
        <v>8.859999999999999</v>
      </c>
      <c r="L40" s="33" t="n">
        <v>15.46</v>
      </c>
      <c r="M40" s="33" t="n">
        <v>7.27</v>
      </c>
      <c r="N40" s="33" t="n">
        <v>2</v>
      </c>
      <c r="O40" s="33" t="n">
        <v>33.5</v>
      </c>
      <c r="P40" s="33" t="n">
        <v>18.6</v>
      </c>
      <c r="Q40" s="33" t="n">
        <v>41.1</v>
      </c>
      <c r="R40" s="33" t="n">
        <v>96.90000000000001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57.5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2026-10-06</t>
        </is>
      </c>
      <c r="E41" s="33" t="n">
        <v>18.49821</v>
      </c>
      <c r="F41" s="33" t="n">
        <v>15.619</v>
      </c>
      <c r="G41" s="33" t="n">
        <v>1.32</v>
      </c>
      <c r="H41" s="33" t="n">
        <v>1.1495563</v>
      </c>
      <c r="I41" s="33">
        <f>IF(OR(E41="",R41="",R41&lt;=0,E41&lt;0),"",E41/R41)</f>
        <v/>
      </c>
      <c r="J41" s="33" t="n">
        <v>48.6</v>
      </c>
      <c r="K41" s="33" t="n">
        <v>8.93</v>
      </c>
      <c r="L41" s="33" t="n">
        <v>12.91</v>
      </c>
      <c r="M41" s="33" t="n">
        <v>1.52</v>
      </c>
      <c r="N41" s="33" t="n">
        <v>2.23</v>
      </c>
      <c r="O41" s="33" t="n">
        <v>25.2</v>
      </c>
      <c r="P41" s="33" t="n">
        <v>13.51</v>
      </c>
      <c r="Q41" s="33" t="n">
        <v>23.4</v>
      </c>
      <c r="R41" s="33" t="n">
        <v>51.7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32.5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2026-10-06</t>
        </is>
      </c>
      <c r="E42" s="33" t="n">
        <v>29.209538</v>
      </c>
      <c r="F42" s="33" t="n">
        <v>27.842</v>
      </c>
      <c r="G42" s="33" t="n">
        <v>3.28</v>
      </c>
      <c r="H42" s="33" t="n">
        <v>6.4261727</v>
      </c>
      <c r="I42" s="33">
        <f>IF(OR(E42="",R42="",R42&lt;=0,E42&lt;0),"",E42/R42)</f>
        <v/>
      </c>
      <c r="J42" s="33" t="n">
        <v>36.9</v>
      </c>
      <c r="K42" s="33" t="n">
        <v>22.63</v>
      </c>
      <c r="L42" s="33" t="n">
        <v>30.08</v>
      </c>
      <c r="M42" s="33" t="n">
        <v>21.08</v>
      </c>
      <c r="N42" s="33" t="n">
        <v>-2.67</v>
      </c>
      <c r="O42" s="33" t="n">
        <v>80.7</v>
      </c>
      <c r="P42" s="33" t="n">
        <v>27.52</v>
      </c>
      <c r="Q42" s="33" t="n">
        <v>8.9</v>
      </c>
      <c r="R42" s="33" t="n">
        <v>8.1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43.3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2026-10-06</t>
        </is>
      </c>
      <c r="E43" s="33" t="n">
        <v>26.622185</v>
      </c>
      <c r="F43" s="33" t="n">
        <v>27.091</v>
      </c>
      <c r="G43" s="33" t="n">
        <v>2.06</v>
      </c>
      <c r="H43" s="33" t="n">
        <v>5.7994633</v>
      </c>
      <c r="I43" s="33">
        <f>IF(OR(E43="",R43="",R43&lt;=0,E43&lt;0),"",E43/R43)</f>
        <v/>
      </c>
      <c r="J43" s="33" t="n">
        <v>37.5</v>
      </c>
      <c r="K43" s="33" t="n">
        <v>10.66</v>
      </c>
      <c r="L43" s="33" t="n">
        <v>36.45</v>
      </c>
      <c r="M43" s="33" t="n">
        <v>11.95</v>
      </c>
      <c r="N43" s="33" t="n">
        <v>1.31</v>
      </c>
      <c r="O43" s="33" t="n">
        <v>63.1</v>
      </c>
      <c r="P43" s="33" t="n">
        <v>19.26</v>
      </c>
      <c r="Q43" s="33" t="n">
        <v>52.8</v>
      </c>
      <c r="R43" s="33" t="n">
        <v>97.2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65.8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2026-10-06</t>
        </is>
      </c>
      <c r="E44" s="33" t="n">
        <v>14.8322315</v>
      </c>
      <c r="F44" s="33" t="n">
        <v>12.87</v>
      </c>
      <c r="G44" s="33" t="n">
        <v>1.79</v>
      </c>
      <c r="H44" s="33" t="n">
        <v>1.0918527</v>
      </c>
      <c r="I44" s="33">
        <f>IF(OR(E44="",R44="",R44&lt;=0,E44&lt;0),"",E44/R44)</f>
        <v/>
      </c>
      <c r="J44" s="33" t="n">
        <v>78.09999999999999</v>
      </c>
      <c r="K44" s="33" t="n">
        <v>4.92</v>
      </c>
      <c r="L44" s="33" t="n">
        <v>20.59</v>
      </c>
      <c r="M44" s="33" t="n">
        <v>1.96</v>
      </c>
      <c r="N44" s="33" t="n">
        <v>1.94</v>
      </c>
      <c r="O44" s="33" t="n">
        <v>31.2</v>
      </c>
      <c r="P44" s="33" t="n">
        <v>-10.03</v>
      </c>
      <c r="Q44" s="33" t="n">
        <v>8.1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80.8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2026-10-06</t>
        </is>
      </c>
      <c r="E45" s="33" t="n">
        <v>66.64181000000001</v>
      </c>
      <c r="F45" s="33" t="n">
        <v>27.278</v>
      </c>
      <c r="G45" s="33" t="n">
        <v>5.42</v>
      </c>
      <c r="H45" s="33" t="n">
        <v>10.288026</v>
      </c>
      <c r="I45" s="33">
        <f>IF(OR(E45="",R45="",R45&lt;=0,E45&lt;0),"",E45/R45)</f>
        <v/>
      </c>
      <c r="J45" s="33" t="n">
        <v>46</v>
      </c>
      <c r="K45" s="33" t="n">
        <v>2.11</v>
      </c>
      <c r="L45" s="33" t="n">
        <v>56.99</v>
      </c>
      <c r="M45" s="33" t="n">
        <v>55.77</v>
      </c>
      <c r="N45" s="33" t="n">
        <v>5.66</v>
      </c>
      <c r="O45" s="33" t="n">
        <v>52.6</v>
      </c>
      <c r="P45" s="33" t="n">
        <v>9.220000000000001</v>
      </c>
      <c r="Q45" s="33" t="n">
        <v>29.9</v>
      </c>
      <c r="R45" s="33" t="n">
        <v>-56.1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52.5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2026-10-06</t>
        </is>
      </c>
      <c r="E46" s="33" t="n">
        <v>56.20945</v>
      </c>
      <c r="F46" s="33" t="n">
        <v>27.176</v>
      </c>
      <c r="G46" s="33" t="n">
        <v>-1.42</v>
      </c>
      <c r="H46" s="33" t="n">
        <v>10.427278</v>
      </c>
      <c r="I46" s="33">
        <f>IF(OR(E46="",R46="",R46&lt;=0,E46&lt;0),"",E46/R46)</f>
        <v/>
      </c>
      <c r="J46" s="33" t="n">
        <v>23.8</v>
      </c>
      <c r="K46" s="33" t="n">
        <v>5.44</v>
      </c>
      <c r="L46" s="33" t="n">
        <v>51.98</v>
      </c>
      <c r="M46" s="33" t="n">
        <v>-14.78</v>
      </c>
      <c r="N46" s="33" t="n">
        <v>4.93</v>
      </c>
      <c r="O46" s="33" t="n">
        <v>32.2</v>
      </c>
      <c r="P46" s="33" t="n">
        <v>8.27</v>
      </c>
      <c r="Q46" s="33" t="n">
        <v>16.7</v>
      </c>
      <c r="R46" s="33" t="n">
        <v>30.2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55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2026-10-06</t>
        </is>
      </c>
      <c r="E47" s="33" t="n">
        <v>42.58409</v>
      </c>
      <c r="F47" s="33" t="n">
        <v>21</v>
      </c>
      <c r="G47" s="33" t="n">
        <v>-1.73</v>
      </c>
      <c r="H47" s="33" t="n">
        <v>4.5711584</v>
      </c>
      <c r="I47" s="33">
        <f>IF(OR(E47="",R47="",R47&lt;=0,E47&lt;0),"",E47/R47)</f>
        <v/>
      </c>
      <c r="J47" s="33" t="n">
        <v>49.4</v>
      </c>
      <c r="K47" s="33" t="n">
        <v>7.06</v>
      </c>
      <c r="L47" s="33" t="n">
        <v>54.21</v>
      </c>
      <c r="M47" s="33" t="n">
        <v>-7.89</v>
      </c>
      <c r="N47" s="33" t="n">
        <v>7.74</v>
      </c>
      <c r="O47" s="33" t="n">
        <v>39</v>
      </c>
      <c r="P47" s="33" t="n">
        <v>10.58</v>
      </c>
      <c r="Q47" s="33" t="n">
        <v>18.5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51.7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2026-10-06</t>
        </is>
      </c>
      <c r="E48" s="33" t="n">
        <v>29.44782</v>
      </c>
      <c r="F48" s="33" t="n">
        <v>29.288</v>
      </c>
      <c r="G48" s="33" t="n">
        <v>3.46</v>
      </c>
      <c r="H48" s="33" t="n">
        <v>5.5547395</v>
      </c>
      <c r="I48" s="33">
        <f>IF(OR(E48="",R48="",R48&lt;=0,E48&lt;0),"",E48/R48)</f>
        <v/>
      </c>
      <c r="J48" s="33" t="n">
        <v>65.8</v>
      </c>
      <c r="K48" s="33" t="n">
        <v>38.78</v>
      </c>
      <c r="L48" s="33" t="n">
        <v>25.66</v>
      </c>
      <c r="M48" s="33" t="n">
        <v>19.24</v>
      </c>
      <c r="N48" s="33" t="n">
        <v>-0.77</v>
      </c>
      <c r="O48" s="33" t="n">
        <v>73.59999999999999</v>
      </c>
      <c r="P48" s="33" t="n">
        <v>30.03</v>
      </c>
      <c r="Q48" s="33" t="n">
        <v>50.3</v>
      </c>
      <c r="R48" s="33" t="n">
        <v>91.3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4</v>
      </c>
      <c r="AB48" s="33" t="n">
        <v>3</v>
      </c>
      <c r="AC48" s="71" t="n">
        <v>47.5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2026-10-06</t>
        </is>
      </c>
      <c r="E49" s="33" t="n">
        <v>21.944277</v>
      </c>
      <c r="F49" s="33" t="n">
        <v>17.078</v>
      </c>
      <c r="G49" s="33" t="n">
        <v>3.29</v>
      </c>
      <c r="H49" s="33" t="n">
        <v>1.9126776</v>
      </c>
      <c r="I49" s="33">
        <f>IF(OR(E49="",R49="",R49&lt;=0,E49&lt;0),"",E49/R49)</f>
        <v/>
      </c>
      <c r="J49" s="33" t="n">
        <v>79.7</v>
      </c>
      <c r="K49" s="33" t="n">
        <v>26.76</v>
      </c>
      <c r="L49" s="33" t="n">
        <v>19.43</v>
      </c>
      <c r="M49" s="33" t="n">
        <v>6.3</v>
      </c>
      <c r="N49" s="33" t="n">
        <v>-0.19</v>
      </c>
      <c r="O49" s="33" t="n">
        <v>60.2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3</v>
      </c>
      <c r="AB49" s="33" t="n">
        <v>3</v>
      </c>
      <c r="AC49" s="71" t="n">
        <v>42.5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2026-10-06</t>
        </is>
      </c>
      <c r="E50" s="33" t="n">
        <v>17.95942</v>
      </c>
      <c r="F50" s="33" t="n">
        <v>22.902</v>
      </c>
      <c r="G50" s="33" t="n">
        <v>0.99</v>
      </c>
      <c r="H50" s="33" t="n">
        <v>3.0158987</v>
      </c>
      <c r="I50" s="33">
        <f>IF(OR(E50="",R50="",R50&lt;=0,E50&lt;0),"",E50/R50)</f>
        <v/>
      </c>
      <c r="J50" s="33" t="n">
        <v>56.7</v>
      </c>
      <c r="K50" s="33" t="n">
        <v>13.9</v>
      </c>
      <c r="L50" s="33" t="n">
        <v>22.21</v>
      </c>
      <c r="M50" s="33" t="n">
        <v>2.97</v>
      </c>
      <c r="N50" s="33" t="n">
        <v>1.28</v>
      </c>
      <c r="O50" s="33" t="n">
        <v>44.9</v>
      </c>
      <c r="P50" s="33" t="n">
        <v>11.45</v>
      </c>
      <c r="Q50" s="33" t="n">
        <v>28</v>
      </c>
      <c r="R50" s="33" t="n">
        <v>44.3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40.8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2026-10-06</t>
        </is>
      </c>
      <c r="E51" s="33" t="n">
        <v>17.000254</v>
      </c>
      <c r="F51" s="33" t="n">
        <v>18.53</v>
      </c>
      <c r="G51" s="33" t="n">
        <v>4.15</v>
      </c>
      <c r="H51" s="33" t="n">
        <v>2.0997655</v>
      </c>
      <c r="I51" s="33">
        <f>IF(OR(E51="",R51="",R51&lt;=0,E51&lt;0),"",E51/R51)</f>
        <v/>
      </c>
      <c r="J51" s="33" t="n">
        <v>60.7</v>
      </c>
      <c r="K51" s="33" t="n">
        <v>5.33</v>
      </c>
      <c r="L51" s="33" t="n">
        <v>24.69</v>
      </c>
      <c r="M51" s="33" t="n">
        <v>8.720000000000001</v>
      </c>
      <c r="N51" s="33" t="n">
        <v>3.57</v>
      </c>
      <c r="O51" s="33" t="n">
        <v>35.1</v>
      </c>
      <c r="P51" s="33" t="n">
        <v>7.95</v>
      </c>
      <c r="Q51" s="33" t="n">
        <v>3.9</v>
      </c>
      <c r="R51" s="33" t="n">
        <v>-15.2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55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2026-10-06</t>
        </is>
      </c>
      <c r="E52" s="33" t="n">
        <v>27.131773</v>
      </c>
      <c r="F52" s="33" t="n">
        <v>24.812</v>
      </c>
      <c r="G52" s="33" t="n">
        <v>3.37</v>
      </c>
      <c r="H52" s="33" t="n">
        <v>4.7339373</v>
      </c>
      <c r="I52" s="33">
        <f>IF(OR(E52="",R52="",R52&lt;=0,E52&lt;0),"",E52/R52)</f>
        <v/>
      </c>
      <c r="J52" s="33" t="n">
        <v>54.4</v>
      </c>
      <c r="K52" s="33" t="n">
        <v>20.78</v>
      </c>
      <c r="L52" s="33" t="n">
        <v>35.39</v>
      </c>
      <c r="M52" s="33" t="n">
        <v>15.97</v>
      </c>
      <c r="N52" s="33" t="n">
        <v>0.77</v>
      </c>
      <c r="O52" s="33" t="n">
        <v>69.09999999999999</v>
      </c>
      <c r="P52" s="33" t="n">
        <v>10.06</v>
      </c>
      <c r="Q52" s="33" t="n">
        <v>10.6</v>
      </c>
      <c r="R52" s="33" t="n">
        <v>5.8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60.8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2026-10-06</t>
        </is>
      </c>
      <c r="E53" s="33" t="n">
        <v>25.985592</v>
      </c>
      <c r="F53" s="33" t="n">
        <v>24.018</v>
      </c>
      <c r="G53" s="33" t="n">
        <v>1.73</v>
      </c>
      <c r="H53" s="33" t="n">
        <v>3.8429863</v>
      </c>
      <c r="I53" s="33">
        <f>IF(OR(E53="",R53="",R53&lt;=0,E53&lt;0),"",E53/R53)</f>
        <v/>
      </c>
      <c r="J53" s="33" t="n">
        <v>61.6</v>
      </c>
      <c r="K53" s="33" t="n">
        <v>10.59</v>
      </c>
      <c r="L53" s="33" t="n">
        <v>36.65</v>
      </c>
      <c r="M53" s="33" t="n">
        <v>6.64</v>
      </c>
      <c r="N53" s="33" t="n">
        <v>2.04</v>
      </c>
      <c r="O53" s="33" t="n">
        <v>50.2</v>
      </c>
      <c r="P53" s="33" t="n">
        <v>4.57</v>
      </c>
      <c r="Q53" s="33" t="n">
        <v>9.300000000000001</v>
      </c>
      <c r="R53" s="33" t="n">
        <v>6.8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67.5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2026-10-06</t>
        </is>
      </c>
      <c r="E54" s="33" t="n">
        <v>31.74891</v>
      </c>
      <c r="F54" s="33" t="n">
        <v>46.36</v>
      </c>
      <c r="G54" s="33" t="n">
        <v>1.41</v>
      </c>
      <c r="H54" s="33" t="n">
        <v>17.86</v>
      </c>
      <c r="I54" s="33">
        <f>IF(OR(E54="",R54="",R54&lt;=0,E54&lt;0),"",E54/R54)</f>
        <v/>
      </c>
      <c r="J54" s="33" t="n">
        <v>45.3</v>
      </c>
      <c r="K54" s="33" t="n">
        <v>36.76</v>
      </c>
      <c r="L54" s="33" t="n">
        <v>52.73</v>
      </c>
      <c r="M54" s="33" t="n">
        <v>25.18</v>
      </c>
      <c r="N54" s="33" t="n">
        <v>-0.41</v>
      </c>
      <c r="O54" s="33" t="n">
        <v>59.9</v>
      </c>
      <c r="P54" s="33" t="n">
        <v>15.55</v>
      </c>
      <c r="Q54" s="33" t="n">
        <v>21.3</v>
      </c>
      <c r="R54" s="33" t="n">
        <v>27.4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70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2026-10-06</t>
        </is>
      </c>
      <c r="E55" s="33" t="n">
        <v>28.84332</v>
      </c>
      <c r="F55" s="33" t="n">
        <v>42.193</v>
      </c>
      <c r="G55" s="33" t="n">
        <v>1.33</v>
      </c>
      <c r="H55" s="33" t="n">
        <v>13.706972</v>
      </c>
      <c r="I55" s="33">
        <f>IF(OR(E55="",R55="",R55&lt;=0,E55&lt;0),"",E55/R55)</f>
        <v/>
      </c>
      <c r="J55" s="33" t="n">
        <v>37.6</v>
      </c>
      <c r="K55" s="33" t="n">
        <v>24.97</v>
      </c>
      <c r="L55" s="33" t="n">
        <v>49.4</v>
      </c>
      <c r="M55" s="33" t="n">
        <v>18.23</v>
      </c>
      <c r="N55" s="33" t="n">
        <v>-0.19</v>
      </c>
      <c r="O55" s="33" t="n">
        <v>75</v>
      </c>
      <c r="P55" s="33" t="n">
        <v>3.23</v>
      </c>
      <c r="Q55" s="33" t="n">
        <v>24.8</v>
      </c>
      <c r="R55" s="33" t="n">
        <v>42.7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60.8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2026-10-06</t>
        </is>
      </c>
      <c r="E56" s="33" t="n">
        <v>28.816362</v>
      </c>
      <c r="F56" s="33" t="n">
        <v>49.905</v>
      </c>
      <c r="G56" s="33" t="n">
        <v>1.15</v>
      </c>
      <c r="H56" s="33" t="n">
        <v>18.26017</v>
      </c>
      <c r="I56" s="33">
        <f>IF(OR(E56="",R56="",R56&lt;=0,E56&lt;0),"",E56/R56)</f>
        <v/>
      </c>
      <c r="J56" s="33" t="n">
        <v>37</v>
      </c>
      <c r="K56" s="33" t="n">
        <v>40.98</v>
      </c>
      <c r="L56" s="33" t="n">
        <v>50.47</v>
      </c>
      <c r="M56" s="33" t="n">
        <v>21.05</v>
      </c>
      <c r="N56" s="33" t="n">
        <v>-0.17</v>
      </c>
      <c r="O56" s="33" t="n">
        <v>87</v>
      </c>
      <c r="P56" s="33" t="n">
        <v>10.06</v>
      </c>
      <c r="Q56" s="33" t="n">
        <v>30</v>
      </c>
      <c r="R56" s="33" t="n">
        <v>32.4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60.8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2026-10-06</t>
        </is>
      </c>
      <c r="E57" s="33" t="n">
        <v>30.163794</v>
      </c>
      <c r="F57" s="33" t="n">
        <v>44.842</v>
      </c>
      <c r="G57" s="33" t="n">
        <v>1.43</v>
      </c>
      <c r="H57" s="33" t="n">
        <v>19.437466</v>
      </c>
      <c r="I57" s="33">
        <f>IF(OR(E57="",R57="",R57&lt;=0,E57&lt;0),"",E57/R57)</f>
        <v/>
      </c>
      <c r="J57" s="33" t="n">
        <v>23.2</v>
      </c>
      <c r="K57" s="33" t="n">
        <v>35.75</v>
      </c>
      <c r="L57" s="33" t="n">
        <v>61.3</v>
      </c>
      <c r="M57" s="33" t="n">
        <v>27.74</v>
      </c>
      <c r="N57" s="33" t="n">
        <v>0.21</v>
      </c>
      <c r="O57" s="33" t="n">
        <v>88</v>
      </c>
      <c r="P57" s="33" t="n">
        <v>8.960000000000001</v>
      </c>
      <c r="Q57" s="33" t="n">
        <v>15.2</v>
      </c>
      <c r="R57" s="33" t="n">
        <v>13.3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58.3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2026-10-06</t>
        </is>
      </c>
      <c r="E58" s="33" t="n"/>
      <c r="F58" s="33" t="n">
        <v>31.25</v>
      </c>
      <c r="G58" s="33" t="n">
        <v>1.2</v>
      </c>
      <c r="H58" s="33" t="n">
        <v>9.42</v>
      </c>
      <c r="I58" s="33">
        <f>IF(OR(E58="",R58="",R58&lt;=0,E58&lt;0),"",E58/R58)</f>
        <v/>
      </c>
      <c r="J58" s="33" t="n">
        <v>38.9</v>
      </c>
      <c r="K58" s="33" t="n"/>
      <c r="L58" s="33" t="n">
        <v>45.56</v>
      </c>
      <c r="M58" s="33" t="n">
        <v>11.32</v>
      </c>
      <c r="N58" s="33" t="n">
        <v>-0.53</v>
      </c>
      <c r="O58" s="33" t="n">
        <v>61.2</v>
      </c>
      <c r="P58" s="33" t="n">
        <v>3.42</v>
      </c>
      <c r="Q58" s="33" t="n">
        <v>33.3</v>
      </c>
      <c r="R58" s="33" t="n">
        <v>39.5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2026-10-06</t>
        </is>
      </c>
      <c r="E59" s="33" t="n">
        <v>37.468452</v>
      </c>
      <c r="F59" s="33" t="n">
        <v>46.036</v>
      </c>
      <c r="G59" s="33" t="n">
        <v>1.17</v>
      </c>
      <c r="H59" s="33" t="n">
        <v>15.290748</v>
      </c>
      <c r="I59" s="33">
        <f>IF(OR(E59="",R59="",R59&lt;=0,E59&lt;0),"",E59/R59)</f>
        <v/>
      </c>
      <c r="J59" s="33" t="n">
        <v>48.5</v>
      </c>
      <c r="K59" s="33" t="n">
        <v>31.27</v>
      </c>
      <c r="L59" s="33" t="n">
        <v>59.24</v>
      </c>
      <c r="M59" s="33" t="n">
        <v>17.92</v>
      </c>
      <c r="N59" s="33" t="n">
        <v>-0.17</v>
      </c>
      <c r="O59" s="33" t="n">
        <v>79.40000000000001</v>
      </c>
      <c r="P59" s="33" t="n">
        <v>0.37</v>
      </c>
      <c r="Q59" s="33" t="n">
        <v>103.9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1</v>
      </c>
      <c r="AB59" s="33" t="n">
        <v>3</v>
      </c>
      <c r="AC59" s="71" t="n">
        <v>61.7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2026-10-06</t>
        </is>
      </c>
      <c r="E60" s="33" t="n">
        <v>27.797962</v>
      </c>
      <c r="F60" s="33" t="n">
        <v>50.35</v>
      </c>
      <c r="G60" s="33" t="n">
        <v>1.58</v>
      </c>
      <c r="H60" s="33" t="n">
        <v>14.245125</v>
      </c>
      <c r="I60" s="33">
        <f>IF(OR(E60="",R60="",R60&lt;=0,E60&lt;0),"",E60/R60)</f>
        <v/>
      </c>
      <c r="J60" s="33" t="n">
        <v>38.3</v>
      </c>
      <c r="K60" s="33" t="n">
        <v>3.79</v>
      </c>
      <c r="L60" s="33" t="n">
        <v>55.49</v>
      </c>
      <c r="M60" s="33" t="n">
        <v>22.54</v>
      </c>
      <c r="N60" s="33" t="n">
        <v>-1.33</v>
      </c>
      <c r="O60" s="33" t="n">
        <v>65.59999999999999</v>
      </c>
      <c r="P60" s="33" t="n">
        <v>0</v>
      </c>
      <c r="Q60" s="33" t="n">
        <v>35.3</v>
      </c>
      <c r="R60" s="33" t="n">
        <v>77.2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2</v>
      </c>
      <c r="AB60" s="33" t="n">
        <v>3</v>
      </c>
      <c r="AC60" s="71" t="n">
        <v>62.5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2026-10-06</t>
        </is>
      </c>
      <c r="E61" s="33" t="n">
        <v>34.189022</v>
      </c>
      <c r="F61" s="33" t="n">
        <v>50.318</v>
      </c>
      <c r="G61" s="33" t="n"/>
      <c r="H61" s="33" t="n">
        <v>15.310201</v>
      </c>
      <c r="I61" s="33">
        <f>IF(OR(E61="",R61="",R61&lt;=0,E61&lt;0),"",E61/R61)</f>
        <v/>
      </c>
      <c r="J61" s="33" t="n">
        <v>32.2</v>
      </c>
      <c r="K61" s="33" t="n">
        <v>7.81</v>
      </c>
      <c r="L61" s="33" t="n">
        <v>50.97</v>
      </c>
      <c r="M61" s="33" t="n"/>
      <c r="N61" s="33" t="n">
        <v>-1.32</v>
      </c>
      <c r="O61" s="33" t="n">
        <v>68.40000000000001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36.7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2026-10-06</t>
        </is>
      </c>
      <c r="E62" s="33" t="n">
        <v>17.092049</v>
      </c>
      <c r="F62" s="33" t="n">
        <v>24.427</v>
      </c>
      <c r="G62" s="33" t="n">
        <v>0.76</v>
      </c>
      <c r="H62" s="33" t="n">
        <v>5.556657</v>
      </c>
      <c r="I62" s="33">
        <f>IF(OR(E62="",R62="",R62&lt;=0,E62&lt;0),"",E62/R62)</f>
        <v/>
      </c>
      <c r="J62" s="33" t="n">
        <v>33.1</v>
      </c>
      <c r="K62" s="33" t="n">
        <v>10.07</v>
      </c>
      <c r="L62" s="33" t="n">
        <v>52.64</v>
      </c>
      <c r="M62" s="33" t="n">
        <v>4.21</v>
      </c>
      <c r="N62" s="33" t="n">
        <v>-2.49</v>
      </c>
      <c r="O62" s="33" t="n">
        <v>59.2</v>
      </c>
      <c r="P62" s="33" t="n">
        <v>-24.23</v>
      </c>
      <c r="Q62" s="33" t="n">
        <v>122.6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55.8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2026-10-06</t>
        </is>
      </c>
      <c r="E63" s="33" t="n">
        <v>33.32789</v>
      </c>
      <c r="F63" s="33" t="n">
        <v>31.389</v>
      </c>
      <c r="G63" s="33" t="n">
        <v>2.25</v>
      </c>
      <c r="H63" s="33" t="n">
        <v>7.6857104</v>
      </c>
      <c r="I63" s="33">
        <f>IF(OR(E63="",R63="",R63&lt;=0,E63&lt;0),"",E63/R63)</f>
        <v/>
      </c>
      <c r="J63" s="33" t="n">
        <v>61.7</v>
      </c>
      <c r="K63" s="33" t="n">
        <v>11.75</v>
      </c>
      <c r="L63" s="33" t="n">
        <v>45.56</v>
      </c>
      <c r="M63" s="33" t="n">
        <v>17.29</v>
      </c>
      <c r="N63" s="33" t="n">
        <v>3.51</v>
      </c>
      <c r="O63" s="33" t="n">
        <v>51.2</v>
      </c>
      <c r="P63" s="33" t="n">
        <v>-0.88</v>
      </c>
      <c r="Q63" s="33" t="n">
        <v>11.5</v>
      </c>
      <c r="R63" s="33" t="n">
        <v>77.3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58.3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2026-10-06</t>
        </is>
      </c>
      <c r="E64" s="33" t="n">
        <v>16.189472</v>
      </c>
      <c r="F64" s="33" t="n">
        <v>21.326</v>
      </c>
      <c r="G64" s="33" t="n">
        <v>2.35</v>
      </c>
      <c r="H64" s="33" t="n">
        <v>4.444684</v>
      </c>
      <c r="I64" s="33">
        <f>IF(OR(E64="",R64="",R64&lt;=0,E64&lt;0),"",E64/R64)</f>
        <v/>
      </c>
      <c r="J64" s="33" t="n">
        <v>64.7</v>
      </c>
      <c r="K64" s="33" t="n">
        <v>10.04</v>
      </c>
      <c r="L64" s="33" t="n">
        <v>46.95</v>
      </c>
      <c r="M64" s="33" t="n">
        <v>10.47</v>
      </c>
      <c r="N64" s="33" t="n">
        <v>3.38</v>
      </c>
      <c r="O64" s="33" t="n">
        <v>48.3</v>
      </c>
      <c r="P64" s="33" t="n">
        <v>3.49</v>
      </c>
      <c r="Q64" s="33" t="n">
        <v>28.3</v>
      </c>
      <c r="R64" s="33" t="n">
        <v>182.3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54.2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2026-10-06</t>
        </is>
      </c>
      <c r="E65" s="33" t="n">
        <v>15.009607</v>
      </c>
      <c r="F65" s="33" t="n">
        <v>5.942</v>
      </c>
      <c r="G65" s="33" t="n">
        <v>6</v>
      </c>
      <c r="H65" s="33" t="n">
        <v>2.1214707</v>
      </c>
      <c r="I65" s="33">
        <f>IF(OR(E65="",R65="",R65&lt;=0,E65&lt;0),"",E65/R65)</f>
        <v/>
      </c>
      <c r="J65" s="33" t="n">
        <v>86.40000000000001</v>
      </c>
      <c r="K65" s="33" t="n">
        <v>9.460000000000001</v>
      </c>
      <c r="L65" s="33" t="n">
        <v>33.66</v>
      </c>
      <c r="M65" s="33" t="n">
        <v>12.73</v>
      </c>
      <c r="N65" s="33" t="n">
        <v>-2.44</v>
      </c>
      <c r="O65" s="33" t="n">
        <v>55.8</v>
      </c>
      <c r="P65" s="33" t="n">
        <v>0.99</v>
      </c>
      <c r="Q65" s="33" t="n">
        <v>2.7</v>
      </c>
      <c r="R65" s="33" t="n">
        <v>26.3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41.7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2026-10-06</t>
        </is>
      </c>
      <c r="E66" s="33" t="n">
        <v>11.515106</v>
      </c>
      <c r="F66" s="33" t="n">
        <v>28.388</v>
      </c>
      <c r="G66" s="33" t="n">
        <v>-3.39</v>
      </c>
      <c r="H66" s="33" t="n">
        <v>1.5179313</v>
      </c>
      <c r="I66" s="33">
        <f>IF(OR(E66="",R66="",R66&lt;=0,E66&lt;0),"",E66/R66)</f>
        <v/>
      </c>
      <c r="J66" s="33" t="n">
        <v>50.6</v>
      </c>
      <c r="K66" s="33" t="n">
        <v>2.72</v>
      </c>
      <c r="L66" s="33" t="n">
        <v>15.83</v>
      </c>
      <c r="M66" s="33" t="n">
        <v>-5.15</v>
      </c>
      <c r="N66" s="33" t="n">
        <v>3.74</v>
      </c>
      <c r="O66" s="33" t="n">
        <v>20.9</v>
      </c>
      <c r="P66" s="33" t="n">
        <v>-4.72</v>
      </c>
      <c r="Q66" s="33" t="n">
        <v>24.3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55.8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2026-10-06</t>
        </is>
      </c>
      <c r="E67" s="33" t="n">
        <v>37.516647</v>
      </c>
      <c r="F67" s="33" t="n">
        <v>45.672</v>
      </c>
      <c r="G67" s="33" t="n">
        <v>1.69</v>
      </c>
      <c r="H67" s="33" t="n">
        <v>16.932714</v>
      </c>
      <c r="I67" s="33">
        <f>IF(OR(E67="",R67="",R67&lt;=0,E67&lt;0),"",E67/R67)</f>
        <v/>
      </c>
      <c r="J67" s="33" t="n">
        <v>37</v>
      </c>
      <c r="K67" s="33" t="n">
        <v>13.29</v>
      </c>
      <c r="L67" s="33" t="n">
        <v>85.87</v>
      </c>
      <c r="M67" s="33" t="n">
        <v>28.64</v>
      </c>
      <c r="N67" s="33" t="n">
        <v>0.52</v>
      </c>
      <c r="O67" s="33" t="n">
        <v>83.3</v>
      </c>
      <c r="P67" s="33" t="n">
        <v>14.14</v>
      </c>
      <c r="Q67" s="33" t="n">
        <v>24.2</v>
      </c>
      <c r="R67" s="33" t="n">
        <v>129.3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58.3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2026-10-06</t>
        </is>
      </c>
      <c r="E68" s="33" t="n">
        <v>26.538752</v>
      </c>
      <c r="F68" s="33" t="n">
        <v>48.587</v>
      </c>
      <c r="G68" s="33" t="n">
        <v>2.91</v>
      </c>
      <c r="H68" s="33" t="n">
        <v>10.036613</v>
      </c>
      <c r="I68" s="33">
        <f>IF(OR(E68="",R68="",R68&lt;=0,E68&lt;0),"",E68/R68)</f>
        <v/>
      </c>
      <c r="J68" s="33" t="n">
        <v>56.2</v>
      </c>
      <c r="K68" s="33" t="n">
        <v>2.01</v>
      </c>
      <c r="L68" s="33" t="n">
        <v>82.92</v>
      </c>
      <c r="M68" s="33" t="n">
        <v>29.18</v>
      </c>
      <c r="N68" s="33" t="n">
        <v>3.49</v>
      </c>
      <c r="O68" s="33" t="n">
        <v>55.3</v>
      </c>
      <c r="P68" s="33" t="n">
        <v>15.19</v>
      </c>
      <c r="Q68" s="33" t="n">
        <v>42.4</v>
      </c>
      <c r="R68" s="33" t="n">
        <v>125.1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1</v>
      </c>
      <c r="AB68" s="33" t="n">
        <v>3</v>
      </c>
      <c r="AC68" s="71" t="n">
        <v>44.2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2026-10-06</t>
        </is>
      </c>
      <c r="E69" s="33" t="n">
        <v>99.79583</v>
      </c>
      <c r="F69" s="33" t="n">
        <v>300.925</v>
      </c>
      <c r="G69" s="33" t="n">
        <v>0.45</v>
      </c>
      <c r="H69" s="33" t="n">
        <v>63.311584</v>
      </c>
      <c r="I69" s="33">
        <f>IF(OR(E69="",R69="",R69&lt;=0,E69&lt;0),"",E69/R69)</f>
        <v/>
      </c>
      <c r="J69" s="33" t="n">
        <v>18</v>
      </c>
      <c r="K69" s="33" t="n">
        <v>7.38</v>
      </c>
      <c r="L69" s="33" t="n">
        <v>97.54000000000001</v>
      </c>
      <c r="M69" s="33" t="n">
        <v>28.55</v>
      </c>
      <c r="N69" s="33" t="n">
        <v>-3.2</v>
      </c>
      <c r="O69" s="33" t="n">
        <v>74.59999999999999</v>
      </c>
      <c r="P69" s="33" t="n">
        <v>22.46</v>
      </c>
      <c r="Q69" s="33" t="n">
        <v>22.4</v>
      </c>
      <c r="R69" s="33" t="n">
        <v>107.7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59.2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2026-10-06</t>
        </is>
      </c>
      <c r="E70" s="33" t="n">
        <v>22.099854</v>
      </c>
      <c r="F70" s="33" t="n">
        <v>20.322</v>
      </c>
      <c r="G70" s="33" t="n">
        <v>1.68</v>
      </c>
      <c r="H70" s="33" t="n">
        <v>15.096338</v>
      </c>
      <c r="I70" s="33">
        <f>IF(OR(E70="",R70="",R70&lt;=0,E70&lt;0),"",E70/R70)</f>
        <v/>
      </c>
      <c r="J70" s="33" t="n">
        <v>60.6</v>
      </c>
      <c r="K70" s="33" t="n">
        <v>27.53</v>
      </c>
      <c r="L70" s="33" t="n">
        <v>64.23</v>
      </c>
      <c r="M70" s="33" t="n">
        <v>25.33</v>
      </c>
      <c r="N70" s="33" t="n">
        <v>-0.77</v>
      </c>
      <c r="O70" s="33" t="n">
        <v>96.90000000000001</v>
      </c>
      <c r="P70" s="33" t="n">
        <v>18.94</v>
      </c>
      <c r="Q70" s="33" t="n">
        <v>36</v>
      </c>
      <c r="R70" s="33" t="n">
        <v>77.40000000000001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2</v>
      </c>
      <c r="AB70" s="33" t="n">
        <v>5</v>
      </c>
      <c r="AC70" s="71" t="n">
        <v>70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2026-10-06</t>
        </is>
      </c>
      <c r="E71" s="33" t="n">
        <v>55.65692</v>
      </c>
      <c r="F71" s="33" t="n">
        <v>36.964</v>
      </c>
      <c r="G71" s="33" t="n">
        <v>0.46</v>
      </c>
      <c r="H71" s="33" t="n">
        <v>10.743773</v>
      </c>
      <c r="I71" s="33">
        <f>IF(OR(E71="",R71="",R71&lt;=0,E71&lt;0),"",E71/R71)</f>
        <v/>
      </c>
      <c r="J71" s="33" t="n">
        <v>27.8</v>
      </c>
      <c r="K71" s="33" t="n">
        <v>2.04</v>
      </c>
      <c r="L71" s="33" t="n">
        <v>38.87</v>
      </c>
      <c r="M71" s="33" t="n">
        <v>4.96</v>
      </c>
      <c r="N71" s="33" t="n">
        <v>1.24</v>
      </c>
      <c r="O71" s="33" t="n">
        <v>61.2</v>
      </c>
      <c r="P71" s="33" t="n">
        <v>-5.71</v>
      </c>
      <c r="Q71" s="33" t="n">
        <v>25.4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61.7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2026-10-06</t>
        </is>
      </c>
      <c r="E72" s="33" t="n">
        <v>18.623457</v>
      </c>
      <c r="F72" s="33" t="n">
        <v>13.137</v>
      </c>
      <c r="G72" s="33" t="n">
        <v>2.92</v>
      </c>
      <c r="H72" s="33" t="n">
        <v>3.9263546</v>
      </c>
      <c r="I72" s="33">
        <f>IF(OR(E72="",R72="",R72&lt;=0,E72&lt;0),"",E72/R72)</f>
        <v/>
      </c>
      <c r="J72" s="33" t="n">
        <v>71.2</v>
      </c>
      <c r="K72" s="33" t="n">
        <v>4.5</v>
      </c>
      <c r="L72" s="33" t="n">
        <v>27.14</v>
      </c>
      <c r="M72" s="33" t="n">
        <v>11.47</v>
      </c>
      <c r="N72" s="33" t="n">
        <v>-0.34</v>
      </c>
      <c r="O72" s="33" t="n">
        <v>57.5</v>
      </c>
      <c r="P72" s="33" t="n">
        <v>-5.74</v>
      </c>
      <c r="Q72" s="33" t="n">
        <v>5.8</v>
      </c>
      <c r="R72" s="33" t="n">
        <v>-27.2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2026-10-06</t>
        </is>
      </c>
      <c r="E73" s="33" t="n">
        <v>39.592777</v>
      </c>
      <c r="F73" s="33" t="n">
        <v>44.982</v>
      </c>
      <c r="G73" s="33" t="n">
        <v>1</v>
      </c>
      <c r="H73" s="33" t="n">
        <v>17.567093</v>
      </c>
      <c r="I73" s="33">
        <f>IF(OR(E73="",R73="",R73&lt;=0,E73&lt;0),"",E73/R73)</f>
        <v/>
      </c>
      <c r="J73" s="33" t="n">
        <v>33.5</v>
      </c>
      <c r="K73" s="33" t="n">
        <v>7.41</v>
      </c>
      <c r="L73" s="33" t="n">
        <v>26.87</v>
      </c>
      <c r="M73" s="33" t="n">
        <v>17.58</v>
      </c>
      <c r="N73" s="33" t="n">
        <v>-2.24</v>
      </c>
      <c r="O73" s="33" t="n">
        <v>61.2</v>
      </c>
      <c r="P73" s="33" t="n">
        <v>-2.27</v>
      </c>
      <c r="Q73" s="33" t="n">
        <v>23.7</v>
      </c>
      <c r="R73" s="33" t="n">
        <v>95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59.2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2026-10-06</t>
        </is>
      </c>
      <c r="E74" s="33" t="n">
        <v>26.788967</v>
      </c>
      <c r="F74" s="33" t="n">
        <v>16.698</v>
      </c>
      <c r="G74" s="33" t="n">
        <v>3.2</v>
      </c>
      <c r="H74" s="33" t="n">
        <v>7.3774624</v>
      </c>
      <c r="I74" s="33">
        <f>IF(OR(E74="",R74="",R74&lt;=0,E74&lt;0),"",E74/R74)</f>
        <v/>
      </c>
      <c r="J74" s="33" t="n">
        <v>63.1</v>
      </c>
      <c r="K74" s="33" t="n">
        <v>8.17</v>
      </c>
      <c r="L74" s="33" t="n">
        <v>30.6</v>
      </c>
      <c r="M74" s="33" t="n">
        <v>23.64</v>
      </c>
      <c r="N74" s="33" t="n">
        <v>-0.76</v>
      </c>
      <c r="O74" s="33" t="n">
        <v>73.8</v>
      </c>
      <c r="P74" s="33" t="n">
        <v>-5.19</v>
      </c>
      <c r="Q74" s="33" t="n">
        <v>17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70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2026-10-06</t>
        </is>
      </c>
      <c r="E75" s="33" t="n">
        <v>19.15868</v>
      </c>
      <c r="F75" s="33" t="n">
        <v>33.791</v>
      </c>
      <c r="G75" s="33" t="n">
        <v>2.22</v>
      </c>
      <c r="H75" s="33" t="n">
        <v>19.90959</v>
      </c>
      <c r="I75" s="33">
        <f>IF(OR(E75="",R75="",R75&lt;=0,E75&lt;0),"",E75/R75)</f>
        <v/>
      </c>
      <c r="J75" s="33" t="n">
        <v>57</v>
      </c>
      <c r="K75" s="33" t="n">
        <v>24.44</v>
      </c>
      <c r="L75" s="33" t="n">
        <v>75.52</v>
      </c>
      <c r="M75" s="33" t="n">
        <v>44.22</v>
      </c>
      <c r="N75" s="33" t="n">
        <v>0.68</v>
      </c>
      <c r="O75" s="33" t="n">
        <v>88.8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37.5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2026-10-06</t>
        </is>
      </c>
      <c r="E76" s="33" t="n">
        <v>43.850082</v>
      </c>
      <c r="F76" s="33" t="n">
        <v>83.925</v>
      </c>
      <c r="G76" s="33" t="n">
        <v>0.65</v>
      </c>
      <c r="H76" s="33" t="n">
        <v>28.135693</v>
      </c>
      <c r="I76" s="33">
        <f>IF(OR(E76="",R76="",R76&lt;=0,E76&lt;0),"",E76/R76)</f>
        <v/>
      </c>
      <c r="J76" s="33" t="n">
        <v>23.5</v>
      </c>
      <c r="K76" s="33" t="n">
        <v>5.47</v>
      </c>
      <c r="L76" s="33" t="n">
        <v>52.22</v>
      </c>
      <c r="M76" s="33" t="n">
        <v>18.23</v>
      </c>
      <c r="N76" s="33" t="n">
        <v>0.47</v>
      </c>
      <c r="O76" s="33" t="n">
        <v>45.1</v>
      </c>
      <c r="P76" s="33" t="n">
        <v>11.45</v>
      </c>
      <c r="Q76" s="33" t="n">
        <v>36.5</v>
      </c>
      <c r="R76" s="33" t="n">
        <v>58.1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2026-10-06</t>
        </is>
      </c>
      <c r="E77" s="33" t="n">
        <v>62.23997</v>
      </c>
      <c r="F77" s="33" t="n">
        <v>216.023</v>
      </c>
      <c r="G77" s="33" t="n">
        <v>0.4</v>
      </c>
      <c r="H77" s="33" t="n">
        <v>57.437256</v>
      </c>
      <c r="I77" s="33">
        <f>IF(OR(E77="",R77="",R77&lt;=0,E77&lt;0),"",E77/R77)</f>
        <v/>
      </c>
      <c r="J77" s="33" t="n">
        <v>32.6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78.59999999999999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5</v>
      </c>
      <c r="AB77" s="33" t="n">
        <v>2</v>
      </c>
      <c r="AC77" s="71" t="n">
        <v>62.5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2026-10-06</t>
        </is>
      </c>
      <c r="E78" s="33" t="n">
        <v>6.392723</v>
      </c>
      <c r="F78" s="33" t="n">
        <v>19.415</v>
      </c>
      <c r="G78" s="33" t="n">
        <v>4.66</v>
      </c>
      <c r="H78" s="33" t="n">
        <v>12.1803</v>
      </c>
      <c r="I78" s="33">
        <f>IF(OR(E78="",R78="",R78&lt;=0,E78&lt;0),"",E78/R78)</f>
        <v/>
      </c>
      <c r="J78" s="33" t="n">
        <v>76.59999999999999</v>
      </c>
      <c r="K78" s="33" t="n">
        <v>64.7</v>
      </c>
      <c r="L78" s="33" t="n">
        <v>71.47</v>
      </c>
      <c r="M78" s="33" t="n">
        <v>56.77</v>
      </c>
      <c r="N78" s="33" t="n">
        <v>-0.36</v>
      </c>
      <c r="O78" s="33" t="n">
        <v>80.09999999999999</v>
      </c>
      <c r="P78" s="33" t="n">
        <v>49.29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68.3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2026-10-06</t>
        </is>
      </c>
      <c r="E79" s="33" t="n">
        <v>24.029068</v>
      </c>
      <c r="F79" s="33" t="n">
        <v>47.235</v>
      </c>
      <c r="G79" s="33" t="n">
        <v>-1.56</v>
      </c>
      <c r="H79" s="33" t="n">
        <v>9.285192</v>
      </c>
      <c r="I79" s="33">
        <f>IF(OR(E79="",R79="",R79&lt;=0,E79&lt;0),"",E79/R79)</f>
        <v/>
      </c>
      <c r="J79" s="33" t="n">
        <v>37.7</v>
      </c>
      <c r="K79" s="33" t="n">
        <v>5.42</v>
      </c>
      <c r="L79" s="33" t="n">
        <v>37.5</v>
      </c>
      <c r="M79" s="33" t="n">
        <v>-14.48</v>
      </c>
      <c r="N79" s="33" t="n">
        <v>1.1</v>
      </c>
      <c r="O79" s="33" t="n">
        <v>42.3</v>
      </c>
      <c r="P79" s="33" t="n">
        <v>11.32</v>
      </c>
      <c r="Q79" s="33" t="n">
        <v>33.7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53.3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2026-10-06</t>
        </is>
      </c>
      <c r="E80" s="33" t="n">
        <v>31.13176</v>
      </c>
      <c r="F80" s="33" t="n">
        <v>120.964</v>
      </c>
      <c r="G80" s="33" t="n">
        <v>0.3</v>
      </c>
      <c r="H80" s="33" t="n">
        <v>32.952396</v>
      </c>
      <c r="I80" s="33">
        <f>IF(OR(E80="",R80="",R80&lt;=0,E80&lt;0),"",E80/R80)</f>
        <v/>
      </c>
      <c r="J80" s="33" t="n">
        <v>21.5</v>
      </c>
      <c r="K80" s="33" t="n">
        <v>8.779999999999999</v>
      </c>
      <c r="L80" s="33" t="n">
        <v>44.24</v>
      </c>
      <c r="M80" s="33" t="n">
        <v>9.960000000000001</v>
      </c>
      <c r="N80" s="33" t="n">
        <v>-1.33</v>
      </c>
      <c r="O80" s="33" t="n">
        <v>54.8</v>
      </c>
      <c r="P80" s="33" t="n">
        <v>19.48</v>
      </c>
      <c r="Q80" s="33" t="n">
        <v>109.3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66.7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2026-10-06</t>
        </is>
      </c>
      <c r="E81" s="33" t="n">
        <v>21.778322</v>
      </c>
      <c r="F81" s="33" t="n">
        <v>29.002</v>
      </c>
      <c r="G81" s="33" t="n">
        <v>0.02</v>
      </c>
      <c r="H81" s="33" t="n">
        <v>3.6675725</v>
      </c>
      <c r="I81" s="33">
        <f>IF(OR(E81="",R81="",R81&lt;=0,E81&lt;0),"",E81/R81)</f>
        <v/>
      </c>
      <c r="J81" s="33" t="n">
        <v>56.5</v>
      </c>
      <c r="K81" s="33" t="n">
        <v>15.73</v>
      </c>
      <c r="L81" s="33" t="n">
        <v>11.99</v>
      </c>
      <c r="M81" s="33" t="n">
        <v>0.07000000000000001</v>
      </c>
      <c r="N81" s="33" t="n">
        <v>-1.64</v>
      </c>
      <c r="O81" s="33" t="n">
        <v>53.1</v>
      </c>
      <c r="P81" s="33" t="n">
        <v>20.61</v>
      </c>
      <c r="Q81" s="33" t="n">
        <v>44.6</v>
      </c>
      <c r="R81" s="33" t="n">
        <v>59.7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1</v>
      </c>
      <c r="AB81" s="33" t="n">
        <v>3</v>
      </c>
      <c r="AC81" s="71" t="n">
        <v>35.8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2026-10-06</t>
        </is>
      </c>
      <c r="E82" s="33" t="n">
        <v>27.781397</v>
      </c>
      <c r="F82" s="33" t="n">
        <v>-314.006</v>
      </c>
      <c r="G82" s="33" t="n">
        <v>-5.54</v>
      </c>
      <c r="H82" s="33" t="n">
        <v>18.214455</v>
      </c>
      <c r="I82" s="33">
        <f>IF(OR(E82="",R82="",R82&lt;=0,E82&lt;0),"",E82/R82)</f>
        <v/>
      </c>
      <c r="J82" s="33" t="n">
        <v>49.4</v>
      </c>
      <c r="K82" s="33" t="n">
        <v>-2.66</v>
      </c>
      <c r="L82" s="33" t="n">
        <v>28.92</v>
      </c>
      <c r="M82" s="33" t="n">
        <v>-100.9</v>
      </c>
      <c r="N82" s="33" t="n"/>
      <c r="O82" s="33" t="n">
        <v>12.5</v>
      </c>
      <c r="P82" s="33" t="n">
        <v>26.93</v>
      </c>
      <c r="Q82" s="33" t="n">
        <v>86.40000000000001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41.7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2026-10-06</t>
        </is>
      </c>
      <c r="E83" s="33" t="n">
        <v>-47.764706</v>
      </c>
      <c r="F83" s="33" t="n">
        <v>-9.641</v>
      </c>
      <c r="G83" s="33" t="n">
        <v>-3.09</v>
      </c>
      <c r="H83" s="33" t="n">
        <v>820.35767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-2538.03</v>
      </c>
      <c r="N83" s="33" t="n"/>
      <c r="O83" s="33" t="n">
        <v>34.7</v>
      </c>
      <c r="P83" s="33" t="n">
        <v>24.82</v>
      </c>
      <c r="Q83" s="33" t="n">
        <v>112.3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42.5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2026-10-06</t>
        </is>
      </c>
      <c r="E84" s="33" t="n">
        <v>40.5614</v>
      </c>
      <c r="F84" s="33" t="n">
        <v>53.368</v>
      </c>
      <c r="G84" s="33" t="n">
        <v>1.94</v>
      </c>
      <c r="H84" s="33" t="n">
        <v>25.24651</v>
      </c>
      <c r="I84" s="33">
        <f>IF(OR(E84="",R84="",R84&lt;=0,E84&lt;0),"",E84/R84)</f>
        <v/>
      </c>
      <c r="J84" s="33" t="n">
        <v>48.8</v>
      </c>
      <c r="K84" s="33" t="n">
        <v>21.8</v>
      </c>
      <c r="L84" s="33" t="n">
        <v>63</v>
      </c>
      <c r="M84" s="33" t="n">
        <v>48.91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3</v>
      </c>
      <c r="AB84" s="33" t="n">
        <v>3</v>
      </c>
      <c r="AC84" s="71" t="n">
        <v>89.2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2026-10-06</t>
        </is>
      </c>
      <c r="E85" s="33" t="n">
        <v>20.35473</v>
      </c>
      <c r="F85" s="33" t="n">
        <v>24.679</v>
      </c>
      <c r="G85" s="33" t="n">
        <v>2.83</v>
      </c>
      <c r="H85" s="33" t="n">
        <v>7.1225123</v>
      </c>
      <c r="I85" s="33">
        <f>IF(OR(E85="",R85="",R85&lt;=0,E85&lt;0),"",E85/R85)</f>
        <v/>
      </c>
      <c r="J85" s="33" t="n">
        <v>65.7</v>
      </c>
      <c r="K85" s="33" t="n">
        <v>15.11</v>
      </c>
      <c r="L85" s="33" t="n">
        <v>64.52</v>
      </c>
      <c r="M85" s="33" t="n">
        <v>20.16</v>
      </c>
      <c r="N85" s="33" t="n">
        <v>0.82</v>
      </c>
      <c r="O85" s="33" t="n">
        <v>79.8</v>
      </c>
      <c r="P85" s="33" t="n">
        <v>3.57</v>
      </c>
      <c r="Q85" s="33" t="n">
        <v>17.6</v>
      </c>
      <c r="R85" s="33" t="n">
        <v>51.3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59.2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2026-10-06</t>
        </is>
      </c>
      <c r="E86" s="33" t="n">
        <v>34.480778</v>
      </c>
      <c r="F86" s="33" t="n">
        <v>54.525</v>
      </c>
      <c r="G86" s="33" t="n">
        <v>1.41</v>
      </c>
      <c r="H86" s="33" t="n">
        <v>9.605983999999999</v>
      </c>
      <c r="I86" s="33">
        <f>IF(OR(E86="",R86="",R86&lt;=0,E86&lt;0),"",E86/R86)</f>
        <v/>
      </c>
      <c r="J86" s="33" t="n">
        <v>48.5</v>
      </c>
      <c r="K86" s="33" t="n">
        <v>11.6</v>
      </c>
      <c r="L86" s="33" t="n">
        <v>44.07</v>
      </c>
      <c r="M86" s="33" t="n">
        <v>13.53</v>
      </c>
      <c r="N86" s="33" t="n">
        <v>0.64</v>
      </c>
      <c r="O86" s="33" t="n">
        <v>63.1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35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2026-10-06</t>
        </is>
      </c>
      <c r="E87" s="33" t="n">
        <v>27.02494</v>
      </c>
      <c r="F87" s="33" t="n">
        <v>24.169</v>
      </c>
      <c r="G87" s="33" t="n">
        <v>2.1</v>
      </c>
      <c r="H87" s="33" t="n">
        <v>7.588316</v>
      </c>
      <c r="I87" s="33">
        <f>IF(OR(E87="",R87="",R87&lt;=0,E87&lt;0),"",E87/R87)</f>
        <v/>
      </c>
      <c r="J87" s="33" t="n">
        <v>69.3</v>
      </c>
      <c r="K87" s="33" t="n">
        <v>14.81</v>
      </c>
      <c r="L87" s="33" t="n">
        <v>38.95</v>
      </c>
      <c r="M87" s="33" t="n">
        <v>15.96</v>
      </c>
      <c r="N87" s="33" t="n">
        <v>1.42</v>
      </c>
      <c r="O87" s="33" t="n">
        <v>61.5</v>
      </c>
      <c r="P87" s="33" t="n">
        <v>22.31</v>
      </c>
      <c r="Q87" s="33" t="n">
        <v>55</v>
      </c>
      <c r="R87" s="33" t="n">
        <v>62.1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1</v>
      </c>
      <c r="AB87" s="33" t="n">
        <v>3</v>
      </c>
      <c r="AC87" s="71" t="n">
        <v>74.2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2026-10-06</t>
        </is>
      </c>
      <c r="E88" s="33" t="n">
        <v>17.210505</v>
      </c>
      <c r="F88" s="33" t="n">
        <v>13.757</v>
      </c>
      <c r="G88" s="33" t="n">
        <v>5.15</v>
      </c>
      <c r="H88" s="33" t="n">
        <v>3.3309305</v>
      </c>
      <c r="I88" s="33">
        <f>IF(OR(E88="",R88="",R88&lt;=0,E88&lt;0),"",E88/R88)</f>
        <v/>
      </c>
      <c r="J88" s="33" t="n">
        <v>78.2</v>
      </c>
      <c r="K88" s="33" t="n">
        <v>14.8</v>
      </c>
      <c r="L88" s="33" t="n">
        <v>36.12</v>
      </c>
      <c r="M88" s="33" t="n">
        <v>17.16</v>
      </c>
      <c r="N88" s="33" t="n">
        <v>0.92</v>
      </c>
      <c r="O88" s="33" t="n">
        <v>59</v>
      </c>
      <c r="P88" s="33" t="n">
        <v>1.97</v>
      </c>
      <c r="Q88" s="33" t="n">
        <v>13.8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39.2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2026-10-06</t>
        </is>
      </c>
      <c r="E89" s="33" t="n">
        <v>37.837463</v>
      </c>
      <c r="F89" s="33" t="n">
        <v>35.428</v>
      </c>
      <c r="G89" s="33" t="n">
        <v>1.68</v>
      </c>
      <c r="H89" s="33" t="n">
        <v>8.392863999999999</v>
      </c>
      <c r="I89" s="33">
        <f>IF(OR(E89="",R89="",R89&lt;=0,E89&lt;0),"",E89/R89)</f>
        <v/>
      </c>
      <c r="J89" s="33" t="n">
        <v>47.1</v>
      </c>
      <c r="K89" s="33" t="n">
        <v>8.31</v>
      </c>
      <c r="L89" s="33" t="n">
        <v>36.39</v>
      </c>
      <c r="M89" s="33" t="n">
        <v>14.12</v>
      </c>
      <c r="N89" s="33" t="n">
        <v>1.68</v>
      </c>
      <c r="O89" s="33" t="n">
        <v>41</v>
      </c>
      <c r="P89" s="33" t="n">
        <v>3.27</v>
      </c>
      <c r="Q89" s="33" t="n">
        <v>16.6</v>
      </c>
      <c r="R89" s="33" t="n">
        <v>19.2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56.7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2026-10-06</t>
        </is>
      </c>
      <c r="E90" s="33" t="n">
        <v>8.355364</v>
      </c>
      <c r="F90" s="33" t="n">
        <v>12.151</v>
      </c>
      <c r="G90" s="33" t="n">
        <v>-23.85</v>
      </c>
      <c r="H90" s="33" t="n">
        <v>0.74840397</v>
      </c>
      <c r="I90" s="33">
        <f>IF(OR(E90="",R90="",R90&lt;=0,E90&lt;0),"",E90/R90)</f>
        <v/>
      </c>
      <c r="J90" s="33" t="n">
        <v>74.2</v>
      </c>
      <c r="K90" s="33" t="n">
        <v>9.73</v>
      </c>
      <c r="L90" s="33" t="n">
        <v>10.82</v>
      </c>
      <c r="M90" s="33" t="n">
        <v>-17.85</v>
      </c>
      <c r="N90" s="33" t="n">
        <v>0.61</v>
      </c>
      <c r="O90" s="33" t="n">
        <v>18.4</v>
      </c>
      <c r="P90" s="33" t="n">
        <v>76.34</v>
      </c>
      <c r="Q90" s="33" t="n">
        <v>93.2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60.8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2026-10-06</t>
        </is>
      </c>
      <c r="E91" s="33" t="n">
        <v>20.121317</v>
      </c>
      <c r="F91" s="33" t="n">
        <v>21.148</v>
      </c>
      <c r="G91" s="33" t="n">
        <v>2.3</v>
      </c>
      <c r="H91" s="33" t="n">
        <v>2.463718</v>
      </c>
      <c r="I91" s="33">
        <f>IF(OR(E91="",R91="",R91&lt;=0,E91&lt;0),"",E91/R91)</f>
        <v/>
      </c>
      <c r="J91" s="33" t="n">
        <v>61.9</v>
      </c>
      <c r="K91" s="33" t="n">
        <v>27.41</v>
      </c>
      <c r="L91" s="33" t="n">
        <v>19.91</v>
      </c>
      <c r="M91" s="33" t="n">
        <v>5.66</v>
      </c>
      <c r="N91" s="33" t="n">
        <v>1.34</v>
      </c>
      <c r="O91" s="33" t="n">
        <v>51.6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98.3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2026-10-06</t>
        </is>
      </c>
      <c r="E92" s="33" t="n">
        <v>14.944424</v>
      </c>
      <c r="F92" s="33" t="n">
        <v>15.227</v>
      </c>
      <c r="G92" s="33" t="n">
        <v>4.45</v>
      </c>
      <c r="H92" s="33" t="n">
        <v>2.2309883</v>
      </c>
      <c r="I92" s="33">
        <f>IF(OR(E92="",R92="",R92&lt;=0,E92&lt;0),"",E92/R92)</f>
        <v/>
      </c>
      <c r="J92" s="33" t="n">
        <v>81.90000000000001</v>
      </c>
      <c r="K92" s="33" t="n">
        <v>6.18</v>
      </c>
      <c r="L92" s="33" t="n">
        <v>36.62</v>
      </c>
      <c r="M92" s="33" t="n">
        <v>9.93</v>
      </c>
      <c r="N92" s="33" t="n">
        <v>2.05</v>
      </c>
      <c r="O92" s="33" t="n">
        <v>38.4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99.2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2026-10-06</t>
        </is>
      </c>
      <c r="E93" s="33" t="n">
        <v>22.51851</v>
      </c>
      <c r="F93" s="33" t="n">
        <v>20.345</v>
      </c>
      <c r="G93" s="33" t="n">
        <v>1.69</v>
      </c>
      <c r="H93" s="33" t="n">
        <v>11.930899</v>
      </c>
      <c r="I93" s="33">
        <f>IF(OR(E93="",R93="",R93&lt;=0,E93&lt;0),"",E93/R93)</f>
        <v/>
      </c>
      <c r="J93" s="33" t="n">
        <v>70</v>
      </c>
      <c r="K93" s="33" t="n">
        <v>21.22</v>
      </c>
      <c r="L93" s="33" t="n">
        <v>67.94</v>
      </c>
      <c r="M93" s="33" t="n">
        <v>20.19</v>
      </c>
      <c r="N93" s="33" t="n">
        <v>0.27</v>
      </c>
      <c r="O93" s="33" t="n">
        <v>90.59999999999999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5</v>
      </c>
      <c r="AB93" s="33" t="n">
        <v>4</v>
      </c>
      <c r="AC93" s="71" t="n">
        <v>71.7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2026-10-06</t>
        </is>
      </c>
      <c r="E94" s="33" t="n">
        <v>22.91073</v>
      </c>
      <c r="F94" s="33" t="n">
        <v>23.871</v>
      </c>
      <c r="G94" s="33" t="n">
        <v>1.26</v>
      </c>
      <c r="H94" s="33" t="n">
        <v>9.471448000000001</v>
      </c>
      <c r="I94" s="33">
        <f>IF(OR(E94="",R94="",R94&lt;=0,E94&lt;0),"",E94/R94)</f>
        <v/>
      </c>
      <c r="J94" s="33" t="n">
        <v>54</v>
      </c>
      <c r="K94" s="33" t="n">
        <v>15.14</v>
      </c>
      <c r="L94" s="33" t="n">
        <v>60.9</v>
      </c>
      <c r="M94" s="33" t="n">
        <v>11.95</v>
      </c>
      <c r="N94" s="33" t="n">
        <v>-0.7</v>
      </c>
      <c r="O94" s="33" t="n">
        <v>83.09999999999999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4</v>
      </c>
      <c r="AB94" s="33" t="n">
        <v>3</v>
      </c>
      <c r="AC94" s="71" t="n">
        <v>45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4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2026-10-06</t>
        </is>
      </c>
      <c r="E95" s="33" t="n">
        <v>24.157791</v>
      </c>
      <c r="F95" s="33" t="n">
        <v>16.815</v>
      </c>
      <c r="G95" s="33" t="n">
        <v>-0.09</v>
      </c>
      <c r="H95" s="33" t="n">
        <v>3.519513</v>
      </c>
      <c r="I95" s="33">
        <f>IF(OR(E95="",R95="",R95&lt;=0,E95&lt;0),"",E95/R95)</f>
        <v/>
      </c>
      <c r="J95" s="33" t="n">
        <v>73.8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3</v>
      </c>
      <c r="AB95" s="33" t="n">
        <v>3</v>
      </c>
      <c r="AC95" s="71" t="n">
        <v>54.2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3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2026-10-06</t>
        </is>
      </c>
      <c r="E96" s="33" t="n">
        <v>21.163465</v>
      </c>
      <c r="F96" s="33" t="n">
        <v>17.437</v>
      </c>
      <c r="G96" s="33" t="n">
        <v>2.18</v>
      </c>
      <c r="H96" s="33" t="n">
        <v>8.245104</v>
      </c>
      <c r="I96" s="33">
        <f>IF(OR(E96="",R96="",R96&lt;=0,E96&lt;0),"",E96/R96)</f>
        <v/>
      </c>
      <c r="J96" s="33" t="n">
        <v>69</v>
      </c>
      <c r="K96" s="33" t="n">
        <v>17.18</v>
      </c>
      <c r="L96" s="33" t="n">
        <v>81.75</v>
      </c>
      <c r="M96" s="33" t="n">
        <v>17.95</v>
      </c>
      <c r="N96" s="33" t="n">
        <v>0.2</v>
      </c>
      <c r="O96" s="33" t="n">
        <v>91.90000000000001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44.2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2026-10-06</t>
        </is>
      </c>
      <c r="E97" s="33" t="n">
        <v>13.223377</v>
      </c>
      <c r="F97" s="33" t="n">
        <v>16.504</v>
      </c>
      <c r="G97" s="33" t="n">
        <v>-6.51</v>
      </c>
      <c r="H97" s="33" t="n">
        <v>6.141898</v>
      </c>
      <c r="I97" s="33">
        <f>IF(OR(E97="",R97="",R97&lt;=0,E97&lt;0),"",E97/R97)</f>
        <v/>
      </c>
      <c r="J97" s="33" t="n">
        <v>80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2</v>
      </c>
      <c r="AB97" s="33" t="n">
        <v>3</v>
      </c>
      <c r="AC97" s="71" t="n">
        <v>53.3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2026-10-06</t>
        </is>
      </c>
      <c r="E98" s="33" t="n">
        <v>-70.75103</v>
      </c>
      <c r="F98" s="33" t="n">
        <v>18.8</v>
      </c>
      <c r="G98" s="33" t="n">
        <v>-8.76</v>
      </c>
      <c r="H98" s="33" t="n">
        <v>49.544216</v>
      </c>
      <c r="I98" s="33">
        <f>IF(OR(E98="",R98="",R98&lt;=0,E98&lt;0),"",E98/R98)</f>
        <v/>
      </c>
      <c r="J98" s="33" t="n">
        <v>27.5</v>
      </c>
      <c r="K98" s="33" t="n">
        <v>-2.16</v>
      </c>
      <c r="L98" s="33" t="n">
        <v>74.26000000000001</v>
      </c>
      <c r="M98" s="33" t="n">
        <v>-434.2</v>
      </c>
      <c r="N98" s="33" t="n">
        <v>8.35</v>
      </c>
      <c r="O98" s="33" t="n">
        <v>55.8</v>
      </c>
      <c r="P98" s="33" t="n">
        <v>239.83</v>
      </c>
      <c r="Q98" s="33" t="n">
        <v>454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67.5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2026-10-06</t>
        </is>
      </c>
      <c r="E99" s="33" t="n">
        <v>-52.470478</v>
      </c>
      <c r="F99" s="33" t="n">
        <v>6.3</v>
      </c>
      <c r="G99" s="33" t="n">
        <v>-36.58</v>
      </c>
      <c r="H99" s="33" t="n">
        <v>12.4158535</v>
      </c>
      <c r="I99" s="33">
        <f>IF(OR(E99="",R99="",R99&lt;=0,E99&lt;0),"",E99/R99)</f>
        <v/>
      </c>
      <c r="J99" s="33" t="n">
        <v>32.5</v>
      </c>
      <c r="K99" s="33" t="n">
        <v>-1.82</v>
      </c>
      <c r="L99" s="33" t="n">
        <v>25.88</v>
      </c>
      <c r="M99" s="33" t="n">
        <v>-454.12</v>
      </c>
      <c r="N99" s="33" t="n"/>
      <c r="O99" s="33" t="n">
        <v>30.6</v>
      </c>
      <c r="P99" s="33" t="n">
        <v>122.64</v>
      </c>
      <c r="Q99" s="33" t="n">
        <v>406.6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43.3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2026-10-06</t>
        </is>
      </c>
      <c r="E100" s="33" t="n">
        <v>103.526665</v>
      </c>
      <c r="F100" s="33" t="n">
        <v>4.2</v>
      </c>
      <c r="G100" s="33" t="n">
        <v>-17.69</v>
      </c>
      <c r="H100" s="33" t="n">
        <v>12.297187</v>
      </c>
      <c r="I100" s="33">
        <f>IF(OR(E100="",R100="",R100&lt;=0,E100&lt;0),"",E100/R100)</f>
        <v/>
      </c>
      <c r="J100" s="33" t="n">
        <v>45</v>
      </c>
      <c r="K100" s="33" t="n">
        <v>-6.46</v>
      </c>
      <c r="L100" s="33" t="n">
        <v>32.14</v>
      </c>
      <c r="M100" s="33" t="n">
        <v>-217.53</v>
      </c>
      <c r="N100" s="33" t="n"/>
      <c r="O100" s="33" t="n">
        <v>40.8</v>
      </c>
      <c r="P100" s="33" t="n">
        <v>-20.72</v>
      </c>
      <c r="Q100" s="33" t="n">
        <v>108.8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43.3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2026-10-06</t>
        </is>
      </c>
      <c r="E101" s="33" t="n">
        <v>-10.2821245</v>
      </c>
      <c r="F101" s="33" t="n">
        <v>6.1</v>
      </c>
      <c r="G101" s="33" t="n">
        <v>-14.57</v>
      </c>
      <c r="H101" s="33" t="n">
        <v>22.823965</v>
      </c>
      <c r="I101" s="33">
        <f>IF(OR(E101="",R101="",R101&lt;=0,E101&lt;0),"",E101/R101)</f>
        <v/>
      </c>
      <c r="J101" s="33" t="n">
        <v>36.2</v>
      </c>
      <c r="K101" s="33" t="n">
        <v>-2.21</v>
      </c>
      <c r="L101" s="33" t="n">
        <v>68.92</v>
      </c>
      <c r="M101" s="33" t="n">
        <v>-332.45</v>
      </c>
      <c r="N101" s="33" t="n">
        <v>50.69</v>
      </c>
      <c r="O101" s="33" t="n">
        <v>44.4</v>
      </c>
      <c r="P101" s="33" t="n">
        <v>110.77</v>
      </c>
      <c r="Q101" s="33" t="n">
        <v>-26.7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55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2026-10-06</t>
        </is>
      </c>
      <c r="E102" s="33" t="n">
        <v>118.39011</v>
      </c>
      <c r="F102" s="33" t="n">
        <v>12.4</v>
      </c>
      <c r="G102" s="33" t="n">
        <v>-23.1</v>
      </c>
      <c r="H102" s="33" t="n">
        <v>33.89216</v>
      </c>
      <c r="I102" s="33">
        <f>IF(OR(E102="",R102="",R102&lt;=0,E102&lt;0),"",E102/R102)</f>
        <v/>
      </c>
      <c r="J102" s="33" t="n">
        <v>33.8</v>
      </c>
      <c r="K102" s="33" t="n">
        <v>-5.17</v>
      </c>
      <c r="L102" s="33" t="n">
        <v>-10.04</v>
      </c>
      <c r="M102" s="33" t="n">
        <v>-782.87</v>
      </c>
      <c r="N102" s="33" t="n">
        <v>49.49</v>
      </c>
      <c r="O102" s="33" t="n">
        <v>21.9</v>
      </c>
      <c r="P102" s="33" t="n">
        <v>319.34</v>
      </c>
      <c r="Q102" s="33" t="n">
        <v>-43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51.7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2026-10-06</t>
        </is>
      </c>
      <c r="E103" s="33" t="n">
        <v>-6.924303</v>
      </c>
      <c r="F103" s="33" t="n">
        <v>2.6</v>
      </c>
      <c r="G103" s="33" t="n">
        <v>-32.21</v>
      </c>
      <c r="H103" s="33" t="n">
        <v>4.74516</v>
      </c>
      <c r="I103" s="33">
        <f>IF(OR(E103="",R103="",R103&lt;=0,E103&lt;0),"",E103/R103)</f>
        <v/>
      </c>
      <c r="J103" s="33" t="n">
        <v>47.5</v>
      </c>
      <c r="K103" s="33" t="n">
        <v>-11.12</v>
      </c>
      <c r="L103" s="33" t="n">
        <v>46.99</v>
      </c>
      <c r="M103" s="33" t="n">
        <v>-152.85</v>
      </c>
      <c r="N103" s="33" t="n"/>
      <c r="O103" s="33" t="n">
        <v>40.8</v>
      </c>
      <c r="P103" s="33" t="n">
        <v>79.94</v>
      </c>
      <c r="Q103" s="33" t="n">
        <v>-30.5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55.8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2026-10-06</t>
        </is>
      </c>
      <c r="E104" s="33" t="n">
        <v>-29.825502</v>
      </c>
      <c r="F104" s="33" t="n">
        <v>1.8</v>
      </c>
      <c r="G104" s="33" t="n">
        <v>-69.40000000000001</v>
      </c>
      <c r="H104" s="33" t="n">
        <v>3.71742</v>
      </c>
      <c r="I104" s="33">
        <f>IF(OR(E104="",R104="",R104&lt;=0,E104&lt;0),"",E104/R104)</f>
        <v/>
      </c>
      <c r="J104" s="33" t="n">
        <v>48.8</v>
      </c>
      <c r="K104" s="33" t="n">
        <v>-8.48</v>
      </c>
      <c r="L104" s="33" t="n">
        <v>0.67</v>
      </c>
      <c r="M104" s="33" t="n">
        <v>-257.98</v>
      </c>
      <c r="N104" s="33" t="n">
        <v>3.08</v>
      </c>
      <c r="O104" s="33" t="n">
        <v>29.4</v>
      </c>
      <c r="P104" s="33" t="n">
        <v>23</v>
      </c>
      <c r="Q104" s="33" t="n">
        <v>47.1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58.3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2026-10-06</t>
        </is>
      </c>
      <c r="E105" s="33" t="n">
        <v>-17.117737</v>
      </c>
      <c r="F105" s="33" t="n">
        <v>10.5</v>
      </c>
      <c r="G105" s="33" t="n">
        <v>-11.67</v>
      </c>
      <c r="H105" s="33" t="n">
        <v>35.293087</v>
      </c>
      <c r="I105" s="33">
        <f>IF(OR(E105="",R105="",R105&lt;=0,E105&lt;0),"",E105/R105)</f>
        <v/>
      </c>
      <c r="J105" s="33" t="n">
        <v>35</v>
      </c>
      <c r="K105" s="33" t="n">
        <v>-1.45</v>
      </c>
      <c r="L105" s="33" t="n">
        <v>62.33</v>
      </c>
      <c r="M105" s="33" t="n">
        <v>-411.83</v>
      </c>
      <c r="N105" s="33" t="n"/>
      <c r="O105" s="33" t="n">
        <v>52.5</v>
      </c>
      <c r="P105" s="33" t="n">
        <v>43.73</v>
      </c>
      <c r="Q105" s="33" t="n">
        <v>81.40000000000001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52.5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2026-10-06</t>
        </is>
      </c>
      <c r="E106" s="33" t="n">
        <v>-12.068966</v>
      </c>
      <c r="F106" s="33" t="n">
        <v>3.2</v>
      </c>
      <c r="G106" s="33" t="n">
        <v>-18.93</v>
      </c>
      <c r="H106" s="33" t="n">
        <v>11.488877</v>
      </c>
      <c r="I106" s="33">
        <f>IF(OR(E106="",R106="",R106&lt;=0,E106&lt;0),"",E106/R106)</f>
        <v/>
      </c>
      <c r="J106" s="33" t="n">
        <v>47.5</v>
      </c>
      <c r="K106" s="33" t="n">
        <v>-15.85</v>
      </c>
      <c r="L106" s="33" t="n">
        <v>-32.26</v>
      </c>
      <c r="M106" s="33" t="n">
        <v>-217.52</v>
      </c>
      <c r="N106" s="33" t="n"/>
      <c r="O106" s="33" t="n">
        <v>20.8</v>
      </c>
      <c r="P106" s="33" t="n">
        <v>17.2</v>
      </c>
      <c r="Q106" s="33" t="n">
        <v>-50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50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2026-10-06</t>
        </is>
      </c>
      <c r="E107" s="33" t="n">
        <v>-20.27941</v>
      </c>
      <c r="F107" s="33" t="n">
        <v>4.5</v>
      </c>
      <c r="G107" s="33" t="n">
        <v>-15</v>
      </c>
      <c r="H107" s="33" t="n">
        <v>10.845844</v>
      </c>
      <c r="I107" s="33">
        <f>IF(OR(E107="",R107="",R107&lt;=0,E107&lt;0),"",E107/R107)</f>
        <v/>
      </c>
      <c r="J107" s="33" t="n">
        <v>41.2</v>
      </c>
      <c r="K107" s="33" t="n">
        <v>-12.07</v>
      </c>
      <c r="L107" s="33" t="n">
        <v>28.26</v>
      </c>
      <c r="M107" s="33" t="n">
        <v>-162.67</v>
      </c>
      <c r="N107" s="33" t="n"/>
      <c r="O107" s="33" t="n">
        <v>29.2</v>
      </c>
      <c r="P107" s="33" t="n">
        <v>35.69</v>
      </c>
      <c r="Q107" s="33" t="n">
        <v>13.9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55.8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2026-10-06</t>
        </is>
      </c>
      <c r="E108" s="33" t="n">
        <v>-62.190136</v>
      </c>
      <c r="F108" s="33" t="n">
        <v>10.6</v>
      </c>
      <c r="G108" s="33" t="n">
        <v>-33.68</v>
      </c>
      <c r="H108" s="33" t="n">
        <v>45.011787</v>
      </c>
      <c r="I108" s="33">
        <f>IF(OR(E108="",R108="",R108&lt;=0,E108&lt;0),"",E108/R108)</f>
        <v/>
      </c>
      <c r="J108" s="33" t="n">
        <v>18.8</v>
      </c>
      <c r="K108" s="33" t="n">
        <v>-6.95</v>
      </c>
      <c r="L108" s="33" t="n">
        <v>69.26000000000001</v>
      </c>
      <c r="M108" s="33" t="n">
        <v>-1515.94</v>
      </c>
      <c r="N108" s="33" t="n"/>
      <c r="O108" s="33" t="n">
        <v>34.2</v>
      </c>
      <c r="P108" s="33" t="n">
        <v>123.78</v>
      </c>
      <c r="Q108" s="33" t="n">
        <v>-6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45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2026-10-06</t>
        </is>
      </c>
      <c r="E109" s="33" t="n">
        <v>82.66926599999999</v>
      </c>
      <c r="F109" s="33" t="n">
        <v>132.8</v>
      </c>
      <c r="G109" s="33" t="n">
        <v>0.72</v>
      </c>
      <c r="H109" s="33" t="n">
        <v>75.64866000000001</v>
      </c>
      <c r="I109" s="33">
        <f>IF(OR(E109="",R109="",R109&lt;=0,E109&lt;0),"",E109/R109)</f>
        <v/>
      </c>
      <c r="J109" s="33" t="n">
        <v>36.5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85.8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2</v>
      </c>
      <c r="AB109" s="33" t="n">
        <v>3</v>
      </c>
      <c r="AC109" s="71" t="n">
        <v>51.7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4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2026-10-06</t>
        </is>
      </c>
      <c r="E110" s="33" t="n">
        <v>115.75436</v>
      </c>
      <c r="F110" s="33" t="n">
        <v>100.5</v>
      </c>
      <c r="G110" s="33" t="n">
        <v>0.97</v>
      </c>
      <c r="H110" s="33" t="n">
        <v>22.582289</v>
      </c>
      <c r="I110" s="33">
        <f>IF(OR(E110="",R110="",R110&lt;=0,E110&lt;0),"",E110/R110)</f>
        <v/>
      </c>
      <c r="J110" s="33" t="n">
        <v>29.3</v>
      </c>
      <c r="K110" s="33" t="n">
        <v>-19.66</v>
      </c>
      <c r="L110" s="33" t="n">
        <v>67.03</v>
      </c>
      <c r="M110" s="33" t="n">
        <v>21.96</v>
      </c>
      <c r="N110" s="33" t="n"/>
      <c r="O110" s="33" t="n">
        <v>12.9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82.5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2026-10-06</t>
        </is>
      </c>
      <c r="E111" s="33" t="n">
        <v>27.94121</v>
      </c>
      <c r="F111" s="33" t="n">
        <v>31.6</v>
      </c>
      <c r="G111" s="33" t="n">
        <v>3.16</v>
      </c>
      <c r="H111" s="33" t="n">
        <v>9.812987</v>
      </c>
      <c r="I111" s="33">
        <f>IF(OR(E111="",R111="",R111&lt;=0,E111&lt;0),"",E111/R111)</f>
        <v/>
      </c>
      <c r="J111" s="33" t="n">
        <v>57.6</v>
      </c>
      <c r="K111" s="33" t="n">
        <v>6.13</v>
      </c>
      <c r="L111" s="33" t="n">
        <v>74.77</v>
      </c>
      <c r="M111" s="33" t="n">
        <v>31.03</v>
      </c>
      <c r="N111" s="33" t="n">
        <v>1.31</v>
      </c>
      <c r="O111" s="33" t="n">
        <v>61.9</v>
      </c>
      <c r="P111" s="33" t="n">
        <v>22.38</v>
      </c>
      <c r="Q111" s="33" t="n">
        <v>24</v>
      </c>
      <c r="R111" s="33" t="n">
        <v>-22.6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70.8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2026-10-06</t>
        </is>
      </c>
      <c r="E112" s="33" t="n">
        <v>14.366101</v>
      </c>
      <c r="F112" s="33" t="n">
        <v>14.5</v>
      </c>
      <c r="G112" s="33" t="n">
        <v>8</v>
      </c>
      <c r="H112" s="33" t="n">
        <v>4.3110194</v>
      </c>
      <c r="I112" s="33">
        <f>IF(OR(E112="",R112="",R112&lt;=0,E112&lt;0),"",E112/R112)</f>
        <v/>
      </c>
      <c r="J112" s="33" t="n">
        <v>77.90000000000001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57.6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51.7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3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2026-10-06</t>
        </is>
      </c>
      <c r="E113" s="33" t="n">
        <v>27.970158</v>
      </c>
      <c r="F113" s="33" t="n">
        <v>38.612</v>
      </c>
      <c r="G113" s="33" t="n">
        <v>2.22</v>
      </c>
      <c r="H113" s="33" t="n">
        <v>10.035439</v>
      </c>
      <c r="I113" s="33">
        <f>IF(OR(E113="",R113="",R113&lt;=0,E113&lt;0),"",E113/R113)</f>
        <v/>
      </c>
      <c r="J113" s="33" t="n">
        <v>57.4</v>
      </c>
      <c r="K113" s="33" t="n">
        <v>12.94</v>
      </c>
      <c r="L113" s="33" t="n">
        <v>63.28</v>
      </c>
      <c r="M113" s="33" t="n">
        <v>22.32</v>
      </c>
      <c r="N113" s="33" t="n">
        <v>0.09</v>
      </c>
      <c r="O113" s="33" t="n">
        <v>77.8</v>
      </c>
      <c r="P113" s="33" t="n">
        <v>-0.28</v>
      </c>
      <c r="Q113" s="33" t="n">
        <v>36.5</v>
      </c>
      <c r="R113" s="33" t="n">
        <v>107.9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63.3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2026-10-06</t>
        </is>
      </c>
      <c r="E114" s="33" t="n">
        <v>19.511063</v>
      </c>
      <c r="F114" s="33" t="n">
        <v>29.928</v>
      </c>
      <c r="G114" s="33" t="n">
        <v>-0.11</v>
      </c>
      <c r="H114" s="33" t="n">
        <v>4.19513</v>
      </c>
      <c r="I114" s="33">
        <f>IF(OR(E114="",R114="",R114&lt;=0,E114&lt;0),"",E114/R114)</f>
        <v/>
      </c>
      <c r="J114" s="33" t="n">
        <v>65</v>
      </c>
      <c r="K114" s="33" t="n">
        <v>9.56</v>
      </c>
      <c r="L114" s="33" t="n">
        <v>21.19</v>
      </c>
      <c r="M114" s="33" t="n">
        <v>-0.45</v>
      </c>
      <c r="N114" s="33" t="n">
        <v>1.22</v>
      </c>
      <c r="O114" s="33" t="n">
        <v>39.4</v>
      </c>
      <c r="P114" s="33" t="n">
        <v>5.22</v>
      </c>
      <c r="Q114" s="33" t="n">
        <v>37.4</v>
      </c>
      <c r="R114" s="33" t="n">
        <v>100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50.8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2026-10-06</t>
        </is>
      </c>
      <c r="E115" s="33" t="n">
        <v>42.034306</v>
      </c>
      <c r="F115" s="33" t="n">
        <v>71.31100000000001</v>
      </c>
      <c r="G115" s="33" t="n">
        <v>0.8100000000000001</v>
      </c>
      <c r="H115" s="33" t="n">
        <v>22.072971</v>
      </c>
      <c r="I115" s="33">
        <f>IF(OR(E115="",R115="",R115&lt;=0,E115&lt;0),"",E115/R115)</f>
        <v/>
      </c>
      <c r="J115" s="33" t="n">
        <v>30.6</v>
      </c>
      <c r="K115" s="33" t="n">
        <v>18.35</v>
      </c>
      <c r="L115" s="33" t="n">
        <v>55.2</v>
      </c>
      <c r="M115" s="33" t="n">
        <v>17.8</v>
      </c>
      <c r="N115" s="33" t="n">
        <v>-1.39</v>
      </c>
      <c r="O115" s="33" t="n">
        <v>62.7</v>
      </c>
      <c r="P115" s="33" t="n">
        <v>15.86</v>
      </c>
      <c r="Q115" s="33" t="n">
        <v>47.6</v>
      </c>
      <c r="R115" s="33" t="n">
        <v>90.59999999999999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46.7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2026-10-06</t>
        </is>
      </c>
      <c r="E116" s="33" t="n">
        <v>23.15639</v>
      </c>
      <c r="F116" s="33" t="n">
        <v>72.155</v>
      </c>
      <c r="G116" s="33" t="n">
        <v>1.04</v>
      </c>
      <c r="H116" s="33" t="n">
        <v>26.508621</v>
      </c>
      <c r="I116" s="33">
        <f>IF(OR(E116="",R116="",R116&lt;=0,E116&lt;0),"",E116/R116)</f>
        <v/>
      </c>
      <c r="J116" s="33" t="n">
        <v>57.4</v>
      </c>
      <c r="K116" s="33" t="n">
        <v>17.9</v>
      </c>
      <c r="L116" s="33" t="n">
        <v>67.06999999999999</v>
      </c>
      <c r="M116" s="33" t="n">
        <v>27.57</v>
      </c>
      <c r="N116" s="33" t="n">
        <v>-1.36</v>
      </c>
      <c r="O116" s="33" t="n">
        <v>90.59999999999999</v>
      </c>
      <c r="P116" s="33" t="n">
        <v>93.53</v>
      </c>
      <c r="Q116" s="33" t="n">
        <v>114.7</v>
      </c>
      <c r="R116" s="33" t="n">
        <v>104.1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64.2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2026-10-06</t>
        </is>
      </c>
      <c r="E117" s="33" t="n">
        <v>16.719849</v>
      </c>
      <c r="F117" s="33" t="n">
        <v>21.772</v>
      </c>
      <c r="G117" s="33" t="n">
        <v>2.41</v>
      </c>
      <c r="H117" s="33" t="n">
        <v>1.4896072</v>
      </c>
      <c r="I117" s="33">
        <f>IF(OR(E117="",R117="",R117&lt;=0,E117&lt;0),"",E117/R117)</f>
        <v/>
      </c>
      <c r="J117" s="33" t="n">
        <v>57.7</v>
      </c>
      <c r="K117" s="33" t="n">
        <v>11.09</v>
      </c>
      <c r="L117" s="33" t="n">
        <v>9.529999999999999</v>
      </c>
      <c r="M117" s="33" t="n">
        <v>3.59</v>
      </c>
      <c r="N117" s="33" t="n">
        <v>1.46</v>
      </c>
      <c r="O117" s="33" t="n">
        <v>39.1</v>
      </c>
      <c r="P117" s="33" t="n">
        <v>-0.6899999999999999</v>
      </c>
      <c r="Q117" s="33" t="n">
        <v>20.6</v>
      </c>
      <c r="R117" s="33" t="n">
        <v>48.4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49.2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2026-10-06</t>
        </is>
      </c>
      <c r="E118" s="33" t="n">
        <v>34.796757</v>
      </c>
      <c r="F118" s="33" t="n">
        <v>122.785</v>
      </c>
      <c r="G118" s="33" t="n">
        <v>0.26</v>
      </c>
      <c r="H118" s="33" t="n">
        <v>11.484287</v>
      </c>
      <c r="I118" s="33">
        <f>IF(OR(E118="",R118="",R118&lt;=0,E118&lt;0),"",E118/R118)</f>
        <v/>
      </c>
      <c r="J118" s="33" t="n">
        <v>31.2</v>
      </c>
      <c r="K118" s="33" t="n">
        <v>6.72</v>
      </c>
      <c r="L118" s="33" t="n">
        <v>69.73</v>
      </c>
      <c r="M118" s="33" t="n">
        <v>3.01</v>
      </c>
      <c r="N118" s="33" t="n">
        <v>-2.04</v>
      </c>
      <c r="O118" s="33" t="n">
        <v>64.09999999999999</v>
      </c>
      <c r="P118" s="33" t="n">
        <v>9.98</v>
      </c>
      <c r="Q118" s="33" t="n">
        <v>37.7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78.3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2026-10-06</t>
        </is>
      </c>
      <c r="E119" s="33" t="n">
        <v>95.16518000000001</v>
      </c>
      <c r="F119" s="33" t="n">
        <v>89.09999999999999</v>
      </c>
      <c r="G119" s="33" t="n">
        <v>1.06</v>
      </c>
      <c r="H119" s="33" t="n">
        <v>25.623547</v>
      </c>
      <c r="I119" s="33">
        <f>IF(OR(E119="",R119="",R119&lt;=0,E119&lt;0),"",E119/R119)</f>
        <v/>
      </c>
      <c r="J119" s="33" t="n">
        <v>42.8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55.1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76.7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2026-10-06</t>
        </is>
      </c>
      <c r="E120" s="33" t="n">
        <v>178.18246</v>
      </c>
      <c r="F120" s="33" t="n">
        <v>180.6</v>
      </c>
      <c r="G120" s="33" t="n">
        <v>0.52</v>
      </c>
      <c r="H120" s="33" t="n">
        <v>54.296875</v>
      </c>
      <c r="I120" s="33">
        <f>IF(OR(E120="",R120="",R120&lt;=0,E120&lt;0),"",E120/R120)</f>
        <v/>
      </c>
      <c r="J120" s="33" t="n">
        <v>13.9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48.3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3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95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2026-10-06</t>
        </is>
      </c>
      <c r="E121" s="33" t="n">
        <v>46.75027</v>
      </c>
      <c r="F121" s="33" t="n">
        <v>40.3</v>
      </c>
      <c r="G121" s="33" t="n">
        <v>2.23</v>
      </c>
      <c r="H121" s="33" t="n">
        <v>10.616708</v>
      </c>
      <c r="I121" s="33">
        <f>IF(OR(E121="",R121="",R121&lt;=0,E121&lt;0),"",E121/R121)</f>
        <v/>
      </c>
      <c r="J121" s="33" t="n">
        <v>45.1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44.9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68.3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2026-10-06</t>
        </is>
      </c>
      <c r="E122" s="33" t="n">
        <v>14.371186</v>
      </c>
      <c r="F122" s="33" t="n">
        <v>15.6</v>
      </c>
      <c r="G122" s="33" t="n">
        <v>5.26</v>
      </c>
      <c r="H122" s="33" t="n">
        <v>4.00817</v>
      </c>
      <c r="I122" s="33">
        <f>IF(OR(E122="",R122="",R122&lt;=0,E122&lt;0),"",E122/R122)</f>
        <v/>
      </c>
      <c r="J122" s="33" t="n">
        <v>86</v>
      </c>
      <c r="K122" s="33" t="n">
        <v>7.28</v>
      </c>
      <c r="L122" s="33" t="n">
        <v>82.58</v>
      </c>
      <c r="M122" s="33" t="n">
        <v>21.09</v>
      </c>
      <c r="N122" s="33" t="n">
        <v>-6.52</v>
      </c>
      <c r="O122" s="33" t="n">
        <v>58.5</v>
      </c>
      <c r="P122" s="33" t="n">
        <v>15.01</v>
      </c>
      <c r="Q122" s="33" t="n">
        <v>13.4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2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2026-10-06</t>
        </is>
      </c>
      <c r="E123" s="61" t="n">
        <v>61.1246</v>
      </c>
      <c r="F123" s="61" t="n">
        <v>-56.317</v>
      </c>
      <c r="G123" s="62" t="n">
        <v>0.32</v>
      </c>
      <c r="H123" s="61" t="n">
        <v>7.236546</v>
      </c>
      <c r="I123" s="33">
        <f>IF(OR(E123="",R123="",R123&lt;=0,E123&lt;0),"",E123/R123)</f>
        <v/>
      </c>
      <c r="J123" s="63" t="n">
        <v>48.2</v>
      </c>
      <c r="K123" s="62" t="n">
        <v>-7.66</v>
      </c>
      <c r="L123" s="62" t="n">
        <v>58.52</v>
      </c>
      <c r="M123" s="62" t="n">
        <v>2.33</v>
      </c>
      <c r="N123" s="61" t="n"/>
      <c r="O123" s="63" t="n">
        <v>25.1</v>
      </c>
      <c r="P123" s="62" t="n">
        <v>4.99</v>
      </c>
      <c r="Q123" s="62" t="n">
        <v>13.2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49.2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2026-10-06</t>
        </is>
      </c>
      <c r="E124" s="61" t="n">
        <v>45.66412</v>
      </c>
      <c r="F124" s="61" t="n">
        <v>-145.998</v>
      </c>
      <c r="G124" s="62" t="n">
        <v>-0.1</v>
      </c>
      <c r="H124" s="61" t="n">
        <v>8.914612999999999</v>
      </c>
      <c r="I124" s="33">
        <f>IF(OR(E124="",R124="",R124&lt;=0,E124&lt;0),"",E124/R124)</f>
        <v/>
      </c>
      <c r="J124" s="63" t="n">
        <v>41.2</v>
      </c>
      <c r="K124" s="62" t="n">
        <v>-2.09</v>
      </c>
      <c r="L124" s="62" t="n">
        <v>87.47</v>
      </c>
      <c r="M124" s="62" t="n">
        <v>-0.92</v>
      </c>
      <c r="N124" s="61" t="n"/>
      <c r="O124" s="63" t="n">
        <v>35.3</v>
      </c>
      <c r="P124" s="62" t="n">
        <v>-3.13</v>
      </c>
      <c r="Q124" s="62" t="n">
        <v>13.1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60.8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2026-10-06</t>
        </is>
      </c>
      <c r="E125" s="61" t="n">
        <v>191.64856</v>
      </c>
      <c r="F125" s="61" t="n">
        <v>-32.226</v>
      </c>
      <c r="G125" s="62" t="n">
        <v>0.58</v>
      </c>
      <c r="H125" s="61" t="n">
        <v>13.836826</v>
      </c>
      <c r="I125" s="33">
        <f>IF(OR(E125="",R125="",R125&lt;=0,E125&lt;0),"",E125/R125)</f>
        <v/>
      </c>
      <c r="J125" s="63" t="n">
        <v>25.3</v>
      </c>
      <c r="K125" s="62" t="n">
        <v>-22.61</v>
      </c>
      <c r="L125" s="62" t="n">
        <v>87.61</v>
      </c>
      <c r="M125" s="62" t="n">
        <v>8</v>
      </c>
      <c r="N125" s="61" t="n"/>
      <c r="O125" s="63" t="n">
        <v>32.8</v>
      </c>
      <c r="P125" s="62" t="n">
        <v>11.9</v>
      </c>
      <c r="Q125" s="62" t="n">
        <v>46.2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44.2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2026-10-06</t>
        </is>
      </c>
      <c r="E126" s="61" t="n">
        <v>24.469862</v>
      </c>
      <c r="F126" s="61" t="n">
        <v>26.137</v>
      </c>
      <c r="G126" s="62" t="n">
        <v>1.88</v>
      </c>
      <c r="H126" s="61" t="n">
        <v>5.3236866</v>
      </c>
      <c r="I126" s="33">
        <f>IF(OR(E126="",R126="",R126&lt;=0,E126&lt;0),"",E126/R126)</f>
        <v/>
      </c>
      <c r="J126" s="63" t="n">
        <v>69</v>
      </c>
      <c r="K126" s="62" t="n">
        <v>8.17</v>
      </c>
      <c r="L126" s="62" t="n">
        <v>45.26</v>
      </c>
      <c r="M126" s="62" t="n">
        <v>10</v>
      </c>
      <c r="N126" s="61" t="n">
        <v>0.76</v>
      </c>
      <c r="O126" s="63" t="n">
        <v>57.8</v>
      </c>
      <c r="P126" s="62" t="n">
        <v>7.4</v>
      </c>
      <c r="Q126" s="62" t="n">
        <v>14.3</v>
      </c>
      <c r="R126" s="62" t="n">
        <v>148.7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64.2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2026-10-06</t>
        </is>
      </c>
      <c r="E127" s="33" t="n">
        <v>14.815982</v>
      </c>
      <c r="F127" s="33" t="n">
        <v>15.24</v>
      </c>
      <c r="G127" s="33" t="n">
        <v>4.18</v>
      </c>
      <c r="H127" s="33" t="n">
        <v>3.6180253</v>
      </c>
      <c r="I127" s="33">
        <f>IF(OR(E127="",R127="",R127&lt;=0,E127&lt;0),"",E127/R127)</f>
        <v/>
      </c>
      <c r="J127" s="33" t="n">
        <v>63.1</v>
      </c>
      <c r="K127" s="33" t="n">
        <v>18.42</v>
      </c>
      <c r="L127" s="33" t="n">
        <v>22.98</v>
      </c>
      <c r="M127" s="33" t="n">
        <v>15.12</v>
      </c>
      <c r="N127" s="33" t="n">
        <v>-1.57</v>
      </c>
      <c r="O127" s="33" t="n">
        <v>73.5</v>
      </c>
      <c r="P127" s="33" t="n">
        <v>23.23</v>
      </c>
      <c r="Q127" s="33" t="n">
        <v>8.199999999999999</v>
      </c>
      <c r="R127" s="33" t="n">
        <v>5.2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30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2026-10-06</t>
        </is>
      </c>
      <c r="E128" s="33" t="n">
        <v>25.394972</v>
      </c>
      <c r="F128" s="33" t="n">
        <v>24.685</v>
      </c>
      <c r="G128" s="33" t="n">
        <v>-1.79</v>
      </c>
      <c r="H128" s="33" t="n">
        <v>3.7907815</v>
      </c>
      <c r="I128" s="33">
        <f>IF(OR(E128="",R128="",R128&lt;=0,E128&lt;0),"",E128/R128)</f>
        <v/>
      </c>
      <c r="J128" s="33" t="n">
        <v>32.2</v>
      </c>
      <c r="K128" s="33" t="n">
        <v>11.65</v>
      </c>
      <c r="L128" s="33" t="n">
        <v>25.57</v>
      </c>
      <c r="M128" s="33" t="n">
        <v>-6.8</v>
      </c>
      <c r="N128" s="33" t="n">
        <v>1.51</v>
      </c>
      <c r="O128" s="33" t="n">
        <v>42.6</v>
      </c>
      <c r="P128" s="33" t="n">
        <v>17.51</v>
      </c>
      <c r="Q128" s="33" t="n">
        <v>101.2</v>
      </c>
      <c r="R128" s="33" t="n">
        <v>265.8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46.7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2026-10-06</t>
        </is>
      </c>
      <c r="F129" s="33" t="n">
        <v>54.62</v>
      </c>
      <c r="G129" s="33" t="n">
        <v>1.12</v>
      </c>
      <c r="H129" s="33" t="n">
        <v>20.95</v>
      </c>
      <c r="I129" s="33">
        <f>IF(OR(E129="",R129="",R129&lt;=0,E129&lt;0),"",E129/R129)</f>
        <v/>
      </c>
      <c r="J129" s="33" t="n">
        <v>16.2</v>
      </c>
      <c r="K129" s="33" t="n">
        <v>24.73</v>
      </c>
      <c r="L129" s="33" t="n">
        <v>64.09</v>
      </c>
      <c r="M129" s="33" t="n">
        <v>23.57</v>
      </c>
      <c r="N129" s="33" t="n">
        <v>-0.54</v>
      </c>
      <c r="O129" s="33" t="n">
        <v>86.8</v>
      </c>
      <c r="P129" s="33" t="n">
        <v>-6.48</v>
      </c>
      <c r="Q129" s="33" t="n">
        <v>68.7</v>
      </c>
      <c r="R129" s="33" t="n">
        <v>177.7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44.2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2026-10-06</t>
        </is>
      </c>
      <c r="E130" s="33" t="n">
        <v>38.738808</v>
      </c>
      <c r="F130" s="33" t="n">
        <v>60.211</v>
      </c>
      <c r="G130" s="33" t="n">
        <v>1.19</v>
      </c>
      <c r="H130" s="33" t="n">
        <v>12.702275</v>
      </c>
      <c r="I130" s="33">
        <f>IF(OR(E130="",R130="",R130&lt;=0,E130&lt;0),"",E130/R130)</f>
        <v/>
      </c>
      <c r="J130" s="33" t="n">
        <v>37.4</v>
      </c>
      <c r="K130" s="33" t="n">
        <v>9.619999999999999</v>
      </c>
      <c r="L130" s="33" t="n">
        <v>46.18</v>
      </c>
      <c r="M130" s="33" t="n">
        <v>15.09</v>
      </c>
      <c r="N130" s="33" t="n">
        <v>-1.69</v>
      </c>
      <c r="O130" s="33" t="n">
        <v>45.6</v>
      </c>
      <c r="P130" s="33" t="n">
        <v>1.62</v>
      </c>
      <c r="Q130" s="33" t="n">
        <v>31.9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52.5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2026-10-06</t>
        </is>
      </c>
      <c r="E131" s="33" t="n">
        <v>19.986662</v>
      </c>
      <c r="F131" s="33" t="n">
        <v>33.674</v>
      </c>
      <c r="G131" s="33" t="n">
        <v>0.5600000000000001</v>
      </c>
      <c r="H131" s="33" t="n">
        <v>6.0256476</v>
      </c>
      <c r="I131" s="33">
        <f>IF(OR(E131="",R131="",R131&lt;=0,E131&lt;0),"",E131/R131)</f>
        <v/>
      </c>
      <c r="J131" s="33" t="n">
        <v>54.8</v>
      </c>
      <c r="K131" s="33" t="n">
        <v>12.66</v>
      </c>
      <c r="L131" s="33" t="n">
        <v>39.96</v>
      </c>
      <c r="M131" s="33" t="n">
        <v>3.35</v>
      </c>
      <c r="N131" s="33" t="n">
        <v>-0.06</v>
      </c>
      <c r="O131" s="33" t="n">
        <v>54.9</v>
      </c>
      <c r="P131" s="33" t="n">
        <v>-0.85</v>
      </c>
      <c r="Q131" s="33" t="n">
        <v>30</v>
      </c>
      <c r="R131" s="33" t="n">
        <v>114.7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36.7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2026-10-06</t>
        </is>
      </c>
      <c r="E132" s="33" t="n">
        <v>-100.49992</v>
      </c>
      <c r="F132" s="33" t="n">
        <v>-38.352</v>
      </c>
      <c r="G132" s="33" t="n">
        <v>-2.04</v>
      </c>
      <c r="H132" s="33" t="n">
        <v>91.01588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38.12</v>
      </c>
      <c r="M132" s="33" t="n">
        <v>-185.7</v>
      </c>
      <c r="O132" s="33" t="n">
        <v>2.3</v>
      </c>
      <c r="P132" s="33" t="n">
        <v>6.56</v>
      </c>
      <c r="Q132" s="33" t="n">
        <v>-27.3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45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2026-10-06</t>
        </is>
      </c>
      <c r="E133" s="33" t="n">
        <v>41.973633</v>
      </c>
      <c r="F133" s="33" t="n">
        <v>203.322</v>
      </c>
      <c r="G133" s="33" t="n">
        <v>0.85</v>
      </c>
      <c r="H133" s="33" t="n">
        <v>29.41636</v>
      </c>
      <c r="I133" s="33">
        <f>IF(OR(E133="",R133="",R133&lt;=0,E133&lt;0),"",E133/R133)</f>
        <v/>
      </c>
      <c r="J133" s="33" t="n">
        <v>27.3</v>
      </c>
      <c r="K133" s="33" t="n">
        <v>5.38</v>
      </c>
      <c r="L133" s="33" t="n">
        <v>69.02</v>
      </c>
      <c r="M133" s="33" t="n">
        <v>25.04</v>
      </c>
      <c r="N133" s="33" t="n">
        <v>-1.47</v>
      </c>
      <c r="O133" s="33" t="n">
        <v>63.4</v>
      </c>
      <c r="P133" s="33" t="n">
        <v>-7.46</v>
      </c>
      <c r="Q133" s="33" t="n">
        <v>62.2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55.8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2026-10-06</t>
        </is>
      </c>
      <c r="E134" s="33" t="n">
        <v>29.62714</v>
      </c>
      <c r="F134" s="33" t="n">
        <v>35.261</v>
      </c>
      <c r="G134" s="33" t="n">
        <v>2.5</v>
      </c>
      <c r="H134" s="33" t="n">
        <v>15.810393</v>
      </c>
      <c r="I134" s="33">
        <f>IF(OR(E134="",R134="",R134&lt;=0,E134&lt;0),"",E134/R134)</f>
        <v/>
      </c>
      <c r="J134" s="33" t="n">
        <v>49.6</v>
      </c>
      <c r="K134" s="33" t="n">
        <v>14.73</v>
      </c>
      <c r="L134" s="33" t="n">
        <v>80.36</v>
      </c>
      <c r="M134" s="33" t="n">
        <v>39.6</v>
      </c>
      <c r="N134" s="33" t="n">
        <v>-2.54</v>
      </c>
      <c r="O134" s="33" t="n">
        <v>88.7</v>
      </c>
      <c r="P134" s="33" t="n">
        <v>15.88</v>
      </c>
      <c r="Q134" s="33" t="n">
        <v>20.4</v>
      </c>
      <c r="R134" s="33" t="n">
        <v>16.7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46.7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2026-10-06</t>
        </is>
      </c>
      <c r="E135" s="33" t="n">
        <v>15.101479</v>
      </c>
      <c r="F135" s="33" t="n">
        <v>45.146</v>
      </c>
      <c r="G135" s="33" t="n">
        <v>1.63</v>
      </c>
      <c r="H135" s="33" t="n">
        <v>15.591944</v>
      </c>
      <c r="I135" s="33">
        <f>IF(OR(E135="",R135="",R135&lt;=0,E135&lt;0),"",E135/R135)</f>
        <v/>
      </c>
      <c r="J135" s="33" t="n">
        <v>34</v>
      </c>
      <c r="K135" s="33" t="n">
        <v>53.27</v>
      </c>
      <c r="L135" s="33" t="n">
        <v>45.58</v>
      </c>
      <c r="M135" s="33" t="n">
        <v>25.46</v>
      </c>
      <c r="N135" s="33" t="n">
        <v>0.49</v>
      </c>
      <c r="O135" s="33" t="n">
        <v>77.2</v>
      </c>
      <c r="P135" s="33" t="n">
        <v>18.2</v>
      </c>
      <c r="Q135" s="33" t="n">
        <v>48.5</v>
      </c>
      <c r="R135" s="33" t="n">
        <v>165.2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4</v>
      </c>
      <c r="AB135" s="33" t="n">
        <v>3</v>
      </c>
      <c r="AC135" s="71" t="n">
        <v>65.8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2026-10-06</t>
        </is>
      </c>
      <c r="E136" s="33" t="n">
        <v>-10116.995</v>
      </c>
      <c r="F136" s="33" t="n">
        <v>-57.5</v>
      </c>
      <c r="G136" s="33" t="n">
        <v>-1.84</v>
      </c>
      <c r="H136" s="33" t="n">
        <v>10.350922</v>
      </c>
      <c r="I136" s="33">
        <f>IF(OR(E136="",R136="",R136&lt;=0,E136&lt;0),"",E136/R136)</f>
        <v/>
      </c>
      <c r="J136" s="33" t="n">
        <v>42.6</v>
      </c>
      <c r="K136" s="33" t="n">
        <v>-11.32</v>
      </c>
      <c r="L136" s="33" t="n">
        <v>63.98</v>
      </c>
      <c r="M136" s="33" t="n">
        <v>-19.06</v>
      </c>
      <c r="O136" s="33" t="n">
        <v>9.800000000000001</v>
      </c>
      <c r="P136" s="33" t="n">
        <v>58.29</v>
      </c>
      <c r="Q136" s="33" t="n">
        <v>21.6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66.7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4</v>
      </c>
      <c r="AH136" s="33" t="n">
        <v>3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2026-10-06</t>
        </is>
      </c>
      <c r="E137" s="33" t="n">
        <v>21.952288</v>
      </c>
      <c r="F137" s="33" t="n">
        <v>25.446</v>
      </c>
      <c r="G137" s="33" t="n">
        <v>-9.31</v>
      </c>
      <c r="H137" s="33" t="n">
        <v>10.2595625</v>
      </c>
      <c r="I137" s="33">
        <f>IF(OR(E137="",R137="",R137&lt;=0,E137&lt;0),"",E137/R137)</f>
        <v/>
      </c>
      <c r="J137" s="33" t="n">
        <v>43</v>
      </c>
      <c r="K137" s="33" t="n">
        <v>3.55</v>
      </c>
      <c r="L137" s="33" t="n">
        <v>49.94</v>
      </c>
      <c r="M137" s="33" t="n">
        <v>-95.48999999999999</v>
      </c>
      <c r="N137" s="33" t="n">
        <v>6.26</v>
      </c>
      <c r="O137" s="33" t="n">
        <v>30.8</v>
      </c>
      <c r="P137" s="33" t="n">
        <v>24.81</v>
      </c>
      <c r="Q137" s="33" t="n">
        <v>46.9</v>
      </c>
      <c r="R137" s="33" t="n">
        <v>71.40000000000001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59.2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2026-10-06</t>
        </is>
      </c>
      <c r="E138" s="33" t="n">
        <v>32.245922</v>
      </c>
      <c r="F138" s="33" t="n">
        <v>-19.804</v>
      </c>
      <c r="G138" s="33" t="n">
        <v>-16.28</v>
      </c>
      <c r="H138" s="33" t="n">
        <v>1.1389885</v>
      </c>
      <c r="I138" s="33">
        <f>IF(OR(E138="",R138="",R138&lt;=0,E138&lt;0),"",E138/R138)</f>
        <v/>
      </c>
      <c r="J138" s="33" t="n">
        <v>65.90000000000001</v>
      </c>
      <c r="K138" s="33" t="n">
        <v>-12.78</v>
      </c>
      <c r="L138" s="33" t="n">
        <v>5.9</v>
      </c>
      <c r="M138" s="33" t="n">
        <v>-18.54</v>
      </c>
      <c r="O138" s="33" t="n">
        <v>21.6</v>
      </c>
      <c r="Q138" s="33" t="n">
        <v>88.40000000000001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30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2026-10-06</t>
        </is>
      </c>
      <c r="E139" s="33" t="n">
        <v>14.291411</v>
      </c>
      <c r="F139" s="33" t="n">
        <v>11.706</v>
      </c>
      <c r="G139" s="33" t="n">
        <v>6.24</v>
      </c>
      <c r="H139" s="33" t="n">
        <v>1.5892314</v>
      </c>
      <c r="I139" s="33">
        <f>IF(OR(E139="",R139="",R139&lt;=0,E139&lt;0),"",E139/R139)</f>
        <v/>
      </c>
      <c r="J139" s="33" t="n">
        <v>85.2</v>
      </c>
      <c r="K139" s="33" t="n">
        <v>21.77</v>
      </c>
      <c r="L139" s="33" t="n">
        <v>23.86</v>
      </c>
      <c r="M139" s="33" t="n">
        <v>9.92</v>
      </c>
      <c r="N139" s="33" t="n">
        <v>0.7</v>
      </c>
      <c r="O139" s="33" t="n">
        <v>65.40000000000001</v>
      </c>
      <c r="P139" s="33" t="n">
        <v>14.49</v>
      </c>
      <c r="Q139" s="33" t="n">
        <v>-20.5</v>
      </c>
      <c r="R139" s="33" t="n">
        <v>-67.09999999999999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45.8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2026-10-06</t>
        </is>
      </c>
      <c r="E140" s="33" t="n">
        <v>26.77405</v>
      </c>
      <c r="F140" s="33" t="n">
        <v>8.212999999999999</v>
      </c>
      <c r="G140" s="33" t="n">
        <v>-1.83</v>
      </c>
      <c r="H140" s="33" t="n">
        <v>1.0128084</v>
      </c>
      <c r="I140" s="33">
        <f>IF(OR(E140="",R140="",R140&lt;=0,E140&lt;0),"",E140/R140)</f>
        <v/>
      </c>
      <c r="J140" s="33" t="n">
        <v>60.5</v>
      </c>
      <c r="K140" s="33" t="n">
        <v>-0.68</v>
      </c>
      <c r="L140" s="33" t="n">
        <v>22.69</v>
      </c>
      <c r="M140" s="33" t="n">
        <v>-1.85</v>
      </c>
      <c r="N140" s="33" t="n">
        <v>0.49</v>
      </c>
      <c r="O140" s="33" t="n">
        <v>45.6</v>
      </c>
      <c r="P140" s="33" t="n">
        <v>-0.28</v>
      </c>
      <c r="Q140" s="33" t="n">
        <v>-6.2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28.3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2026-10-06</t>
        </is>
      </c>
      <c r="E141" s="33" t="n">
        <v>13.106145</v>
      </c>
      <c r="F141" s="33" t="n">
        <v>28.114</v>
      </c>
      <c r="G141" s="33" t="n">
        <v>-6.66</v>
      </c>
      <c r="H141" s="33" t="n">
        <v>1.0471362</v>
      </c>
      <c r="I141" s="33">
        <f>IF(OR(E141="",R141="",R141&lt;=0,E141&lt;0),"",E141/R141)</f>
        <v/>
      </c>
      <c r="J141" s="33" t="n">
        <v>43.1</v>
      </c>
      <c r="K141" s="33" t="n">
        <v>3.8</v>
      </c>
      <c r="L141" s="33" t="n">
        <v>19.74</v>
      </c>
      <c r="M141" s="33" t="n">
        <v>-6.97</v>
      </c>
      <c r="N141" s="33" t="n">
        <v>0.27</v>
      </c>
      <c r="O141" s="33" t="n">
        <v>32.8</v>
      </c>
      <c r="P141" s="33" t="n">
        <v>-1.2</v>
      </c>
      <c r="Q141" s="33" t="n">
        <v>130.3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29.2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2026-10-06</t>
        </is>
      </c>
      <c r="E142" s="33" t="n">
        <v>121.40652</v>
      </c>
      <c r="F142" s="33" t="n">
        <v>13.5</v>
      </c>
      <c r="G142" s="33" t="n">
        <v>-49.54</v>
      </c>
      <c r="H142" s="33" t="n">
        <v>7.396722</v>
      </c>
      <c r="I142" s="33">
        <f>IF(OR(E142="",R142="",R142&lt;=0,E142&lt;0),"",E142/R142)</f>
        <v/>
      </c>
      <c r="J142" s="33" t="n">
        <v>23.8</v>
      </c>
      <c r="K142" s="33" t="n">
        <v>-3.71</v>
      </c>
      <c r="L142" s="33" t="n">
        <v>85.91</v>
      </c>
      <c r="M142" s="33" t="n">
        <v>-366.45</v>
      </c>
      <c r="O142" s="33" t="n">
        <v>54.2</v>
      </c>
      <c r="Q142" s="33" t="n">
        <v>55.7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50.8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2026-10-06</t>
        </is>
      </c>
      <c r="E143" s="33" t="n">
        <v>-6.1972275</v>
      </c>
      <c r="F143" s="33" t="n">
        <v>6.5</v>
      </c>
      <c r="G143" s="33" t="n">
        <v>-17.71</v>
      </c>
      <c r="H143" s="33" t="n">
        <v>569.79474</v>
      </c>
      <c r="I143" s="33">
        <f>IF(OR(E143="",R143="",R143&lt;=0,E143&lt;0),"",E143/R143)</f>
        <v/>
      </c>
      <c r="J143" s="33" t="n">
        <v>36.2</v>
      </c>
      <c r="K143" s="33" t="n">
        <v>-1.04</v>
      </c>
      <c r="L143" s="33" t="n">
        <v>33.92</v>
      </c>
      <c r="M143" s="33" t="n">
        <v>-10091.25</v>
      </c>
      <c r="O143" s="33" t="n">
        <v>25.8</v>
      </c>
      <c r="Q143" s="33" t="n">
        <v>412.3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54.1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2026-10-06</t>
        </is>
      </c>
      <c r="E144" s="33" t="n">
        <v>-14.000001</v>
      </c>
      <c r="F144" s="33" t="n">
        <v>1.8</v>
      </c>
      <c r="G144" s="33" t="n">
        <v>-14.96</v>
      </c>
      <c r="H144" s="33" t="n">
        <v>2.4339736</v>
      </c>
      <c r="I144" s="33">
        <f>IF(OR(E144="",R144="",R144&lt;=0,E144&lt;0),"",E144/R144)</f>
        <v/>
      </c>
      <c r="J144" s="33" t="n">
        <v>83.8</v>
      </c>
      <c r="K144" s="33" t="n">
        <v>-23.37</v>
      </c>
      <c r="L144" s="33" t="n">
        <v>35.09</v>
      </c>
      <c r="M144" s="33" t="n">
        <v>-36.41</v>
      </c>
      <c r="N144" s="33" t="n">
        <v>4.34</v>
      </c>
      <c r="O144" s="33" t="n">
        <v>50.6</v>
      </c>
      <c r="P144" s="33" t="n">
        <v>40.96</v>
      </c>
      <c r="Q144" s="33" t="n">
        <v>73.5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57.5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2026-10-06</t>
        </is>
      </c>
      <c r="E145" s="33" t="n">
        <v>27.6979</v>
      </c>
      <c r="F145" s="33" t="n">
        <v>29.03</v>
      </c>
      <c r="G145" s="33" t="n">
        <v>1.99</v>
      </c>
      <c r="H145" s="33" t="n">
        <v>13.841667</v>
      </c>
      <c r="I145" s="33">
        <f>IF(OR(E145="",R145="",R145&lt;=0,E145&lt;0),"",E145/R145)</f>
        <v/>
      </c>
      <c r="J145" s="33" t="n">
        <v>54.5</v>
      </c>
      <c r="K145" s="33" t="n">
        <v>19.88</v>
      </c>
      <c r="L145" s="33" t="n">
        <v>58.33</v>
      </c>
      <c r="M145" s="33" t="n">
        <v>27.53</v>
      </c>
      <c r="N145" s="33" t="n">
        <v>0.74</v>
      </c>
      <c r="O145" s="33" t="n">
        <v>74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2026-10-06</t>
        </is>
      </c>
      <c r="E146" s="33" t="n">
        <v>17.621014</v>
      </c>
      <c r="F146" s="33" t="n">
        <v>16.405</v>
      </c>
      <c r="G146" s="33" t="n">
        <v>5.42</v>
      </c>
      <c r="H146" s="33" t="n">
        <v>4.356869</v>
      </c>
      <c r="I146" s="33">
        <f>IF(OR(E146="",R146="",R146&lt;=0,E146&lt;0),"",E146/R146)</f>
        <v/>
      </c>
      <c r="J146" s="33" t="n">
        <v>70.5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67.09999999999999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57.5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2026-10-06</t>
        </is>
      </c>
      <c r="E147" s="33" t="n">
        <v>25.68583</v>
      </c>
      <c r="F147" s="33" t="n">
        <v>30.323</v>
      </c>
      <c r="G147" s="33" t="n">
        <v>2.43</v>
      </c>
      <c r="H147" s="33" t="n">
        <v>14.657835</v>
      </c>
      <c r="I147" s="33">
        <f>IF(OR(E147="",R147="",R147&lt;=0,E147&lt;0),"",E147/R147)</f>
        <v/>
      </c>
      <c r="J147" s="33" t="n">
        <v>56.1</v>
      </c>
      <c r="K147" s="33" t="n">
        <v>10.19</v>
      </c>
      <c r="L147" s="33" t="n">
        <v>65.8</v>
      </c>
      <c r="M147" s="33" t="n">
        <v>35.57</v>
      </c>
      <c r="N147" s="33" t="n">
        <v>0.99</v>
      </c>
      <c r="O147" s="33" t="n">
        <v>72.5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52.5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2026-10-06</t>
        </is>
      </c>
      <c r="E148" s="33" t="n">
        <v>22.895416</v>
      </c>
      <c r="F148" s="33" t="n">
        <v>17.978</v>
      </c>
      <c r="G148" s="33" t="n">
        <v>0.41</v>
      </c>
      <c r="H148" s="33" t="n">
        <v>3.9782987</v>
      </c>
      <c r="I148" s="33">
        <f>IF(OR(E148="",R148="",R148&lt;=0,E148&lt;0),"",E148/R148)</f>
        <v/>
      </c>
      <c r="J148" s="33" t="n">
        <v>51.2</v>
      </c>
      <c r="K148" s="33" t="n">
        <v>1.85</v>
      </c>
      <c r="L148" s="33" t="n">
        <v>34.48</v>
      </c>
      <c r="M148" s="33" t="n">
        <v>1.65</v>
      </c>
      <c r="N148" s="33" t="n">
        <v>-0.65</v>
      </c>
      <c r="O148" s="33" t="n">
        <v>31.4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56.7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2026-10-06</t>
        </is>
      </c>
      <c r="E149" s="33" t="n">
        <v>13.368138</v>
      </c>
      <c r="F149" s="33" t="n">
        <v>13.641</v>
      </c>
      <c r="G149" s="33" t="n">
        <v>4.33</v>
      </c>
      <c r="H149" s="33" t="n">
        <v>4.6364927</v>
      </c>
      <c r="I149" s="33">
        <f>IF(OR(E149="",R149="",R149&lt;=0,E149&lt;0),"",E149/R149)</f>
        <v/>
      </c>
      <c r="J149" s="33" t="n">
        <v>70.5</v>
      </c>
      <c r="K149" s="33" t="n">
        <v>12.69</v>
      </c>
      <c r="L149" s="33" t="n">
        <v>56.1</v>
      </c>
      <c r="M149" s="33" t="n">
        <v>20.09</v>
      </c>
      <c r="N149" s="33" t="n">
        <v>1.53</v>
      </c>
      <c r="O149" s="33" t="n">
        <v>51.8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47.5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2026-10-06</t>
        </is>
      </c>
      <c r="E150" s="33" t="n">
        <v>17.855156</v>
      </c>
      <c r="F150" s="33" t="n">
        <v>32.784</v>
      </c>
      <c r="G150" s="33" t="n">
        <v>2.5</v>
      </c>
      <c r="H150" s="33" t="n">
        <v>8.675757000000001</v>
      </c>
      <c r="I150" s="33">
        <f>IF(OR(E150="",R150="",R150&lt;=0,E150&lt;0),"",E150/R150)</f>
        <v/>
      </c>
      <c r="J150" s="33" t="n">
        <v>53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43.9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47.5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2026-10-06</t>
        </is>
      </c>
      <c r="E151" s="33" t="n">
        <v>19.106606</v>
      </c>
      <c r="F151" s="33" t="n">
        <v>16.421</v>
      </c>
      <c r="G151" s="33" t="n">
        <v>4.45</v>
      </c>
      <c r="H151" s="33" t="n">
        <v>5.4354353</v>
      </c>
      <c r="I151" s="33">
        <f>IF(OR(E151="",R151="",R151&lt;=0,E151&lt;0),"",E151/R151)</f>
        <v/>
      </c>
      <c r="J151" s="33" t="n">
        <v>69.59999999999999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56.5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44.2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2026-10-06</t>
        </is>
      </c>
      <c r="E152" s="33" t="n">
        <v>14.813527</v>
      </c>
      <c r="F152" s="33" t="n">
        <v>14.21</v>
      </c>
      <c r="G152" s="33" t="n">
        <v>2.12</v>
      </c>
      <c r="H152" s="33" t="n">
        <v>4.7934146</v>
      </c>
      <c r="I152" s="33">
        <f>IF(OR(E152="",R152="",R152&lt;=0,E152&lt;0),"",E152/R152)</f>
        <v/>
      </c>
      <c r="J152" s="33" t="n">
        <v>74.2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38.3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75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2026-10-06</t>
        </is>
      </c>
      <c r="E153" s="33" t="n">
        <v>13.087207</v>
      </c>
      <c r="F153" s="33" t="n">
        <v>31.756</v>
      </c>
      <c r="G153" s="33" t="n">
        <v>2.34</v>
      </c>
      <c r="H153" s="33" t="n">
        <v>11.6125765</v>
      </c>
      <c r="I153" s="33">
        <f>IF(OR(E153="",R153="",R153&lt;=0,E153&lt;0),"",E153/R153)</f>
        <v/>
      </c>
      <c r="J153" s="33" t="n">
        <v>28.2</v>
      </c>
      <c r="K153" s="33" t="n">
        <v>45.48</v>
      </c>
      <c r="L153" s="33" t="n">
        <v>48.85</v>
      </c>
      <c r="M153" s="33" t="n">
        <v>27.18</v>
      </c>
      <c r="N153" s="33" t="n">
        <v>-0.08</v>
      </c>
      <c r="O153" s="33" t="n">
        <v>82.8</v>
      </c>
      <c r="P153" s="33" t="n">
        <v>27.35</v>
      </c>
      <c r="Q153" s="33" t="n">
        <v>43.8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4</v>
      </c>
      <c r="U153" s="33" t="n">
        <v>5</v>
      </c>
      <c r="V153" s="33" t="n">
        <v>3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1</v>
      </c>
      <c r="AB153" s="33" t="n">
        <v>3</v>
      </c>
      <c r="AC153" s="33" t="n">
        <v>50.8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3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2026-10-06</t>
        </is>
      </c>
      <c r="E154" s="33" t="n">
        <v>88.035225</v>
      </c>
      <c r="F154" s="33" t="n">
        <v>80.8</v>
      </c>
      <c r="G154" s="33" t="n">
        <v>1.17</v>
      </c>
      <c r="H154" s="33" t="n">
        <v>30.60588</v>
      </c>
      <c r="I154" s="33">
        <f>IF(OR(E154="",R154="",R154&lt;=0,E154&lt;0),"",E154/R154)</f>
        <v/>
      </c>
      <c r="J154" s="33" t="n">
        <v>21.7</v>
      </c>
      <c r="K154" s="33" t="n">
        <v>1.17</v>
      </c>
      <c r="L154" s="33" t="n">
        <v>70.38</v>
      </c>
      <c r="M154" s="33" t="n">
        <v>35.83</v>
      </c>
      <c r="N154" s="33" t="n">
        <v>-0.32</v>
      </c>
      <c r="O154" s="33" t="n">
        <v>52.8</v>
      </c>
      <c r="P154" s="33" t="n">
        <v>18.54</v>
      </c>
      <c r="Q154" s="33" t="n">
        <v>34.5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93.3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2026-10-06</t>
        </is>
      </c>
      <c r="E155" s="33" t="n">
        <v>13.442774</v>
      </c>
      <c r="F155" s="33" t="n"/>
      <c r="G155" s="33" t="n">
        <v>3.36</v>
      </c>
      <c r="H155" s="33" t="n">
        <v>13.874164</v>
      </c>
      <c r="I155" s="33">
        <f>IF(OR(E155="",R155="",R155&lt;=0,E155&lt;0),"",E155/R155)</f>
        <v/>
      </c>
      <c r="J155" s="33" t="n">
        <v>54.8</v>
      </c>
      <c r="K155" s="33" t="n">
        <v>63.79</v>
      </c>
      <c r="L155" s="33" t="n">
        <v>88.45999999999999</v>
      </c>
      <c r="M155" s="33" t="n">
        <v>46.56</v>
      </c>
      <c r="N155" s="33" t="n">
        <v>0.09</v>
      </c>
      <c r="O155" s="33" t="n">
        <v>89</v>
      </c>
      <c r="P155" s="33" t="n">
        <v>24.84</v>
      </c>
      <c r="Q155" s="33" t="n">
        <v>52.8</v>
      </c>
      <c r="R155" s="33" t="n">
        <v>54.5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3</v>
      </c>
      <c r="U155" s="33" t="n">
        <v>4</v>
      </c>
      <c r="V155" s="33" t="n">
        <v>2</v>
      </c>
      <c r="W155" s="33" t="n">
        <v>3</v>
      </c>
      <c r="X155" s="33" t="n">
        <v>2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41.7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2026-10-06</t>
        </is>
      </c>
      <c r="E156" s="33" t="n">
        <v>8.651667</v>
      </c>
      <c r="F156" s="33" t="n">
        <v>8.9</v>
      </c>
      <c r="G156" s="33" t="n">
        <v>11.37</v>
      </c>
      <c r="H156" s="33" t="n">
        <v>3.5880733</v>
      </c>
      <c r="I156" s="33">
        <f>IF(OR(E156="",R156="",R156&lt;=0,E156&lt;0),"",E156/R156)</f>
        <v/>
      </c>
      <c r="J156" s="33" t="n">
        <v>81.5</v>
      </c>
      <c r="K156" s="33" t="n">
        <v>40.22</v>
      </c>
      <c r="L156" s="33" t="n">
        <v>89.25</v>
      </c>
      <c r="M156" s="33" t="n">
        <v>40.79</v>
      </c>
      <c r="N156" s="33" t="n">
        <v>0.12</v>
      </c>
      <c r="O156" s="33" t="n">
        <v>86.7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2026-10-06</t>
        </is>
      </c>
      <c r="E157" s="33" t="n">
        <v>50.36834</v>
      </c>
      <c r="F157" s="33" t="n">
        <v>42.2</v>
      </c>
      <c r="G157" s="33" t="n">
        <v>2.23</v>
      </c>
      <c r="H157" s="33" t="n">
        <v>18.547045</v>
      </c>
      <c r="I157" s="33">
        <f>IF(OR(E157="",R157="",R157&lt;=0,E157&lt;0),"",E157/R157)</f>
        <v/>
      </c>
      <c r="J157" s="33" t="n">
        <v>38</v>
      </c>
      <c r="K157" s="33" t="n">
        <v>32.8</v>
      </c>
      <c r="L157" s="33" t="n">
        <v>80.2</v>
      </c>
      <c r="M157" s="33" t="n">
        <v>41.41</v>
      </c>
      <c r="N157" s="33" t="n">
        <v>-1.35</v>
      </c>
      <c r="O157" s="33" t="n">
        <v>76.7</v>
      </c>
      <c r="P157" s="33" t="n">
        <v>15.46</v>
      </c>
      <c r="Q157" s="33" t="n">
        <v>25.6</v>
      </c>
      <c r="R157" s="33" t="n">
        <v>37.8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90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2026-10-06</t>
        </is>
      </c>
      <c r="E158" s="33" t="n">
        <v>37.809708</v>
      </c>
      <c r="F158" s="33" t="n">
        <v>40.2</v>
      </c>
      <c r="G158" s="33" t="n">
        <v>2.26</v>
      </c>
      <c r="H158" s="33" t="n">
        <v>10.301679</v>
      </c>
      <c r="I158" s="33">
        <f>IF(OR(E158="",R158="",R158&lt;=0,E158&lt;0),"",E158/R158)</f>
        <v/>
      </c>
      <c r="J158" s="33" t="n">
        <v>58.5</v>
      </c>
      <c r="K158" s="33" t="n">
        <v>-1.95</v>
      </c>
      <c r="L158" s="33" t="n">
        <v>76.87</v>
      </c>
      <c r="M158" s="33" t="n">
        <v>23.24</v>
      </c>
      <c r="N158" s="33" t="n">
        <v>-36.63</v>
      </c>
      <c r="O158" s="33" t="n">
        <v>47.2</v>
      </c>
      <c r="P158" s="33" t="n">
        <v>27.51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65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2026-10-06</t>
        </is>
      </c>
      <c r="E159" s="33" t="n">
        <v>10.706389</v>
      </c>
      <c r="F159" s="33" t="n">
        <v>9</v>
      </c>
      <c r="G159" s="33" t="n">
        <v>11.12</v>
      </c>
      <c r="H159" s="33" t="n">
        <v>3.6118226</v>
      </c>
      <c r="I159" s="33">
        <f>IF(OR(E159="",R159="",R159&lt;=0,E159&lt;0),"",E159/R159)</f>
        <v/>
      </c>
      <c r="J159" s="33" t="n">
        <v>89</v>
      </c>
      <c r="K159" s="33" t="n">
        <v>17.61</v>
      </c>
      <c r="L159" s="33" t="n">
        <v>80.98</v>
      </c>
      <c r="M159" s="33" t="n">
        <v>40.18</v>
      </c>
      <c r="N159" s="33" t="n">
        <v>0.18</v>
      </c>
      <c r="O159" s="33" t="n">
        <v>73.09999999999999</v>
      </c>
      <c r="P159" s="33" t="n">
        <v>14.29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28.3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2026-10-06</t>
        </is>
      </c>
      <c r="E160" s="33" t="n">
        <v>14.261338</v>
      </c>
      <c r="F160" s="33" t="n">
        <v>16.1</v>
      </c>
      <c r="G160" s="33" t="n">
        <v>6.25</v>
      </c>
      <c r="H160" s="33" t="n">
        <v>4.4787316</v>
      </c>
      <c r="I160" s="33">
        <f>IF(OR(E160="",R160="",R160&lt;=0,E160&lt;0),"",E160/R160)</f>
        <v/>
      </c>
      <c r="J160" s="33" t="n">
        <v>81.59999999999999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56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70.8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2026-10-06</t>
        </is>
      </c>
      <c r="E161" s="33" t="n">
        <v>15.8802595</v>
      </c>
      <c r="F161" s="33" t="n">
        <v>16.4</v>
      </c>
      <c r="G161" s="33" t="n">
        <v>5.95</v>
      </c>
      <c r="H161" s="33" t="n">
        <v>6.0497317</v>
      </c>
      <c r="I161" s="33">
        <f>IF(OR(E161="",R161="",R161&lt;=0,E161&lt;0),"",E161/R161)</f>
        <v/>
      </c>
      <c r="J161" s="33" t="n">
        <v>80.09999999999999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88.09999999999999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39.2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2026-10-06</t>
        </is>
      </c>
      <c r="E162" s="33" t="n">
        <v>177.41544</v>
      </c>
      <c r="F162" s="33" t="n">
        <v>255.3</v>
      </c>
      <c r="G162" s="33" t="n">
        <v>0.38</v>
      </c>
      <c r="H162" s="33" t="n">
        <v>14.50354</v>
      </c>
      <c r="I162" s="33">
        <f>IF(OR(E162="",R162="",R162&lt;=0,E162&lt;0),"",E162/R162)</f>
        <v/>
      </c>
      <c r="J162" s="33" t="n">
        <v>15.3</v>
      </c>
      <c r="K162" s="33" t="n">
        <v>3.13</v>
      </c>
      <c r="L162" s="33" t="n">
        <v>18.85</v>
      </c>
      <c r="M162" s="33" t="n">
        <v>5.55</v>
      </c>
      <c r="N162" s="33" t="n">
        <v>-2.55</v>
      </c>
      <c r="O162" s="33" t="n">
        <v>38.1</v>
      </c>
      <c r="P162" s="33" t="n">
        <v>5.19</v>
      </c>
      <c r="Q162" s="33" t="n">
        <v>25.5</v>
      </c>
      <c r="R162" s="33" t="n">
        <v>-4.9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49.2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2026-10-06</t>
        </is>
      </c>
      <c r="E163" s="33" t="n">
        <v>34.5967</v>
      </c>
      <c r="F163" s="33" t="n">
        <v>35.7</v>
      </c>
      <c r="G163" s="33" t="n">
        <v>2.82</v>
      </c>
      <c r="H163" s="33" t="n">
        <v>10.364702</v>
      </c>
      <c r="I163" s="33">
        <f>IF(OR(E163="",R163="",R163&lt;=0,E163&lt;0),"",E163/R163)</f>
        <v/>
      </c>
      <c r="J163" s="33" t="n">
        <v>40.9</v>
      </c>
      <c r="K163" s="33" t="n">
        <v>54.74</v>
      </c>
      <c r="L163" s="33" t="n">
        <v>48.65</v>
      </c>
      <c r="M163" s="33" t="n">
        <v>29.28</v>
      </c>
      <c r="N163" s="33" t="n">
        <v>0.13</v>
      </c>
      <c r="O163" s="33" t="n">
        <v>59.4</v>
      </c>
      <c r="P163" s="33" t="n">
        <v>1.81</v>
      </c>
      <c r="Q163" s="33" t="n">
        <v>16.4</v>
      </c>
      <c r="R163" s="33" t="n">
        <v>27.1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86.7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inlineStr">
        <is>
          <t>2026-10-06</t>
        </is>
      </c>
      <c r="E164" s="33" t="n">
        <v>90.84511999999999</v>
      </c>
      <c r="F164" s="33" t="n">
        <v>-136.8</v>
      </c>
      <c r="G164" s="33" t="n">
        <v>-1.41</v>
      </c>
      <c r="H164" s="33" t="n">
        <v>100.061745</v>
      </c>
      <c r="I164" s="33">
        <f>IF(OR(E164="",R164="",R164&lt;=0,E164&lt;0),"",E164/R164)</f>
        <v/>
      </c>
      <c r="J164" s="33" t="n">
        <v>35.6</v>
      </c>
      <c r="K164" s="33" t="n">
        <v>-1.3</v>
      </c>
      <c r="L164" s="33" t="n">
        <v>51.88</v>
      </c>
      <c r="M164" s="33" t="n">
        <v>-141.13</v>
      </c>
      <c r="N164" s="33" t="n">
        <v>-10.23</v>
      </c>
      <c r="O164" s="33" t="n">
        <v>33.5</v>
      </c>
      <c r="P164" s="33" t="n">
        <v>34.1</v>
      </c>
      <c r="Q164" s="33" t="n">
        <v>91.90000000000001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5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2026-10-06</t>
        </is>
      </c>
      <c r="E165" s="33" t="n">
        <v>27.265564</v>
      </c>
      <c r="F165" s="33" t="n">
        <v>40.874</v>
      </c>
      <c r="G165" s="33" t="n">
        <v>1.48</v>
      </c>
      <c r="H165" s="33" t="n">
        <v>5.1215863</v>
      </c>
      <c r="I165" s="33">
        <f>IF(OR(E165="",R165="",R165&lt;=0,E165&lt;0),"",E165/R165)</f>
        <v/>
      </c>
      <c r="J165" s="33" t="n">
        <v>53.1</v>
      </c>
      <c r="K165" s="33" t="n">
        <v>6.59</v>
      </c>
      <c r="L165" s="33" t="n">
        <v>43.01</v>
      </c>
      <c r="M165" s="33" t="n">
        <v>7.57</v>
      </c>
      <c r="N165" s="33" t="n">
        <v>-3.34</v>
      </c>
      <c r="O165" s="33" t="n">
        <v>52</v>
      </c>
      <c r="P165" s="33" t="n">
        <v>-3.02</v>
      </c>
      <c r="Q165" s="33" t="n">
        <v>10.6</v>
      </c>
      <c r="R165" s="33" t="n">
        <v>-25.8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49.2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2026-10-06</t>
        </is>
      </c>
      <c r="E166" s="33" t="n">
        <v>40.092075</v>
      </c>
      <c r="F166" s="33" t="n">
        <v>263.297</v>
      </c>
      <c r="G166" s="33" t="n">
        <v>1</v>
      </c>
      <c r="H166" s="33" t="n">
        <v>6.704919</v>
      </c>
      <c r="I166" s="33">
        <f>IF(OR(E166="",R166="",R166&lt;=0,E166&lt;0),"",E166/R166)</f>
        <v/>
      </c>
      <c r="J166" s="33" t="n">
        <v>57.5</v>
      </c>
      <c r="K166" s="33" t="n">
        <v>-2.28</v>
      </c>
      <c r="L166" s="33" t="n">
        <v>43.95</v>
      </c>
      <c r="M166" s="33" t="n">
        <v>6.68</v>
      </c>
      <c r="N166" s="33" t="n">
        <v>-13.22</v>
      </c>
      <c r="O166" s="33" t="n">
        <v>23.7</v>
      </c>
      <c r="P166" s="33" t="n">
        <v>-17.71</v>
      </c>
      <c r="Q166" s="33" t="n">
        <v>38.4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66.7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2026-10-06</t>
        </is>
      </c>
      <c r="E167" s="33" t="n">
        <v>19.634045</v>
      </c>
      <c r="F167" s="33" t="n">
        <v>10.402</v>
      </c>
      <c r="G167" s="33" t="n">
        <v>-1.26</v>
      </c>
      <c r="H167" s="33" t="n">
        <v>1.8356555</v>
      </c>
      <c r="I167" s="33">
        <f>IF(OR(E167="",R167="",R167&lt;=0,E167&lt;0),"",E167/R167)</f>
        <v/>
      </c>
      <c r="J167" s="33" t="n">
        <v>72.3</v>
      </c>
      <c r="K167" s="33" t="n">
        <v>7.45</v>
      </c>
      <c r="L167" s="33" t="n">
        <v>15.51</v>
      </c>
      <c r="M167" s="33" t="n">
        <v>-2.31</v>
      </c>
      <c r="N167" s="33" t="n">
        <v>0.12</v>
      </c>
      <c r="O167" s="33" t="n">
        <v>41.2</v>
      </c>
      <c r="P167" s="33" t="n">
        <v>-1.84</v>
      </c>
      <c r="Q167" s="33" t="n">
        <v>25.6</v>
      </c>
      <c r="R167" s="33" t="n">
        <v>219.3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51.7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2026-10-06</t>
        </is>
      </c>
      <c r="E168" s="33" t="n">
        <v>24.009195</v>
      </c>
      <c r="F168" s="33" t="n">
        <v>24.77</v>
      </c>
      <c r="G168" s="33" t="n">
        <v>-1.34</v>
      </c>
      <c r="H168" s="33" t="n">
        <v>4.61</v>
      </c>
      <c r="I168" s="33">
        <f>IF(OR(E168="",R168="",R168&lt;=0,E168&lt;0),"",E168/R168)</f>
        <v/>
      </c>
      <c r="J168" s="33" t="n">
        <v>69.40000000000001</v>
      </c>
      <c r="K168" s="33" t="n">
        <v>7.78</v>
      </c>
      <c r="L168" s="33" t="n">
        <v>19.49</v>
      </c>
      <c r="M168" s="33" t="n">
        <v>-6.15</v>
      </c>
      <c r="N168" s="33" t="n">
        <v>1.36</v>
      </c>
      <c r="O168" s="33" t="n">
        <v>33.9</v>
      </c>
      <c r="P168" s="33" t="n">
        <v>-1.28</v>
      </c>
      <c r="Q168" s="33" t="n">
        <v>26.7</v>
      </c>
      <c r="R168" s="33" t="n">
        <v>180.1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2026-10-06</t>
        </is>
      </c>
      <c r="E169" s="33" t="n">
        <v>15.429176</v>
      </c>
      <c r="F169" s="33" t="n">
        <v>25.7</v>
      </c>
      <c r="G169" s="33" t="n">
        <v>3.54</v>
      </c>
      <c r="H169" s="33" t="n">
        <v>10.348767</v>
      </c>
      <c r="I169" s="33">
        <f>IF(OR(E169="",R169="",R169&lt;=0,E169&lt;0),"",E169/R169)</f>
        <v/>
      </c>
      <c r="J169" s="33" t="n">
        <v>75.40000000000001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84.7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4</v>
      </c>
      <c r="AB169" s="33" t="n">
        <v>3</v>
      </c>
      <c r="AC169" s="33" t="n">
        <v>55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2026-10-06</t>
        </is>
      </c>
      <c r="E170" s="33" t="n">
        <v>20.627752</v>
      </c>
      <c r="F170" s="33" t="n">
        <v>20.482</v>
      </c>
      <c r="G170" s="33" t="n">
        <v>3.66</v>
      </c>
      <c r="H170" s="33" t="n">
        <v>6.0964036</v>
      </c>
      <c r="I170" s="33">
        <f>IF(OR(E170="",R170="",R170&lt;=0,E170&lt;0),"",E170/R170)</f>
        <v/>
      </c>
      <c r="J170" s="33" t="n">
        <v>69</v>
      </c>
      <c r="K170" s="33" t="n">
        <v>23.37</v>
      </c>
      <c r="L170" s="33" t="n">
        <v>70.63</v>
      </c>
      <c r="M170" s="33" t="n">
        <v>22.32</v>
      </c>
      <c r="N170" s="33" t="n">
        <v>-0.5</v>
      </c>
      <c r="O170" s="33" t="n">
        <v>85.90000000000001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100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2026-10-06</t>
        </is>
      </c>
      <c r="E171" s="33" t="n">
        <v>25.78447</v>
      </c>
      <c r="F171" s="33" t="n">
        <v>21.873</v>
      </c>
      <c r="G171" s="33" t="n">
        <v>-13.49</v>
      </c>
      <c r="H171" s="33" t="n">
        <v>6.9367623</v>
      </c>
      <c r="I171" s="33">
        <f>IF(OR(E171="",R171="",R171&lt;=0,E171&lt;0),"",E171/R171)</f>
        <v/>
      </c>
      <c r="J171" s="33" t="n">
        <v>44.1</v>
      </c>
      <c r="L171" s="33" t="n">
        <v>29.1</v>
      </c>
      <c r="M171" s="33" t="n">
        <v>-93.56999999999999</v>
      </c>
      <c r="N171" s="33" t="n">
        <v>-0.12</v>
      </c>
      <c r="O171" s="33" t="n">
        <v>62.5</v>
      </c>
      <c r="P171" s="33" t="n">
        <v>-2.04</v>
      </c>
      <c r="Q171" s="33" t="n">
        <v>21.8</v>
      </c>
      <c r="R171" s="33" t="n">
        <v>45.6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65.8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2026-10-06</t>
        </is>
      </c>
      <c r="F172" s="33" t="n">
        <v>35.491</v>
      </c>
      <c r="G172" s="33" t="n">
        <v>-4.8</v>
      </c>
      <c r="H172" s="33" t="n">
        <v>12.364902</v>
      </c>
      <c r="I172" s="33">
        <f>IF(OR(E172="",R172="",R172&lt;=0,E172&lt;0),"",E172/R172)</f>
        <v/>
      </c>
      <c r="J172" s="33" t="n">
        <v>22.9</v>
      </c>
      <c r="L172" s="33" t="n">
        <v>14.06</v>
      </c>
      <c r="M172" s="33" t="n">
        <v>-59.41</v>
      </c>
      <c r="N172" s="33" t="n">
        <v>-0.5</v>
      </c>
      <c r="O172" s="33" t="n">
        <v>37.5</v>
      </c>
      <c r="P172" s="33" t="n">
        <v>-1</v>
      </c>
      <c r="Q172" s="33" t="n">
        <v>26.8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60.8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2026-10-06</t>
        </is>
      </c>
      <c r="E173" s="33" t="n">
        <v>34.311455</v>
      </c>
      <c r="F173" s="33" t="n">
        <v>12.95</v>
      </c>
      <c r="G173" s="33" t="n">
        <v>-6.12</v>
      </c>
      <c r="H173" s="33" t="n">
        <v>6.47</v>
      </c>
      <c r="I173" s="33">
        <f>IF(OR(E173="",R173="",R173&lt;=0,E173&lt;0),"",E173/R173)</f>
        <v/>
      </c>
      <c r="J173" s="33" t="n">
        <v>37.2</v>
      </c>
      <c r="L173" s="33" t="n">
        <v>21.82</v>
      </c>
      <c r="M173" s="33" t="n">
        <v>-39.56</v>
      </c>
      <c r="N173" s="33" t="n">
        <v>0.23</v>
      </c>
      <c r="O173" s="33" t="n">
        <v>42.5</v>
      </c>
      <c r="P173" s="33" t="n">
        <v>8.640000000000001</v>
      </c>
      <c r="Q173" s="33" t="n">
        <v>36.1</v>
      </c>
      <c r="R173" s="33" t="n">
        <v>261.7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45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2026-10-06</t>
        </is>
      </c>
      <c r="E174" s="33" t="n">
        <v>33.152176</v>
      </c>
      <c r="F174" s="33" t="n">
        <v>571.2</v>
      </c>
      <c r="G174" s="33" t="n">
        <v>0.17</v>
      </c>
      <c r="H174" s="33" t="n">
        <v>20.768839</v>
      </c>
      <c r="I174" s="33">
        <f>IF(OR(E174="",R174="",R174&lt;=0,E174&lt;0),"",E174/R174)</f>
        <v/>
      </c>
      <c r="J174" s="33" t="n">
        <v>31.9</v>
      </c>
      <c r="K174" s="33" t="n">
        <v>16.33</v>
      </c>
      <c r="L174" s="33" t="n">
        <v>91.89</v>
      </c>
      <c r="M174" s="33" t="n">
        <v>3.61</v>
      </c>
      <c r="O174" s="33" t="n">
        <v>84.09999999999999</v>
      </c>
      <c r="P174" s="33" t="n">
        <v>48.79</v>
      </c>
      <c r="Q174" s="33" t="n">
        <v>32.3</v>
      </c>
      <c r="R174" s="33" t="n">
        <v>45.3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75.8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2026-10-06</t>
        </is>
      </c>
      <c r="E175" s="33" t="n">
        <v>52.88239</v>
      </c>
      <c r="G175" s="33" t="n">
        <v>-4.47</v>
      </c>
      <c r="H175" s="33" t="n">
        <v>12.18</v>
      </c>
      <c r="I175" s="33">
        <f>IF(OR(E175="",R175="",R175&lt;=0,E175&lt;0),"",E175/R175)</f>
        <v/>
      </c>
      <c r="J175" s="33" t="n">
        <v>34</v>
      </c>
      <c r="L175" s="33" t="n">
        <v>40.7</v>
      </c>
      <c r="M175" s="33" t="n">
        <v>-54.41</v>
      </c>
      <c r="O175" s="33" t="n">
        <v>34.8</v>
      </c>
      <c r="P175" s="33" t="n">
        <v>25.67</v>
      </c>
      <c r="Q175" s="33" t="n">
        <v>104.2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22.5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2026-10-06</t>
        </is>
      </c>
      <c r="E176" s="33" t="n">
        <v>-2.7739031</v>
      </c>
      <c r="F176" s="33" t="n">
        <v>-1.146</v>
      </c>
      <c r="G176" s="33" t="n">
        <v>-40.22</v>
      </c>
      <c r="H176" s="33" t="n">
        <v>54.179108</v>
      </c>
      <c r="I176" s="33">
        <f>IF(OR(E176="",R176="",R176&lt;=0,E176&lt;0),"",E176/R176)</f>
        <v/>
      </c>
      <c r="J176" s="33" t="n">
        <v>19.8</v>
      </c>
      <c r="K176" s="33" t="n">
        <v>-42.42</v>
      </c>
      <c r="L176" s="33" t="n">
        <v>0</v>
      </c>
      <c r="M176" s="33" t="n">
        <v>-2179.25</v>
      </c>
      <c r="O176" s="33" t="n">
        <v>3.1</v>
      </c>
      <c r="P176" s="33" t="n">
        <v>190.78</v>
      </c>
      <c r="Q176" s="33" t="n">
        <v>404.4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15.8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2026-10-06</t>
        </is>
      </c>
      <c r="E177" s="33" t="n">
        <v>12.099645</v>
      </c>
      <c r="F177" s="33" t="n">
        <v>13.953</v>
      </c>
      <c r="G177" s="33" t="n">
        <v>-0.27</v>
      </c>
      <c r="H177" s="33" t="n">
        <v>0.95278823</v>
      </c>
      <c r="I177" s="33">
        <f>IF(OR(E177="",R177="",R177&lt;=0,E177&lt;0),"",E177/R177)</f>
        <v/>
      </c>
      <c r="J177" s="33" t="n">
        <v>74.59999999999999</v>
      </c>
      <c r="K177" s="33" t="n">
        <v>2.98</v>
      </c>
      <c r="L177" s="33" t="n">
        <v>38.77</v>
      </c>
      <c r="M177" s="33" t="n">
        <v>-0.25</v>
      </c>
      <c r="N177" s="33" t="n">
        <v>2.97</v>
      </c>
      <c r="O177" s="33" t="n">
        <v>59.4</v>
      </c>
      <c r="P177" s="33" t="n">
        <v>3.29</v>
      </c>
      <c r="Q177" s="33" t="n">
        <v>1.7</v>
      </c>
      <c r="R177" s="33" t="n">
        <v>-62.4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57.5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2026-10-06</t>
        </is>
      </c>
      <c r="E178" s="33" t="n">
        <v>35.930912</v>
      </c>
      <c r="F178" s="33" t="n">
        <v>20.695</v>
      </c>
      <c r="H178" s="33" t="n">
        <v>6.475753</v>
      </c>
      <c r="I178" s="33">
        <f>IF(OR(E178="",R178="",R178&lt;=0,E178&lt;0),"",E178/R178)</f>
        <v/>
      </c>
      <c r="J178" s="33" t="n">
        <v>40.4</v>
      </c>
      <c r="L178" s="33" t="n">
        <v>38.43</v>
      </c>
      <c r="N178" s="33" t="n">
        <v>-3.14</v>
      </c>
      <c r="O178" s="33" t="n">
        <v>77.59999999999999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44.2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2026-10-06</t>
        </is>
      </c>
      <c r="E179" s="33" t="n">
        <v>24.090975</v>
      </c>
      <c r="F179" s="33" t="n">
        <v>20.054</v>
      </c>
      <c r="G179" s="33" t="n">
        <v>0.1</v>
      </c>
      <c r="H179" s="33" t="n">
        <v>2.3048208</v>
      </c>
      <c r="I179" s="33">
        <f>IF(OR(E179="",R179="",R179&lt;=0,E179&lt;0),"",E179/R179)</f>
        <v/>
      </c>
      <c r="J179" s="33" t="n">
        <v>59.8</v>
      </c>
      <c r="L179" s="33" t="n">
        <v>35.01</v>
      </c>
      <c r="M179" s="33" t="n">
        <v>0.23</v>
      </c>
      <c r="N179" s="33" t="n">
        <v>0.9399999999999999</v>
      </c>
      <c r="O179" s="33" t="n">
        <v>57.7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52.5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2026-10-06</t>
        </is>
      </c>
      <c r="E180" s="33" t="n">
        <v>56.888283</v>
      </c>
      <c r="F180" s="33" t="n">
        <v>75.571</v>
      </c>
      <c r="G180" s="33" t="n">
        <v>2.77</v>
      </c>
      <c r="H180" s="33" t="n">
        <v>10.043424</v>
      </c>
      <c r="I180" s="33">
        <f>IF(OR(E180="",R180="",R180&lt;=0,E180&lt;0),"",E180/R180)</f>
        <v/>
      </c>
      <c r="J180" s="33" t="n">
        <v>46.9</v>
      </c>
      <c r="K180" s="33" t="n">
        <v>2.39</v>
      </c>
      <c r="L180" s="33" t="n">
        <v>21.27</v>
      </c>
      <c r="M180" s="33" t="n">
        <v>27.87</v>
      </c>
      <c r="N180" s="33" t="n">
        <v>-30.44</v>
      </c>
      <c r="O180" s="33" t="n">
        <v>67.59999999999999</v>
      </c>
      <c r="P180" s="33" t="n">
        <v>55.87</v>
      </c>
      <c r="Q180" s="33" t="n">
        <v>21.7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31.7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2026-10-06</t>
        </is>
      </c>
      <c r="E181" s="33" t="n">
        <v>25.96664</v>
      </c>
      <c r="F181" s="33" t="n">
        <v>25.14</v>
      </c>
      <c r="G181" s="33" t="n">
        <v>1.6</v>
      </c>
      <c r="H181" s="33" t="n">
        <v>8.289999999999999</v>
      </c>
      <c r="I181" s="33">
        <f>IF(OR(E181="",R181="",R181&lt;=0,E181&lt;0),"",E181/R181)</f>
        <v/>
      </c>
      <c r="J181" s="33" t="n">
        <v>42.8</v>
      </c>
      <c r="L181" s="33" t="n">
        <v>72.92</v>
      </c>
      <c r="M181" s="33" t="n">
        <v>13.24</v>
      </c>
      <c r="N181" s="33" t="n">
        <v>0.4</v>
      </c>
      <c r="O181" s="33" t="n">
        <v>79.7</v>
      </c>
      <c r="P181" s="33" t="n">
        <v>-2.57</v>
      </c>
      <c r="Q181" s="33" t="n">
        <v>43.5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75.8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2026-10-06</t>
        </is>
      </c>
      <c r="E182" s="33" t="n">
        <v>41.07367</v>
      </c>
      <c r="F182" s="33" t="n">
        <v>16.502</v>
      </c>
      <c r="H182" s="33" t="n">
        <v>3.1801171</v>
      </c>
      <c r="I182" s="33">
        <f>IF(OR(E182="",R182="",R182&lt;=0,E182&lt;0),"",E182/R182)</f>
        <v/>
      </c>
      <c r="J182" s="33" t="n">
        <v>41.3</v>
      </c>
      <c r="L182" s="33" t="n">
        <v>25.28</v>
      </c>
      <c r="N182" s="33" t="n">
        <v>-1.88</v>
      </c>
      <c r="O182" s="33" t="n">
        <v>57.1</v>
      </c>
      <c r="P182" s="33" t="n">
        <v>8.85</v>
      </c>
      <c r="Q182" s="33" t="n">
        <v>10</v>
      </c>
      <c r="R182" s="33" t="n">
        <v>13.9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47.5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2026-10-06</t>
        </is>
      </c>
      <c r="E183" s="33" t="n">
        <v>7.9378195</v>
      </c>
      <c r="F183" s="33" t="n">
        <v>6.988</v>
      </c>
      <c r="G183" s="33" t="n">
        <v>22.86</v>
      </c>
      <c r="H183" s="33" t="n">
        <v>0.4110133</v>
      </c>
      <c r="I183" s="33">
        <f>IF(OR(E183="",R183="",R183&lt;=0,E183&lt;0),"",E183/R183)</f>
        <v/>
      </c>
      <c r="J183" s="33" t="n">
        <v>91.09999999999999</v>
      </c>
      <c r="L183" s="33" t="n">
        <v>26.32</v>
      </c>
      <c r="M183" s="33" t="n">
        <v>9.4</v>
      </c>
      <c r="N183" s="33" t="n">
        <v>4.25</v>
      </c>
      <c r="O183" s="33" t="n">
        <v>43.2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27.5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2026-10-06</t>
        </is>
      </c>
      <c r="E184" s="33" t="n">
        <v>18.585205</v>
      </c>
      <c r="G184" s="33" t="n">
        <v>-54.07</v>
      </c>
      <c r="H184" s="33" t="n">
        <v>4.05</v>
      </c>
      <c r="I184" s="33">
        <f>IF(OR(E184="",R184="",R184&lt;=0,E184&lt;0),"",E184/R184)</f>
        <v/>
      </c>
      <c r="J184" s="33" t="n">
        <v>64</v>
      </c>
      <c r="L184" s="33" t="n">
        <v>35.71</v>
      </c>
      <c r="M184" s="33" t="n">
        <v>-218.82</v>
      </c>
      <c r="N184" s="33" t="n">
        <v>-181.82</v>
      </c>
      <c r="O184" s="33" t="n">
        <v>47.4</v>
      </c>
      <c r="P184" s="33" t="n">
        <v>29.74</v>
      </c>
      <c r="Q184" s="33" t="n">
        <v>25.3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1.7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2026-10-06</t>
        </is>
      </c>
      <c r="E185" s="33" t="n">
        <v>33.749767</v>
      </c>
      <c r="F185" s="33" t="n">
        <v>33.131</v>
      </c>
      <c r="G185" s="33" t="n">
        <v>2.23</v>
      </c>
      <c r="H185" s="33" t="n">
        <v>13.070559</v>
      </c>
      <c r="I185" s="33">
        <f>IF(OR(E185="",R185="",R185&lt;=0,E185&lt;0),"",E185/R185)</f>
        <v/>
      </c>
      <c r="J185" s="33" t="n">
        <v>50.6</v>
      </c>
      <c r="K185" s="33" t="n">
        <v>15.11</v>
      </c>
      <c r="L185" s="33" t="n">
        <v>66.68000000000001</v>
      </c>
      <c r="M185" s="33" t="n">
        <v>29.21</v>
      </c>
      <c r="N185" s="33" t="n">
        <v>-1.25</v>
      </c>
      <c r="O185" s="33" t="n">
        <v>95.40000000000001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23.3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2026-10-06</t>
        </is>
      </c>
      <c r="E186" s="33" t="n">
        <v>-15.338115</v>
      </c>
      <c r="F186" s="33" t="n">
        <v>-7.905</v>
      </c>
      <c r="G186" s="33" t="n">
        <v>-8.44</v>
      </c>
      <c r="H186" s="33" t="n">
        <v>2.9839532</v>
      </c>
      <c r="I186" s="33">
        <f>IF(OR(E186="",R186="",R186&lt;=0,E186&lt;0),"",E186/R186)</f>
        <v/>
      </c>
      <c r="J186" s="33" t="n">
        <v>41.6</v>
      </c>
      <c r="K186" s="33" t="n">
        <v>-21.74</v>
      </c>
      <c r="L186" s="33" t="n">
        <v>63.36</v>
      </c>
      <c r="M186" s="33" t="n">
        <v>-25.17</v>
      </c>
      <c r="O186" s="33" t="n">
        <v>43.3</v>
      </c>
      <c r="P186" s="33" t="n">
        <v>60.14</v>
      </c>
      <c r="Q186" s="33" t="n">
        <v>19.3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39.2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2026-10-06</t>
        </is>
      </c>
      <c r="E187" s="33" t="n">
        <v>14.233475</v>
      </c>
      <c r="F187" s="33" t="n">
        <v>9.696999999999999</v>
      </c>
      <c r="G187" s="33" t="n">
        <v>7.23</v>
      </c>
      <c r="H187" s="33" t="n">
        <v>3.2802007</v>
      </c>
      <c r="I187" s="33">
        <f>IF(OR(E187="",R187="",R187&lt;=0,E187&lt;0),"",E187/R187)</f>
        <v/>
      </c>
      <c r="J187" s="33" t="n">
        <v>82.5</v>
      </c>
      <c r="K187" s="33" t="n">
        <v>10.91</v>
      </c>
      <c r="L187" s="33" t="n">
        <v>68.97</v>
      </c>
      <c r="M187" s="33" t="n">
        <v>23.72</v>
      </c>
      <c r="N187" s="33" t="n">
        <v>-0.48</v>
      </c>
      <c r="O187" s="33" t="n">
        <v>94.09999999999999</v>
      </c>
      <c r="P187" s="33" t="n">
        <v>42.17</v>
      </c>
      <c r="Q187" s="33" t="n">
        <v>5.9</v>
      </c>
      <c r="R187" s="33" t="n"/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5</v>
      </c>
      <c r="AA187" s="33" t="n">
        <v>2</v>
      </c>
      <c r="AB187" s="33" t="n">
        <v>3</v>
      </c>
      <c r="AC187" s="33" t="n">
        <v>33.3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2026-10-06</t>
        </is>
      </c>
      <c r="E188" s="33" t="n">
        <v>-46</v>
      </c>
      <c r="F188" s="33" t="n">
        <v>-77.783</v>
      </c>
      <c r="G188" s="33" t="n">
        <v>-3.3</v>
      </c>
      <c r="H188" s="33" t="n">
        <v>10.533364</v>
      </c>
      <c r="I188" s="33">
        <f>IF(OR(E188="",R188="",R188&lt;=0,E188&lt;0),"",E188/R188)</f>
        <v/>
      </c>
      <c r="J188" s="33" t="n">
        <v>37.8</v>
      </c>
      <c r="K188" s="33" t="n">
        <v>-10.29</v>
      </c>
      <c r="L188" s="33" t="n">
        <v>47.65</v>
      </c>
      <c r="M188" s="33" t="n">
        <v>-34.76</v>
      </c>
      <c r="O188" s="33" t="n">
        <v>44.1</v>
      </c>
      <c r="P188" s="33" t="n">
        <v>209.27</v>
      </c>
      <c r="Q188" s="33" t="n">
        <v>39.4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19.2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2026-10-06</t>
        </is>
      </c>
      <c r="E189" s="33" t="n">
        <v>70.91228</v>
      </c>
      <c r="G189" s="33" t="n">
        <v>0.25</v>
      </c>
      <c r="H189" s="33" t="n">
        <v>33.85</v>
      </c>
      <c r="I189" s="33">
        <f>IF(OR(E189="",R189="",R189&lt;=0,E189&lt;0),"",E189/R189)</f>
        <v/>
      </c>
      <c r="J189" s="33" t="n">
        <v>23</v>
      </c>
      <c r="L189" s="33" t="n">
        <v>48.38</v>
      </c>
      <c r="M189" s="33" t="n">
        <v>8.43</v>
      </c>
      <c r="O189" s="33" t="n">
        <v>76.5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25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2026-10-06</t>
        </is>
      </c>
      <c r="E190" s="33" t="n">
        <v>87.19777999999999</v>
      </c>
      <c r="F190" s="33" t="n">
        <v>54.452</v>
      </c>
      <c r="G190" s="33" t="n">
        <v>0.08</v>
      </c>
      <c r="H190" s="33" t="n">
        <v>9.958261</v>
      </c>
      <c r="I190" s="33">
        <f>IF(OR(E190="",R190="",R190&lt;=0,E190&lt;0),"",E190/R190)</f>
        <v/>
      </c>
      <c r="J190" s="33" t="n">
        <v>24.2</v>
      </c>
      <c r="L190" s="33" t="n">
        <v>32.25</v>
      </c>
      <c r="M190" s="33" t="n">
        <v>0.82</v>
      </c>
      <c r="N190" s="33" t="n">
        <v>-0.46</v>
      </c>
      <c r="O190" s="33" t="n">
        <v>58.8</v>
      </c>
      <c r="P190" s="33" t="n">
        <v>-5.92</v>
      </c>
      <c r="Q190" s="33" t="n">
        <v>23.6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63.3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2026-10-06</t>
        </is>
      </c>
      <c r="E191" s="33" t="n">
        <v>46.22729</v>
      </c>
      <c r="F191" s="33" t="n">
        <v>12.863</v>
      </c>
      <c r="G191" s="33" t="n">
        <v>4.37</v>
      </c>
      <c r="H191" s="33" t="n">
        <v>1.8719801</v>
      </c>
      <c r="I191" s="33">
        <f>IF(OR(E191="",R191="",R191&lt;=0,E191&lt;0),"",E191/R191)</f>
        <v/>
      </c>
      <c r="J191" s="33" t="n">
        <v>71.40000000000001</v>
      </c>
      <c r="L191" s="33" t="n">
        <v>32.36</v>
      </c>
      <c r="M191" s="33" t="n">
        <v>8.17</v>
      </c>
      <c r="N191" s="33" t="n">
        <v>-0.97</v>
      </c>
      <c r="O191" s="33" t="n">
        <v>69.5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53.3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2026-10-06</t>
        </is>
      </c>
      <c r="E192" s="33" t="n">
        <v>34.97061</v>
      </c>
      <c r="F192" s="33" t="n">
        <v>13.895</v>
      </c>
      <c r="G192" s="33" t="n">
        <v>4.76</v>
      </c>
      <c r="H192" s="33" t="n">
        <v>3.5621629</v>
      </c>
      <c r="I192" s="33">
        <f>IF(OR(E192="",R192="",R192&lt;=0,E192&lt;0),"",E192/R192)</f>
        <v/>
      </c>
      <c r="J192" s="33" t="n">
        <v>58.8</v>
      </c>
      <c r="L192" s="33" t="n">
        <v>38.53</v>
      </c>
      <c r="M192" s="33" t="n">
        <v>16.95</v>
      </c>
      <c r="N192" s="33" t="n">
        <v>0.41</v>
      </c>
      <c r="O192" s="33" t="n">
        <v>60.7</v>
      </c>
      <c r="P192" s="33" t="n">
        <v>-15.16</v>
      </c>
      <c r="Q192" s="33" t="n">
        <v>-10.2</v>
      </c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60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2026-10-06</t>
        </is>
      </c>
      <c r="E193" s="33" t="n">
        <v>29.92608</v>
      </c>
      <c r="F193" s="33" t="n">
        <v>26.087</v>
      </c>
      <c r="G193" s="33" t="n">
        <v>2.93</v>
      </c>
      <c r="H193" s="33" t="n">
        <v>4.552118</v>
      </c>
      <c r="I193" s="33">
        <f>IF(OR(E193="",R193="",R193&lt;=0,E193&lt;0),"",E193/R193)</f>
        <v/>
      </c>
      <c r="J193" s="33" t="n">
        <v>47.3</v>
      </c>
      <c r="L193" s="33" t="n">
        <v>30.61</v>
      </c>
      <c r="M193" s="33" t="n">
        <v>13.33</v>
      </c>
      <c r="N193" s="33" t="n">
        <v>0.07000000000000001</v>
      </c>
      <c r="O193" s="33" t="n">
        <v>60.8</v>
      </c>
      <c r="P193" s="33" t="n">
        <v>-6.11</v>
      </c>
      <c r="Q193" s="33" t="n">
        <v>26.7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62.5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2026-10-06</t>
        </is>
      </c>
      <c r="E194" s="33" t="n">
        <v>16.865768</v>
      </c>
      <c r="F194" s="33" t="n">
        <v>11.103</v>
      </c>
      <c r="G194" s="33" t="n">
        <v>4.54</v>
      </c>
      <c r="H194" s="33" t="n">
        <v>1.7831166</v>
      </c>
      <c r="I194" s="33">
        <f>IF(OR(E194="",R194="",R194&lt;=0,E194&lt;0),"",E194/R194)</f>
        <v/>
      </c>
      <c r="J194" s="33" t="n">
        <v>68.90000000000001</v>
      </c>
      <c r="K194" s="33" t="n">
        <v>7.6</v>
      </c>
      <c r="L194" s="33" t="n">
        <v>32.67</v>
      </c>
      <c r="M194" s="33" t="n">
        <v>8.1</v>
      </c>
      <c r="N194" s="33" t="n">
        <v>1.95</v>
      </c>
      <c r="O194" s="33" t="n">
        <v>61.7</v>
      </c>
      <c r="P194" s="33" t="n">
        <v>0.63</v>
      </c>
      <c r="Q194" s="33" t="n">
        <v>7.5</v>
      </c>
      <c r="R194" s="33" t="n">
        <v>-63.2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61.7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2026-10-06</t>
        </is>
      </c>
      <c r="E195" s="33" t="n">
        <v>13.049493</v>
      </c>
      <c r="F195" s="33" t="n">
        <v>12.378</v>
      </c>
      <c r="G195" s="33" t="n">
        <v>4.13</v>
      </c>
      <c r="H195" s="33" t="n">
        <v>1.8650645</v>
      </c>
      <c r="I195" s="33">
        <f>IF(OR(E195="",R195="",R195&lt;=0,E195&lt;0),"",E195/R195)</f>
        <v/>
      </c>
      <c r="J195" s="33" t="n">
        <v>68.59999999999999</v>
      </c>
      <c r="K195" s="33" t="n">
        <v>4.63</v>
      </c>
      <c r="L195" s="33" t="n">
        <v>37.45</v>
      </c>
      <c r="M195" s="33" t="n">
        <v>7.7</v>
      </c>
      <c r="N195" s="33" t="n">
        <v>3.55</v>
      </c>
      <c r="O195" s="33" t="n">
        <v>63.2</v>
      </c>
      <c r="P195" s="33" t="n">
        <v>4.38</v>
      </c>
      <c r="Q195" s="33" t="n">
        <v>4.2</v>
      </c>
      <c r="R195" s="33" t="n">
        <v>47.2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47.5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2026-10-06</t>
        </is>
      </c>
      <c r="E196" s="33" t="n">
        <v>35.76808</v>
      </c>
      <c r="F196" s="33" t="n">
        <v>28.4</v>
      </c>
      <c r="G196" s="33" t="n">
        <v>1.36</v>
      </c>
      <c r="H196" s="33" t="n">
        <v>3.524787</v>
      </c>
      <c r="I196" s="33">
        <f>IF(OR(E196="",R196="",R196&lt;=0,E196&lt;0),"",E196/R196)</f>
        <v/>
      </c>
      <c r="J196" s="33" t="n">
        <v>58.1</v>
      </c>
      <c r="K196" s="33" t="n">
        <v>7.78</v>
      </c>
      <c r="L196" s="33" t="n">
        <v>33.33</v>
      </c>
      <c r="M196" s="33" t="n">
        <v>4.78</v>
      </c>
      <c r="N196" s="33" t="n">
        <v>2.03</v>
      </c>
      <c r="O196" s="33" t="n">
        <v>61.7</v>
      </c>
      <c r="P196" s="33" t="n">
        <v>3.3</v>
      </c>
      <c r="Q196" s="33" t="n">
        <v>10.2</v>
      </c>
      <c r="R196" s="33" t="n">
        <v>85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78.3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2026-10-06</t>
        </is>
      </c>
      <c r="E197" s="33" t="n">
        <v>34.905315</v>
      </c>
      <c r="F197" s="33" t="n">
        <v>29.083</v>
      </c>
      <c r="G197" s="33" t="n">
        <v>1.98</v>
      </c>
      <c r="H197" s="33" t="n">
        <v>5.597931</v>
      </c>
      <c r="I197" s="33">
        <f>IF(OR(E197="",R197="",R197&lt;=0,E197&lt;0),"",E197/R197)</f>
        <v/>
      </c>
      <c r="J197" s="33" t="n">
        <v>36.5</v>
      </c>
      <c r="K197" s="33" t="n">
        <v>4.91</v>
      </c>
      <c r="L197" s="33" t="n">
        <v>44.54</v>
      </c>
      <c r="M197" s="33" t="n">
        <v>11.1</v>
      </c>
      <c r="N197" s="33" t="n">
        <v>-2.39</v>
      </c>
      <c r="O197" s="33" t="n">
        <v>74.40000000000001</v>
      </c>
      <c r="P197" s="33" t="n">
        <v>4.43</v>
      </c>
      <c r="Q197" s="33" t="n">
        <v>10.3</v>
      </c>
      <c r="R197" s="33" t="n">
        <v>178.9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55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2026-10-06</t>
        </is>
      </c>
      <c r="E198" s="33" t="n">
        <v>43.74302</v>
      </c>
      <c r="F198" s="33" t="n">
        <v>42.572</v>
      </c>
      <c r="G198" s="33" t="n">
        <v>-0.72</v>
      </c>
      <c r="H198" s="33" t="n">
        <v>3.1695263</v>
      </c>
      <c r="I198" s="33">
        <f>IF(OR(E198="",R198="",R198&lt;=0,E198&lt;0),"",E198/R198)</f>
        <v/>
      </c>
      <c r="J198" s="33" t="n">
        <v>33.1</v>
      </c>
      <c r="K198" s="33" t="n">
        <v>1.27</v>
      </c>
      <c r="L198" s="33" t="n">
        <v>38.75</v>
      </c>
      <c r="M198" s="33" t="n">
        <v>-2.27</v>
      </c>
      <c r="N198" s="33" t="n">
        <v>-1.55</v>
      </c>
      <c r="O198" s="33" t="n">
        <v>62.5</v>
      </c>
      <c r="P198" s="33" t="n">
        <v>-5.37</v>
      </c>
      <c r="Q198" s="33" t="n">
        <v>11.7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51.7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2026-10-06</t>
        </is>
      </c>
      <c r="E199" s="33" t="n">
        <v>32.16713</v>
      </c>
      <c r="F199" s="33" t="n">
        <v>39.254</v>
      </c>
      <c r="G199" s="33" t="n">
        <v>2.45</v>
      </c>
      <c r="H199" s="33" t="n">
        <v>10.074768</v>
      </c>
      <c r="I199" s="33">
        <f>IF(OR(E199="",R199="",R199&lt;=0,E199&lt;0),"",E199/R199)</f>
        <v/>
      </c>
      <c r="J199" s="33" t="n">
        <v>42.6</v>
      </c>
      <c r="K199" s="33" t="n">
        <v>8.23</v>
      </c>
      <c r="L199" s="33" t="n">
        <v>68.87</v>
      </c>
      <c r="M199" s="33" t="n">
        <v>24.64</v>
      </c>
      <c r="N199" s="33" t="n">
        <v>-1.24</v>
      </c>
      <c r="O199" s="33" t="n">
        <v>93.09999999999999</v>
      </c>
      <c r="P199" s="33" t="n">
        <v>-0.39</v>
      </c>
      <c r="Q199" s="33" t="n">
        <v>16.9</v>
      </c>
      <c r="R199" s="33" t="n">
        <v>79.59999999999999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60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2026-10-06</t>
        </is>
      </c>
      <c r="E200" s="33" t="n">
        <v>43.638447</v>
      </c>
      <c r="H200" s="33" t="n">
        <v>15.749791</v>
      </c>
      <c r="I200" s="33">
        <f>IF(OR(E200="",R200="",R200&lt;=0,E200&lt;0),"",E200/R200)</f>
        <v/>
      </c>
      <c r="J200" s="33" t="n">
        <v>43.1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75.8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2026-10-06</t>
        </is>
      </c>
      <c r="E201" s="33" t="n">
        <v>-362.68</v>
      </c>
      <c r="F201" s="33" t="n">
        <v>-50.427</v>
      </c>
      <c r="G201" s="33" t="n">
        <v>-2.52</v>
      </c>
      <c r="H201" s="33" t="n">
        <v>15.954617</v>
      </c>
      <c r="I201" s="33">
        <f>IF(OR(E201="",R201="",R201&lt;=0,E201&lt;0),"",E201/R201)</f>
        <v/>
      </c>
      <c r="J201" s="33" t="n">
        <v>36.8</v>
      </c>
      <c r="K201" s="33" t="n">
        <v>-12.62</v>
      </c>
      <c r="L201" s="33" t="n">
        <v>46.62</v>
      </c>
      <c r="M201" s="33" t="n">
        <v>-40.25</v>
      </c>
      <c r="O201" s="33" t="n">
        <v>39.9</v>
      </c>
      <c r="P201" s="33" t="n">
        <v>60.42</v>
      </c>
      <c r="Q201" s="33" t="n">
        <v>55.9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69.2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2026-10-06</t>
        </is>
      </c>
      <c r="E202" s="33" t="n">
        <v>17.511806</v>
      </c>
      <c r="G202" s="33" t="n">
        <v>-0.24</v>
      </c>
      <c r="H202" s="33" t="n">
        <v>40.71</v>
      </c>
      <c r="I202" s="33">
        <f>IF(OR(E202="",R202="",R202&lt;=0,E202&lt;0),"",E202/R202)</f>
        <v/>
      </c>
      <c r="J202" s="33" t="n">
        <v>62.5</v>
      </c>
      <c r="K202" s="33" t="n">
        <v>1.41</v>
      </c>
      <c r="L202" s="33" t="n">
        <v>40.65</v>
      </c>
      <c r="M202" s="33" t="n">
        <v>-9.83</v>
      </c>
      <c r="N202" s="33" t="n">
        <v>-65.68000000000001</v>
      </c>
      <c r="O202" s="33" t="n">
        <v>73.8</v>
      </c>
      <c r="P202" s="33" t="n">
        <v>36.03</v>
      </c>
      <c r="Q202" s="33" t="n">
        <v>21.9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26.7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2026-10-06</t>
        </is>
      </c>
      <c r="E203" s="33" t="n">
        <v>-9.148009</v>
      </c>
      <c r="F203" s="33" t="n">
        <v>-7.271</v>
      </c>
      <c r="G203" s="33" t="n">
        <v>-11.38</v>
      </c>
      <c r="H203" s="33" t="n">
        <v>47.475307</v>
      </c>
      <c r="I203" s="33">
        <f>IF(OR(E203="",R203="",R203&lt;=0,E203&lt;0),"",E203/R203)</f>
        <v/>
      </c>
      <c r="J203" s="33" t="n">
        <v>25.6</v>
      </c>
      <c r="K203" s="33" t="n">
        <v>-51.65</v>
      </c>
      <c r="L203" s="33" t="n">
        <v>27.22</v>
      </c>
      <c r="M203" s="33" t="n">
        <v>-540.1900000000001</v>
      </c>
      <c r="O203" s="33" t="n">
        <v>3.5</v>
      </c>
      <c r="P203" s="33" t="n">
        <v>62.77</v>
      </c>
      <c r="Q203" s="33" t="n">
        <v>11.3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50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2026-10-06</t>
        </is>
      </c>
      <c r="E204" s="33" t="n">
        <v>19.624964</v>
      </c>
      <c r="G204" s="33" t="n">
        <v>-6.74</v>
      </c>
      <c r="H204" s="33" t="n">
        <v>2.9</v>
      </c>
      <c r="I204" s="33">
        <f>IF(OR(E204="",R204="",R204&lt;=0,E204&lt;0),"",E204/R204)</f>
        <v/>
      </c>
      <c r="J204" s="33" t="n">
        <v>50.1</v>
      </c>
      <c r="L204" s="33" t="n">
        <v>24.49</v>
      </c>
      <c r="M204" s="33" t="n">
        <v>-19.56</v>
      </c>
      <c r="O204" s="33" t="n">
        <v>16.7</v>
      </c>
      <c r="P204" s="33" t="n">
        <v>54.11</v>
      </c>
      <c r="Q204" s="33" t="n">
        <v>23.2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2026-10-06</t>
        </is>
      </c>
      <c r="E205" s="33" t="n">
        <v>20.630432</v>
      </c>
      <c r="F205" s="33" t="n">
        <v>18.079</v>
      </c>
      <c r="G205" s="33" t="n">
        <v>3.55</v>
      </c>
      <c r="H205" s="33" t="n">
        <v>2.7830148</v>
      </c>
      <c r="I205" s="33">
        <f>IF(OR(E205="",R205="",R205&lt;=0,E205&lt;0),"",E205/R205)</f>
        <v/>
      </c>
      <c r="J205" s="33" t="n">
        <v>59.4</v>
      </c>
      <c r="L205" s="33" t="n">
        <v>49.05</v>
      </c>
      <c r="M205" s="33" t="n">
        <v>9.880000000000001</v>
      </c>
      <c r="N205" s="33" t="n">
        <v>0.7</v>
      </c>
      <c r="O205" s="33" t="n">
        <v>76.59999999999999</v>
      </c>
      <c r="P205" s="33" t="n">
        <v>-6.45</v>
      </c>
      <c r="Q205" s="33" t="n">
        <v>43.7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55.8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2026-10-06</t>
        </is>
      </c>
      <c r="E206" s="33" t="n">
        <v>15.211721</v>
      </c>
      <c r="F206" s="33" t="n">
        <v>-21.474</v>
      </c>
      <c r="G206" s="33" t="n">
        <v>6.11</v>
      </c>
      <c r="H206" s="33" t="n">
        <v>3.1481402</v>
      </c>
      <c r="I206" s="33">
        <f>IF(OR(E206="",R206="",R206&lt;=0,E206&lt;0),"",E206/R206)</f>
        <v/>
      </c>
      <c r="J206" s="33" t="n">
        <v>75.5</v>
      </c>
      <c r="K206" s="33" t="n">
        <v>-3.65</v>
      </c>
      <c r="L206" s="33" t="n">
        <v>47.37</v>
      </c>
      <c r="M206" s="33" t="n">
        <v>19.25</v>
      </c>
      <c r="O206" s="33" t="n">
        <v>66.09999999999999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45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2026-10-06</t>
        </is>
      </c>
      <c r="E207" s="33" t="n">
        <v>39.64674</v>
      </c>
      <c r="F207" s="33" t="n">
        <v>76.36799999999999</v>
      </c>
      <c r="G207" s="33" t="n">
        <v>-1.57</v>
      </c>
      <c r="H207" s="33" t="n">
        <v>5.38566</v>
      </c>
      <c r="I207" s="33">
        <f>IF(OR(E207="",R207="",R207&lt;=0,E207&lt;0),"",E207/R207)</f>
        <v/>
      </c>
      <c r="J207" s="33" t="n">
        <v>40.4</v>
      </c>
      <c r="K207" s="33" t="n">
        <v>0.48</v>
      </c>
      <c r="L207" s="33" t="n">
        <v>23</v>
      </c>
      <c r="M207" s="33" t="n">
        <v>-8.470000000000001</v>
      </c>
      <c r="N207" s="33" t="n">
        <v>-14.3</v>
      </c>
      <c r="O207" s="33" t="n">
        <v>48.3</v>
      </c>
      <c r="P207" s="33" t="n">
        <v>14.45</v>
      </c>
      <c r="Q207" s="33" t="n">
        <v>30.5</v>
      </c>
      <c r="R207" s="33" t="n">
        <v>51.7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2026-10-06</t>
        </is>
      </c>
      <c r="E208" s="33" t="n">
        <v>32.007446</v>
      </c>
      <c r="F208" s="33" t="n">
        <v>33.47</v>
      </c>
      <c r="G208" s="33" t="n">
        <v>-0.62</v>
      </c>
      <c r="H208" s="33" t="n">
        <v>3.6204486</v>
      </c>
      <c r="I208" s="33">
        <f>IF(OR(E208="",R208="",R208&lt;=0,E208&lt;0),"",E208/R208)</f>
        <v/>
      </c>
      <c r="J208" s="33" t="n">
        <v>36.2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44.3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20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2026-10-06</t>
        </is>
      </c>
      <c r="E209" s="33" t="n">
        <v>-11.621801</v>
      </c>
      <c r="F209" s="33" t="n">
        <v>-6.331</v>
      </c>
      <c r="G209" s="33" t="n">
        <v>-16.01</v>
      </c>
      <c r="H209" s="33" t="n">
        <v>13.768649</v>
      </c>
      <c r="I209" s="33">
        <f>IF(OR(E209="",R209="",R209&lt;=0,E209&lt;0),"",E209/R209)</f>
        <v/>
      </c>
      <c r="J209" s="33" t="n">
        <v>28.1</v>
      </c>
      <c r="K209" s="33" t="n">
        <v>-17.01</v>
      </c>
      <c r="L209" s="33" t="n">
        <v>9.75</v>
      </c>
      <c r="M209" s="33" t="n">
        <v>-220.44</v>
      </c>
      <c r="O209" s="33" t="n">
        <v>12.2</v>
      </c>
      <c r="P209" s="33" t="n">
        <v>85.04000000000001</v>
      </c>
      <c r="Q209" s="33" t="n">
        <v>527.2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19.2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2026-10-06</t>
        </is>
      </c>
      <c r="E210" s="33" t="n">
        <v>-375.75</v>
      </c>
      <c r="F210" s="33" t="n">
        <v>-16.037</v>
      </c>
      <c r="G210" s="33" t="n">
        <v>-3.93</v>
      </c>
      <c r="H210" s="33" t="n">
        <v>25.134573</v>
      </c>
      <c r="I210" s="33">
        <f>IF(OR(E210="",R210="",R210&lt;=0,E210&lt;0),"",E210/R210)</f>
        <v/>
      </c>
      <c r="J210" s="33" t="n">
        <v>33.8</v>
      </c>
      <c r="K210" s="33" t="n">
        <v>-7.96</v>
      </c>
      <c r="L210" s="33" t="n">
        <v>43.72</v>
      </c>
      <c r="M210" s="33" t="n">
        <v>-98.81</v>
      </c>
      <c r="O210" s="33" t="n">
        <v>39.1</v>
      </c>
      <c r="P210" s="33" t="n">
        <v>187.9</v>
      </c>
      <c r="Q210" s="33" t="n">
        <v>1235.4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31.7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2026-10-06</t>
        </is>
      </c>
      <c r="E211" s="33" t="n">
        <v>-70.20692</v>
      </c>
      <c r="F211" s="33" t="n">
        <v>-26.309</v>
      </c>
      <c r="G211" s="33" t="n">
        <v>-4.52</v>
      </c>
      <c r="H211" s="33" t="n">
        <v>35.603394</v>
      </c>
      <c r="I211" s="33">
        <f>IF(OR(E211="",R211="",R211&lt;=0,E211&lt;0),"",E211/R211)</f>
        <v/>
      </c>
      <c r="J211" s="33" t="n">
        <v>28.7</v>
      </c>
      <c r="K211" s="33" t="n">
        <v>-6.02</v>
      </c>
      <c r="L211" s="33" t="n">
        <v>34.76</v>
      </c>
      <c r="M211" s="33" t="n">
        <v>-160.98</v>
      </c>
      <c r="O211" s="33" t="n">
        <v>31.8</v>
      </c>
      <c r="Q211" s="33" t="n">
        <v>687.3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60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2026-10-06</t>
        </is>
      </c>
      <c r="E212" s="33" t="n">
        <v>432.49997</v>
      </c>
      <c r="F212" s="33" t="n">
        <v>-52.722</v>
      </c>
      <c r="G212" s="33" t="n">
        <v>-1.04</v>
      </c>
      <c r="H212" s="33" t="n">
        <v>5.9286337</v>
      </c>
      <c r="I212" s="33">
        <f>IF(OR(E212="",R212="",R212&lt;=0,E212&lt;0),"",E212/R212)</f>
        <v/>
      </c>
      <c r="J212" s="33" t="n">
        <v>32.4</v>
      </c>
      <c r="L212" s="33" t="n">
        <v>59.3</v>
      </c>
      <c r="M212" s="33" t="n">
        <v>-6.14</v>
      </c>
      <c r="N212" s="33" t="n"/>
      <c r="O212" s="33" t="n">
        <v>75.8</v>
      </c>
      <c r="P212" s="33" t="n">
        <v>134.44</v>
      </c>
      <c r="Q212" s="33" t="n">
        <v>73.3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6.7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2026-10-06</t>
        </is>
      </c>
      <c r="E213" s="33" t="n">
        <v>-7.2534246</v>
      </c>
      <c r="F213" s="33" t="n">
        <v>-5.407</v>
      </c>
      <c r="G213" s="33" t="n">
        <v>-14.05</v>
      </c>
      <c r="H213" s="33" t="n">
        <v>22.06109</v>
      </c>
      <c r="I213" s="33">
        <f>IF(OR(E213="",R213="",R213&lt;=0,E213&lt;0),"",E213/R213)</f>
        <v/>
      </c>
      <c r="J213" s="33" t="n">
        <v>23.8</v>
      </c>
      <c r="K213" s="33" t="n">
        <v>-39.17</v>
      </c>
      <c r="L213" s="33" t="n">
        <v>28.75</v>
      </c>
      <c r="M213" s="33" t="n">
        <v>-309.96</v>
      </c>
      <c r="O213" s="33" t="n">
        <v>17.7</v>
      </c>
      <c r="P213" s="33" t="n">
        <v>-28.86</v>
      </c>
      <c r="Q213" s="33" t="n">
        <v>469.8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2026-10-06</t>
        </is>
      </c>
      <c r="E214" s="33" t="n">
        <v>25.909399</v>
      </c>
      <c r="F214" s="33" t="n">
        <v>54.217</v>
      </c>
      <c r="G214" s="33" t="n">
        <v>1.23</v>
      </c>
      <c r="H214" s="33" t="n">
        <v>7.551189</v>
      </c>
      <c r="I214" s="33">
        <f>IF(OR(E214="",R214="",R214&lt;=0,E214&lt;0),"",E214/R214)</f>
        <v/>
      </c>
      <c r="J214" s="33" t="n">
        <v>37</v>
      </c>
      <c r="K214" s="33" t="n">
        <v>4.18</v>
      </c>
      <c r="L214" s="33" t="n">
        <v>47.38</v>
      </c>
      <c r="M214" s="33" t="n">
        <v>9.289999999999999</v>
      </c>
      <c r="N214" s="33" t="n">
        <v>1.05</v>
      </c>
      <c r="O214" s="33" t="n">
        <v>34.3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52.5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2026-10-06</t>
        </is>
      </c>
      <c r="E215" s="33" t="n">
        <v>17.989445</v>
      </c>
      <c r="F215" s="33" t="n">
        <v>15.838</v>
      </c>
      <c r="G215" s="33" t="n">
        <v>6.42</v>
      </c>
      <c r="H215" s="33" t="n">
        <v>3.2097998</v>
      </c>
      <c r="I215" s="33">
        <f>IF(OR(E215="",R215="",R215&lt;=0,E215&lt;0),"",E215/R215)</f>
        <v/>
      </c>
      <c r="J215" s="33" t="n">
        <v>74.5</v>
      </c>
      <c r="L215" s="33" t="n">
        <v>39.38</v>
      </c>
      <c r="M215" s="33" t="n">
        <v>20.6</v>
      </c>
      <c r="N215" s="33" t="n">
        <v>1.38</v>
      </c>
      <c r="O215" s="33" t="n">
        <v>40.2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49.2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76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  <row r="3032">
      <c r="A3032" s="33" t="inlineStr">
        <is>
          <t>2026-10-05</t>
        </is>
      </c>
      <c r="B3032" s="33" t="inlineStr">
        <is>
          <t>AMZN</t>
        </is>
      </c>
      <c r="C3032" s="33" t="inlineStr">
        <is>
          <t>R3-BS</t>
        </is>
      </c>
      <c r="D3032" s="33" t="inlineStr">
        <is>
          <t>3</t>
        </is>
      </c>
      <c r="E3032" s="33" t="inlineStr">
        <is>
          <t>Re-rate 4-&gt;3 (Dom-approved 2026-10-05). Capital regime deteriorated since the May rating: long-term debt face value $68.8B -&gt; $133.0B in six months, ~$30B more issued since (8-Ks 2026-07-09, 2026-09-14); company-defined TTM free cash flow -$7,604M vs +$18,184M a year earlier; $137.2B of leases not yet commenced; interest expense $1,314M vs $516M. Still investment-grade with $123.0B liquidity and $161.4B TTM operating cash flow, so not band 2. ND/EBITDA remains &lt;2x (band-4 letter); rated on the holistic clause, consistent with the Dom-approved META 4-&gt;3 precedent of 2026-09-28 (same layer, same pattern, milder FCF). The GOOGL 2026-06-12 band-letter override is the counter-precedent.</t>
        </is>
      </c>
      <c r="F3032" s="33" t="inlineStr">
        <is>
          <t>10-Q q/e 2026-06-30 (acc. 0001018724-26-000026): cash-flow statement, Note 4, Note 5, MD&amp;A non-GAAP; context-2026-10-05.md</t>
        </is>
      </c>
      <c r="G3032" s="33" t="inlineStr">
        <is>
          <t>Med</t>
        </is>
      </c>
      <c r="H3032" s="33" t="inlineStr">
        <is>
          <t>Re-rate</t>
        </is>
      </c>
    </row>
    <row r="3033">
      <c r="A3033" s="33" t="inlineStr">
        <is>
          <t>2026-10-05</t>
        </is>
      </c>
      <c r="B3033" s="33" t="inlineStr">
        <is>
          <t>AMZN</t>
        </is>
      </c>
      <c r="C3033" s="33" t="inlineStr">
        <is>
          <t>M2-RelStr</t>
        </is>
      </c>
      <c r="D3033" s="33" t="inlineStr">
        <is>
          <t>3</t>
        </is>
      </c>
      <c r="E3033" s="33" t="inlineStr">
        <is>
          <t>Re-rate 4-&gt;3 (Dom-approved 2026-10-05). 126-trading-day return +18.1% vs SPY +18.2% = in line (band 3, +/-5%). Same benchmark as the 2026-05-18 rating (SPY), which was +7pp then. Against QQQ (+28.8%) the gap is -10.7pp, which would be band 2; benchmark choice for hyperscalers is not fixed in the rubric.</t>
        </is>
      </c>
      <c r="F3033" s="33" t="inlineStr">
        <is>
          <t>yfinance adjusted closes, 2026-10-05</t>
        </is>
      </c>
      <c r="G3033" s="33" t="inlineStr">
        <is>
          <t>Med</t>
        </is>
      </c>
      <c r="H3033" s="33" t="inlineStr">
        <is>
          <t>Re-rate</t>
        </is>
      </c>
    </row>
    <row r="3034">
      <c r="A3034" s="33" t="inlineStr">
        <is>
          <t>2026-10-05</t>
        </is>
      </c>
      <c r="B3034" s="33" t="inlineStr">
        <is>
          <t>AMZN</t>
        </is>
      </c>
      <c r="C3034" s="33" t="inlineStr">
        <is>
          <t>Review (no change)</t>
        </is>
      </c>
      <c r="D3034" s="33" t="inlineStr">
        <is>
          <t>-</t>
        </is>
      </c>
      <c r="E3034" s="33" t="inlineStr">
        <is>
          <t>Subjective review against the Q2 2026 10-Q; held: D1=3 (AI run-rate &gt;$25B is ~3% of ~$802B annualized revenue; literal band would be 1-2, but all Layer-9 hyperscalers carry 3 under the 2026-05-18 cohort convention - a cohort-wide question, not changed on one name), D2/D3/D4/D5=5, M1=5 (beat-and-raise; FY26 consensus up over 90d), M3=3 (no Form-4 check this pass), R1=5 (no customer &gt;15% of revenue; note OpenAI + Anthropic are roughly half of the $496B backlog), R2=4, R4=2 (FTC case; Xockets ITC investigation added), R5=5.</t>
        </is>
      </c>
      <c r="F3034" s="33" t="inlineStr">
        <is>
          <t>context-2026-10-05.md</t>
        </is>
      </c>
      <c r="G3034" s="33" t="inlineStr">
        <is>
          <t>Med</t>
        </is>
      </c>
      <c r="H3034" s="33" t="inlineStr">
        <is>
          <t>Review</t>
        </is>
      </c>
    </row>
    <row r="3035">
      <c r="A3035" s="33" t="inlineStr">
        <is>
          <t>2026-10-05</t>
        </is>
      </c>
      <c r="B3035" s="33" t="inlineStr">
        <is>
          <t>SBGSY</t>
        </is>
      </c>
      <c r="C3035" s="33" t="inlineStr">
        <is>
          <t>R3-BS</t>
        </is>
      </c>
      <c r="D3035" s="33" t="inlineStr">
        <is>
          <t>3</t>
        </is>
      </c>
      <c r="E3035" s="33" t="inlineStr">
        <is>
          <t>Re-rate 4-&gt;3 (Dom-approved 2026-10-05). PTC acquisition announced 2026-10-05: $22.6B cash, financed with EUR16-17B new debt + EUR5-6B new equity; buybacks paused 2027-28. Pro forma net debt ~EUR34-35B (EUR15.4B at 2026-06-30 + Cognite ~EUR2.8B + PTC debt) against ~EUR11B EBITDA = ~3x (my estimate; no company pro forma found), band 3 (2-4x); equity raise is the dilution clause. Company expects to keep A-category ratings. Rated on the signed commitment; close expected Q3 2027.</t>
        </is>
      </c>
      <c r="F3035" s="33" t="inlineStr">
        <is>
          <t>Euronews 2026-10-05; InsideArbitrage 2026-10; context-2026-10-05.md</t>
        </is>
      </c>
      <c r="G3035" s="33" t="inlineStr">
        <is>
          <t>Med</t>
        </is>
      </c>
      <c r="H3035" s="33" t="inlineStr">
        <is>
          <t>Re-rate</t>
        </is>
      </c>
    </row>
    <row r="3036">
      <c r="A3036" s="33" t="inlineStr">
        <is>
          <t>2026-10-05</t>
        </is>
      </c>
      <c r="B3036" s="33" t="inlineStr">
        <is>
          <t>SBGSY</t>
        </is>
      </c>
      <c r="C3036" s="33" t="inlineStr">
        <is>
          <t>M2-RelStr</t>
        </is>
      </c>
      <c r="D3036" s="33" t="inlineStr">
        <is>
          <t>4</t>
        </is>
      </c>
      <c r="E3036" s="33" t="inlineStr">
        <is>
          <t>Re-rate 3-&gt;4 (Dom-approved 2026-10-05). 126-trading-day return +12.9% vs XLI +4.3% = +8.6pp (band 4, 5-20%); 63-day +8.4pp. Same benchmark as 2026-05-18. Measured after the ~9-10% drop on the PTC announcement.</t>
        </is>
      </c>
      <c r="F3036" s="33" t="inlineStr">
        <is>
          <t>yfinance adjusted closes (ADR line), 2026-10-05</t>
        </is>
      </c>
      <c r="G3036" s="33" t="inlineStr">
        <is>
          <t>Med</t>
        </is>
      </c>
      <c r="H3036" s="33" t="inlineStr">
        <is>
          <t>Re-rate</t>
        </is>
      </c>
    </row>
    <row r="3037">
      <c r="A3037" s="33" t="inlineStr">
        <is>
          <t>2026-10-05</t>
        </is>
      </c>
      <c r="B3037" s="33" t="inlineStr">
        <is>
          <t>SBGSY</t>
        </is>
      </c>
      <c r="C3037" s="33" t="inlineStr">
        <is>
          <t>Review (no change)</t>
        </is>
      </c>
      <c r="D3037" s="33" t="inlineStr">
        <is>
          <t>-</t>
        </is>
      </c>
      <c r="E3037" s="33" t="inlineStr">
        <is>
          <t>Delta review after the PTC announcement; held: D1=4, D2=4, D3=4, D4=5 (flag: capital going to software M&amp;A rather than capacity), D5=4, M1=4 (90d revisions net positive; last 7d negative), M3=3, R1=5, R2=4, R4=4, R5=5 (rule-16 non-Layer-10 default; flag: software share of revenue rising with AVEVA + Cognite + PTC).</t>
        </is>
      </c>
      <c r="F3037" s="33" t="inlineStr">
        <is>
          <t>context-2026-10-05.md</t>
        </is>
      </c>
      <c r="G3037" s="33" t="inlineStr">
        <is>
          <t>Med</t>
        </is>
      </c>
      <c r="H3037" s="33" t="inlineStr">
        <is>
          <t>Review</t>
        </is>
      </c>
    </row>
    <row r="3038">
      <c r="A3038" s="33" t="inlineStr">
        <is>
          <t>2026-10-06</t>
        </is>
      </c>
      <c r="B3038" s="33" t="inlineStr">
        <is>
          <t>FIX</t>
        </is>
      </c>
      <c r="C3038" s="33" t="inlineStr">
        <is>
          <t>M2-RelStr</t>
        </is>
      </c>
      <c r="D3038" s="33" t="inlineStr">
        <is>
          <t>4</t>
        </is>
      </c>
      <c r="E3038" s="33" t="inlineStr">
        <is>
          <t>Mechanical re-measure 5-&gt;4 (pending Dom review). 126-trading-day return +25.2% vs XLI +5.4% = +19.8pp. Benchmark basis: prior audit row for this name.</t>
        </is>
      </c>
      <c r="F3038" s="33" t="inlineStr">
        <is>
          <t>yfinance adjusted closes, 2026-10-06</t>
        </is>
      </c>
      <c r="G3038" s="33" t="inlineStr">
        <is>
          <t>High</t>
        </is>
      </c>
      <c r="H3038" s="33" t="inlineStr">
        <is>
          <t>Re-rate</t>
        </is>
      </c>
    </row>
    <row r="3039">
      <c r="A3039" s="33" t="inlineStr">
        <is>
          <t>2026-10-06</t>
        </is>
      </c>
      <c r="B3039" s="33" t="inlineStr">
        <is>
          <t>TSM</t>
        </is>
      </c>
      <c r="C3039" s="33" t="inlineStr">
        <is>
          <t>M2-RelStr</t>
        </is>
      </c>
      <c r="D3039" s="33" t="inlineStr">
        <is>
          <t>2</t>
        </is>
      </c>
      <c r="E3039" s="33" t="inlineStr">
        <is>
          <t>Mechanical re-measure 1-&gt;2 (pending Dom review). 126-trading-day return +40.8% vs SMH +59.6% = -18.8pp. Benchmark basis: prior audit row for this name.</t>
        </is>
      </c>
      <c r="F3039" s="33" t="inlineStr">
        <is>
          <t>yfinance adjusted closes, 2026-10-06</t>
        </is>
      </c>
      <c r="G3039" s="33" t="inlineStr">
        <is>
          <t>High</t>
        </is>
      </c>
      <c r="H3039" s="33" t="inlineStr">
        <is>
          <t>Re-rate</t>
        </is>
      </c>
    </row>
    <row r="3040">
      <c r="A3040" s="33" t="inlineStr">
        <is>
          <t>2026-10-06</t>
        </is>
      </c>
      <c r="B3040" s="33" t="inlineStr">
        <is>
          <t>CRDO</t>
        </is>
      </c>
      <c r="C3040" s="33" t="inlineStr">
        <is>
          <t>M2-RelStr</t>
        </is>
      </c>
      <c r="D3040" s="33" t="inlineStr">
        <is>
          <t>5</t>
        </is>
      </c>
      <c r="E3040" s="33" t="inlineStr">
        <is>
          <t>Mechanical re-measure 4-&gt;5 (pending Dom review). 126-trading-day return +107.1% vs SMH +59.6% = +47.5pp. Benchmark basis: prior audit row for this name.</t>
        </is>
      </c>
      <c r="F3040" s="33" t="inlineStr">
        <is>
          <t>yfinance adjusted closes, 2026-10-06</t>
        </is>
      </c>
      <c r="G3040" s="33" t="inlineStr">
        <is>
          <t>High</t>
        </is>
      </c>
      <c r="H3040" s="33" t="inlineStr">
        <is>
          <t>Re-rate</t>
        </is>
      </c>
    </row>
    <row r="3041">
      <c r="A3041" s="33" t="inlineStr">
        <is>
          <t>2026-10-06</t>
        </is>
      </c>
      <c r="B3041" s="33" t="inlineStr">
        <is>
          <t>ANET</t>
        </is>
      </c>
      <c r="C3041" s="33" t="inlineStr">
        <is>
          <t>M2-RelStr</t>
        </is>
      </c>
      <c r="D3041" s="33" t="inlineStr">
        <is>
          <t>3</t>
        </is>
      </c>
      <c r="E3041" s="33" t="inlineStr">
        <is>
          <t>Mechanical re-measure 2-&gt;3 (pending Dom review). 126-trading-day return +57.8% vs SMH +59.6% = -1.8pp. Benchmark basis: layer default (no benchmark named in a prior audit row).</t>
        </is>
      </c>
      <c r="F3041" s="33" t="inlineStr">
        <is>
          <t>yfinance adjusted closes, 2026-10-06</t>
        </is>
      </c>
      <c r="G3041" s="33" t="inlineStr">
        <is>
          <t>High</t>
        </is>
      </c>
      <c r="H3041" s="33" t="inlineStr">
        <is>
          <t>Re-rate</t>
        </is>
      </c>
    </row>
    <row r="3042">
      <c r="A3042" s="33" t="inlineStr">
        <is>
          <t>2026-10-06</t>
        </is>
      </c>
      <c r="B3042" s="33" t="inlineStr">
        <is>
          <t>WDC</t>
        </is>
      </c>
      <c r="C3042" s="33" t="inlineStr">
        <is>
          <t>M2-RelStr</t>
        </is>
      </c>
      <c r="D3042" s="33" t="inlineStr">
        <is>
          <t>1</t>
        </is>
      </c>
      <c r="E3042" s="33" t="inlineStr">
        <is>
          <t>Mechanical re-measure 5-&gt;1 (pending Dom review). 126-trading-day return +33.5% vs SMH +59.6% = -26.1pp. Benchmark basis: layer default (no benchmark named in a prior audit row).</t>
        </is>
      </c>
      <c r="F3042" s="33" t="inlineStr">
        <is>
          <t>yfinance adjusted closes, 2026-10-06</t>
        </is>
      </c>
      <c r="G3042" s="33" t="inlineStr">
        <is>
          <t>High</t>
        </is>
      </c>
      <c r="H3042" s="33" t="inlineStr">
        <is>
          <t>Re-rate</t>
        </is>
      </c>
    </row>
    <row r="3043">
      <c r="A3043" s="33" t="inlineStr">
        <is>
          <t>2026-10-06</t>
        </is>
      </c>
      <c r="B3043" s="33" t="inlineStr">
        <is>
          <t>MSFT</t>
        </is>
      </c>
      <c r="C3043" s="33" t="inlineStr">
        <is>
          <t>M2-RelStr</t>
        </is>
      </c>
      <c r="D3043" s="33" t="inlineStr">
        <is>
          <t>5</t>
        </is>
      </c>
      <c r="E3043" s="33" t="inlineStr">
        <is>
          <t>Mechanical re-measure 1-&gt;5 (pending Dom review). 126-trading-day return +43.7% vs SPY +18.9% = +24.8pp. Benchmark basis: prior audit row for this name.</t>
        </is>
      </c>
      <c r="F3043" s="33" t="inlineStr">
        <is>
          <t>yfinance adjusted closes, 2026-10-06</t>
        </is>
      </c>
      <c r="G3043" s="33" t="inlineStr">
        <is>
          <t>High</t>
        </is>
      </c>
      <c r="H3043" s="33" t="inlineStr">
        <is>
          <t>Re-rate</t>
        </is>
      </c>
    </row>
    <row r="3044">
      <c r="A3044" s="33" t="inlineStr">
        <is>
          <t>2026-10-06</t>
        </is>
      </c>
      <c r="B3044" s="33" t="inlineStr">
        <is>
          <t>EME</t>
        </is>
      </c>
      <c r="C3044" s="33" t="inlineStr">
        <is>
          <t>M2-RelStr</t>
        </is>
      </c>
      <c r="D3044" s="33" t="inlineStr">
        <is>
          <t>3</t>
        </is>
      </c>
      <c r="E3044" s="33" t="inlineStr">
        <is>
          <t>Mechanical re-measure 4-&gt;3 (pending Dom review). 126-trading-day return +8.3% vs XLI +5.4% = +2.9pp. Benchmark basis: prior audit row for this name.</t>
        </is>
      </c>
      <c r="F3044" s="33" t="inlineStr">
        <is>
          <t>yfinance adjusted closes, 2026-10-06</t>
        </is>
      </c>
      <c r="G3044" s="33" t="inlineStr">
        <is>
          <t>High</t>
        </is>
      </c>
      <c r="H3044" s="33" t="inlineStr">
        <is>
          <t>Re-rate</t>
        </is>
      </c>
    </row>
    <row r="3045">
      <c r="A3045" s="33" t="inlineStr">
        <is>
          <t>2026-10-06</t>
        </is>
      </c>
      <c r="B3045" s="33" t="inlineStr">
        <is>
          <t>ALAB</t>
        </is>
      </c>
      <c r="C3045" s="33" t="inlineStr">
        <is>
          <t>M2-RelStr</t>
        </is>
      </c>
      <c r="D3045" s="33" t="inlineStr">
        <is>
          <t>5</t>
        </is>
      </c>
      <c r="E3045" s="33" t="inlineStr">
        <is>
          <t>Mechanical re-measure 3-&gt;5 (pending Dom review). 126-trading-day return +233.2% vs SMH +59.6% = +173.6pp. Benchmark basis: layer default (no benchmark named in a prior audit row).</t>
        </is>
      </c>
      <c r="F3045" s="33" t="inlineStr">
        <is>
          <t>yfinance adjusted closes, 2026-10-06</t>
        </is>
      </c>
      <c r="G3045" s="33" t="inlineStr">
        <is>
          <t>High</t>
        </is>
      </c>
      <c r="H3045" s="33" t="inlineStr">
        <is>
          <t>Re-rate</t>
        </is>
      </c>
    </row>
    <row r="3046">
      <c r="A3046" s="33" t="inlineStr">
        <is>
          <t>2026-10-06</t>
        </is>
      </c>
      <c r="B3046" s="33" t="inlineStr">
        <is>
          <t>PLTR</t>
        </is>
      </c>
      <c r="C3046" s="33" t="inlineStr">
        <is>
          <t>M2-RelStr</t>
        </is>
      </c>
      <c r="D3046" s="33" t="inlineStr">
        <is>
          <t>2</t>
        </is>
      </c>
      <c r="E3046" s="33" t="inlineStr">
        <is>
          <t>Mechanical re-measure 4-&gt;2 (pending Dom review). 126-trading-day return +28.5% vs IGV +38.6% = -10.1pp. Benchmark basis: prior audit row for this name.</t>
        </is>
      </c>
      <c r="F3046" s="33" t="inlineStr">
        <is>
          <t>yfinance adjusted closes, 2026-10-06</t>
        </is>
      </c>
      <c r="G3046" s="33" t="inlineStr">
        <is>
          <t>High</t>
        </is>
      </c>
      <c r="H3046" s="33" t="inlineStr">
        <is>
          <t>Re-rate</t>
        </is>
      </c>
    </row>
    <row r="3047">
      <c r="A3047" s="33" t="inlineStr">
        <is>
          <t>2026-10-06</t>
        </is>
      </c>
      <c r="B3047" s="33" t="inlineStr">
        <is>
          <t>VRT</t>
        </is>
      </c>
      <c r="C3047" s="33" t="inlineStr">
        <is>
          <t>M2-RelStr</t>
        </is>
      </c>
      <c r="D3047" s="33" t="inlineStr">
        <is>
          <t>2</t>
        </is>
      </c>
      <c r="E3047" s="33" t="inlineStr">
        <is>
          <t>Mechanical re-measure 4-&gt;2 (pending Dom review). 126-trading-day return -2.3% vs XLI +5.4% = -7.7pp. Benchmark basis: layer default (no benchmark named in a prior audit row).</t>
        </is>
      </c>
      <c r="F3047" s="33" t="inlineStr">
        <is>
          <t>yfinance adjusted closes, 2026-10-06</t>
        </is>
      </c>
      <c r="G3047" s="33" t="inlineStr">
        <is>
          <t>High</t>
        </is>
      </c>
      <c r="H3047" s="33" t="inlineStr">
        <is>
          <t>Re-rate</t>
        </is>
      </c>
    </row>
    <row r="3048">
      <c r="A3048" s="33" t="inlineStr">
        <is>
          <t>2026-10-06</t>
        </is>
      </c>
      <c r="B3048" s="33" t="inlineStr">
        <is>
          <t>RDDT</t>
        </is>
      </c>
      <c r="C3048" s="33" t="inlineStr">
        <is>
          <t>M2-RelStr</t>
        </is>
      </c>
      <c r="D3048" s="33" t="inlineStr">
        <is>
          <t>4</t>
        </is>
      </c>
      <c r="E3048" s="33" t="inlineStr">
        <is>
          <t>Mechanical re-measure 3-&gt;4 (pending Dom review). 126-trading-day return +6.0% vs XLC +0.3% = +5.7pp. Benchmark basis: layer default (no benchmark named in a prior audit row). Benchmark changed from IGV to XLC: ad-funded platform in the Communication Services sector, same basis as the Dom-approved META re-rate of 2026-09-28. Against IGV the gap would be -32.6pp (band 1).</t>
        </is>
      </c>
      <c r="F3048" s="33" t="inlineStr">
        <is>
          <t>yfinance adjusted closes, 2026-10-06</t>
        </is>
      </c>
      <c r="G3048" s="33" t="inlineStr">
        <is>
          <t>Med</t>
        </is>
      </c>
      <c r="H3048" s="33" t="inlineStr">
        <is>
          <t>Re-rate</t>
        </is>
      </c>
    </row>
    <row r="3049">
      <c r="A3049" s="33" t="inlineStr">
        <is>
          <t>2026-10-06</t>
        </is>
      </c>
      <c r="B3049" s="33" t="inlineStr">
        <is>
          <t>STX</t>
        </is>
      </c>
      <c r="C3049" s="33" t="inlineStr">
        <is>
          <t>M2-RelStr</t>
        </is>
      </c>
      <c r="D3049" s="33" t="inlineStr">
        <is>
          <t>4</t>
        </is>
      </c>
      <c r="E3049" s="33" t="inlineStr">
        <is>
          <t>Mechanical re-measure 5-&gt;4 (pending Dom review). 126-trading-day return +78.0% vs SMH +59.6% = +18.4pp. Benchmark basis: layer default (no benchmark named in a prior audit row).</t>
        </is>
      </c>
      <c r="F3049" s="33" t="inlineStr">
        <is>
          <t>yfinance adjusted closes, 2026-10-06</t>
        </is>
      </c>
      <c r="G3049" s="33" t="inlineStr">
        <is>
          <t>High</t>
        </is>
      </c>
      <c r="H3049" s="33" t="inlineStr">
        <is>
          <t>Re-rate</t>
        </is>
      </c>
    </row>
    <row r="3050">
      <c r="A3050" s="33" t="inlineStr">
        <is>
          <t>2026-10-06</t>
        </is>
      </c>
      <c r="B3050" s="33" t="inlineStr">
        <is>
          <t>SNPS</t>
        </is>
      </c>
      <c r="C3050" s="33" t="inlineStr">
        <is>
          <t>M2-RelStr</t>
        </is>
      </c>
      <c r="D3050" s="33" t="inlineStr">
        <is>
          <t>1</t>
        </is>
      </c>
      <c r="E3050" s="33" t="inlineStr">
        <is>
          <t>Mechanical re-measure 2-&gt;1 (pending Dom review). 126-trading-day return +23.4% vs SMH +59.6% = -36.2pp. Benchmark basis: layer default (no benchmark named in a prior audit row).</t>
        </is>
      </c>
      <c r="F3050" s="33" t="inlineStr">
        <is>
          <t>yfinance adjusted closes, 2026-10-06</t>
        </is>
      </c>
      <c r="G3050" s="33" t="inlineStr">
        <is>
          <t>High</t>
        </is>
      </c>
      <c r="H3050" s="33" t="inlineStr">
        <is>
          <t>Re-rate</t>
        </is>
      </c>
    </row>
    <row r="3051">
      <c r="A3051" s="33" t="inlineStr">
        <is>
          <t>2026-10-06</t>
        </is>
      </c>
      <c r="B3051" s="33" t="inlineStr">
        <is>
          <t>ORCL</t>
        </is>
      </c>
      <c r="C3051" s="33" t="inlineStr">
        <is>
          <t>M2-RelStr</t>
        </is>
      </c>
      <c r="D3051" s="33" t="inlineStr">
        <is>
          <t>2</t>
        </is>
      </c>
      <c r="E3051" s="33" t="inlineStr">
        <is>
          <t>Mechanical re-measure 1-&gt;2 (pending Dom review). 126-trading-day return +2.2% vs SPY +18.9% = -16.7pp. Benchmark basis: prior audit row for this name.</t>
        </is>
      </c>
      <c r="F3051" s="33" t="inlineStr">
        <is>
          <t>yfinance adjusted closes, 2026-10-06</t>
        </is>
      </c>
      <c r="G3051" s="33" t="inlineStr">
        <is>
          <t>High</t>
        </is>
      </c>
      <c r="H3051" s="33" t="inlineStr">
        <is>
          <t>Re-rate</t>
        </is>
      </c>
    </row>
    <row r="3052">
      <c r="A3052" s="33" t="inlineStr">
        <is>
          <t>2026-10-06</t>
        </is>
      </c>
      <c r="B3052" s="33" t="inlineStr">
        <is>
          <t>GOOGL</t>
        </is>
      </c>
      <c r="C3052" s="33" t="inlineStr">
        <is>
          <t>M2-RelStr</t>
        </is>
      </c>
      <c r="D3052" s="33" t="inlineStr">
        <is>
          <t>4</t>
        </is>
      </c>
      <c r="E3052" s="33" t="inlineStr">
        <is>
          <t>Mechanical re-measure 3-&gt;4 (pending Dom review). 126-trading-day return +13.3% vs XLC +0.3% = +13.0pp. Benchmark basis: prior audit row for this name. Benchmark changed from QQQ to XLC: ad-funded platform in the Communication Services sector, same basis as the Dom-approved META re-rate of 2026-09-28. Against QQQ the gap would be -16.3pp (band 2).</t>
        </is>
      </c>
      <c r="F3052" s="33" t="inlineStr">
        <is>
          <t>yfinance adjusted closes, 2026-10-06</t>
        </is>
      </c>
      <c r="G3052" s="33" t="inlineStr">
        <is>
          <t>Med</t>
        </is>
      </c>
      <c r="H3052" s="33" t="inlineStr">
        <is>
          <t>Re-rate</t>
        </is>
      </c>
    </row>
    <row r="3053">
      <c r="A3053" s="33" t="inlineStr">
        <is>
          <t>2026-10-06</t>
        </is>
      </c>
      <c r="B3053" s="33" t="inlineStr">
        <is>
          <t>TER</t>
        </is>
      </c>
      <c r="C3053" s="33" t="inlineStr">
        <is>
          <t>M2-RelStr</t>
        </is>
      </c>
      <c r="D3053" s="33" t="inlineStr">
        <is>
          <t>1</t>
        </is>
      </c>
      <c r="E3053" s="33" t="inlineStr">
        <is>
          <t>Mechanical re-measure 5-&gt;1 (pending Dom review). 126-trading-day return +36.8% vs SMH +59.6% = -22.8pp. Benchmark basis: prior audit row for this name.</t>
        </is>
      </c>
      <c r="F3053" s="33" t="inlineStr">
        <is>
          <t>yfinance adjusted closes, 2026-10-06</t>
        </is>
      </c>
      <c r="G3053" s="33" t="inlineStr">
        <is>
          <t>High</t>
        </is>
      </c>
      <c r="H3053" s="33" t="inlineStr">
        <is>
          <t>Re-rate</t>
        </is>
      </c>
    </row>
    <row r="3054">
      <c r="A3054" s="33" t="inlineStr">
        <is>
          <t>2026-10-06</t>
        </is>
      </c>
      <c r="B3054" s="33" t="inlineStr">
        <is>
          <t>GMED</t>
        </is>
      </c>
      <c r="C3054" s="33" t="inlineStr">
        <is>
          <t>M2-RelStr</t>
        </is>
      </c>
      <c r="D3054" s="33" t="inlineStr">
        <is>
          <t>2</t>
        </is>
      </c>
      <c r="E3054" s="33" t="inlineStr">
        <is>
          <t>Mechanical re-measure 3-&gt;2 (pending Dom review). 126-trading-day return -14.9% vs IHI -2.8% = -12.1pp. Benchmark basis: prior audit row for this name.</t>
        </is>
      </c>
      <c r="F3054" s="33" t="inlineStr">
        <is>
          <t>yfinance adjusted closes, 2026-10-06</t>
        </is>
      </c>
      <c r="G3054" s="33" t="inlineStr">
        <is>
          <t>High</t>
        </is>
      </c>
      <c r="H3054" s="33" t="inlineStr">
        <is>
          <t>Re-rate</t>
        </is>
      </c>
    </row>
    <row r="3055">
      <c r="A3055" s="33" t="inlineStr">
        <is>
          <t>2026-10-06</t>
        </is>
      </c>
      <c r="B3055" s="33" t="inlineStr">
        <is>
          <t>ONTO</t>
        </is>
      </c>
      <c r="C3055" s="33" t="inlineStr">
        <is>
          <t>M2-RelStr</t>
        </is>
      </c>
      <c r="D3055" s="33" t="inlineStr">
        <is>
          <t>2</t>
        </is>
      </c>
      <c r="E3055" s="33" t="inlineStr">
        <is>
          <t>Mechanical re-measure 5-&gt;2 (pending Dom review). 126-trading-day return +48.0% vs SMH +59.6% = -11.6pp. Benchmark basis: layer default (no benchmark named in a prior audit row).</t>
        </is>
      </c>
      <c r="F3055" s="33" t="inlineStr">
        <is>
          <t>yfinance adjusted closes, 2026-10-06</t>
        </is>
      </c>
      <c r="G3055" s="33" t="inlineStr">
        <is>
          <t>High</t>
        </is>
      </c>
      <c r="H3055" s="33" t="inlineStr">
        <is>
          <t>Re-rate</t>
        </is>
      </c>
    </row>
    <row r="3056">
      <c r="A3056" s="33" t="inlineStr">
        <is>
          <t>2026-10-06</t>
        </is>
      </c>
      <c r="B3056" s="33" t="inlineStr">
        <is>
          <t>FN</t>
        </is>
      </c>
      <c r="C3056" s="33" t="inlineStr">
        <is>
          <t>M2-RelStr</t>
        </is>
      </c>
      <c r="D3056" s="33" t="inlineStr">
        <is>
          <t>1</t>
        </is>
      </c>
      <c r="E3056" s="33" t="inlineStr">
        <is>
          <t>Mechanical re-measure 3-&gt;1 (pending Dom review). 126-trading-day return -15.2% vs SMH +59.6% = -74.8pp. Benchmark basis: layer default (no benchmark named in a prior audit row).</t>
        </is>
      </c>
      <c r="F3056" s="33" t="inlineStr">
        <is>
          <t>yfinance adjusted closes, 2026-10-06</t>
        </is>
      </c>
      <c r="G3056" s="33" t="inlineStr">
        <is>
          <t>High</t>
        </is>
      </c>
      <c r="H3056" s="33" t="inlineStr">
        <is>
          <t>Re-rate</t>
        </is>
      </c>
    </row>
    <row r="3057">
      <c r="A3057" s="33" t="inlineStr">
        <is>
          <t>2026-10-06</t>
        </is>
      </c>
      <c r="B3057" s="33" t="inlineStr">
        <is>
          <t>NVDA</t>
        </is>
      </c>
      <c r="C3057" s="33" t="inlineStr">
        <is>
          <t>R4-Reg</t>
        </is>
      </c>
      <c r="D3057" s="33" t="inlineStr">
        <is>
          <t>3</t>
        </is>
      </c>
      <c r="E3057" s="33" t="inlineStr">
        <is>
          <t>Re-rate 4-&gt;3 (pending Dom review; note Dom overrode 3-&gt;4 on 2026-05-18 because investigations had not become enforcement). New since then: DOJ opened an antitrust investigation into whether the ~$20B Groq licensing deal was structured to avoid Hart-Scott-Rodino merger review, with a formal information demand sent (Bloomberg / Axios 2026-09-10). A specific, active probe of a named transaction = band 3 (pending matter, not material to revenue); not band 2 because exposure is a deal-structure remedy or penalty, not the core business. Secondary sources only - no DOJ or company filing read.</t>
        </is>
      </c>
      <c r="F3057" s="33" t="inlineStr">
        <is>
          <t>Bloomberg 2026-09-10 (bloomberg.com/news/articles/2026-09-10/doj-probes-nvidia-s-license-deal-with-groq-on-antitrust-concerns); Axios 2026-09-10; news-log 2026-09-09/10</t>
        </is>
      </c>
      <c r="G3057" s="33" t="inlineStr">
        <is>
          <t>Med</t>
        </is>
      </c>
      <c r="H3057" s="33" t="inlineStr">
        <is>
          <t>Re-rate</t>
        </is>
      </c>
    </row>
    <row r="3058">
      <c r="A3058" s="33" t="inlineStr">
        <is>
          <t>2026-10-06</t>
        </is>
      </c>
      <c r="B3058" s="33" t="inlineStr">
        <is>
          <t>APH</t>
        </is>
      </c>
      <c r="C3058" s="33" t="inlineStr">
        <is>
          <t>M2-RelStr</t>
        </is>
      </c>
      <c r="D3058" s="33" t="inlineStr">
        <is>
          <t>1</t>
        </is>
      </c>
      <c r="E3058" s="33" t="inlineStr">
        <is>
          <t>Mechanical re-measure 2-&gt;1 (pending Dom review). 126-trading-day return +39.6% vs SMH +59.6%; unrounded gap is just beyond -20pp (band 1). Borderline: sits on the band-1/band-2 line. Benchmark basis: prior audit row (SOXX, mapped to SMH).</t>
        </is>
      </c>
      <c r="F3058" s="33" t="inlineStr">
        <is>
          <t>yfinance adjusted closes, 2026-10-06</t>
        </is>
      </c>
      <c r="G3058" s="33" t="inlineStr">
        <is>
          <t>Med</t>
        </is>
      </c>
      <c r="H3058" s="33" t="inlineStr">
        <is>
          <t>Re-rate</t>
        </is>
      </c>
    </row>
    <row r="3059">
      <c r="A3059" s="33" t="inlineStr">
        <is>
          <t>2026-10-06</t>
        </is>
      </c>
      <c r="B3059" s="33" t="inlineStr">
        <is>
          <t>GMED</t>
        </is>
      </c>
      <c r="C3059" s="33" t="inlineStr">
        <is>
          <t>M1-EPSRev</t>
        </is>
      </c>
      <c r="D3059" s="33" t="inlineStr">
        <is>
          <t>5</t>
        </is>
      </c>
      <c r="E3059" s="33" t="inlineStr">
        <is>
          <t>Re-rate 4-&gt;5 (pending Dom review). Q2 2026 beat-and-raise: FY2026 non-GAAP EPS guidance raised to $4.95-5.05 from $4.70-4.80; FY2026 consensus EPS $4.74 -&gt; $5.00 and FY2027 $5.15 -&gt; $5.40. Band 5 (multiple upward revisions, beat-and-raise). Revenue estimates flat.</t>
        </is>
      </c>
      <c r="F3059" s="33" t="inlineStr">
        <is>
          <t>8-K Ex-99.1 (Q2 2026); stockanalysis.com consensus; context-2026-10-06.md</t>
        </is>
      </c>
      <c r="G3059" s="33" t="inlineStr">
        <is>
          <t>Med</t>
        </is>
      </c>
      <c r="H3059" s="33" t="inlineStr">
        <is>
          <t>Re-rate</t>
        </is>
      </c>
    </row>
    <row r="3060">
      <c r="A3060" s="33" t="inlineStr">
        <is>
          <t>2026-10-06</t>
        </is>
      </c>
      <c r="B3060" s="33" t="inlineStr">
        <is>
          <t>PLTR</t>
        </is>
      </c>
      <c r="C3060" s="33" t="inlineStr">
        <is>
          <t>R1-CustConc</t>
        </is>
      </c>
      <c r="D3060" s="33" t="inlineStr">
        <is>
          <t>4</t>
        </is>
      </c>
      <c r="E3060" s="33" t="inlineStr">
        <is>
          <t>Re-rate 3-&gt;4 (pending Dom review). No customer exceeds 10% of revenue; top three = 16% (10-Q q/e 2026-06-30, Note 2 / Item 1A). The prior 3 ('top customer 25-40%') matches no filing fact. Literal band is 5; held to 4 under the government-customer convention because US government is 41.8% of revenue (across separately contracted agencies) and one customer is 27% of receivables.</t>
        </is>
      </c>
      <c r="F3060" s="33" t="inlineStr">
        <is>
          <t>10-Q q/e 2026-06-30 Note 2, Item 1A; context-2026-10-06.md</t>
        </is>
      </c>
      <c r="G3060" s="33" t="inlineStr">
        <is>
          <t>Med</t>
        </is>
      </c>
      <c r="H3060" s="33" t="inlineStr">
        <is>
          <t>Re-rate</t>
        </is>
      </c>
    </row>
    <row r="3061">
      <c r="A3061" s="33" t="inlineStr">
        <is>
          <t>2026-10-06</t>
        </is>
      </c>
      <c r="B3061" s="33" t="inlineStr">
        <is>
          <t>WDC</t>
        </is>
      </c>
      <c r="C3061" s="33" t="inlineStr">
        <is>
          <t>R1-CustConc</t>
        </is>
      </c>
      <c r="D3061" s="33" t="inlineStr">
        <is>
          <t>4</t>
        </is>
      </c>
      <c r="E3061" s="33" t="inlineStr">
        <is>
          <t>Re-rate 3-&gt;4 (pending Dom review). Top customer 16% of FY2026 revenue (next two 15% and 13%) = band 4 by the letter ('top customer 15-25%'). Counter-evidence, flagged: top-10 customers are 73% (68%, 55% in prior years), cloud is 89% of revenue, and concentration is rising; an explicit ruling may prefer 3.</t>
        </is>
      </c>
      <c r="F3061" s="33" t="inlineStr">
        <is>
          <t>10-K FY2026 (filed 2026-08-14) Item 7 / Item 1A; context-2026-10-06.md</t>
        </is>
      </c>
      <c r="G3061" s="33" t="inlineStr">
        <is>
          <t>Low-Med</t>
        </is>
      </c>
      <c r="H3061" s="33" t="inlineStr">
        <is>
          <t>Re-rate</t>
        </is>
      </c>
    </row>
    <row r="3062">
      <c r="A3062" s="33" t="inlineStr">
        <is>
          <t>2026-10-06</t>
        </is>
      </c>
      <c r="B3062" s="33" t="inlineStr">
        <is>
          <t>GOOGL</t>
        </is>
      </c>
      <c r="C3062" s="33" t="inlineStr">
        <is>
          <t>R3-BS</t>
        </is>
      </c>
      <c r="D3062" s="33" t="inlineStr">
        <is>
          <t>4</t>
        </is>
      </c>
      <c r="E3062" s="33" t="inlineStr">
        <is>
          <t>Re-rate 5-&gt;4 (pending Dom review). Band 5 requires 'strong FCF generation'; Q2 2026 FCF was -$5.9B and the capex guide ($195-205B) implies a negative second half. A further $25B of notes closed 2026-08-10; Q2 interest expense $1,278M vs $261M; buybacks zero. Of $242.5B 'cash', $80.0B is sale-restricted SpaceX equity, so net cash is ~$53B. Still net cash with well-spread maturities = band 4. Note Dom's 2026-06-12 strict-letter override to 5 rested on all three band-5 conditions being met; the FCF condition no longer is.</t>
        </is>
      </c>
      <c r="F3062" s="33" t="inlineStr">
        <is>
          <t>10-Q q/e 2026-06-30 (acc. 0001652044-26-000071) Note 3, MD&amp;A; 8-K acc. 0001193125-26-342390; context-2026-10-06.md</t>
        </is>
      </c>
      <c r="G3062" s="33" t="inlineStr">
        <is>
          <t>Med</t>
        </is>
      </c>
      <c r="H3062" s="33" t="inlineStr">
        <is>
          <t>Re-rate</t>
        </is>
      </c>
    </row>
    <row r="3063">
      <c r="A3063" s="33" t="inlineStr">
        <is>
          <t>2026-10-06</t>
        </is>
      </c>
      <c r="B3063" s="33" t="inlineStr">
        <is>
          <t>CRM</t>
        </is>
      </c>
      <c r="C3063" s="33" t="inlineStr">
        <is>
          <t>R3-BS</t>
        </is>
      </c>
      <c r="D3063" s="33" t="inlineStr">
        <is>
          <t>3</t>
        </is>
      </c>
      <c r="E3063" s="33" t="inlineStr">
        <is>
          <t>Re-rate 4-&gt;3 (pending Dom review). Debt $39.5B vs $14.5B at fiscal year-end (funded the buyback); net debt/EBITDA ~2.2x, ~2.6x after the cash purchases of Fin/Intercom ($3.6B) and Contentful ($1.5B) = band 3 (2-4x). The prior rationale cited 0.65x.</t>
        </is>
      </c>
      <c r="F3063" s="33" t="inlineStr">
        <is>
          <t>10-Q q/e 2026-07-31 debt and acquisition notes; context-2026-10-06.md</t>
        </is>
      </c>
      <c r="G3063" s="33" t="inlineStr">
        <is>
          <t>Med-High</t>
        </is>
      </c>
      <c r="H3063" s="33" t="inlineStr">
        <is>
          <t>Re-rate</t>
        </is>
      </c>
    </row>
    <row r="3064">
      <c r="A3064" s="33" t="inlineStr">
        <is>
          <t>2026-10-06</t>
        </is>
      </c>
      <c r="B3064" s="33" t="inlineStr">
        <is>
          <t>GMED</t>
        </is>
      </c>
      <c r="C3064" s="33" t="inlineStr">
        <is>
          <t>EPS YoY (objective)</t>
        </is>
      </c>
      <c r="E3064" s="33" t="inlineStr">
        <is>
          <t>Rule-15 blank: Q2 2026 GAAP EPS YoY -25.3% is dominated by prior-year one-time items - Q2 2025 net income of $202.8M included a $110.561M non-taxable Nevro bargain purchase gain and a $34.815M state valuation-allowance tax benefit (72% of it). Operating income rose 139.7% ($76.1M -&gt; $182.4M). No ex-item value substituted because the base also carried $40.4M merger and $19.9M restructuring costs.</t>
        </is>
      </c>
      <c r="F3064" s="33" t="inlineStr">
        <is>
          <t>10-Q filed 2026-08-06, Statements of Income, MD&amp;A 'Bargain Purchase Gain', Note 14; 8-K Ex-99.1</t>
        </is>
      </c>
      <c r="G3064" s="33" t="inlineStr">
        <is>
          <t>High</t>
        </is>
      </c>
      <c r="H3064" s="33" t="inlineStr">
        <is>
          <t>Objective refresh</t>
        </is>
      </c>
    </row>
    <row r="3065">
      <c r="A3065" s="33" t="inlineStr">
        <is>
          <t>2026-10-06</t>
        </is>
      </c>
      <c r="B3065" s="33" t="inlineStr">
        <is>
          <t>WDC</t>
        </is>
      </c>
      <c r="C3065" s="33" t="inlineStr">
        <is>
          <t>EPS YoY (objective)</t>
        </is>
      </c>
      <c r="E3065" s="33" t="inlineStr">
        <is>
          <t>Rule-15 blank (cell already blank; ruling recorded): fiscal Q4 2026 GAAP EPS $8.21 vs $0.67 (+1,125%) dominated by a $2,050M mark-to-market gain on the retained SanDisk stake this year and a $166M SanDisk loss plus $100M exchange costs last year. Stake fully disposed by 2026-07-03. Needs re-ruling each FY2027 quarter (base effect reverses).</t>
        </is>
      </c>
      <c r="F3065" s="33" t="inlineStr">
        <is>
          <t>8-K Ex-99.1 filed 2026-08-05 reconciliation; 10-K FY2026 Item 7</t>
        </is>
      </c>
      <c r="G3065" s="33" t="inlineStr">
        <is>
          <t>High</t>
        </is>
      </c>
      <c r="H3065" s="33" t="inlineStr">
        <is>
          <t>Objective refresh</t>
        </is>
      </c>
    </row>
    <row r="3066">
      <c r="A3066" s="33" t="inlineStr">
        <is>
          <t>2026-10-06</t>
        </is>
      </c>
      <c r="B3066" s="33" t="inlineStr">
        <is>
          <t>GOOGL</t>
        </is>
      </c>
      <c r="C3066" s="33" t="inlineStr">
        <is>
          <t>EPS YoY (objective)</t>
        </is>
      </c>
      <c r="E3066" s="33" t="inlineStr">
        <is>
          <t>Rule-15 blank (cell already blank; ruling recorded): Q2 2026 diluted EPS $9.11 vs $2.31 (+294%) - equity-securities gain of $99,031M is 71% of pre-tax income of $138,753M. Under the 300% withhold, so without this entry a refresh would write it back.</t>
        </is>
      </c>
      <c r="F3066" s="33" t="inlineStr">
        <is>
          <t>10-Q q/e 2026-06-30 (acc. 0001652044-26-000071) OI&amp;E table</t>
        </is>
      </c>
      <c r="G3066" s="33" t="inlineStr">
        <is>
          <t>High</t>
        </is>
      </c>
      <c r="H3066" s="33" t="inlineStr">
        <is>
          <t>Objective refresh</t>
        </is>
      </c>
    </row>
    <row r="3067">
      <c r="A3067" s="33" t="inlineStr">
        <is>
          <t>2026-10-06</t>
        </is>
      </c>
      <c r="B3067" s="33" t="inlineStr">
        <is>
          <t>(multi)</t>
        </is>
      </c>
      <c r="C3067" s="33" t="inlineStr">
        <is>
          <t>Review (no change)</t>
        </is>
      </c>
      <c r="D3067" s="33" t="inlineStr">
        <is>
          <t>-</t>
        </is>
      </c>
      <c r="E3067" s="33" t="inlineStr">
        <is>
          <t>2026-10-06 research passes, ratings held on the evidence: APP (R4=1, R5=4, D3=3, M1=2 all hold; new San Diego County action filed 2026-10-05 and Talbot v. AppLovin 3:26-cv-10584 already consistent with R4=1); GMED D1 held at 2 though disclosed robotics revenue is 3.3% of sales (literal band 1) - the 2026-08-02 L11 rating already rested on undisclosed pull-through, flagged for Dom; PLTR R2 held at 4 (5 arguable, low confidence); CRM D1=2 and R5=3 confirmed, R4 held; GOOGL D1=3 confirmed by a literal reading (10-15% est.), R4=2 held; WDC D2/D3 held.</t>
        </is>
      </c>
      <c r="F3067" s="33" t="inlineStr">
        <is>
          <t>per-stock/*/context-2026-10-06.md</t>
        </is>
      </c>
      <c r="G3067" s="33" t="inlineStr">
        <is>
          <t>Med</t>
        </is>
      </c>
      <c r="H3067" s="33" t="inlineStr">
        <is>
          <t>Review</t>
        </is>
      </c>
    </row>
    <row r="3068">
      <c r="A3068" s="33" t="inlineStr">
        <is>
          <t>2026-10-10</t>
        </is>
      </c>
      <c r="B3068" s="33" t="inlineStr">
        <is>
          <t>APP</t>
        </is>
      </c>
      <c r="C3068" s="33" t="inlineStr">
        <is>
          <t>D1-AIRev</t>
        </is>
      </c>
      <c r="D3068" s="33" t="inlineStr">
        <is>
          <t>3</t>
        </is>
      </c>
      <c r="E3068" s="33" t="inlineStr">
        <is>
          <t>Re-rate 5-&gt;3 (Dom-directed 2026-10-10: an ad platform with AI-based targeting should not rate above META). Applies the new ad-platform convention in the rubric: baseline 2, 3 when AI-attributable revenue or lift is quantified above ~10% of revenue, capped at 3 because ad revenue is AI-enabled, not AI-infrastructure-tied. APP qualifies for 3: substantially all revenue runs through the Axon model and Q2 2026 growth was model-driven yield (net revenue per installation +58%, installs -2%). The prior 5 ('~100% of revenue is the AI engine') read 'uses AI' as 'AI-infrastructure revenue'; META carries 3 on the same facts.</t>
        </is>
      </c>
      <c r="F3068" s="33" t="inlineStr">
        <is>
          <t>10-Q q/e 2026-06-30 MD&amp;A; rubric D1 ad-platform convention; Rating Audit META D1 2026-06-12</t>
        </is>
      </c>
      <c r="G3068" s="33" t="inlineStr">
        <is>
          <t>High</t>
        </is>
      </c>
      <c r="H3068" s="33" t="inlineStr">
        <is>
          <t>Re-rate</t>
        </is>
      </c>
    </row>
    <row r="3069">
      <c r="A3069" s="33" t="inlineStr">
        <is>
          <t>2026-10-10</t>
        </is>
      </c>
      <c r="B3069" s="33" t="inlineStr">
        <is>
          <t>APP</t>
        </is>
      </c>
      <c r="C3069" s="33" t="inlineStr">
        <is>
          <t>R4-Reg</t>
        </is>
      </c>
      <c r="D3069" s="33" t="inlineStr">
        <is>
          <t>1</t>
        </is>
      </c>
      <c r="E3069" s="33" t="inlineStr">
        <is>
          <t>HELD at 1; rationale refreshed. The 2026-09-07 row cited an active SEC probe. Validation 2026-10-10: the Q2 2026 10-Q names no SEC inquiry (generic investigations language only; no 'subpoena'), and no filing, SEC statement or press source confirming closure was found - the closure rests on a spoken CFO remark on the 2026-08-05 call. Treat SEC status as UNVERIFIED either way. The 1 now rests on: People v. AppLovin (San Diego County, filed 2026-10-05, seeks an injunction on data collection), Talbot v. AppLovin 3:26-cv-10584 (N.D. Cal., filed 2026-09-16) and Brownback 4:25-cv-02772 (pending).</t>
        </is>
      </c>
      <c r="F3069" s="33" t="inlineStr">
        <is>
          <t>10-Q q/e 2026-06-30 Legal Proceedings / risk factors; context-2026-10-06.md</t>
        </is>
      </c>
      <c r="G3069" s="33" t="inlineStr">
        <is>
          <t>Med</t>
        </is>
      </c>
      <c r="H3069" s="33" t="inlineStr">
        <is>
          <t>Review</t>
        </is>
      </c>
    </row>
    <row r="3070">
      <c r="A3070" s="33" t="inlineStr">
        <is>
          <t>2026-10-10</t>
        </is>
      </c>
      <c r="B3070" s="33" t="inlineStr">
        <is>
          <t>APP</t>
        </is>
      </c>
      <c r="C3070" s="33" t="inlineStr">
        <is>
          <t>R1-CustConc</t>
        </is>
      </c>
      <c r="D3070" s="33" t="inlineStr">
        <is>
          <t>4</t>
        </is>
      </c>
      <c r="E3070" s="33" t="inlineStr">
        <is>
          <t>HELD at 4, now evidenced. No single customer was 10% or more of revenue in 2024, 2023 or 2022 (FY2024 10-K note); FY2025 reported the same per secondary coverage (Zacks) - FY2025 10-K note not read directly. Literal band would be 5 (no customer &gt;15%). Held at 4 for distribution concentration the customer test does not capture: a significant amount of revenue is derived through Apple's App Store, Google Play and Meta, and the business is concentrated in mobile gaming (10-Q q/e 2026-06-30 risk factors). Flagged for Dom: 5 is the strict-letter reading.</t>
        </is>
      </c>
      <c r="F3070" s="33" t="inlineStr">
        <is>
          <t>FY2024 10-K concentration note (sec.gov app-20241231.htm); Zacks via TradingView; 10-Q q/e 2026-06-30 risk factors</t>
        </is>
      </c>
      <c r="G3070" s="33" t="inlineStr">
        <is>
          <t>Med</t>
        </is>
      </c>
      <c r="H3070" s="33" t="inlineStr">
        <is>
          <t>Review</t>
        </is>
      </c>
    </row>
    <row r="3071">
      <c r="A3071" s="33" t="inlineStr">
        <is>
          <t>2026-10-10</t>
        </is>
      </c>
      <c r="B3071" s="33" t="inlineStr">
        <is>
          <t>APP</t>
        </is>
      </c>
      <c r="C3071" s="33" t="inlineStr">
        <is>
          <t>D3-Moat</t>
        </is>
      </c>
      <c r="D3071" s="33" t="inlineStr">
        <is>
          <t>2</t>
        </is>
      </c>
      <c r="E3071" s="33" t="inlineStr">
        <is>
          <t>Re-rate 3-&gt;2 (Dom's call 2026-10-10: 'feels like the industry is catching up'). Band 2 = 'Weak moat. Losing share possible. Price-taker behavior.' Evidence for: share gains reported stalled (Edgewater 2026-09-23), Unity Vector growing, management said Axon model lifts were 'lighter than normal' and are not guaranteed each quarter, lost a TRO bid against Unity (2026-10-02), META shipping competing AI ad products. Evidence against, recorded as Claude's dissent: net revenue per installation +58% in Q2 2026 is pricing power, not price-taking; Claude leaned 3 until the Q3 print (~2026-11-11) shows whether share is actually being lost. Revisit then.</t>
        </is>
      </c>
      <c r="F3071" s="33" t="inlineStr">
        <is>
          <t>10-Q q/e 2026-06-30 MD&amp;A; context-2026-10-06.md</t>
        </is>
      </c>
      <c r="G3071" s="33" t="inlineStr">
        <is>
          <t>Med</t>
        </is>
      </c>
      <c r="H3071" s="33" t="inlineStr">
        <is>
          <t>Re-rate</t>
        </is>
      </c>
    </row>
    <row r="3072">
      <c r="A3072" s="33" t="inlineStr">
        <is>
          <t>2026-10-10</t>
        </is>
      </c>
      <c r="B3072" s="33" t="inlineStr">
        <is>
          <t>RDDT</t>
        </is>
      </c>
      <c r="C3072" s="33" t="inlineStr">
        <is>
          <t>Review (no change)</t>
        </is>
      </c>
      <c r="D3072" s="33" t="inlineStr">
        <is>
          <t>-</t>
        </is>
      </c>
      <c r="E3072" s="33" t="inlineStr">
        <is>
          <t>Refresh of the 2026-06-22 ratings (Dom asked; D3 Moat and R5 Disruption deliberately left as-is). All held, now evidenced: M1=5 (FY2026 consensus EPS $4.97 -&gt; $5.38 and FY2027 $6.47 -&gt; $7.07 over 90 days; revisions up-only in the last 30 days - yfinance 2026-10-10); M3=3 (routine exercise-and-sell, no open-market buying - context-2026-10-04.md); D4=3 (asset-light: purchases of property and equipment $1.1M in Q2 2026 against $804.9M revenue, while $234.6M went to buybacks - steady-state per the APP 2026-09-07 precedent, not band 1); D5=2 (data licensing is at most 5.4% of revenue and falling); R1=5 (top-10 customers ~25% of 2024 revenue, no customer &gt;10% in 2022-2023; FY2025 10-K note not read); R2=5 (US $638.1M of $804.9M = 79% of Q2 2026 revenue, no risk-geography leg); R3=5 (cash $2.79B vs debt $21M; FCF margin 37%). M2 re-measured 2026-10-09: +14.4% vs XLC -2.6% = +17.0pp (band 4); vs SPY -0.8pp (3), vs QQQ -8.8pp (2), vs IGV -36.5pp (1).</t>
        </is>
      </c>
      <c r="F3072" s="33" t="inlineStr">
        <is>
          <t>10-Q q/e 2026-06-30; FY2024 10-K via search; yfinance 2026-10-10; context-2026-10-04.md</t>
        </is>
      </c>
      <c r="G3072" s="33" t="inlineStr">
        <is>
          <t>Med</t>
        </is>
      </c>
      <c r="H3072" s="33" t="inlineStr">
        <is>
          <t>Review</t>
        </is>
      </c>
    </row>
    <row r="3073">
      <c r="A3073" s="33" t="inlineStr">
        <is>
          <t>2026-10-10</t>
        </is>
      </c>
      <c r="B3073" s="33" t="inlineStr">
        <is>
          <t>WDC</t>
        </is>
      </c>
      <c r="C3073" s="33" t="inlineStr">
        <is>
          <t>D1-AIRev</t>
        </is>
      </c>
      <c r="D3073" s="33" t="inlineStr">
        <is>
          <t>4</t>
        </is>
      </c>
      <c r="E3073" s="33" t="inlineStr">
        <is>
          <t>Re-rate 5-&gt;4 (Dom's call 2026-10-10). The 5 equated cloud revenue (89% of FY2026) with AI revenue - the rubric's named failure mode ('counting data center revenue as AI revenue'). WDC discloses no AI share; cloud exabyte demand is AI-driven in part and general cloud storage in part. Band 4 (25-50%, strong AI exposure that is a major growth driver) and consistent with STX at 4.</t>
        </is>
      </c>
      <c r="F3073" s="33" t="inlineStr">
        <is>
          <t>10-K FY2026 (filed 2026-08-14) Item 7: cloud 89% of revenue, +38%; context-2026-10-06.md</t>
        </is>
      </c>
      <c r="G3073" s="33" t="inlineStr">
        <is>
          <t>Med</t>
        </is>
      </c>
      <c r="H3073" s="33" t="inlineStr">
        <is>
          <t>Re-rate</t>
        </is>
      </c>
    </row>
    <row r="3074">
      <c r="A3074" s="33" t="inlineStr">
        <is>
          <t>2026-10-10</t>
        </is>
      </c>
      <c r="B3074" s="33" t="inlineStr">
        <is>
          <t>WDC</t>
        </is>
      </c>
      <c r="C3074" s="33" t="inlineStr">
        <is>
          <t>R1-CustConc</t>
        </is>
      </c>
      <c r="D3074" s="33" t="inlineStr">
        <is>
          <t>3</t>
        </is>
      </c>
      <c r="E3074" s="33" t="inlineStr">
        <is>
          <t>Re-rate 4-&gt;3 (Dom's call 2026-10-10; reverses the 2026-10-06 strict-letter 3-&gt;4). Top customer 16% is band 4 by the letter, but top three are 44%, top ten 73% (68%, 55% in prior years) and cloud is 89% of revenue - concentration is high and rising, and a handful of hyperscalers set the terms. Rated on the cluster, not the single largest name.</t>
        </is>
      </c>
      <c r="F3074" s="33" t="inlineStr">
        <is>
          <t>10-K FY2026 Item 7 and Item 1A; context-2026-10-06.md</t>
        </is>
      </c>
      <c r="G3074" s="33" t="inlineStr">
        <is>
          <t>Med</t>
        </is>
      </c>
      <c r="H3074" s="33" t="inlineStr">
        <is>
          <t>Re-rate</t>
        </is>
      </c>
    </row>
    <row r="3075">
      <c r="A3075" t="inlineStr">
        <is>
          <t>2026-10-10</t>
        </is>
      </c>
      <c r="B3075" t="inlineStr">
        <is>
          <t>WDC</t>
        </is>
      </c>
      <c r="C3075" t="inlineStr">
        <is>
          <t>R2-Geo</t>
        </is>
      </c>
      <c r="D3075" t="inlineStr">
        <is>
          <t>3</t>
        </is>
      </c>
      <c r="E3075" t="inlineStr">
        <is>
          <t>Re-rate 4-&gt;3 (Dom-approved 2026-10-10 after the 10-K check the 2026-09-07 row said was never run). Worst plausible shock: a China trade-policy or procurement action. Exposed: China $2,541M (20%) + Hong Kong $1,487M (12%) = 31% of FY2026 revenue by ship-to, with China alone up from $488M in FY2024. Two legs = band 3: (a) demand - &gt;25% of revenue shipped to a risk geography; (b) policy - the 10-K flags China's rare-earth export restrictions as critical to hard drive manufacturing, plus a Shenzhen facility. Not band 2: long-lived assets are Thailand $867M (35%) and Malaysia $443M (18%), which are not conflict-risk geographies under the rubric (FN, Thai manufacturing, carries 4). STX carries 4 on an unexamined rationale and needs the same check.</t>
        </is>
      </c>
      <c r="F3075" t="inlineStr">
        <is>
          <t>10-K FY2026 (filed 2026-08-14): geographic note (net revenue and long-lived assets by region), Item 1A, Item 2</t>
        </is>
      </c>
      <c r="G3075" t="inlineStr">
        <is>
          <t>Med-High</t>
        </is>
      </c>
      <c r="H3075" t="inlineStr">
        <is>
          <t>Re-rate</t>
        </is>
      </c>
    </row>
    <row r="3076">
      <c r="A3076" t="inlineStr">
        <is>
          <t>2026-10-10</t>
        </is>
      </c>
      <c r="B3076" t="inlineStr">
        <is>
          <t>WDC</t>
        </is>
      </c>
      <c r="C3076" t="inlineStr">
        <is>
          <t>D3-Moat</t>
        </is>
      </c>
      <c r="D3076" t="inlineStr">
        <is>
          <t>3</t>
        </is>
      </c>
      <c r="E3076" t="inlineStr">
        <is>
          <t>Re-rate 4-&gt;3 (Dom-approved 2026-10-10). Band 3 = 'modest moat; share roughly stable but pricing is competitive'. From the 10-K: the company describes its products as 'largely interchangeable with competitors' products' (Item 1A) - low switching costs; price per exabyte rose 8% on 'an improved pricing environment' (Item 7), i.e. shortage-driven, not differentiation; long-term agreements fix or formula-price volumes. HAMR drive not due until H1 2027 (Q4 FY26 call), behind STX, which carries 4 partly on its HAMR lead. For 4: in-house heads and media, three-supplier oligopoly, sold out for CY2026. The unverified Toshiba capacity report (Nikkei 2026-10-02) is NOT relied on - it appears nowhere in the 10-K.</t>
        </is>
      </c>
      <c r="F3076" t="inlineStr">
        <is>
          <t>10-K FY2026 Item 1, Item 1A, Item 7; context-2026-10-06.md</t>
        </is>
      </c>
      <c r="G3076" t="inlineStr">
        <is>
          <t>Med</t>
        </is>
      </c>
      <c r="H3076" t="inlineStr">
        <is>
          <t>Re-rate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2026-10-11T00:26:07Z</dcterms:modified>
  <cp:revision>0</cp:revision>
</cp:coreProperties>
</file>