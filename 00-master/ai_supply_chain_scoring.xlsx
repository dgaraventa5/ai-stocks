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ights" sheetId="2" state="visible" r:id="rId2"/>
    <sheet xmlns:r="http://schemas.openxmlformats.org/officeDocument/2006/relationships" name="Methodology" sheetId="3" state="visible" r:id="rId3"/>
    <sheet xmlns:r="http://schemas.openxmlformats.org/officeDocument/2006/relationships" name="Watchlist" sheetId="4" state="visible" r:id="rId4"/>
    <sheet xmlns:r="http://schemas.openxmlformats.org/officeDocument/2006/relationships"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0.0%"/>
    <numFmt numFmtId="165" formatCode="0.0\x"/>
    <numFmt numFmtId="166" formatCode="0.0\%"/>
    <numFmt numFmtId="167" formatCode="0.0"/>
    <numFmt numFmtId="168" formatCode="yyyy-mm-dd"/>
    <numFmt numFmtId="169" formatCode="yyyy-mm-dd h:mm:ss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8" fontId="0" fillId="0" borderId="0" pivotButton="0" quotePrefix="0" xfId="0"/>
    <xf numFmtId="169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  <row r="47">
      <c r="A47" s="33" t="inlineStr">
        <is>
          <t>P1 COHORT-RELATIVE SCORING (2026-07-02, rule 20): EV/EBITDA, FCF-Yield, P/S, ROIC, Gross Margin and FCF Margin are percentile-ranked WITHIN each top-level-layer cohort (min 8 non-null, else the absolute band above is the fallback). Live via recalc_watchlist.recalc(mode=percentile); Value Score (J) and Quality Score (O) are recalc-maintained values. See CLAUDE.md rule 20.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2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2026-07-16</t>
        </is>
      </c>
      <c r="E2" s="61" t="n">
        <v>46.48449</v>
      </c>
      <c r="F2" s="61" t="n">
        <v>256.017</v>
      </c>
      <c r="G2" s="62" t="n">
        <v>0.39</v>
      </c>
      <c r="H2" s="61" t="n">
        <v>24.010792</v>
      </c>
      <c r="I2" s="33">
        <f>IF(OR(E2="",R2="",R2&lt;=0,E2&lt;0),"",E2/R2)</f>
        <v/>
      </c>
      <c r="J2" s="63" t="n">
        <v>30.9</v>
      </c>
      <c r="K2" s="62" t="n">
        <v>7.67</v>
      </c>
      <c r="L2" s="62" t="n">
        <v>30.09</v>
      </c>
      <c r="M2" s="62" t="n">
        <v>9.369999999999999</v>
      </c>
      <c r="N2" s="61" t="n">
        <v>1.99</v>
      </c>
      <c r="O2" s="63" t="n">
        <v>67.09999999999999</v>
      </c>
      <c r="P2" s="62" t="n">
        <v>19.06</v>
      </c>
      <c r="Q2" s="62" t="n">
        <v>130.4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IFERROR((AVERAGE(T2,U2,V2,W2,X2)-1)*25,"")</f>
        <v/>
      </c>
      <c r="Z2" s="60" t="n">
        <v>5</v>
      </c>
      <c r="AA2" s="60" t="n">
        <v>5</v>
      </c>
      <c r="AB2" s="60" t="n">
        <v>3</v>
      </c>
      <c r="AC2" s="70" t="n">
        <v>56.7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IFERROR((AVERAGE(AE2,AF2,AG2,AH2,AL2)-1)*25,"")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2026-09-22</t>
        </is>
      </c>
      <c r="E3" s="61" t="n">
        <v>-44.341022</v>
      </c>
      <c r="F3" s="61" t="n">
        <v>22.2</v>
      </c>
      <c r="G3" s="62" t="n">
        <v>-28.77</v>
      </c>
      <c r="H3" s="61" t="n">
        <v>6.2543807</v>
      </c>
      <c r="I3" s="33">
        <f>IF(OR(E3="",R3="",R3&lt;=0,E3&lt;0),"",E3/R3)</f>
        <v/>
      </c>
      <c r="J3" s="63" t="n">
        <v>27.5</v>
      </c>
      <c r="K3" s="62" t="n">
        <v>-0.32</v>
      </c>
      <c r="L3" s="62" t="n">
        <v>67.42</v>
      </c>
      <c r="M3" s="62" t="n">
        <v>-179.91</v>
      </c>
      <c r="N3" s="61" t="n">
        <v>12.16</v>
      </c>
      <c r="O3" s="63" t="n">
        <v>54.4</v>
      </c>
      <c r="P3" s="62" t="n">
        <v>586.92</v>
      </c>
      <c r="Q3" s="62" t="n">
        <v>112.5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IFERROR((AVERAGE(T3,U3,V3,W3,X3)-1)*25,"")</f>
        <v/>
      </c>
      <c r="Z3" s="60" t="n">
        <v>5</v>
      </c>
      <c r="AA3" s="60" t="n">
        <v>5</v>
      </c>
      <c r="AB3" s="60" t="n">
        <v>2</v>
      </c>
      <c r="AC3" s="70" t="n">
        <v>46.7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2</v>
      </c>
      <c r="AF3" s="60" t="n">
        <v>5</v>
      </c>
      <c r="AG3" s="60" t="n">
        <v>1</v>
      </c>
      <c r="AH3" s="60" t="n">
        <v>4</v>
      </c>
      <c r="AI3" s="63">
        <f>IFERROR((AVERAGE(AE3,AF3,AG3,AH3,AL3)-1)*25,"")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2026-09-22</t>
        </is>
      </c>
      <c r="E4" s="61" t="n">
        <v>27.8064</v>
      </c>
      <c r="F4" s="61" t="n">
        <v>36.138</v>
      </c>
      <c r="G4" s="62" t="n">
        <v>2.99</v>
      </c>
      <c r="H4" s="61" t="n">
        <v>8.506925000000001</v>
      </c>
      <c r="I4" s="33">
        <f>IF(OR(E4="",R4="",R4&lt;=0,E4&lt;0),"",E4/R4)</f>
        <v/>
      </c>
      <c r="J4" s="63" t="n">
        <v>51.7</v>
      </c>
      <c r="K4" s="62" t="n">
        <v>21.07</v>
      </c>
      <c r="L4" s="62" t="n">
        <v>38.04</v>
      </c>
      <c r="M4" s="62" t="n">
        <v>25.47</v>
      </c>
      <c r="N4" s="61" t="n">
        <v>0.08</v>
      </c>
      <c r="O4" s="63" t="n">
        <v>80.5</v>
      </c>
      <c r="P4" s="62" t="n">
        <v>21.59</v>
      </c>
      <c r="Q4" s="62" t="n">
        <v>24.1</v>
      </c>
      <c r="R4" s="62" t="n">
        <v>53.5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IFERROR((AVERAGE(T4,U4,V4,W4,X4)-1)*25,"")</f>
        <v/>
      </c>
      <c r="Z4" s="60" t="n">
        <v>5</v>
      </c>
      <c r="AA4" s="60" t="n">
        <v>4</v>
      </c>
      <c r="AB4" s="60" t="n">
        <v>3</v>
      </c>
      <c r="AC4" s="70" t="n">
        <v>41.7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3</v>
      </c>
      <c r="AF4" s="60" t="n">
        <v>4</v>
      </c>
      <c r="AG4" s="60" t="n">
        <v>4</v>
      </c>
      <c r="AH4" s="60" t="n">
        <v>5</v>
      </c>
      <c r="AI4" s="63">
        <f>IFERROR((AVERAGE(AE4,AF4,AG4,AH4,AL4)-1)*25,"")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2026-07-16</t>
        </is>
      </c>
      <c r="E5" s="61" t="n">
        <v>42.11042</v>
      </c>
      <c r="F5" s="61" t="n">
        <v>80.111</v>
      </c>
      <c r="G5" s="62" t="n">
        <v>2.7</v>
      </c>
      <c r="H5" s="61" t="n">
        <v>7.071823</v>
      </c>
      <c r="I5" s="33">
        <f>IF(OR(E5="",R5="",R5&lt;=0,E5&lt;0),"",E5/R5)</f>
        <v/>
      </c>
      <c r="J5" s="63" t="n">
        <v>31.7</v>
      </c>
      <c r="K5" s="62" t="n">
        <v>7.22</v>
      </c>
      <c r="L5" s="62" t="n">
        <v>20.28</v>
      </c>
      <c r="M5" s="62" t="n">
        <v>19.11</v>
      </c>
      <c r="N5" s="61" t="n">
        <v>-1.76</v>
      </c>
      <c r="O5" s="63" t="n">
        <v>58</v>
      </c>
      <c r="P5" s="62" t="n">
        <v>8.68</v>
      </c>
      <c r="Q5" s="62" t="n">
        <v>16.3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IFERROR((AVERAGE(T5,U5,V5,W5,X5)-1)*25,"")</f>
        <v/>
      </c>
      <c r="Z5" s="60" t="n">
        <v>4</v>
      </c>
      <c r="AA5" s="60" t="n">
        <v>4</v>
      </c>
      <c r="AB5" s="60" t="n">
        <v>4</v>
      </c>
      <c r="AC5" s="70" t="n">
        <v>55.8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IFERROR((AVERAGE(AE5,AF5,AG5,AH5,AL5)-1)*25,"")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2026-09-07</t>
        </is>
      </c>
      <c r="E6" s="61" t="n">
        <v>6.5575776</v>
      </c>
      <c r="F6" s="61" t="n">
        <v>16.541</v>
      </c>
      <c r="G6" s="62" t="n">
        <v>2.28</v>
      </c>
      <c r="H6" s="61" t="n">
        <v>12.718278</v>
      </c>
      <c r="I6" s="33">
        <f>IF(OR(E6="",R6="",R6&lt;=0,E6&lt;0),"",E6/R6)</f>
        <v/>
      </c>
      <c r="J6" s="63" t="n">
        <v>60.3</v>
      </c>
      <c r="K6" s="62" t="n">
        <v>44.18</v>
      </c>
      <c r="L6" s="62" t="n">
        <v>72.56999999999999</v>
      </c>
      <c r="M6" s="62" t="n">
        <v>28.99</v>
      </c>
      <c r="N6" s="61" t="n">
        <v>-0.29</v>
      </c>
      <c r="O6" s="63" t="n">
        <v>86.8</v>
      </c>
      <c r="P6" s="62" t="n">
        <v>6.71</v>
      </c>
      <c r="Q6" s="62" t="n">
        <v>345.7</v>
      </c>
      <c r="R6" s="62" t="n">
        <v>1398.3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IFERROR((AVERAGE(T6,U6,V6,W6,X6)-1)*25,"")</f>
        <v/>
      </c>
      <c r="Z6" s="60" t="n">
        <v>5</v>
      </c>
      <c r="AA6" s="60" t="n">
        <v>5</v>
      </c>
      <c r="AB6" s="60" t="n">
        <v>3</v>
      </c>
      <c r="AC6" s="70" t="n">
        <v>71.7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IFERROR((AVERAGE(AE6,AF6,AG6,AH6,AL6)-1)*25,"")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2026-07-16</t>
        </is>
      </c>
      <c r="E7" s="33" t="n">
        <v>18.53563</v>
      </c>
      <c r="F7" s="33" t="n">
        <v>14.186</v>
      </c>
      <c r="G7" s="33" t="n">
        <v>1.26</v>
      </c>
      <c r="H7" s="33" t="n">
        <v>3.0102646</v>
      </c>
      <c r="I7" s="33">
        <f>IF(OR(E7="",R7="",R7&lt;=0,E7&lt;0),"",E7/R7)</f>
        <v/>
      </c>
      <c r="J7" s="66" t="n">
        <v>50.8</v>
      </c>
      <c r="K7" s="33" t="n">
        <v>3.56</v>
      </c>
      <c r="L7" s="33" t="n">
        <v>23.26</v>
      </c>
      <c r="M7" s="33" t="n">
        <v>3.81</v>
      </c>
      <c r="N7" s="33" t="n">
        <v>2.71</v>
      </c>
      <c r="O7" s="66" t="n">
        <v>44.3</v>
      </c>
      <c r="P7" s="33" t="n">
        <v>1.47</v>
      </c>
      <c r="Q7" s="33" t="n">
        <v>63.8</v>
      </c>
      <c r="R7" s="33" t="n"/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IFERROR((AVERAGE(T7,U7,V7,W7,X7)-1)*25,"")</f>
        <v/>
      </c>
      <c r="Z7" s="33" t="n">
        <v>3</v>
      </c>
      <c r="AA7" s="33" t="n">
        <v>2</v>
      </c>
      <c r="AB7" s="33" t="n">
        <v>3</v>
      </c>
      <c r="AC7" s="71" t="n">
        <v>40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IFERROR((AVERAGE(AE7,AF7,AG7,AH7,AL7)-1)*25,"")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2026-08-28</t>
        </is>
      </c>
      <c r="E8" s="33" t="n">
        <v>14.323011</v>
      </c>
      <c r="F8" s="33" t="n">
        <v>27.181</v>
      </c>
      <c r="G8" s="33" t="n">
        <v>2.27</v>
      </c>
      <c r="H8" s="33" t="n">
        <v>17.314228</v>
      </c>
      <c r="I8" s="33">
        <f>IF(OR(E8="",R8="",R8&lt;=0,E8&lt;0),"",E8/R8)</f>
        <v/>
      </c>
      <c r="J8" s="66" t="n">
        <v>69.90000000000001</v>
      </c>
      <c r="K8" s="33" t="n">
        <v>59.83</v>
      </c>
      <c r="L8" s="33" t="n">
        <v>74.67</v>
      </c>
      <c r="M8" s="33" t="n">
        <v>39.3</v>
      </c>
      <c r="N8" s="33" t="n">
        <v>-0.12</v>
      </c>
      <c r="O8" s="66" t="n">
        <v>92.5</v>
      </c>
      <c r="P8" s="33" t="n">
        <v>100.05</v>
      </c>
      <c r="Q8" s="33" t="n">
        <v>105.9</v>
      </c>
      <c r="R8" s="33" t="n">
        <v>125.9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IFERROR((AVERAGE(T8,U8,V8,W8,X8)-1)*25,"")</f>
        <v/>
      </c>
      <c r="Z8" s="33" t="n">
        <v>4</v>
      </c>
      <c r="AA8" s="33" t="n">
        <v>1</v>
      </c>
      <c r="AB8" s="33" t="n">
        <v>3</v>
      </c>
      <c r="AC8" s="71" t="n">
        <v>67.5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4</v>
      </c>
      <c r="AI8" s="66">
        <f>IFERROR((AVERAGE(AE8,AF8,AG8,AH8,AL8)-1)*25,"")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2026-07-16</t>
        </is>
      </c>
      <c r="E9" s="33" t="n">
        <v>37.20384</v>
      </c>
      <c r="F9" s="33" t="n">
        <v>108.796</v>
      </c>
      <c r="G9" s="33" t="n">
        <v>1.05</v>
      </c>
      <c r="H9" s="33" t="n">
        <v>21.808966</v>
      </c>
      <c r="I9" s="33">
        <f>IF(OR(E9="",R9="",R9&lt;=0,E9&lt;0),"",E9/R9)</f>
        <v/>
      </c>
      <c r="J9" s="66" t="n">
        <v>34.4</v>
      </c>
      <c r="K9" s="33" t="n">
        <v>7.66</v>
      </c>
      <c r="L9" s="33" t="n">
        <v>53.06</v>
      </c>
      <c r="M9" s="33" t="n">
        <v>22.89</v>
      </c>
      <c r="N9" s="33" t="n">
        <v>-1.14</v>
      </c>
      <c r="O9" s="66" t="n">
        <v>57.8</v>
      </c>
      <c r="P9" s="33" t="n">
        <v>13.64</v>
      </c>
      <c r="Q9" s="33" t="n">
        <v>37.8</v>
      </c>
      <c r="R9" s="33" t="n">
        <v>95.09999999999999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IFERROR((AVERAGE(T9,U9,V9,W9,X9)-1)*25,"")</f>
        <v/>
      </c>
      <c r="Z9" s="33" t="n">
        <v>5</v>
      </c>
      <c r="AA9" s="33" t="n">
        <v>5</v>
      </c>
      <c r="AB9" s="33" t="n">
        <v>3</v>
      </c>
      <c r="AC9" s="71" t="n">
        <v>72.5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IFERROR((AVERAGE(AE9,AF9,AG9,AH9,AL9)-1)*25,"")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2026-07-16</t>
        </is>
      </c>
      <c r="E10" s="33" t="n">
        <v>18.791712</v>
      </c>
      <c r="F10" s="33" t="n">
        <v>14.619</v>
      </c>
      <c r="G10" s="33" t="n">
        <v>-11.72</v>
      </c>
      <c r="H10" s="33" t="n">
        <v>3.6135166</v>
      </c>
      <c r="I10" s="33">
        <f>IF(OR(E10="",R10="",R10&lt;=0,E10&lt;0),"",E10/R10)</f>
        <v/>
      </c>
      <c r="J10" s="66" t="n">
        <v>41.3</v>
      </c>
      <c r="K10" s="33" t="n">
        <v>4</v>
      </c>
      <c r="L10" s="33" t="n">
        <v>47.26</v>
      </c>
      <c r="M10" s="33" t="n">
        <v>-42.36</v>
      </c>
      <c r="N10" s="33" t="n">
        <v>6.29</v>
      </c>
      <c r="O10" s="66" t="n">
        <v>39.2</v>
      </c>
      <c r="P10" s="33" t="n">
        <v>5.8</v>
      </c>
      <c r="Q10" s="33" t="n">
        <v>23.1</v>
      </c>
      <c r="R10" s="33" t="n">
        <v>-6.6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IFERROR((AVERAGE(T10,U10,V10,W10,X10)-1)*25,"")</f>
        <v/>
      </c>
      <c r="Z10" s="33" t="n">
        <v>3</v>
      </c>
      <c r="AA10" s="33" t="n">
        <v>4</v>
      </c>
      <c r="AB10" s="33" t="n">
        <v>3</v>
      </c>
      <c r="AC10" s="71" t="n">
        <v>59.2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IFERROR((AVERAGE(AE10,AF10,AG10,AH10,AL10)-1)*25,"")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2026-07-16</t>
        </is>
      </c>
      <c r="E11" s="33" t="n">
        <v>19.407837</v>
      </c>
      <c r="F11" s="33" t="n">
        <v>13.664</v>
      </c>
      <c r="G11" s="33" t="n">
        <v>-4.48</v>
      </c>
      <c r="H11" s="33" t="n">
        <v>3.2290244</v>
      </c>
      <c r="I11" s="33">
        <f>IF(OR(E11="",R11="",R11&lt;=0,E11&lt;0),"",E11/R11)</f>
        <v/>
      </c>
      <c r="J11" s="66" t="n">
        <v>49.5</v>
      </c>
      <c r="K11" s="33" t="n">
        <v>4.47</v>
      </c>
      <c r="L11" s="33" t="n">
        <v>47.24</v>
      </c>
      <c r="M11" s="33" t="n">
        <v>-14.45</v>
      </c>
      <c r="N11" s="33" t="n">
        <v>5.61</v>
      </c>
      <c r="O11" s="66" t="n">
        <v>43.9</v>
      </c>
      <c r="P11" s="33" t="n">
        <v>3.66</v>
      </c>
      <c r="Q11" s="33" t="n">
        <v>10.2</v>
      </c>
      <c r="R11" s="33" t="n">
        <v>9.300000000000001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IFERROR((AVERAGE(T11,U11,V11,W11,X11)-1)*25,"")</f>
        <v/>
      </c>
      <c r="Z11" s="33" t="n">
        <v>5</v>
      </c>
      <c r="AA11" s="33" t="n">
        <v>4</v>
      </c>
      <c r="AB11" s="33" t="n">
        <v>3</v>
      </c>
      <c r="AC11" s="71" t="n">
        <v>42.5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IFERROR((AVERAGE(AE11,AF11,AG11,AH11,AL11)-1)*25,"")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2026-07-16</t>
        </is>
      </c>
      <c r="E12" s="33" t="n">
        <v>17.590206</v>
      </c>
      <c r="F12" s="33" t="n">
        <v>11.553</v>
      </c>
      <c r="G12" s="33" t="n">
        <v>-3.36</v>
      </c>
      <c r="H12" s="33" t="n">
        <v>3.0048254</v>
      </c>
      <c r="I12" s="33">
        <f>IF(OR(E12="",R12="",R12&lt;=0,E12&lt;0),"",E12/R12)</f>
        <v/>
      </c>
      <c r="J12" s="66" t="n">
        <v>60.5</v>
      </c>
      <c r="K12" s="33" t="n">
        <v>4.2</v>
      </c>
      <c r="L12" s="33" t="n">
        <v>51.05</v>
      </c>
      <c r="M12" s="33" t="n">
        <v>-10.08</v>
      </c>
      <c r="N12" s="33" t="n">
        <v>5.41</v>
      </c>
      <c r="O12" s="66" t="n">
        <v>47.1</v>
      </c>
      <c r="P12" s="33" t="n">
        <v>3.87</v>
      </c>
      <c r="Q12" s="33" t="n">
        <v>11.3</v>
      </c>
      <c r="R12" s="33" t="n">
        <v>12.4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IFERROR((AVERAGE(T12,U12,V12,W12,X12)-1)*25,"")</f>
        <v/>
      </c>
      <c r="Z12" s="33" t="n">
        <v>4</v>
      </c>
      <c r="AA12" s="33" t="n">
        <v>3</v>
      </c>
      <c r="AB12" s="33" t="n">
        <v>3</v>
      </c>
      <c r="AC12" s="71" t="n">
        <v>31.7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IFERROR((AVERAGE(AE12,AF12,AG12,AH12,AL12)-1)*25,"")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2026-07-16</t>
        </is>
      </c>
      <c r="E13" s="33" t="n">
        <v>19.53631</v>
      </c>
      <c r="F13" s="33" t="n">
        <v>13.319</v>
      </c>
      <c r="G13" s="33" t="n">
        <v>-3.2</v>
      </c>
      <c r="H13" s="33" t="n">
        <v>3.5890577</v>
      </c>
      <c r="I13" s="33">
        <f>IF(OR(E13="",R13="",R13&lt;=0,E13&lt;0),"",E13/R13)</f>
        <v/>
      </c>
      <c r="J13" s="66" t="n">
        <v>44.6</v>
      </c>
      <c r="K13" s="33" t="n">
        <v>4.35</v>
      </c>
      <c r="L13" s="33" t="n">
        <v>48</v>
      </c>
      <c r="M13" s="33" t="n">
        <v>-11.49</v>
      </c>
      <c r="N13" s="33" t="n">
        <v>5.37</v>
      </c>
      <c r="O13" s="66" t="n">
        <v>47.1</v>
      </c>
      <c r="P13" s="33" t="n">
        <v>0.31</v>
      </c>
      <c r="Q13" s="33" t="n">
        <v>8</v>
      </c>
      <c r="R13" s="33" t="n">
        <v>1.6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IFERROR((AVERAGE(T13,U13,V13,W13,X13)-1)*25,"")</f>
        <v/>
      </c>
      <c r="Z13" s="33" t="n">
        <v>2</v>
      </c>
      <c r="AA13" s="33" t="n">
        <v>4</v>
      </c>
      <c r="AB13" s="33" t="n">
        <v>3</v>
      </c>
      <c r="AC13" s="71" t="n">
        <v>38.3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IFERROR((AVERAGE(AE13,AF13,AG13,AH13,AL13)-1)*25,"")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2026-07-16</t>
        </is>
      </c>
      <c r="E14" s="33" t="n">
        <v>20.293995</v>
      </c>
      <c r="F14" s="33" t="n">
        <v>21.198</v>
      </c>
      <c r="G14" s="33" t="n">
        <v>1.27</v>
      </c>
      <c r="H14" s="33" t="n">
        <v>6.6873193</v>
      </c>
      <c r="I14" s="33">
        <f>IF(OR(E14="",R14="",R14&lt;=0,E14&lt;0),"",E14/R14)</f>
        <v/>
      </c>
      <c r="J14" s="66" t="n">
        <v>46.9</v>
      </c>
      <c r="K14" s="33" t="n">
        <v>3.99</v>
      </c>
      <c r="L14" s="33" t="n">
        <v>61.4</v>
      </c>
      <c r="M14" s="33" t="n">
        <v>8.48</v>
      </c>
      <c r="N14" s="33" t="n">
        <v>7.23</v>
      </c>
      <c r="O14" s="66" t="n">
        <v>54.4</v>
      </c>
      <c r="P14" s="33" t="n">
        <v>9.359999999999999</v>
      </c>
      <c r="Q14" s="33" t="n">
        <v>7.3</v>
      </c>
      <c r="R14" s="33" t="n">
        <v>161.9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IFERROR((AVERAGE(T14,U14,V14,W14,X14)-1)*25,"")</f>
        <v/>
      </c>
      <c r="Z14" s="33" t="n">
        <v>4</v>
      </c>
      <c r="AA14" s="33" t="n">
        <v>3</v>
      </c>
      <c r="AB14" s="33" t="n">
        <v>3</v>
      </c>
      <c r="AC14" s="71" t="n">
        <v>35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IFERROR((AVERAGE(AE14,AF14,AG14,AH14,AL14)-1)*25,"")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2026-07-16</t>
        </is>
      </c>
      <c r="E15" s="33" t="n">
        <v>22.662706</v>
      </c>
      <c r="F15" s="33" t="n">
        <v>15.188</v>
      </c>
      <c r="G15" s="33" t="n">
        <v>-5.88</v>
      </c>
      <c r="H15" s="33" t="n">
        <v>4.033718</v>
      </c>
      <c r="I15" s="33">
        <f>IF(OR(E15="",R15="",R15&lt;=0,E15&lt;0),"",E15/R15)</f>
        <v/>
      </c>
      <c r="J15" s="66" t="n">
        <v>34.2</v>
      </c>
      <c r="K15" s="33" t="n">
        <v>3.62</v>
      </c>
      <c r="L15" s="33" t="n">
        <v>46.98</v>
      </c>
      <c r="M15" s="33" t="n">
        <v>-23.71</v>
      </c>
      <c r="N15" s="33" t="n">
        <v>5.55</v>
      </c>
      <c r="O15" s="66" t="n">
        <v>35.5</v>
      </c>
      <c r="P15" s="33" t="n">
        <v>-2.02</v>
      </c>
      <c r="Q15" s="33" t="n">
        <v>12</v>
      </c>
      <c r="R15" s="33" t="n">
        <v>6.7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IFERROR((AVERAGE(T15,U15,V15,W15,X15)-1)*25,"")</f>
        <v/>
      </c>
      <c r="Z15" s="33" t="n">
        <v>5</v>
      </c>
      <c r="AA15" s="33" t="n">
        <v>4</v>
      </c>
      <c r="AB15" s="33" t="n">
        <v>3</v>
      </c>
      <c r="AC15" s="71" t="n">
        <v>52.5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IFERROR((AVERAGE(AE15,AF15,AG15,AH15,AL15)-1)*25,"")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2026-07-16</t>
        </is>
      </c>
      <c r="E16" s="33" t="n">
        <v>17.190786</v>
      </c>
      <c r="F16" s="33" t="n">
        <v>12.712</v>
      </c>
      <c r="G16" s="33" t="n">
        <v>-5.93</v>
      </c>
      <c r="H16" s="33" t="n">
        <v>2.9392726</v>
      </c>
      <c r="I16" s="33">
        <f>IF(OR(E16="",R16="",R16&lt;=0,E16&lt;0),"",E16/R16)</f>
        <v/>
      </c>
      <c r="J16" s="66" t="n">
        <v>54.5</v>
      </c>
      <c r="K16" s="33" t="n">
        <v>4.26</v>
      </c>
      <c r="L16" s="33" t="n">
        <v>43.29</v>
      </c>
      <c r="M16" s="33" t="n">
        <v>-17.42</v>
      </c>
      <c r="N16" s="33" t="n">
        <v>5.22</v>
      </c>
      <c r="O16" s="66" t="n">
        <v>38.6</v>
      </c>
      <c r="P16" s="33" t="n">
        <v>4.59</v>
      </c>
      <c r="Q16" s="33" t="n">
        <v>10.8</v>
      </c>
      <c r="R16" s="33" t="n">
        <v>9.199999999999999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IFERROR((AVERAGE(T16,U16,V16,W16,X16)-1)*25,"")</f>
        <v/>
      </c>
      <c r="Z16" s="33" t="n">
        <v>4</v>
      </c>
      <c r="AA16" s="33" t="n">
        <v>3</v>
      </c>
      <c r="AB16" s="33" t="n">
        <v>3</v>
      </c>
      <c r="AC16" s="71" t="n">
        <v>33.3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IFERROR((AVERAGE(AE16,AF16,AG16,AH16,AL16)-1)*25,"")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2026-07-16</t>
        </is>
      </c>
      <c r="E17" s="33" t="n">
        <v>17.648733</v>
      </c>
      <c r="F17" s="33" t="n">
        <v>14.423</v>
      </c>
      <c r="G17" s="33" t="n">
        <v>-14.4</v>
      </c>
      <c r="H17" s="33" t="n">
        <v>3.3772376</v>
      </c>
      <c r="I17" s="33">
        <f>IF(OR(E17="",R17="",R17&lt;=0,E17&lt;0),"",E17/R17)</f>
        <v/>
      </c>
      <c r="J17" s="66" t="n">
        <v>49.3</v>
      </c>
      <c r="K17" s="33" t="n">
        <v>3.91</v>
      </c>
      <c r="L17" s="33" t="n">
        <v>45.93</v>
      </c>
      <c r="M17" s="33" t="n">
        <v>-48.63</v>
      </c>
      <c r="N17" s="33" t="n">
        <v>6.18</v>
      </c>
      <c r="O17" s="66" t="n">
        <v>33.9</v>
      </c>
      <c r="P17" s="33" t="n">
        <v>-1.42</v>
      </c>
      <c r="Q17" s="33" t="n">
        <v>2.9</v>
      </c>
      <c r="R17" s="33" t="n">
        <v>15.1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IFERROR((AVERAGE(T17,U17,V17,W17,X17)-1)*25,"")</f>
        <v/>
      </c>
      <c r="Z17" s="33" t="n">
        <v>4</v>
      </c>
      <c r="AA17" s="33" t="n">
        <v>3</v>
      </c>
      <c r="AB17" s="33" t="n">
        <v>3</v>
      </c>
      <c r="AC17" s="71" t="n">
        <v>38.3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IFERROR((AVERAGE(AE17,AF17,AG17,AH17,AL17)-1)*25,"")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2026-08-13</t>
        </is>
      </c>
      <c r="E18" s="33" t="n">
        <v>14.123626</v>
      </c>
      <c r="F18" s="33" t="n">
        <v>10.788</v>
      </c>
      <c r="G18" s="33" t="n">
        <v>4.59</v>
      </c>
      <c r="H18" s="33" t="n">
        <v>2.55762</v>
      </c>
      <c r="I18" s="33">
        <f>IF(OR(E18="",R18="",R18&lt;=0,E18&lt;0),"",E18/R18)</f>
        <v/>
      </c>
      <c r="J18" s="66" t="n">
        <v>71.59999999999999</v>
      </c>
      <c r="K18" s="33" t="n">
        <v>9.199999999999999</v>
      </c>
      <c r="L18" s="33" t="n">
        <v>38.31</v>
      </c>
      <c r="M18" s="33" t="n">
        <v>11.74</v>
      </c>
      <c r="N18" s="33" t="n">
        <v>3.02</v>
      </c>
      <c r="O18" s="66" t="n">
        <v>65.09999999999999</v>
      </c>
      <c r="P18" s="33" t="n">
        <v>8.92</v>
      </c>
      <c r="Q18" s="33" t="n">
        <v>-5.5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IFERROR((AVERAGE(T18,U18,V18,W18,X18)-1)*25,"")</f>
        <v/>
      </c>
      <c r="Z18" s="33" t="n">
        <v>4</v>
      </c>
      <c r="AA18" s="33" t="n">
        <v>1</v>
      </c>
      <c r="AB18" s="33" t="n">
        <v>3</v>
      </c>
      <c r="AC18" s="71" t="n">
        <v>35.8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IFERROR((AVERAGE(AE18,AF18,AG18,AH18,AL18)-1)*25,"")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2026-07-16</t>
        </is>
      </c>
      <c r="E19" s="33" t="n">
        <v>12.261007</v>
      </c>
      <c r="F19" s="33" t="n">
        <v>34.42</v>
      </c>
      <c r="G19" s="33" t="n">
        <v>4.74</v>
      </c>
      <c r="H19" s="33" t="n">
        <v>5.439562</v>
      </c>
      <c r="I19" s="33">
        <f>IF(OR(E19="",R19="",R19&lt;=0,E19&lt;0),"",E19/R19)</f>
        <v/>
      </c>
      <c r="J19" s="66" t="n">
        <v>49.5</v>
      </c>
      <c r="K19" s="33" t="n">
        <v>2.69</v>
      </c>
      <c r="L19" s="33" t="n">
        <v>40.14</v>
      </c>
      <c r="M19" s="33" t="n">
        <v>25.8</v>
      </c>
      <c r="N19" s="33" t="n">
        <v>8.859999999999999</v>
      </c>
      <c r="O19" s="66" t="n">
        <v>47.1</v>
      </c>
      <c r="P19" s="33" t="n">
        <v>13.95</v>
      </c>
      <c r="Q19" s="33" t="n">
        <v>96.7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IFERROR((AVERAGE(T19,U19,V19,W19,X19)-1)*25,"")</f>
        <v/>
      </c>
      <c r="Z19" s="33" t="n">
        <v>4</v>
      </c>
      <c r="AA19" s="33" t="n">
        <v>2</v>
      </c>
      <c r="AB19" s="33" t="n">
        <v>3</v>
      </c>
      <c r="AC19" s="71" t="n">
        <v>45.8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IFERROR((AVERAGE(AE19,AF19,AG19,AH19,AL19)-1)*25,"")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2026-07-16</t>
        </is>
      </c>
      <c r="E20" s="33" t="n">
        <v>11.557166</v>
      </c>
      <c r="F20" s="33" t="n">
        <v>22.958</v>
      </c>
      <c r="G20" s="33" t="n">
        <v>-1.27</v>
      </c>
      <c r="H20" s="33" t="n">
        <v>0.8648855</v>
      </c>
      <c r="I20" s="33">
        <f>IF(OR(E20="",R20="",R20&lt;=0,E20&lt;0),"",E20/R20)</f>
        <v/>
      </c>
      <c r="J20" s="66" t="n">
        <v>55.4</v>
      </c>
      <c r="K20" s="33" t="n">
        <v>5.62</v>
      </c>
      <c r="L20" s="33" t="n">
        <v>16.45</v>
      </c>
      <c r="M20" s="33" t="n">
        <v>-1.1</v>
      </c>
      <c r="N20" s="33" t="n">
        <v>10.27</v>
      </c>
      <c r="O20" s="66" t="n">
        <v>35.9</v>
      </c>
      <c r="P20" s="33" t="n">
        <v>-0.88</v>
      </c>
      <c r="Q20" s="33" t="n">
        <v>19.5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IFERROR((AVERAGE(T20,U20,V20,W20,X20)-1)*25,"")</f>
        <v/>
      </c>
      <c r="Z20" s="33" t="n">
        <v>5</v>
      </c>
      <c r="AA20" s="33" t="n">
        <v>1</v>
      </c>
      <c r="AB20" s="33" t="n">
        <v>3</v>
      </c>
      <c r="AC20" s="71" t="n">
        <v>20.8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IFERROR((AVERAGE(AE20,AF20,AG20,AH20,AL20)-1)*25,"")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2026-07-16</t>
        </is>
      </c>
      <c r="E21" s="33" t="n">
        <v>45.898533</v>
      </c>
      <c r="F21" s="33" t="n">
        <v>59.64</v>
      </c>
      <c r="G21" s="33" t="n">
        <v>1.73</v>
      </c>
      <c r="H21" s="33" t="n">
        <v>15.1</v>
      </c>
      <c r="I21" s="33">
        <f>IF(OR(E21="",R21="",R21&lt;=0,E21&lt;0),"",E21/R21)</f>
        <v/>
      </c>
      <c r="J21" s="66" t="n">
        <v>39.6</v>
      </c>
      <c r="K21" s="33" t="n">
        <v>5.16</v>
      </c>
      <c r="L21" s="33" t="n">
        <v>36.78</v>
      </c>
      <c r="M21" s="33" t="n">
        <v>26.05</v>
      </c>
      <c r="N21" s="33" t="n">
        <v>-0.11</v>
      </c>
      <c r="O21" s="66" t="n">
        <v>76</v>
      </c>
      <c r="P21" s="33" t="n">
        <v>23.07</v>
      </c>
      <c r="Q21" s="33" t="n">
        <v>7.1</v>
      </c>
      <c r="R21" s="33" t="n">
        <v>87.40000000000001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IFERROR((AVERAGE(T21,U21,V21,W21,X21)-1)*25,"")</f>
        <v/>
      </c>
      <c r="Z21" s="33" t="n">
        <v>4</v>
      </c>
      <c r="AA21" s="33" t="n">
        <v>2</v>
      </c>
      <c r="AB21" s="33" t="n">
        <v>3</v>
      </c>
      <c r="AC21" s="71" t="n">
        <v>39.2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IFERROR((AVERAGE(AE21,AF21,AG21,AH21,AL21)-1)*25,"")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2026-07-16</t>
        </is>
      </c>
      <c r="E22" s="33" t="n">
        <v>-93.299995</v>
      </c>
      <c r="F22" s="33" t="n">
        <v>-34.208</v>
      </c>
      <c r="G22" s="33" t="n">
        <v>-2.63</v>
      </c>
      <c r="H22" s="33" t="n">
        <v>226.42374</v>
      </c>
      <c r="I22" s="33">
        <f>IF(OR(E22="",R22="",R22&lt;=0,E22&lt;0),"",E22/R22)</f>
        <v/>
      </c>
      <c r="J22" s="66" t="n">
        <v>35.7</v>
      </c>
      <c r="K22" s="33" t="n">
        <v>-6.61</v>
      </c>
      <c r="L22" s="33" t="n">
        <v>0</v>
      </c>
      <c r="M22" s="33" t="n">
        <v>-595.22</v>
      </c>
      <c r="N22" s="33" t="n"/>
      <c r="O22" s="66" t="n">
        <v>8.699999999999999</v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IFERROR((AVERAGE(T22,U22,V22,W22,X22)-1)*25,"")</f>
        <v/>
      </c>
      <c r="Z22" s="33" t="n">
        <v>2</v>
      </c>
      <c r="AA22" s="33" t="n">
        <v>1</v>
      </c>
      <c r="AB22" s="33" t="n">
        <v>3</v>
      </c>
      <c r="AC22" s="71" t="n">
        <v>37.5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IFERROR((AVERAGE(AE22,AF22,AG22,AH22,AL22)-1)*25,"")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2026-07-16</t>
        </is>
      </c>
      <c r="E23" s="33" t="n">
        <v>37.29589</v>
      </c>
      <c r="F23" s="33" t="n">
        <v>64.435</v>
      </c>
      <c r="G23" s="33" t="n">
        <v>-2.12</v>
      </c>
      <c r="H23" s="33" t="n">
        <v>6.396812</v>
      </c>
      <c r="I23" s="33">
        <f>IF(OR(E23="",R23="",R23&lt;=0,E23&lt;0),"",E23/R23)</f>
        <v/>
      </c>
      <c r="J23" s="66" t="n">
        <v>26.1</v>
      </c>
      <c r="K23" s="33" t="n">
        <v>0.35</v>
      </c>
      <c r="L23" s="33" t="n">
        <v>25.67</v>
      </c>
      <c r="M23" s="33" t="n">
        <v>-13.58</v>
      </c>
      <c r="N23" s="33" t="n">
        <v>-20.16</v>
      </c>
      <c r="O23" s="66" t="n">
        <v>48.6</v>
      </c>
      <c r="P23" s="33" t="n">
        <v>15.16</v>
      </c>
      <c r="Q23" s="33" t="n">
        <v>4.9</v>
      </c>
      <c r="R23" s="33" t="n">
        <v>-63.2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IFERROR((AVERAGE(T23,U23,V23,W23,X23)-1)*25,"")</f>
        <v/>
      </c>
      <c r="Z23" s="33" t="n">
        <v>3</v>
      </c>
      <c r="AA23" s="33" t="n">
        <v>1</v>
      </c>
      <c r="AB23" s="33" t="n">
        <v>3</v>
      </c>
      <c r="AC23" s="71" t="n">
        <v>35.8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IFERROR((AVERAGE(AE23,AF23,AG23,AH23,AL23)-1)*25,"")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2026-07-16</t>
        </is>
      </c>
      <c r="E24" s="33" t="n">
        <v>33.46676</v>
      </c>
      <c r="F24" s="33" t="n">
        <v>37.502</v>
      </c>
      <c r="G24" s="33" t="n">
        <v>2.06</v>
      </c>
      <c r="H24" s="33" t="n">
        <v>4.7142534</v>
      </c>
      <c r="I24" s="33">
        <f>IF(OR(E24="",R24="",R24&lt;=0,E24&lt;0),"",E24/R24)</f>
        <v/>
      </c>
      <c r="J24" s="66" t="n">
        <v>38.3</v>
      </c>
      <c r="K24" s="33" t="n">
        <v>7.6</v>
      </c>
      <c r="L24" s="33" t="n">
        <v>22.66</v>
      </c>
      <c r="M24" s="33" t="n">
        <v>9.720000000000001</v>
      </c>
      <c r="N24" s="33" t="n">
        <v>3.24</v>
      </c>
      <c r="O24" s="66" t="n">
        <v>54.4</v>
      </c>
      <c r="P24" s="33" t="n">
        <v>12.73</v>
      </c>
      <c r="Q24" s="33" t="n">
        <v>26.1</v>
      </c>
      <c r="R24" s="33" t="n">
        <v>20.7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IFERROR((AVERAGE(T24,U24,V24,W24,X24)-1)*25,"")</f>
        <v/>
      </c>
      <c r="Z24" s="33" t="n">
        <v>4</v>
      </c>
      <c r="AA24" s="33" t="n">
        <v>3</v>
      </c>
      <c r="AB24" s="33" t="n">
        <v>3</v>
      </c>
      <c r="AC24" s="71" t="n">
        <v>21.7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IFERROR((AVERAGE(AE24,AF24,AG24,AH24,AL24)-1)*25,"")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2026-07-16</t>
        </is>
      </c>
      <c r="E25" s="33" t="n">
        <v>-10.66354</v>
      </c>
      <c r="F25" s="33" t="n">
        <v>-8.380000000000001</v>
      </c>
      <c r="G25" s="33" t="n">
        <v>-6.13</v>
      </c>
      <c r="H25" s="33" t="n">
        <v>141.63846</v>
      </c>
      <c r="I25" s="33">
        <f>IF(OR(E25="",R25="",R25&lt;=0,E25&lt;0),"",E25/R25)</f>
        <v/>
      </c>
      <c r="J25" s="66" t="n">
        <v>28.1</v>
      </c>
      <c r="K25" s="33" t="n">
        <v>-28.65</v>
      </c>
      <c r="L25" s="33" t="n">
        <v>23.84</v>
      </c>
      <c r="M25" s="33" t="n">
        <v>-867.59</v>
      </c>
      <c r="N25" s="33" t="n"/>
      <c r="O25" s="66" t="n">
        <v>11.6</v>
      </c>
      <c r="P25" s="33" t="n">
        <v>38.67</v>
      </c>
      <c r="Q25" s="33" t="n">
        <v>-95.8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IFERROR((AVERAGE(T25,U25,V25,W25,X25)-1)*25,"")</f>
        <v/>
      </c>
      <c r="Z25" s="33" t="n">
        <v>1</v>
      </c>
      <c r="AA25" s="33" t="n">
        <v>1</v>
      </c>
      <c r="AB25" s="33" t="n">
        <v>1</v>
      </c>
      <c r="AC25" s="71" t="n">
        <v>35.8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IFERROR((AVERAGE(AE25,AF25,AG25,AH25,AL25)-1)*25,"")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2026-07-16</t>
        </is>
      </c>
      <c r="E26" s="33" t="n">
        <v>-49.639904</v>
      </c>
      <c r="F26" s="33" t="n">
        <v>-29.339</v>
      </c>
      <c r="G26" s="33" t="n">
        <v>-2.12</v>
      </c>
      <c r="I26" s="33">
        <f>IF(OR(E26="",R26="",R26&lt;=0,E26&lt;0),"",E26/R26)</f>
        <v/>
      </c>
      <c r="J26" s="66" t="n">
        <v>47.5</v>
      </c>
      <c r="K26" s="33" t="n">
        <v>-5.21</v>
      </c>
      <c r="L26" s="33" t="n">
        <v>0</v>
      </c>
      <c r="N26" s="33" t="n"/>
      <c r="O26" s="66" t="n">
        <v>12.1</v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IFERROR((AVERAGE(T26,U26,V26,W26,X26)-1)*25,"")</f>
        <v/>
      </c>
      <c r="Z26" s="33" t="n">
        <v>3</v>
      </c>
      <c r="AA26" s="33" t="n">
        <v>1</v>
      </c>
      <c r="AB26" s="33" t="n">
        <v>3</v>
      </c>
      <c r="AC26" s="71" t="n">
        <v>28.3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IFERROR((AVERAGE(AE26,AF26,AG26,AH26,AL26)-1)*25,"")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2026-07-16</t>
        </is>
      </c>
      <c r="E27" s="33" t="n">
        <v>-14.294161</v>
      </c>
      <c r="F27" s="33" t="n">
        <v>-6.141</v>
      </c>
      <c r="G27" s="33" t="n">
        <v>-4.36</v>
      </c>
      <c r="I27" s="33">
        <f>IF(OR(E27="",R27="",R27&lt;=0,E27&lt;0),"",E27/R27)</f>
        <v/>
      </c>
      <c r="J27" s="66" t="n">
        <v>37.9</v>
      </c>
      <c r="K27" s="33" t="n">
        <v>-6.66</v>
      </c>
      <c r="L27" s="33" t="n">
        <v>0</v>
      </c>
      <c r="N27" s="33" t="n"/>
      <c r="O27" s="66" t="n">
        <v>9.1</v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IFERROR((AVERAGE(T27,U27,V27,W27,X27)-1)*25,"")</f>
        <v/>
      </c>
      <c r="Z27" s="33" t="n">
        <v>4</v>
      </c>
      <c r="AA27" s="33" t="n">
        <v>1</v>
      </c>
      <c r="AB27" s="33" t="n">
        <v>3</v>
      </c>
      <c r="AC27" s="71" t="n">
        <v>32.5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IFERROR((AVERAGE(AE27,AF27,AG27,AH27,AL27)-1)*25,"")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2026-07-16</t>
        </is>
      </c>
      <c r="E28" s="33" t="n">
        <v>11.6746235</v>
      </c>
      <c r="F28" s="33" t="n">
        <v>5.248</v>
      </c>
      <c r="G28" s="33" t="n">
        <v>13.12</v>
      </c>
      <c r="H28" s="33" t="n">
        <v>3.2996793</v>
      </c>
      <c r="I28" s="33">
        <f>IF(OR(E28="",R28="",R28&lt;=0,E28&lt;0),"",E28/R28)</f>
        <v/>
      </c>
      <c r="J28" s="66" t="n">
        <v>78.2</v>
      </c>
      <c r="K28" s="33" t="n">
        <v>7.96</v>
      </c>
      <c r="L28" s="33" t="n">
        <v>80.97</v>
      </c>
      <c r="M28" s="33" t="n">
        <v>43.28</v>
      </c>
      <c r="N28" s="33" t="n">
        <v>0.74</v>
      </c>
      <c r="O28" s="66" t="n">
        <v>91.8</v>
      </c>
      <c r="P28" s="33" t="n">
        <v>-11.72</v>
      </c>
      <c r="Q28" s="33" t="n">
        <v>49.9</v>
      </c>
      <c r="R28" s="33" t="n">
        <v>514.2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IFERROR((AVERAGE(T28,U28,V28,W28,X28)-1)*25,"")</f>
        <v/>
      </c>
      <c r="Z28" s="33" t="n">
        <v>2</v>
      </c>
      <c r="AA28" s="33" t="n">
        <v>1</v>
      </c>
      <c r="AB28" s="33" t="n">
        <v>3</v>
      </c>
      <c r="AC28" s="71" t="n">
        <v>31.7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IFERROR((AVERAGE(AE28,AF28,AG28,AH28,AL28)-1)*25,"")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2026-07-16</t>
        </is>
      </c>
      <c r="E29" s="33" t="n">
        <v>8.532415</v>
      </c>
      <c r="F29" s="33" t="n">
        <v>5.641</v>
      </c>
      <c r="G29" s="33" t="n">
        <v>9.529999999999999</v>
      </c>
      <c r="H29" s="33" t="n">
        <v>2.6593685</v>
      </c>
      <c r="I29" s="33">
        <f>IF(OR(E29="",R29="",R29&lt;=0,E29&lt;0),"",E29/R29)</f>
        <v/>
      </c>
      <c r="J29" s="66" t="n">
        <v>77.90000000000001</v>
      </c>
      <c r="K29" s="33" t="n">
        <v>12.19</v>
      </c>
      <c r="L29" s="33" t="n">
        <v>52.47</v>
      </c>
      <c r="M29" s="33" t="n">
        <v>25.35</v>
      </c>
      <c r="N29" s="33" t="n">
        <v>0.58</v>
      </c>
      <c r="O29" s="66" t="n">
        <v>88.59999999999999</v>
      </c>
      <c r="P29" s="33" t="n">
        <v>-17.55</v>
      </c>
      <c r="Q29" s="33" t="n">
        <v>26.1</v>
      </c>
      <c r="R29" s="33" t="n">
        <v>252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IFERROR((AVERAGE(T29,U29,V29,W29,X29)-1)*25,"")</f>
        <v/>
      </c>
      <c r="Z29" s="33" t="n">
        <v>4</v>
      </c>
      <c r="AA29" s="33" t="n">
        <v>1</v>
      </c>
      <c r="AB29" s="33" t="n">
        <v>3</v>
      </c>
      <c r="AC29" s="71" t="n">
        <v>48.3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IFERROR((AVERAGE(AE29,AF29,AG29,AH29,AL29)-1)*25,"")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2026-07-16</t>
        </is>
      </c>
      <c r="E30" s="33" t="n">
        <v>7.8461905</v>
      </c>
      <c r="F30" s="33" t="n"/>
      <c r="G30" s="33" t="n">
        <v>15.93</v>
      </c>
      <c r="H30" s="33" t="n">
        <v>1.8367643</v>
      </c>
      <c r="I30" s="33">
        <f>IF(OR(E30="",R30="",R30&lt;=0,E30&lt;0),"",E30/R30)</f>
        <v/>
      </c>
      <c r="J30" s="66" t="n">
        <v>86.8</v>
      </c>
      <c r="K30" s="33" t="n">
        <v>6.71</v>
      </c>
      <c r="L30" s="33" t="n">
        <v>67.23</v>
      </c>
      <c r="M30" s="33" t="n">
        <v>29.26</v>
      </c>
      <c r="N30" s="33" t="n"/>
      <c r="O30" s="66" t="n">
        <v>86.3</v>
      </c>
      <c r="P30" s="33" t="n">
        <v>-15.47</v>
      </c>
      <c r="Q30" s="33" t="n">
        <v>34.3</v>
      </c>
      <c r="R30" s="33" t="n">
        <v>157.4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IFERROR((AVERAGE(T30,U30,V30,W30,X30)-1)*25,"")</f>
        <v/>
      </c>
      <c r="Z30" s="33" t="n">
        <v>5</v>
      </c>
      <c r="AA30" s="33" t="n">
        <v>1</v>
      </c>
      <c r="AB30" s="33" t="n">
        <v>3</v>
      </c>
      <c r="AC30" s="71" t="n">
        <v>37.5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IFERROR((AVERAGE(AE30,AF30,AG30,AH30,AL30)-1)*25,"")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2026-07-16</t>
        </is>
      </c>
      <c r="E31" s="33" t="n">
        <v>10.431527</v>
      </c>
      <c r="F31" s="33" t="n">
        <v>3.224</v>
      </c>
      <c r="G31" s="33" t="n">
        <v>13.28</v>
      </c>
      <c r="H31" s="33" t="n">
        <v>1.6282187</v>
      </c>
      <c r="I31" s="33">
        <f>IF(OR(E31="",R31="",R31&lt;=0,E31&lt;0),"",E31/R31)</f>
        <v/>
      </c>
      <c r="J31" s="66" t="n">
        <v>82.8</v>
      </c>
      <c r="K31" s="33" t="n">
        <v>12.56</v>
      </c>
      <c r="L31" s="33" t="n">
        <v>47.95</v>
      </c>
      <c r="M31" s="33" t="n">
        <v>21.63</v>
      </c>
      <c r="N31" s="33" t="n">
        <v>0.38</v>
      </c>
      <c r="O31" s="66" t="n">
        <v>86.2</v>
      </c>
      <c r="P31" s="33" t="n">
        <v>2.13</v>
      </c>
      <c r="Q31" s="33" t="n">
        <v>41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IFERROR((AVERAGE(T31,U31,V31,W31,X31)-1)*25,"")</f>
        <v/>
      </c>
      <c r="Z31" s="33" t="n">
        <v>5</v>
      </c>
      <c r="AA31" s="33" t="n">
        <v>1</v>
      </c>
      <c r="AB31" s="33" t="n">
        <v>3</v>
      </c>
      <c r="AC31" s="71" t="n">
        <v>32.5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IFERROR((AVERAGE(AE31,AF31,AG31,AH31,AL31)-1)*25,"")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2026-07-16</t>
        </is>
      </c>
      <c r="E32" s="33" t="n">
        <v>-13.437501</v>
      </c>
      <c r="F32" s="33" t="n">
        <v>-6.186</v>
      </c>
      <c r="G32" s="33" t="n">
        <v>-22.27</v>
      </c>
      <c r="H32" s="33" t="n">
        <v>4.0545673</v>
      </c>
      <c r="I32" s="33">
        <f>IF(OR(E32="",R32="",R32&lt;=0,E32&lt;0),"",E32/R32)</f>
        <v/>
      </c>
      <c r="J32" s="66" t="n">
        <v>31.6</v>
      </c>
      <c r="K32" s="33" t="n">
        <v>-23.36</v>
      </c>
      <c r="L32" s="33" t="n">
        <v>-31.24</v>
      </c>
      <c r="M32" s="33" t="n">
        <v>-90.3</v>
      </c>
      <c r="N32" s="33" t="n"/>
      <c r="O32" s="66" t="n">
        <v>4.7</v>
      </c>
      <c r="P32" s="33" t="n">
        <v>0.4</v>
      </c>
      <c r="Q32" s="33" t="n">
        <v>22.3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IFERROR((AVERAGE(T32,U32,V32,W32,X32)-1)*25,"")</f>
        <v/>
      </c>
      <c r="Z32" s="33" t="n">
        <v>3</v>
      </c>
      <c r="AA32" s="33" t="n">
        <v>5</v>
      </c>
      <c r="AB32" s="33" t="n">
        <v>3</v>
      </c>
      <c r="AC32" s="71" t="n">
        <v>40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IFERROR((AVERAGE(AE32,AF32,AG32,AH32,AL32)-1)*25,"")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2026-07-16</t>
        </is>
      </c>
      <c r="E33" s="33" t="n">
        <v>19.032686</v>
      </c>
      <c r="F33" s="33" t="n">
        <v>19.079</v>
      </c>
      <c r="G33" s="33" t="n">
        <v>2.99</v>
      </c>
      <c r="H33" s="33" t="n">
        <v>2.637442</v>
      </c>
      <c r="I33" s="33">
        <f>IF(OR(E33="",R33="",R33&lt;=0,E33&lt;0),"",E33/R33)</f>
        <v/>
      </c>
      <c r="J33" s="66" t="n">
        <v>57.6</v>
      </c>
      <c r="K33" s="33" t="n">
        <v>11.7</v>
      </c>
      <c r="L33" s="33" t="n">
        <v>25.85</v>
      </c>
      <c r="M33" s="33" t="n">
        <v>7.88</v>
      </c>
      <c r="N33" s="33" t="n">
        <v>1.01</v>
      </c>
      <c r="O33" s="66" t="n">
        <v>67.09999999999999</v>
      </c>
      <c r="P33" s="33" t="n">
        <v>6.25</v>
      </c>
      <c r="Q33" s="33" t="n">
        <v>2.7</v>
      </c>
      <c r="R33" s="33" t="n">
        <v>-20.6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IFERROR((AVERAGE(T33,U33,V33,W33,X33)-1)*25,"")</f>
        <v/>
      </c>
      <c r="Z33" s="33" t="n">
        <v>5</v>
      </c>
      <c r="AA33" s="33" t="n">
        <v>5</v>
      </c>
      <c r="AB33" s="33" t="n">
        <v>3</v>
      </c>
      <c r="AC33" s="71" t="n">
        <v>49.2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IFERROR((AVERAGE(AE33,AF33,AG33,AH33,AL33)-1)*25,"")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2026-07-16</t>
        </is>
      </c>
      <c r="E34" s="33" t="n">
        <v>19.125917</v>
      </c>
      <c r="F34" s="33" t="n">
        <v>26.175</v>
      </c>
      <c r="G34" s="33" t="n">
        <v>2.61</v>
      </c>
      <c r="H34" s="33" t="n">
        <v>2.9306498</v>
      </c>
      <c r="I34" s="33">
        <f>IF(OR(E34="",R34="",R34&lt;=0,E34&lt;0),"",E34/R34)</f>
        <v/>
      </c>
      <c r="J34" s="66" t="n">
        <v>57.9</v>
      </c>
      <c r="K34" s="33" t="n">
        <v>7.06</v>
      </c>
      <c r="L34" s="33" t="n">
        <v>38.14</v>
      </c>
      <c r="M34" s="33" t="n">
        <v>7.65</v>
      </c>
      <c r="N34" s="33" t="n">
        <v>2.14</v>
      </c>
      <c r="O34" s="66" t="n">
        <v>61</v>
      </c>
      <c r="P34" s="33" t="n">
        <v>-2.67</v>
      </c>
      <c r="Q34" s="33" t="n">
        <v>12.4</v>
      </c>
      <c r="R34" s="33" t="n">
        <v>67.09999999999999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IFERROR((AVERAGE(T34,U34,V34,W34,X34)-1)*25,"")</f>
        <v/>
      </c>
      <c r="Z34" s="33" t="n">
        <v>5</v>
      </c>
      <c r="AA34" s="33" t="n">
        <v>5</v>
      </c>
      <c r="AB34" s="33" t="n">
        <v>3</v>
      </c>
      <c r="AC34" s="71" t="n">
        <v>46.7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IFERROR((AVERAGE(AE34,AF34,AG34,AH34,AL34)-1)*25,"")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2026-09-22</t>
        </is>
      </c>
      <c r="E35" s="33" t="n">
        <v>27.228678</v>
      </c>
      <c r="F35" s="33" t="n">
        <v>28.588</v>
      </c>
      <c r="G35" s="33" t="n">
        <v>2.21</v>
      </c>
      <c r="H35" s="33" t="n">
        <v>5.686708</v>
      </c>
      <c r="I35" s="33">
        <f>IF(OR(E35="",R35="",R35&lt;=0,E35&lt;0),"",E35/R35)</f>
        <v/>
      </c>
      <c r="J35" s="66" t="n">
        <v>33.4</v>
      </c>
      <c r="K35" s="33" t="n">
        <v>9.82</v>
      </c>
      <c r="L35" s="33" t="n">
        <v>36.02</v>
      </c>
      <c r="M35" s="33" t="n">
        <v>12.58</v>
      </c>
      <c r="N35" s="33" t="n">
        <v>3.11</v>
      </c>
      <c r="O35" s="66" t="n">
        <v>55.6</v>
      </c>
      <c r="P35" s="33" t="n">
        <v>9.77</v>
      </c>
      <c r="Q35" s="33" t="n">
        <v>21.4</v>
      </c>
      <c r="R35" s="33" t="n">
        <v>-16.4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IFERROR((AVERAGE(T35,U35,V35,W35,X35)-1)*25,"")</f>
        <v/>
      </c>
      <c r="Z35" s="33" t="n">
        <v>5</v>
      </c>
      <c r="AA35" s="33" t="n">
        <v>3</v>
      </c>
      <c r="AB35" s="33" t="n">
        <v>3</v>
      </c>
      <c r="AC35" s="71" t="n">
        <v>67.5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IFERROR((AVERAGE(AE35,AF35,AG35,AH35,AL35)-1)*25,"")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2026-10-05</t>
        </is>
      </c>
      <c r="E36" s="33" t="n">
        <v>21.811724</v>
      </c>
      <c r="F36" s="33" t="n">
        <v>20</v>
      </c>
      <c r="G36" s="33" t="n">
        <v>3.49</v>
      </c>
      <c r="H36" s="33" t="n">
        <v>3.67</v>
      </c>
      <c r="I36" s="33">
        <f>IF(OR(E36="",R36="",R36&lt;=0,E36&lt;0),"",E36/R36)</f>
        <v/>
      </c>
      <c r="J36" s="33" t="n">
        <v>69.8</v>
      </c>
      <c r="K36" s="33" t="n">
        <v>12.2</v>
      </c>
      <c r="L36" s="33" t="n">
        <v>42.12</v>
      </c>
      <c r="M36" s="33" t="n">
        <v>12.78</v>
      </c>
      <c r="N36" s="33" t="n">
        <v>1.91</v>
      </c>
      <c r="O36" s="33" t="n">
        <v>79</v>
      </c>
      <c r="P36" s="33" t="n">
        <v>5.52</v>
      </c>
      <c r="Q36" s="33" t="n">
        <v>9.800000000000001</v>
      </c>
      <c r="R36" s="33" t="n">
        <v>30.1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IFERROR((AVERAGE(T36,U36,V36,W36,X36)-1)*25,"")</f>
        <v/>
      </c>
      <c r="Z36" s="33" t="n">
        <v>4</v>
      </c>
      <c r="AA36" s="33" t="n">
        <v>4</v>
      </c>
      <c r="AB36" s="33" t="n">
        <v>3</v>
      </c>
      <c r="AC36" s="71" t="n">
        <v>71.7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3</v>
      </c>
      <c r="AH36" s="33" t="n">
        <v>4</v>
      </c>
      <c r="AI36" s="33">
        <f>IFERROR((AVERAGE(AE36,AF36,AG36,AH36,AL36)-1)*25,"")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2026-09-22</t>
        </is>
      </c>
      <c r="E37" s="33" t="n">
        <v>27.607628</v>
      </c>
      <c r="F37" s="33" t="n"/>
      <c r="G37" s="33" t="n">
        <v>2.27</v>
      </c>
      <c r="H37" s="33" t="n">
        <v>5.131644</v>
      </c>
      <c r="I37" s="33">
        <f>IF(OR(E37="",R37="",R37&lt;=0,E37&lt;0),"",E37/R37)</f>
        <v/>
      </c>
      <c r="J37" s="33" t="n">
        <v>32.2</v>
      </c>
      <c r="K37" s="33" t="n">
        <v>16.73</v>
      </c>
      <c r="L37" s="33" t="n">
        <v>40.25</v>
      </c>
      <c r="M37" s="33" t="n">
        <v>11.63</v>
      </c>
      <c r="N37" s="33" t="n">
        <v>0.46</v>
      </c>
      <c r="O37" s="33" t="n">
        <v>78.2</v>
      </c>
      <c r="P37" s="33" t="n">
        <v>4.1</v>
      </c>
      <c r="Q37" s="33" t="n">
        <v>14.2</v>
      </c>
      <c r="R37" s="33" t="n">
        <v>7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IFERROR((AVERAGE(T37,U37,V37,W37,X37)-1)*25,"")</f>
        <v/>
      </c>
      <c r="Z37" s="33" t="n">
        <v>5</v>
      </c>
      <c r="AA37" s="33" t="n">
        <v>5</v>
      </c>
      <c r="AB37" s="33" t="n">
        <v>3</v>
      </c>
      <c r="AC37" s="71" t="n">
        <v>54.2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IFERROR((AVERAGE(AE37,AF37,AG37,AH37,AL37)-1)*25,"")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2026-09-22</t>
        </is>
      </c>
      <c r="E38" s="33" t="n">
        <v>14.495968</v>
      </c>
      <c r="F38" s="33" t="n">
        <v>13.95</v>
      </c>
      <c r="G38" s="33" t="n"/>
      <c r="H38" s="33" t="n">
        <v>2.29</v>
      </c>
      <c r="I38" s="33">
        <f>IF(OR(E38="",R38="",R38&lt;=0,E38&lt;0),"",E38/R38)</f>
        <v/>
      </c>
      <c r="J38" s="33" t="n">
        <v>84.09999999999999</v>
      </c>
      <c r="K38" s="33" t="n">
        <v>9.800000000000001</v>
      </c>
      <c r="L38" s="33" t="n">
        <v>30.15</v>
      </c>
      <c r="M38" s="33" t="n">
        <v>11.46</v>
      </c>
      <c r="N38" s="33" t="n">
        <v>-0.47</v>
      </c>
      <c r="O38" s="33" t="n">
        <v>58</v>
      </c>
      <c r="P38" s="33" t="n">
        <v>-0.91</v>
      </c>
      <c r="Q38" s="33" t="n">
        <v>20</v>
      </c>
      <c r="R38" s="33" t="n">
        <v>-1.4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IFERROR((AVERAGE(T38,U38,V38,W38,X38)-1)*25,"")</f>
        <v/>
      </c>
      <c r="Z38" s="33" t="n">
        <v>4</v>
      </c>
      <c r="AA38" s="33" t="n">
        <v>2</v>
      </c>
      <c r="AB38" s="33" t="n">
        <v>3</v>
      </c>
      <c r="AC38" s="71" t="n">
        <v>59.2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IFERROR((AVERAGE(AE38,AF38,AG38,AH38,AL38)-1)*25,"")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2026-09-22</t>
        </is>
      </c>
      <c r="E39" s="33" t="n">
        <v>19.919985</v>
      </c>
      <c r="F39" s="33" t="n">
        <v>19.362</v>
      </c>
      <c r="G39" s="33" t="n">
        <v>3.74</v>
      </c>
      <c r="H39" s="33" t="n">
        <v>3.8753407</v>
      </c>
      <c r="I39" s="33">
        <f>IF(OR(E39="",R39="",R39&lt;=0,E39&lt;0),"",E39/R39)</f>
        <v/>
      </c>
      <c r="J39" s="33" t="n">
        <v>63</v>
      </c>
      <c r="K39" s="33" t="n">
        <v>10.07</v>
      </c>
      <c r="L39" s="33" t="n">
        <v>35.34</v>
      </c>
      <c r="M39" s="33" t="n">
        <v>14.48</v>
      </c>
      <c r="N39" s="33" t="n">
        <v>3.41</v>
      </c>
      <c r="O39" s="33" t="n">
        <v>60.1</v>
      </c>
      <c r="P39" s="33" t="n">
        <v>5.71</v>
      </c>
      <c r="Q39" s="33" t="n">
        <v>15.3</v>
      </c>
      <c r="R39" s="33" t="n">
        <v>-1.6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IFERROR((AVERAGE(T39,U39,V39,W39,X39)-1)*25,"")</f>
        <v/>
      </c>
      <c r="Z39" s="33" t="n">
        <v>4</v>
      </c>
      <c r="AA39" s="33" t="n">
        <v>2</v>
      </c>
      <c r="AB39" s="33" t="n">
        <v>3</v>
      </c>
      <c r="AC39" s="71" t="n">
        <v>35.8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3</v>
      </c>
      <c r="AH39" s="33" t="n">
        <v>4</v>
      </c>
      <c r="AI39" s="33">
        <f>IFERROR((AVERAGE(AE39,AF39,AG39,AH39,AL39)-1)*25,"")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2026-09-22</t>
        </is>
      </c>
      <c r="E40" s="33" t="n">
        <v>32.70693</v>
      </c>
      <c r="F40" s="33" t="n">
        <v>33.764</v>
      </c>
      <c r="G40" s="33" t="n">
        <v>2.47</v>
      </c>
      <c r="H40" s="33" t="n">
        <v>2.946179</v>
      </c>
      <c r="I40" s="33">
        <f>IF(OR(E40="",R40="",R40&lt;=0,E40&lt;0),"",E40/R40)</f>
        <v/>
      </c>
      <c r="J40" s="33" t="n">
        <v>56.4</v>
      </c>
      <c r="K40" s="33" t="n">
        <v>8.859999999999999</v>
      </c>
      <c r="L40" s="33" t="n">
        <v>15.46</v>
      </c>
      <c r="M40" s="33" t="n">
        <v>7.27</v>
      </c>
      <c r="N40" s="33" t="n">
        <v>2</v>
      </c>
      <c r="O40" s="33" t="n">
        <v>33.5</v>
      </c>
      <c r="P40" s="33" t="n">
        <v>18.6</v>
      </c>
      <c r="Q40" s="33" t="n">
        <v>41.1</v>
      </c>
      <c r="R40" s="33" t="n">
        <v>96.90000000000001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IFERROR((AVERAGE(T40,U40,V40,W40,X40)-1)*25,"")</f>
        <v/>
      </c>
      <c r="Z40" s="33" t="n">
        <v>5</v>
      </c>
      <c r="AA40" s="33" t="n">
        <v>5</v>
      </c>
      <c r="AB40" s="33" t="n">
        <v>3</v>
      </c>
      <c r="AC40" s="71" t="n">
        <v>58.3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IFERROR((AVERAGE(AE40,AF40,AG40,AH40,AL40)-1)*25,"")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2026-07-16</t>
        </is>
      </c>
      <c r="E41" s="33" t="n">
        <v>30.820137</v>
      </c>
      <c r="F41" s="33" t="n">
        <v>24.492</v>
      </c>
      <c r="G41" s="33" t="n">
        <v>0.95</v>
      </c>
      <c r="H41" s="33" t="n">
        <v>1.7624259</v>
      </c>
      <c r="I41" s="33">
        <f>IF(OR(E41="",R41="",R41&lt;=0,E41&lt;0),"",E41/R41)</f>
        <v/>
      </c>
      <c r="J41" s="33" t="n">
        <v>48.6</v>
      </c>
      <c r="K41" s="33" t="n">
        <v>8.93</v>
      </c>
      <c r="L41" s="33" t="n">
        <v>12.82</v>
      </c>
      <c r="M41" s="33" t="n">
        <v>1.68</v>
      </c>
      <c r="N41" s="33" t="n">
        <v>2.28</v>
      </c>
      <c r="O41" s="33" t="n">
        <v>25.2</v>
      </c>
      <c r="P41" s="33" t="n">
        <v>13.51</v>
      </c>
      <c r="Q41" s="33" t="n">
        <v>34.5</v>
      </c>
      <c r="R41" s="33" t="n">
        <v>514.4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IFERROR((AVERAGE(T41,U41,V41,W41,X41)-1)*25,"")</f>
        <v/>
      </c>
      <c r="Z41" s="33" t="n">
        <v>5</v>
      </c>
      <c r="AA41" s="33" t="n">
        <v>5</v>
      </c>
      <c r="AB41" s="33" t="n">
        <v>3</v>
      </c>
      <c r="AC41" s="71" t="n">
        <v>42.5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IFERROR((AVERAGE(AE41,AF41,AG41,AH41,AL41)-1)*25,"")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2026-07-16</t>
        </is>
      </c>
      <c r="E42" s="33" t="n">
        <v>34.29922</v>
      </c>
      <c r="F42" s="33" t="n">
        <v>34.71</v>
      </c>
      <c r="G42" s="33" t="n">
        <v>2.24</v>
      </c>
      <c r="H42" s="33" t="n">
        <v>7.588163</v>
      </c>
      <c r="I42" s="33">
        <f>IF(OR(E42="",R42="",R42&lt;=0,E42&lt;0),"",E42/R42)</f>
        <v/>
      </c>
      <c r="J42" s="33" t="n">
        <v>36.9</v>
      </c>
      <c r="K42" s="33" t="n">
        <v>22.63</v>
      </c>
      <c r="L42" s="33" t="n">
        <v>30.1</v>
      </c>
      <c r="M42" s="33" t="n">
        <v>17.01</v>
      </c>
      <c r="N42" s="33" t="n">
        <v>-2.34</v>
      </c>
      <c r="O42" s="33" t="n">
        <v>80.7</v>
      </c>
      <c r="P42" s="33" t="n">
        <v>27.52</v>
      </c>
      <c r="Q42" s="33" t="n">
        <v>6.5</v>
      </c>
      <c r="R42" s="33" t="n">
        <v>-1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IFERROR((AVERAGE(T42,U42,V42,W42,X42)-1)*25,"")</f>
        <v/>
      </c>
      <c r="Z42" s="33" t="n">
        <v>4</v>
      </c>
      <c r="AA42" s="33" t="n">
        <v>5</v>
      </c>
      <c r="AB42" s="33" t="n">
        <v>3</v>
      </c>
      <c r="AC42" s="71" t="n">
        <v>50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IFERROR((AVERAGE(AE42,AF42,AG42,AH42,AL42)-1)*25,"")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2026-07-16</t>
        </is>
      </c>
      <c r="E43" s="33" t="n">
        <v>26.77781</v>
      </c>
      <c r="F43" s="33" t="n">
        <v>28.517</v>
      </c>
      <c r="G43" s="33" t="n">
        <v>1.54</v>
      </c>
      <c r="H43" s="33" t="n">
        <v>5.74422</v>
      </c>
      <c r="I43" s="33">
        <f>IF(OR(E43="",R43="",R43&lt;=0,E43&lt;0),"",E43/R43)</f>
        <v/>
      </c>
      <c r="J43" s="33" t="n">
        <v>37.5</v>
      </c>
      <c r="K43" s="33" t="n">
        <v>10.66</v>
      </c>
      <c r="L43" s="33" t="n">
        <v>37.01</v>
      </c>
      <c r="M43" s="33" t="n">
        <v>8.83</v>
      </c>
      <c r="N43" s="33" t="n">
        <v>1.63</v>
      </c>
      <c r="O43" s="33" t="n">
        <v>63.1</v>
      </c>
      <c r="P43" s="33" t="n">
        <v>19.26</v>
      </c>
      <c r="Q43" s="33" t="n">
        <v>53.5</v>
      </c>
      <c r="R43" s="33" t="n">
        <v>-60.5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IFERROR((AVERAGE(T43,U43,V43,W43,X43)-1)*25,"")</f>
        <v/>
      </c>
      <c r="Z43" s="33" t="n">
        <v>5</v>
      </c>
      <c r="AA43" s="33" t="n">
        <v>5</v>
      </c>
      <c r="AB43" s="33" t="n">
        <v>3</v>
      </c>
      <c r="AC43" s="71" t="n">
        <v>65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IFERROR((AVERAGE(AE43,AF43,AG43,AH43,AL43)-1)*25,"")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2026-07-16</t>
        </is>
      </c>
      <c r="E44" s="33" t="n">
        <v>11.882862</v>
      </c>
      <c r="F44" s="33" t="n">
        <v>10.29</v>
      </c>
      <c r="G44" s="33" t="n">
        <v>5.87</v>
      </c>
      <c r="H44" s="33" t="n">
        <v>0.8591088</v>
      </c>
      <c r="I44" s="33">
        <f>IF(OR(E44="",R44="",R44&lt;=0,E44&lt;0),"",E44/R44)</f>
        <v/>
      </c>
      <c r="J44" s="33" t="n">
        <v>78.09999999999999</v>
      </c>
      <c r="K44" s="33" t="n">
        <v>4.92</v>
      </c>
      <c r="L44" s="33" t="n">
        <v>20.87</v>
      </c>
      <c r="M44" s="33" t="n">
        <v>5.04</v>
      </c>
      <c r="N44" s="33" t="n">
        <v>1.66</v>
      </c>
      <c r="O44" s="33" t="n">
        <v>31.2</v>
      </c>
      <c r="P44" s="33" t="n">
        <v>-10.03</v>
      </c>
      <c r="Q44" s="33" t="n">
        <v>4.2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IFERROR((AVERAGE(T44,U44,V44,W44,X44)-1)*25,"")</f>
        <v/>
      </c>
      <c r="Z44" s="33" t="n">
        <v>4</v>
      </c>
      <c r="AA44" s="33" t="n">
        <v>3</v>
      </c>
      <c r="AB44" s="33" t="n">
        <v>3</v>
      </c>
      <c r="AC44" s="71" t="n">
        <v>76.7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IFERROR((AVERAGE(AE44,AF44,AG44,AH44,AL44)-1)*25,"")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2026-07-16</t>
        </is>
      </c>
      <c r="E45" s="33" t="n">
        <v>66.56187</v>
      </c>
      <c r="F45" s="33" t="n">
        <v>27.955</v>
      </c>
      <c r="G45" s="33" t="n">
        <v>5.02</v>
      </c>
      <c r="H45" s="33" t="n">
        <v>10.345234</v>
      </c>
      <c r="I45" s="33">
        <f>IF(OR(E45="",R45="",R45&lt;=0,E45&lt;0),"",E45/R45)</f>
        <v/>
      </c>
      <c r="J45" s="33" t="n">
        <v>46</v>
      </c>
      <c r="K45" s="33" t="n">
        <v>2.11</v>
      </c>
      <c r="L45" s="33" t="n">
        <v>55.34</v>
      </c>
      <c r="M45" s="33" t="n">
        <v>51.92</v>
      </c>
      <c r="N45" s="33" t="n">
        <v>5.88</v>
      </c>
      <c r="O45" s="33" t="n">
        <v>52.6</v>
      </c>
      <c r="P45" s="33" t="n">
        <v>9.220000000000001</v>
      </c>
      <c r="Q45" s="33" t="n">
        <v>16.7</v>
      </c>
      <c r="R45" s="33" t="n">
        <v>63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IFERROR((AVERAGE(T45,U45,V45,W45,X45)-1)*25,"")</f>
        <v/>
      </c>
      <c r="Z45" s="33" t="n">
        <v>2</v>
      </c>
      <c r="AA45" s="33" t="n">
        <v>4</v>
      </c>
      <c r="AB45" s="33" t="n">
        <v>3</v>
      </c>
      <c r="AC45" s="71" t="n">
        <v>62.5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IFERROR((AVERAGE(AE45,AF45,AG45,AH45,AL45)-1)*25,"")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2026-07-16</t>
        </is>
      </c>
      <c r="E46" s="33" t="n">
        <v>52.24644</v>
      </c>
      <c r="F46" s="33" t="n">
        <v>28.38</v>
      </c>
      <c r="G46" s="33" t="n">
        <v>-1</v>
      </c>
      <c r="H46" s="33" t="n">
        <v>10.447793</v>
      </c>
      <c r="I46" s="33">
        <f>IF(OR(E46="",R46="",R46&lt;=0,E46&lt;0),"",E46/R46)</f>
        <v/>
      </c>
      <c r="J46" s="33" t="n">
        <v>23.8</v>
      </c>
      <c r="K46" s="33" t="n">
        <v>5.44</v>
      </c>
      <c r="L46" s="33" t="n">
        <v>51.61</v>
      </c>
      <c r="M46" s="33" t="n">
        <v>-10.48</v>
      </c>
      <c r="N46" s="33" t="n">
        <v>5.13</v>
      </c>
      <c r="O46" s="33" t="n">
        <v>32.2</v>
      </c>
      <c r="P46" s="33" t="n">
        <v>8.27</v>
      </c>
      <c r="Q46" s="33" t="n">
        <v>12.1</v>
      </c>
      <c r="R46" s="33" t="n">
        <v>21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IFERROR((AVERAGE(T46,U46,V46,W46,X46)-1)*25,"")</f>
        <v/>
      </c>
      <c r="Z46" s="33" t="n">
        <v>4</v>
      </c>
      <c r="AA46" s="33" t="n">
        <v>5</v>
      </c>
      <c r="AB46" s="33" t="n">
        <v>3</v>
      </c>
      <c r="AC46" s="71" t="n">
        <v>62.5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IFERROR((AVERAGE(AE46,AF46,AG46,AH46,AL46)-1)*25,"")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2026-07-16</t>
        </is>
      </c>
      <c r="E47" s="33" t="n">
        <v>45.502316</v>
      </c>
      <c r="F47" s="33" t="n">
        <v>22.861</v>
      </c>
      <c r="G47" s="33" t="n">
        <v>-1.94</v>
      </c>
      <c r="H47" s="33" t="n">
        <v>4.9958687</v>
      </c>
      <c r="I47" s="33">
        <f>IF(OR(E47="",R47="",R47&lt;=0,E47&lt;0),"",E47/R47)</f>
        <v/>
      </c>
      <c r="J47" s="33" t="n">
        <v>49.4</v>
      </c>
      <c r="K47" s="33" t="n">
        <v>7.06</v>
      </c>
      <c r="L47" s="33" t="n">
        <v>55.02</v>
      </c>
      <c r="M47" s="33" t="n">
        <v>-9.710000000000001</v>
      </c>
      <c r="N47" s="33" t="n">
        <v>7.95</v>
      </c>
      <c r="O47" s="33" t="n">
        <v>39</v>
      </c>
      <c r="P47" s="33" t="n">
        <v>10.58</v>
      </c>
      <c r="Q47" s="33" t="n">
        <v>21.6</v>
      </c>
      <c r="R47" s="33" t="n">
        <v>800.6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IFERROR((AVERAGE(T47,U47,V47,W47,X47)-1)*25,"")</f>
        <v/>
      </c>
      <c r="Z47" s="33" t="n">
        <v>4</v>
      </c>
      <c r="AA47" s="33" t="n">
        <v>5</v>
      </c>
      <c r="AB47" s="33" t="n">
        <v>3</v>
      </c>
      <c r="AC47" s="71" t="n">
        <v>60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IFERROR((AVERAGE(AE47,AF47,AG47,AH47,AL47)-1)*25,"")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2026-07-27</t>
        </is>
      </c>
      <c r="E48" s="33" t="n">
        <v>29.052223</v>
      </c>
      <c r="F48" s="33" t="n">
        <v>31.621</v>
      </c>
      <c r="G48" s="33" t="n">
        <v>3.55</v>
      </c>
      <c r="H48" s="33" t="n">
        <v>5.4231687</v>
      </c>
      <c r="I48" s="33">
        <f>IF(OR(E48="",R48="",R48&lt;=0,E48&lt;0),"",E48/R48)</f>
        <v/>
      </c>
      <c r="J48" s="33" t="n">
        <v>65.8</v>
      </c>
      <c r="K48" s="33" t="n">
        <v>38.78</v>
      </c>
      <c r="L48" s="33" t="n">
        <v>25.66</v>
      </c>
      <c r="M48" s="33" t="n">
        <v>19.24</v>
      </c>
      <c r="N48" s="33" t="n">
        <v>0.12</v>
      </c>
      <c r="O48" s="33" t="n">
        <v>73.59999999999999</v>
      </c>
      <c r="P48" s="33" t="n">
        <v>30.03</v>
      </c>
      <c r="Q48" s="33" t="n">
        <v>50.3</v>
      </c>
      <c r="R48" s="33" t="n">
        <v>91.90000000000001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IFERROR((AVERAGE(T48,U48,V48,W48,X48)-1)*25,"")</f>
        <v/>
      </c>
      <c r="Z48" s="33" t="n">
        <v>5</v>
      </c>
      <c r="AA48" s="33" t="n">
        <v>5</v>
      </c>
      <c r="AB48" s="33" t="n">
        <v>3</v>
      </c>
      <c r="AC48" s="71" t="n">
        <v>52.5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IFERROR((AVERAGE(AE48,AF48,AG48,AH48,AL48)-1)*25,"")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2026-08-07</t>
        </is>
      </c>
      <c r="E49" s="33" t="n">
        <v>22.335833</v>
      </c>
      <c r="F49" s="33" t="n">
        <v>17.726</v>
      </c>
      <c r="G49" s="33" t="n">
        <v>3.24</v>
      </c>
      <c r="H49" s="33" t="n">
        <v>1.9465939</v>
      </c>
      <c r="I49" s="33">
        <f>IF(OR(E49="",R49="",R49&lt;=0,E49&lt;0),"",E49/R49)</f>
        <v/>
      </c>
      <c r="J49" s="33" t="n">
        <v>79.7</v>
      </c>
      <c r="K49" s="33" t="n">
        <v>26.76</v>
      </c>
      <c r="L49" s="33" t="n">
        <v>19.43</v>
      </c>
      <c r="M49" s="33" t="n">
        <v>6.3</v>
      </c>
      <c r="N49" s="33" t="n">
        <v>-0.19</v>
      </c>
      <c r="O49" s="33" t="n">
        <v>60.2</v>
      </c>
      <c r="P49" s="33" t="n">
        <v>15.32</v>
      </c>
      <c r="Q49" s="33" t="n">
        <v>19.8</v>
      </c>
      <c r="R49" s="33" t="n">
        <v>33.6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IFERROR((AVERAGE(T49,U49,V49,W49,X49)-1)*25,"")</f>
        <v/>
      </c>
      <c r="Z49" s="33" t="n">
        <v>5</v>
      </c>
      <c r="AA49" s="33" t="n">
        <v>4</v>
      </c>
      <c r="AB49" s="33" t="n">
        <v>3</v>
      </c>
      <c r="AC49" s="71" t="n">
        <v>48.3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IFERROR((AVERAGE(AE49,AF49,AG49,AH49,AL49)-1)*25,"")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2026-07-16</t>
        </is>
      </c>
      <c r="E50" s="33" t="n">
        <v>19.965952</v>
      </c>
      <c r="F50" s="33" t="n">
        <v>27.789</v>
      </c>
      <c r="G50" s="33" t="n">
        <v>0.88</v>
      </c>
      <c r="H50" s="33" t="n">
        <v>3.7768185</v>
      </c>
      <c r="I50" s="33">
        <f>IF(OR(E50="",R50="",R50&lt;=0,E50&lt;0),"",E50/R50)</f>
        <v/>
      </c>
      <c r="J50" s="33" t="n">
        <v>56.7</v>
      </c>
      <c r="K50" s="33" t="n">
        <v>13.9</v>
      </c>
      <c r="L50" s="33" t="n">
        <v>23.02</v>
      </c>
      <c r="M50" s="33" t="n">
        <v>3.31</v>
      </c>
      <c r="N50" s="33" t="n">
        <v>1.13</v>
      </c>
      <c r="O50" s="33" t="n">
        <v>44.9</v>
      </c>
      <c r="P50" s="33" t="n">
        <v>11.45</v>
      </c>
      <c r="Q50" s="33" t="n">
        <v>47.5</v>
      </c>
      <c r="R50" s="33" t="n">
        <v>47.8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IFERROR((AVERAGE(T50,U50,V50,W50,X50)-1)*25,"")</f>
        <v/>
      </c>
      <c r="Z50" s="33" t="n">
        <v>4</v>
      </c>
      <c r="AA50" s="33" t="n">
        <v>5</v>
      </c>
      <c r="AB50" s="33" t="n">
        <v>3</v>
      </c>
      <c r="AC50" s="71" t="n">
        <v>50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IFERROR((AVERAGE(AE50,AF50,AG50,AH50,AL50)-1)*25,"")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2026-07-16</t>
        </is>
      </c>
      <c r="E51" s="33" t="n">
        <v>21.609526</v>
      </c>
      <c r="F51" s="33" t="n">
        <v>22.013</v>
      </c>
      <c r="G51" s="33" t="n">
        <v>2.93</v>
      </c>
      <c r="H51" s="33" t="n">
        <v>2.6333992</v>
      </c>
      <c r="I51" s="33">
        <f>IF(OR(E51="",R51="",R51&lt;=0,E51&lt;0),"",E51/R51)</f>
        <v/>
      </c>
      <c r="J51" s="33" t="n">
        <v>60.7</v>
      </c>
      <c r="K51" s="33" t="n">
        <v>5.33</v>
      </c>
      <c r="L51" s="33" t="n">
        <v>25.18</v>
      </c>
      <c r="M51" s="33" t="n">
        <v>7.71</v>
      </c>
      <c r="N51" s="33" t="n">
        <v>3.57</v>
      </c>
      <c r="O51" s="33" t="n">
        <v>35.1</v>
      </c>
      <c r="P51" s="33" t="n">
        <v>7.95</v>
      </c>
      <c r="Q51" s="33" t="n">
        <v>2.4</v>
      </c>
      <c r="R51" s="33" t="n">
        <v>-42.2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IFERROR((AVERAGE(T51,U51,V51,W51,X51)-1)*25,"")</f>
        <v/>
      </c>
      <c r="Z51" s="33" t="n">
        <v>3</v>
      </c>
      <c r="AA51" s="33" t="n">
        <v>4</v>
      </c>
      <c r="AB51" s="33" t="n">
        <v>3</v>
      </c>
      <c r="AC51" s="71" t="n">
        <v>58.3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IFERROR((AVERAGE(AE51,AF51,AG51,AH51,AL51)-1)*25,"")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2026-07-16</t>
        </is>
      </c>
      <c r="E52" s="33" t="n">
        <v>27.80246</v>
      </c>
      <c r="F52" s="33" t="n">
        <v>25.645</v>
      </c>
      <c r="G52" s="33" t="n">
        <v>2.99</v>
      </c>
      <c r="H52" s="33" t="n">
        <v>4.8605437</v>
      </c>
      <c r="I52" s="33">
        <f>IF(OR(E52="",R52="",R52&lt;=0,E52&lt;0),"",E52/R52)</f>
        <v/>
      </c>
      <c r="J52" s="33" t="n">
        <v>54.4</v>
      </c>
      <c r="K52" s="33" t="n">
        <v>20.78</v>
      </c>
      <c r="L52" s="33" t="n">
        <v>35.92</v>
      </c>
      <c r="M52" s="33" t="n">
        <v>14.52</v>
      </c>
      <c r="N52" s="33" t="n">
        <v>0.84</v>
      </c>
      <c r="O52" s="33" t="n">
        <v>69.09999999999999</v>
      </c>
      <c r="P52" s="33" t="n">
        <v>10.06</v>
      </c>
      <c r="Q52" s="33" t="n">
        <v>6</v>
      </c>
      <c r="R52" s="33" t="n">
        <v>-3.4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IFERROR((AVERAGE(T52,U52,V52,W52,X52)-1)*25,"")</f>
        <v/>
      </c>
      <c r="Z52" s="33" t="n">
        <v>5</v>
      </c>
      <c r="AA52" s="33" t="n">
        <v>3</v>
      </c>
      <c r="AB52" s="33" t="n">
        <v>3</v>
      </c>
      <c r="AC52" s="71" t="n">
        <v>61.7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IFERROR((AVERAGE(AE52,AF52,AG52,AH52,AL52)-1)*25,"")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2026-07-16</t>
        </is>
      </c>
      <c r="E53" s="33" t="n">
        <v>24.508263</v>
      </c>
      <c r="F53" s="33" t="n">
        <v>21.999</v>
      </c>
      <c r="G53" s="33" t="n">
        <v>1.58</v>
      </c>
      <c r="H53" s="33" t="n">
        <v>3.5273983</v>
      </c>
      <c r="I53" s="33">
        <f>IF(OR(E53="",R53="",R53&lt;=0,E53&lt;0),"",E53/R53)</f>
        <v/>
      </c>
      <c r="J53" s="33" t="n">
        <v>61.6</v>
      </c>
      <c r="K53" s="33" t="n">
        <v>10.59</v>
      </c>
      <c r="L53" s="33" t="n">
        <v>36.56</v>
      </c>
      <c r="M53" s="33" t="n">
        <v>5.59</v>
      </c>
      <c r="N53" s="33" t="n">
        <v>2.04</v>
      </c>
      <c r="O53" s="33" t="n">
        <v>50.2</v>
      </c>
      <c r="P53" s="33" t="n">
        <v>4.57</v>
      </c>
      <c r="Q53" s="33" t="n">
        <v>8.199999999999999</v>
      </c>
      <c r="R53" s="33" t="n">
        <v>28.2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IFERROR((AVERAGE(T53,U53,V53,W53,X53)-1)*25,"")</f>
        <v/>
      </c>
      <c r="Z53" s="33" t="n">
        <v>5</v>
      </c>
      <c r="AA53" s="33" t="n">
        <v>4</v>
      </c>
      <c r="AB53" s="33" t="n">
        <v>3</v>
      </c>
      <c r="AC53" s="71" t="n">
        <v>65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IFERROR((AVERAGE(AE53,AF53,AG53,AH53,AL53)-1)*25,"")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2026-07-16</t>
        </is>
      </c>
      <c r="E54" s="33" t="n">
        <v>31.550293</v>
      </c>
      <c r="F54" s="33" t="n"/>
      <c r="G54" s="33" t="n">
        <v>1.48</v>
      </c>
      <c r="H54" s="33" t="n"/>
      <c r="I54" s="33">
        <f>IF(OR(E54="",R54="",R54&lt;=0,E54&lt;0),"",E54/R54)</f>
        <v/>
      </c>
      <c r="J54" s="33" t="n">
        <v>45.3</v>
      </c>
      <c r="K54" s="33" t="n">
        <v>36.76</v>
      </c>
      <c r="L54" s="33" t="n">
        <v>0</v>
      </c>
      <c r="M54" s="33" t="n">
        <v>26.51</v>
      </c>
      <c r="N54" s="33" t="n"/>
      <c r="O54" s="33" t="n">
        <v>59.9</v>
      </c>
      <c r="P54" s="33" t="n">
        <v>15.55</v>
      </c>
      <c r="Q54" s="33" t="n">
        <v>13.2</v>
      </c>
      <c r="R54" s="33" t="n">
        <v>17.1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IFERROR((AVERAGE(T54,U54,V54,W54,X54)-1)*25,"")</f>
        <v/>
      </c>
      <c r="Z54" s="33" t="n">
        <v>4</v>
      </c>
      <c r="AA54" s="33" t="n">
        <v>2</v>
      </c>
      <c r="AB54" s="33" t="n">
        <v>3</v>
      </c>
      <c r="AC54" s="71" t="n">
        <v>65.8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IFERROR((AVERAGE(AE54,AF54,AG54,AH54,AL54)-1)*25,"")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2026-07-16</t>
        </is>
      </c>
      <c r="E55" s="33" t="n">
        <v>33.497116</v>
      </c>
      <c r="F55" s="33" t="n">
        <v>47.912</v>
      </c>
      <c r="G55" s="33" t="n">
        <v>1.2</v>
      </c>
      <c r="H55" s="33" t="n">
        <v>15.344393</v>
      </c>
      <c r="I55" s="33">
        <f>IF(OR(E55="",R55="",R55&lt;=0,E55&lt;0),"",E55/R55)</f>
        <v/>
      </c>
      <c r="J55" s="33" t="n">
        <v>37.6</v>
      </c>
      <c r="K55" s="33" t="n">
        <v>24.97</v>
      </c>
      <c r="L55" s="33" t="n">
        <v>48.96</v>
      </c>
      <c r="M55" s="33" t="n">
        <v>18.41</v>
      </c>
      <c r="N55" s="33" t="n">
        <v>-0.1</v>
      </c>
      <c r="O55" s="33" t="n">
        <v>75</v>
      </c>
      <c r="P55" s="33" t="n">
        <v>3.23</v>
      </c>
      <c r="Q55" s="33" t="n">
        <v>11.4</v>
      </c>
      <c r="R55" s="33" t="n">
        <v>31.3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IFERROR((AVERAGE(T55,U55,V55,W55,X55)-1)*25,"")</f>
        <v/>
      </c>
      <c r="Z55" s="33" t="n">
        <v>4</v>
      </c>
      <c r="AA55" s="33" t="n">
        <v>3</v>
      </c>
      <c r="AB55" s="33" t="n">
        <v>3</v>
      </c>
      <c r="AC55" s="71" t="n">
        <v>64.2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IFERROR((AVERAGE(AE55,AF55,AG55,AH55,AL55)-1)*25,"")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2026-07-16</t>
        </is>
      </c>
      <c r="E56" s="33" t="n">
        <v>39.714466</v>
      </c>
      <c r="F56" s="33" t="n">
        <v>51.017</v>
      </c>
      <c r="G56" s="33" t="n">
        <v>1.5</v>
      </c>
      <c r="H56" s="33" t="n">
        <v>18.512413</v>
      </c>
      <c r="I56" s="33">
        <f>IF(OR(E56="",R56="",R56&lt;=0,E56&lt;0),"",E56/R56)</f>
        <v/>
      </c>
      <c r="J56" s="33" t="n">
        <v>37</v>
      </c>
      <c r="K56" s="33" t="n">
        <v>40.98</v>
      </c>
      <c r="L56" s="33" t="n">
        <v>49.98</v>
      </c>
      <c r="M56" s="33" t="n">
        <v>27.7</v>
      </c>
      <c r="N56" s="33" t="n">
        <v>-0.13</v>
      </c>
      <c r="O56" s="33" t="n">
        <v>87</v>
      </c>
      <c r="P56" s="33" t="n">
        <v>2.29</v>
      </c>
      <c r="Q56" s="33" t="n">
        <v>23.8</v>
      </c>
      <c r="R56" s="33" t="n">
        <v>37.2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IFERROR((AVERAGE(T56,U56,V56,W56,X56)-1)*25,"")</f>
        <v/>
      </c>
      <c r="Z56" s="33" t="n">
        <v>5</v>
      </c>
      <c r="AA56" s="33" t="n">
        <v>4</v>
      </c>
      <c r="AB56" s="33" t="n">
        <v>3</v>
      </c>
      <c r="AC56" s="71" t="n">
        <v>56.7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IFERROR((AVERAGE(AE56,AF56,AG56,AH56,AL56)-1)*25,"")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2026-07-16</t>
        </is>
      </c>
      <c r="E57" s="33" t="n">
        <v>42.843193</v>
      </c>
      <c r="F57" s="33" t="n">
        <v>49.185</v>
      </c>
      <c r="G57" s="33" t="n">
        <v>1.4</v>
      </c>
      <c r="H57" s="33" t="n">
        <v>21.880201</v>
      </c>
      <c r="I57" s="33">
        <f>IF(OR(E57="",R57="",R57&lt;=0,E57&lt;0),"",E57/R57)</f>
        <v/>
      </c>
      <c r="J57" s="33" t="n">
        <v>23.2</v>
      </c>
      <c r="K57" s="33" t="n">
        <v>35.75</v>
      </c>
      <c r="L57" s="33" t="n">
        <v>61.45</v>
      </c>
      <c r="M57" s="33" t="n">
        <v>30.64</v>
      </c>
      <c r="N57" s="33" t="n">
        <v>0.2</v>
      </c>
      <c r="O57" s="33" t="n">
        <v>88</v>
      </c>
      <c r="P57" s="33" t="n">
        <v>9.69</v>
      </c>
      <c r="Q57" s="33" t="n">
        <v>11.5</v>
      </c>
      <c r="R57" s="33" t="n">
        <v>10.3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IFERROR((AVERAGE(T57,U57,V57,W57,X57)-1)*25,"")</f>
        <v/>
      </c>
      <c r="Z57" s="33" t="n">
        <v>5</v>
      </c>
      <c r="AA57" s="33" t="n">
        <v>2</v>
      </c>
      <c r="AB57" s="33" t="n">
        <v>3</v>
      </c>
      <c r="AC57" s="71" t="n">
        <v>60.8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IFERROR((AVERAGE(AE57,AF57,AG57,AH57,AL57)-1)*25,"")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2026-07-16</t>
        </is>
      </c>
      <c r="E58" s="33" t="n"/>
      <c r="F58" s="33" t="n">
        <v>43.59</v>
      </c>
      <c r="G58" s="33" t="n">
        <v>0.73</v>
      </c>
      <c r="H58" s="33" t="n">
        <v>12.81</v>
      </c>
      <c r="I58" s="33">
        <f>IF(OR(E58="",R58="",R58&lt;=0,E58&lt;0),"",E58/R58)</f>
        <v/>
      </c>
      <c r="J58" s="33" t="n">
        <v>38.9</v>
      </c>
      <c r="K58" s="33" t="n"/>
      <c r="L58" s="33" t="n">
        <v>45.34</v>
      </c>
      <c r="M58" s="33" t="n">
        <v>9.380000000000001</v>
      </c>
      <c r="N58" s="33" t="n">
        <v>-0.72</v>
      </c>
      <c r="O58" s="33" t="n">
        <v>61.2</v>
      </c>
      <c r="P58" s="33" t="n">
        <v>3.42</v>
      </c>
      <c r="Q58" s="33" t="n">
        <v>8.6</v>
      </c>
      <c r="R58" s="33" t="n">
        <v>49.9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IFERROR((AVERAGE(T58,U58,V58,W58,X58)-1)*25,"")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IFERROR((AVERAGE(AE58,AF58,AG58,AH58,AL58)-1)*25,"")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2026-09-18</t>
        </is>
      </c>
      <c r="E59" s="33" t="n">
        <v>31.87908</v>
      </c>
      <c r="F59" s="33" t="n">
        <v>36.541</v>
      </c>
      <c r="G59" s="33" t="n">
        <v>1.38</v>
      </c>
      <c r="H59" s="33" t="n">
        <v>13.009743</v>
      </c>
      <c r="I59" s="33">
        <f>IF(OR(E59="",R59="",R59&lt;=0,E59&lt;0),"",E59/R59)</f>
        <v/>
      </c>
      <c r="J59" s="33" t="n">
        <v>48.5</v>
      </c>
      <c r="K59" s="33" t="n">
        <v>31.27</v>
      </c>
      <c r="L59" s="33" t="n">
        <v>59.24</v>
      </c>
      <c r="M59" s="33" t="n">
        <v>17.92</v>
      </c>
      <c r="N59" s="33" t="n">
        <v>-0.17</v>
      </c>
      <c r="O59" s="33" t="n">
        <v>79.40000000000001</v>
      </c>
      <c r="P59" s="33" t="n">
        <v>0.37</v>
      </c>
      <c r="Q59" s="33" t="n">
        <v>103.9</v>
      </c>
      <c r="R59" s="33" t="n">
        <v>303.4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IFERROR((AVERAGE(T59,U59,V59,W59,X59)-1)*25,"")</f>
        <v/>
      </c>
      <c r="Z59" s="33" t="n">
        <v>5</v>
      </c>
      <c r="AA59" s="33" t="n">
        <v>5</v>
      </c>
      <c r="AB59" s="33" t="n">
        <v>3</v>
      </c>
      <c r="AC59" s="71" t="n">
        <v>60.8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IFERROR((AVERAGE(AE59,AF59,AG59,AH59,AL59)-1)*25,"")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2026-07-16</t>
        </is>
      </c>
      <c r="E60" s="33" t="n">
        <v>28.316088</v>
      </c>
      <c r="F60" s="33" t="n">
        <v>50.031</v>
      </c>
      <c r="G60" s="33" t="n">
        <v>1.7</v>
      </c>
      <c r="H60" s="33" t="n">
        <v>13.592293</v>
      </c>
      <c r="I60" s="33">
        <f>IF(OR(E60="",R60="",R60&lt;=0,E60&lt;0),"",E60/R60)</f>
        <v/>
      </c>
      <c r="J60" s="33" t="n">
        <v>38.3</v>
      </c>
      <c r="K60" s="33" t="n">
        <v>3.79</v>
      </c>
      <c r="L60" s="33" t="n">
        <v>54.19</v>
      </c>
      <c r="M60" s="33" t="n">
        <v>23.17</v>
      </c>
      <c r="N60" s="33" t="n">
        <v>-2.45</v>
      </c>
      <c r="O60" s="33" t="n">
        <v>65.59999999999999</v>
      </c>
      <c r="P60" s="33" t="n">
        <v>0</v>
      </c>
      <c r="Q60" s="33" t="n">
        <v>9.5</v>
      </c>
      <c r="R60" s="33" t="n">
        <v>-47.3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IFERROR((AVERAGE(T60,U60,V60,W60,X60)-1)*25,"")</f>
        <v/>
      </c>
      <c r="Z60" s="33" t="n">
        <v>5</v>
      </c>
      <c r="AA60" s="33" t="n">
        <v>5</v>
      </c>
      <c r="AB60" s="33" t="n">
        <v>3</v>
      </c>
      <c r="AC60" s="71" t="n">
        <v>62.5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IFERROR((AVERAGE(AE60,AF60,AG60,AH60,AL60)-1)*25,"")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2026-07-16</t>
        </is>
      </c>
      <c r="E61" s="33" t="n">
        <v>32.69073</v>
      </c>
      <c r="F61" s="33" t="n">
        <v>47.849</v>
      </c>
      <c r="G61" s="33" t="n"/>
      <c r="H61" s="33" t="n">
        <v>13.827949</v>
      </c>
      <c r="I61" s="33">
        <f>IF(OR(E61="",R61="",R61&lt;=0,E61&lt;0),"",E61/R61)</f>
        <v/>
      </c>
      <c r="J61" s="33" t="n">
        <v>32.2</v>
      </c>
      <c r="K61" s="33" t="n">
        <v>7.81</v>
      </c>
      <c r="L61" s="33" t="n">
        <v>50.97</v>
      </c>
      <c r="M61" s="33" t="n"/>
      <c r="N61" s="33" t="n">
        <v>-1.32</v>
      </c>
      <c r="O61" s="33" t="n">
        <v>68.40000000000001</v>
      </c>
      <c r="P61" s="33" t="n">
        <v>15.63</v>
      </c>
      <c r="Q61" s="33" t="n">
        <v>2.5</v>
      </c>
      <c r="R61" s="33" t="n">
        <v>-7.8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IFERROR((AVERAGE(T61,U61,V61,W61,X61)-1)*25,"")</f>
        <v/>
      </c>
      <c r="Z61" s="33" t="n">
        <v>3</v>
      </c>
      <c r="AA61" s="33" t="n">
        <v>2</v>
      </c>
      <c r="AB61" s="33" t="n">
        <v>3</v>
      </c>
      <c r="AC61" s="71" t="n">
        <v>38.3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IFERROR((AVERAGE(AE61,AF61,AG61,AH61,AL61)-1)*25,"")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2026-07-16</t>
        </is>
      </c>
      <c r="E62" s="33" t="n">
        <v>23.37213</v>
      </c>
      <c r="F62" s="33" t="n">
        <v>53.657</v>
      </c>
      <c r="G62" s="33" t="n">
        <v>0.08</v>
      </c>
      <c r="H62" s="33" t="n">
        <v>6.745491</v>
      </c>
      <c r="I62" s="33">
        <f>IF(OR(E62="",R62="",R62&lt;=0,E62&lt;0),"",E62/R62)</f>
        <v/>
      </c>
      <c r="J62" s="33" t="n">
        <v>33.1</v>
      </c>
      <c r="K62" s="33" t="n">
        <v>10.07</v>
      </c>
      <c r="L62" s="33" t="n">
        <v>49.8</v>
      </c>
      <c r="M62" s="33" t="n">
        <v>0.5600000000000001</v>
      </c>
      <c r="N62" s="33" t="n">
        <v>-5.08</v>
      </c>
      <c r="O62" s="33" t="n">
        <v>59.2</v>
      </c>
      <c r="P62" s="33" t="n">
        <v>-24.23</v>
      </c>
      <c r="Q62" s="33" t="n">
        <v>49.8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IFERROR((AVERAGE(T62,U62,V62,W62,X62)-1)*25,"")</f>
        <v/>
      </c>
      <c r="Z62" s="33" t="n">
        <v>3</v>
      </c>
      <c r="AA62" s="33" t="n">
        <v>5</v>
      </c>
      <c r="AB62" s="33" t="n">
        <v>3</v>
      </c>
      <c r="AC62" s="71" t="n">
        <v>56.7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IFERROR((AVERAGE(AE62,AF62,AG62,AH62,AL62)-1)*25,"")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2026-07-16</t>
        </is>
      </c>
      <c r="E63" s="33" t="n">
        <v>28.839685</v>
      </c>
      <c r="F63" s="33" t="n">
        <v>27.071</v>
      </c>
      <c r="G63" s="33" t="n">
        <v>2.46</v>
      </c>
      <c r="H63" s="33" t="n">
        <v>6.336222</v>
      </c>
      <c r="I63" s="33">
        <f>IF(OR(E63="",R63="",R63&lt;=0,E63&lt;0),"",E63/R63)</f>
        <v/>
      </c>
      <c r="J63" s="33" t="n">
        <v>61.7</v>
      </c>
      <c r="K63" s="33" t="n">
        <v>11.41</v>
      </c>
      <c r="L63" s="33" t="n">
        <v>44.77</v>
      </c>
      <c r="M63" s="33" t="n">
        <v>15.62</v>
      </c>
      <c r="N63" s="33" t="n">
        <v>3.76</v>
      </c>
      <c r="O63" s="33" t="n">
        <v>51.2</v>
      </c>
      <c r="P63" s="33" t="n">
        <v>-0.88</v>
      </c>
      <c r="Q63" s="33" t="n">
        <v>5</v>
      </c>
      <c r="R63" s="33" t="n">
        <v>46.3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IFERROR((AVERAGE(T63,U63,V63,W63,X63)-1)*25,"")</f>
        <v/>
      </c>
      <c r="Z63" s="33" t="n">
        <v>4</v>
      </c>
      <c r="AA63" s="33" t="n">
        <v>3</v>
      </c>
      <c r="AB63" s="33" t="n">
        <v>3</v>
      </c>
      <c r="AC63" s="71" t="n">
        <v>53.3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IFERROR((AVERAGE(AE63,AF63,AG63,AH63,AL63)-1)*25,"")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2026-07-16</t>
        </is>
      </c>
      <c r="E64" s="33" t="n">
        <v>21.810738</v>
      </c>
      <c r="F64" s="33" t="n">
        <v>27.787</v>
      </c>
      <c r="G64" s="33" t="n">
        <v>1.79</v>
      </c>
      <c r="H64" s="33" t="n">
        <v>5.505684</v>
      </c>
      <c r="I64" s="33">
        <f>IF(OR(E64="",R64="",R64&lt;=0,E64&lt;0),"",E64/R64)</f>
        <v/>
      </c>
      <c r="J64" s="33" t="n">
        <v>64.7</v>
      </c>
      <c r="K64" s="33" t="n">
        <v>10.04</v>
      </c>
      <c r="L64" s="33" t="n">
        <v>46.65</v>
      </c>
      <c r="M64" s="33" t="n">
        <v>9.869999999999999</v>
      </c>
      <c r="N64" s="33" t="n">
        <v>3.96</v>
      </c>
      <c r="O64" s="33" t="n">
        <v>48.3</v>
      </c>
      <c r="P64" s="33" t="n">
        <v>3.49</v>
      </c>
      <c r="Q64" s="33" t="n">
        <v>15.2</v>
      </c>
      <c r="R64" s="33" t="n">
        <v>61.5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IFERROR((AVERAGE(T64,U64,V64,W64,X64)-1)*25,"")</f>
        <v/>
      </c>
      <c r="Z64" s="33" t="n">
        <v>5</v>
      </c>
      <c r="AA64" s="33" t="n">
        <v>5</v>
      </c>
      <c r="AB64" s="33" t="n">
        <v>3</v>
      </c>
      <c r="AC64" s="71" t="n">
        <v>59.2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IFERROR((AVERAGE(AE64,AF64,AG64,AH64,AL64)-1)*25,"")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2026-07-16</t>
        </is>
      </c>
      <c r="E65" s="33" t="n">
        <v>14.366337</v>
      </c>
      <c r="F65" s="33" t="n">
        <v>5.575</v>
      </c>
      <c r="G65" s="33" t="n">
        <v>5.62</v>
      </c>
      <c r="H65" s="33" t="n">
        <v>1.9869789</v>
      </c>
      <c r="I65" s="33">
        <f>IF(OR(E65="",R65="",R65&lt;=0,E65&lt;0),"",E65/R65)</f>
        <v/>
      </c>
      <c r="J65" s="33" t="n">
        <v>86.40000000000001</v>
      </c>
      <c r="K65" s="33" t="n">
        <v>9.83</v>
      </c>
      <c r="L65" s="33" t="n">
        <v>33.77</v>
      </c>
      <c r="M65" s="33" t="n">
        <v>11.18</v>
      </c>
      <c r="N65" s="33" t="n">
        <v>-2.31</v>
      </c>
      <c r="O65" s="33" t="n">
        <v>55.8</v>
      </c>
      <c r="P65" s="33" t="n">
        <v>0.99</v>
      </c>
      <c r="Q65" s="33" t="n">
        <v>-0.5</v>
      </c>
      <c r="R65" s="33" t="n">
        <v>254.7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IFERROR((AVERAGE(T65,U65,V65,W65,X65)-1)*25,"")</f>
        <v/>
      </c>
      <c r="Z65" s="33" t="n">
        <v>3</v>
      </c>
      <c r="AA65" s="33" t="n">
        <v>5</v>
      </c>
      <c r="AB65" s="33" t="n">
        <v>3</v>
      </c>
      <c r="AC65" s="71" t="n">
        <v>43.3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IFERROR((AVERAGE(AE65,AF65,AG65,AH65,AL65)-1)*25,"")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2026-07-16</t>
        </is>
      </c>
      <c r="E66" s="33" t="n">
        <v>23.51746</v>
      </c>
      <c r="F66" s="33" t="n">
        <v>39.546</v>
      </c>
      <c r="G66" s="33" t="n">
        <v>-1.05</v>
      </c>
      <c r="H66" s="33" t="n">
        <v>2.006237</v>
      </c>
      <c r="I66" s="33">
        <f>IF(OR(E66="",R66="",R66&lt;=0,E66&lt;0),"",E66/R66)</f>
        <v/>
      </c>
      <c r="J66" s="33" t="n">
        <v>50.6</v>
      </c>
      <c r="K66" s="33" t="n">
        <v>2.72</v>
      </c>
      <c r="L66" s="33" t="n">
        <v>15.62</v>
      </c>
      <c r="M66" s="33" t="n">
        <v>-2.1</v>
      </c>
      <c r="N66" s="33" t="n">
        <v>3.86</v>
      </c>
      <c r="O66" s="33" t="n">
        <v>20.9</v>
      </c>
      <c r="P66" s="33" t="n">
        <v>-4.72</v>
      </c>
      <c r="Q66" s="33" t="n">
        <v>2.9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IFERROR((AVERAGE(T66,U66,V66,W66,X66)-1)*25,"")</f>
        <v/>
      </c>
      <c r="Z66" s="33" t="n">
        <v>4</v>
      </c>
      <c r="AA66" s="33" t="n">
        <v>5</v>
      </c>
      <c r="AB66" s="33" t="n">
        <v>3</v>
      </c>
      <c r="AC66" s="71" t="n">
        <v>63.3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IFERROR((AVERAGE(AE66,AF66,AG66,AH66,AL66)-1)*25,"")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2026-07-16</t>
        </is>
      </c>
      <c r="E67" s="33" t="n">
        <v>38.823982</v>
      </c>
      <c r="F67" s="33" t="n">
        <v>50.696</v>
      </c>
      <c r="G67" s="33" t="n">
        <v>1.42</v>
      </c>
      <c r="H67" s="33" t="n">
        <v>18.19196</v>
      </c>
      <c r="I67" s="33">
        <f>IF(OR(E67="",R67="",R67&lt;=0,E67&lt;0),"",E67/R67)</f>
        <v/>
      </c>
      <c r="J67" s="33" t="n">
        <v>37</v>
      </c>
      <c r="K67" s="33" t="n">
        <v>13.29</v>
      </c>
      <c r="L67" s="33" t="n">
        <v>86.08</v>
      </c>
      <c r="M67" s="33" t="n">
        <v>25.86</v>
      </c>
      <c r="N67" s="33" t="n">
        <v>0.76</v>
      </c>
      <c r="O67" s="33" t="n">
        <v>83.3</v>
      </c>
      <c r="P67" s="33" t="n">
        <v>14.14</v>
      </c>
      <c r="Q67" s="33" t="n">
        <v>18.7</v>
      </c>
      <c r="R67" s="33" t="n">
        <v>22.7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IFERROR((AVERAGE(T67,U67,V67,W67,X67)-1)*25,"")</f>
        <v/>
      </c>
      <c r="Z67" s="33" t="n">
        <v>3</v>
      </c>
      <c r="AA67" s="33" t="n">
        <v>1</v>
      </c>
      <c r="AB67" s="33" t="n">
        <v>3</v>
      </c>
      <c r="AC67" s="71" t="n">
        <v>52.5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IFERROR((AVERAGE(AE67,AF67,AG67,AH67,AL67)-1)*25,"")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2026-07-16</t>
        </is>
      </c>
      <c r="E68" s="33" t="n">
        <v>24.145765</v>
      </c>
      <c r="F68" s="33" t="n">
        <v>52.002</v>
      </c>
      <c r="G68" s="33" t="n">
        <v>3.3</v>
      </c>
      <c r="H68" s="33" t="n">
        <v>9.200269</v>
      </c>
      <c r="I68" s="33">
        <f>IF(OR(E68="",R68="",R68&lt;=0,E68&lt;0),"",E68/R68)</f>
        <v/>
      </c>
      <c r="J68" s="33" t="n">
        <v>56.2</v>
      </c>
      <c r="K68" s="33" t="n">
        <v>2.01</v>
      </c>
      <c r="L68" s="33" t="n">
        <v>82.59999999999999</v>
      </c>
      <c r="M68" s="33" t="n">
        <v>30.35</v>
      </c>
      <c r="N68" s="33" t="n">
        <v>4.93</v>
      </c>
      <c r="O68" s="33" t="n">
        <v>55.3</v>
      </c>
      <c r="P68" s="33" t="n">
        <v>15.19</v>
      </c>
      <c r="Q68" s="33" t="n">
        <v>41.9</v>
      </c>
      <c r="R68" s="33" t="n">
        <v>-95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IFERROR((AVERAGE(T68,U68,V68,W68,X68)-1)*25,"")</f>
        <v/>
      </c>
      <c r="Z68" s="33" t="n">
        <v>4</v>
      </c>
      <c r="AA68" s="33" t="n">
        <v>2</v>
      </c>
      <c r="AB68" s="33" t="n">
        <v>3</v>
      </c>
      <c r="AC68" s="71" t="n">
        <v>35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IFERROR((AVERAGE(AE68,AF68,AG68,AH68,AL68)-1)*25,"")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2026-07-16</t>
        </is>
      </c>
      <c r="E69" s="33" t="n">
        <v>85.07923</v>
      </c>
      <c r="F69" s="33" t="n">
        <v>259.92</v>
      </c>
      <c r="G69" s="33" t="n">
        <v>0.34</v>
      </c>
      <c r="H69" s="33" t="n">
        <v>56.87954</v>
      </c>
      <c r="I69" s="33">
        <f>IF(OR(E69="",R69="",R69&lt;=0,E69&lt;0),"",E69/R69)</f>
        <v/>
      </c>
      <c r="J69" s="33" t="n">
        <v>18</v>
      </c>
      <c r="K69" s="33" t="n">
        <v>7.38</v>
      </c>
      <c r="L69" s="33" t="n">
        <v>97.54000000000001</v>
      </c>
      <c r="M69" s="33" t="n">
        <v>19.29</v>
      </c>
      <c r="N69" s="33" t="n">
        <v>-2.92</v>
      </c>
      <c r="O69" s="33" t="n">
        <v>74.59999999999999</v>
      </c>
      <c r="P69" s="33" t="n">
        <v>22.46</v>
      </c>
      <c r="Q69" s="33" t="n">
        <v>20.1</v>
      </c>
      <c r="R69" s="33" t="n">
        <v>49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IFERROR((AVERAGE(T69,U69,V69,W69,X69)-1)*25,"")</f>
        <v/>
      </c>
      <c r="Z69" s="33" t="n">
        <v>4</v>
      </c>
      <c r="AA69" s="33" t="n">
        <v>2</v>
      </c>
      <c r="AB69" s="33" t="n">
        <v>3</v>
      </c>
      <c r="AC69" s="71" t="n">
        <v>59.2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IFERROR((AVERAGE(AE69,AF69,AG69,AH69,AL69)-1)*25,"")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2026-07-16</t>
        </is>
      </c>
      <c r="E70" s="33" t="n">
        <v>19.577675</v>
      </c>
      <c r="F70" s="33" t="n">
        <v>21.64</v>
      </c>
      <c r="G70" s="33" t="n">
        <v>1.86</v>
      </c>
      <c r="H70" s="33" t="n">
        <v>14.9127245</v>
      </c>
      <c r="I70" s="33">
        <f>IF(OR(E70="",R70="",R70&lt;=0,E70&lt;0),"",E70/R70)</f>
        <v/>
      </c>
      <c r="J70" s="33" t="n">
        <v>60.6</v>
      </c>
      <c r="K70" s="33" t="n">
        <v>27.53</v>
      </c>
      <c r="L70" s="33" t="n">
        <v>61.87</v>
      </c>
      <c r="M70" s="33" t="n">
        <v>27.71</v>
      </c>
      <c r="N70" s="33" t="n">
        <v>-0.8</v>
      </c>
      <c r="O70" s="33" t="n">
        <v>96.90000000000001</v>
      </c>
      <c r="P70" s="33" t="n">
        <v>18.94</v>
      </c>
      <c r="Q70" s="33" t="n">
        <v>35.1</v>
      </c>
      <c r="R70" s="33" t="n">
        <v>58.3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IFERROR((AVERAGE(T70,U70,V70,W70,X70)-1)*25,"")</f>
        <v/>
      </c>
      <c r="Z70" s="33" t="n">
        <v>5</v>
      </c>
      <c r="AA70" s="33" t="n">
        <v>1</v>
      </c>
      <c r="AB70" s="33" t="n">
        <v>5</v>
      </c>
      <c r="AC70" s="71" t="n">
        <v>65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IFERROR((AVERAGE(AE70,AF70,AG70,AH70,AL70)-1)*25,"")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2026-07-16</t>
        </is>
      </c>
      <c r="E71" s="33" t="n">
        <v>60.099403</v>
      </c>
      <c r="F71" s="33" t="n">
        <v>36.24</v>
      </c>
      <c r="G71" s="33" t="n">
        <v>-0.64</v>
      </c>
      <c r="H71" s="33" t="n">
        <v>9.066114000000001</v>
      </c>
      <c r="I71" s="33">
        <f>IF(OR(E71="",R71="",R71&lt;=0,E71&lt;0),"",E71/R71)</f>
        <v/>
      </c>
      <c r="J71" s="33" t="n">
        <v>27.8</v>
      </c>
      <c r="K71" s="33" t="n">
        <v>2.04</v>
      </c>
      <c r="L71" s="33" t="n">
        <v>37.2</v>
      </c>
      <c r="M71" s="33" t="n">
        <v>-5.8</v>
      </c>
      <c r="N71" s="33" t="n">
        <v>0.86</v>
      </c>
      <c r="O71" s="33" t="n">
        <v>61.2</v>
      </c>
      <c r="P71" s="33" t="n">
        <v>-5.71</v>
      </c>
      <c r="Q71" s="33" t="n">
        <v>7.2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IFERROR((AVERAGE(T71,U71,V71,W71,X71)-1)*25,"")</f>
        <v/>
      </c>
      <c r="Z71" s="33" t="n">
        <v>5</v>
      </c>
      <c r="AA71" s="33" t="n">
        <v>5</v>
      </c>
      <c r="AB71" s="33" t="n">
        <v>3</v>
      </c>
      <c r="AC71" s="71" t="n">
        <v>60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IFERROR((AVERAGE(AE71,AF71,AG71,AH71,AL71)-1)*25,"")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2026-07-16</t>
        </is>
      </c>
      <c r="E72" s="33" t="n">
        <v>23.137096</v>
      </c>
      <c r="F72" s="33" t="n">
        <v>15.109</v>
      </c>
      <c r="G72" s="33" t="n">
        <v>3.36</v>
      </c>
      <c r="H72" s="33" t="n">
        <v>4.6719794</v>
      </c>
      <c r="I72" s="33">
        <f>IF(OR(E72="",R72="",R72&lt;=0,E72&lt;0),"",E72/R72)</f>
        <v/>
      </c>
      <c r="J72" s="33" t="n">
        <v>71.2</v>
      </c>
      <c r="K72" s="33" t="n">
        <v>4.5</v>
      </c>
      <c r="L72" s="33" t="n">
        <v>26.11</v>
      </c>
      <c r="M72" s="33" t="n">
        <v>15.7</v>
      </c>
      <c r="N72" s="33" t="n">
        <v>-0.63</v>
      </c>
      <c r="O72" s="33" t="n">
        <v>57.5</v>
      </c>
      <c r="P72" s="33" t="n">
        <v>-5.74</v>
      </c>
      <c r="Q72" s="33" t="n">
        <v>3.1</v>
      </c>
      <c r="R72" s="33" t="n">
        <v>-51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IFERROR((AVERAGE(T72,U72,V72,W72,X72)-1)*25,"")</f>
        <v/>
      </c>
      <c r="Z72" s="33" t="n">
        <v>4</v>
      </c>
      <c r="AA72" s="33" t="n">
        <v>5</v>
      </c>
      <c r="AB72" s="33" t="n">
        <v>3</v>
      </c>
      <c r="AC72" s="71" t="n">
        <v>49.2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IFERROR((AVERAGE(AE72,AF72,AG72,AH72,AL72)-1)*25,"")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2026-07-16</t>
        </is>
      </c>
      <c r="E73" s="33" t="n">
        <v>40.739723</v>
      </c>
      <c r="F73" s="33" t="n">
        <v>47.314</v>
      </c>
      <c r="G73" s="33" t="n">
        <v>1.2</v>
      </c>
      <c r="H73" s="33" t="n">
        <v>16.58422</v>
      </c>
      <c r="I73" s="33">
        <f>IF(OR(E73="",R73="",R73&lt;=0,E73&lt;0),"",E73/R73)</f>
        <v/>
      </c>
      <c r="J73" s="33" t="n">
        <v>33.5</v>
      </c>
      <c r="K73" s="33" t="n">
        <v>7.41</v>
      </c>
      <c r="L73" s="33" t="n">
        <v>24.77</v>
      </c>
      <c r="M73" s="33" t="n">
        <v>19.87</v>
      </c>
      <c r="N73" s="33" t="n">
        <v>-2.5</v>
      </c>
      <c r="O73" s="33" t="n">
        <v>61.2</v>
      </c>
      <c r="P73" s="33" t="n">
        <v>-2.27</v>
      </c>
      <c r="Q73" s="33" t="n">
        <v>15.5</v>
      </c>
      <c r="R73" s="33" t="n">
        <v>62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IFERROR((AVERAGE(T73,U73,V73,W73,X73)-1)*25,"")</f>
        <v/>
      </c>
      <c r="Z73" s="33" t="n">
        <v>4</v>
      </c>
      <c r="AA73" s="33" t="n">
        <v>5</v>
      </c>
      <c r="AB73" s="33" t="n">
        <v>3</v>
      </c>
      <c r="AC73" s="71" t="n">
        <v>60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IFERROR((AVERAGE(AE73,AF73,AG73,AH73,AL73)-1)*25,"")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2026-07-16</t>
        </is>
      </c>
      <c r="E74" s="33" t="n">
        <v>27.338959</v>
      </c>
      <c r="F74" s="33" t="n">
        <v>18.791</v>
      </c>
      <c r="G74" s="33" t="n">
        <v>2.69</v>
      </c>
      <c r="H74" s="33" t="n">
        <v>7.504966</v>
      </c>
      <c r="I74" s="33">
        <f>IF(OR(E74="",R74="",R74&lt;=0,E74&lt;0),"",E74/R74)</f>
        <v/>
      </c>
      <c r="J74" s="33" t="n">
        <v>63.1</v>
      </c>
      <c r="K74" s="33" t="n">
        <v>8.17</v>
      </c>
      <c r="L74" s="33" t="n">
        <v>29.61</v>
      </c>
      <c r="M74" s="33" t="n">
        <v>20.17</v>
      </c>
      <c r="N74" s="33" t="n">
        <v>-0.5600000000000001</v>
      </c>
      <c r="O74" s="33" t="n">
        <v>73.8</v>
      </c>
      <c r="P74" s="33" t="n">
        <v>-5.19</v>
      </c>
      <c r="Q74" s="33" t="n">
        <v>5.5</v>
      </c>
      <c r="R74" s="33" t="n">
        <v>107.9</v>
      </c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IFERROR((AVERAGE(T74,U74,V74,W74,X74)-1)*25,"")</f>
        <v/>
      </c>
      <c r="Z74" s="33" t="n">
        <v>3</v>
      </c>
      <c r="AA74" s="33" t="n">
        <v>5</v>
      </c>
      <c r="AB74" s="33" t="n">
        <v>3</v>
      </c>
      <c r="AC74" s="71" t="n">
        <v>61.7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IFERROR((AVERAGE(AE74,AF74,AG74,AH74,AL74)-1)*25,"")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2026-09-04</t>
        </is>
      </c>
      <c r="E75" s="33" t="n">
        <v>18.474785</v>
      </c>
      <c r="F75" s="33" t="n">
        <v>33.379</v>
      </c>
      <c r="G75" s="33" t="n">
        <v>1.92</v>
      </c>
      <c r="H75" s="33" t="n">
        <v>19.10929</v>
      </c>
      <c r="I75" s="33">
        <f>IF(OR(E75="",R75="",R75&lt;=0,E75&lt;0),"",E75/R75)</f>
        <v/>
      </c>
      <c r="J75" s="33" t="n">
        <v>57</v>
      </c>
      <c r="K75" s="33" t="n">
        <v>19.95</v>
      </c>
      <c r="L75" s="33" t="n">
        <v>75.52</v>
      </c>
      <c r="M75" s="33" t="n">
        <v>36.77</v>
      </c>
      <c r="N75" s="33" t="n">
        <v>0.68</v>
      </c>
      <c r="O75" s="33" t="n">
        <v>88.8</v>
      </c>
      <c r="P75" s="33" t="n">
        <v>24.38</v>
      </c>
      <c r="Q75" s="33" t="n">
        <v>85.5</v>
      </c>
      <c r="R75" s="33" t="n">
        <v>216.1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IFERROR((AVERAGE(T75,U75,V75,W75,X75)-1)*25,"")</f>
        <v/>
      </c>
      <c r="Z75" s="33" t="n">
        <v>4</v>
      </c>
      <c r="AA75" s="33" t="n">
        <v>1</v>
      </c>
      <c r="AB75" s="33" t="n">
        <v>4</v>
      </c>
      <c r="AC75" s="71" t="n">
        <v>43.3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IFERROR((AVERAGE(AE75,AF75,AG75,AH75,AL75)-1)*25,"")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2026-07-16</t>
        </is>
      </c>
      <c r="E76" s="33" t="n">
        <v>30.373907</v>
      </c>
      <c r="F76" s="33" t="n">
        <v>61.268</v>
      </c>
      <c r="G76" s="33" t="n">
        <v>0.98</v>
      </c>
      <c r="H76" s="33" t="n">
        <v>19.388056</v>
      </c>
      <c r="I76" s="33">
        <f>IF(OR(E76="",R76="",R76&lt;=0,E76&lt;0),"",E76/R76)</f>
        <v/>
      </c>
      <c r="J76" s="33" t="n">
        <v>23.5</v>
      </c>
      <c r="K76" s="33" t="n">
        <v>5.47</v>
      </c>
      <c r="L76" s="33" t="n">
        <v>51.5</v>
      </c>
      <c r="M76" s="33" t="n">
        <v>19.06</v>
      </c>
      <c r="N76" s="33" t="n">
        <v>0.53</v>
      </c>
      <c r="O76" s="33" t="n">
        <v>45.1</v>
      </c>
      <c r="P76" s="33" t="n">
        <v>11.45</v>
      </c>
      <c r="Q76" s="33" t="n">
        <v>27.6</v>
      </c>
      <c r="R76" s="33" t="n">
        <v>-80.59999999999999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IFERROR((AVERAGE(T76,U76,V76,W76,X76)-1)*25,"")</f>
        <v/>
      </c>
      <c r="Z76" s="33" t="n">
        <v>4</v>
      </c>
      <c r="AA76" s="33" t="n">
        <v>5</v>
      </c>
      <c r="AB76" s="33" t="n">
        <v>5</v>
      </c>
      <c r="AC76" s="71" t="n">
        <v>72.5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IFERROR((AVERAGE(AE76,AF76,AG76,AH76,AL76)-1)*25,"")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2026-09-22</t>
        </is>
      </c>
      <c r="E77" s="33" t="n">
        <v>57.612602</v>
      </c>
      <c r="F77" s="33" t="n">
        <v>202.893</v>
      </c>
      <c r="G77" s="33" t="n">
        <v>0.43</v>
      </c>
      <c r="H77" s="33" t="n">
        <v>53.166954</v>
      </c>
      <c r="I77" s="33">
        <f>IF(OR(E77="",R77="",R77&lt;=0,E77&lt;0),"",E77/R77)</f>
        <v/>
      </c>
      <c r="J77" s="33" t="n">
        <v>32.6</v>
      </c>
      <c r="K77" s="33" t="n">
        <v>15.47</v>
      </c>
      <c r="L77" s="33" t="n">
        <v>75.13</v>
      </c>
      <c r="M77" s="33" t="n">
        <v>23.02</v>
      </c>
      <c r="N77" s="33" t="n">
        <v>-4.23</v>
      </c>
      <c r="O77" s="33" t="n">
        <v>78.59999999999999</v>
      </c>
      <c r="P77" s="33" t="n">
        <v>120.18</v>
      </c>
      <c r="Q77" s="33" t="n">
        <v>104.5</v>
      </c>
      <c r="R77" s="33" t="n">
        <v>198.9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IFERROR((AVERAGE(T77,U77,V77,W77,X77)-1)*25,"")</f>
        <v/>
      </c>
      <c r="Z77" s="33" t="n">
        <v>5</v>
      </c>
      <c r="AA77" s="33" t="n">
        <v>3</v>
      </c>
      <c r="AB77" s="33" t="n">
        <v>2</v>
      </c>
      <c r="AC77" s="71" t="n">
        <v>57.5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IFERROR((AVERAGE(AE77,AF77,AG77,AH77,AL77)-1)*25,"")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2026-08-07</t>
        </is>
      </c>
      <c r="E78" s="33" t="n">
        <v>4.7655883</v>
      </c>
      <c r="F78" s="33" t="n">
        <v>14.486</v>
      </c>
      <c r="G78" s="33" t="n">
        <v>2.49</v>
      </c>
      <c r="H78" s="33" t="n">
        <v>8.859866</v>
      </c>
      <c r="I78" s="33">
        <f>IF(OR(E78="",R78="",R78&lt;=0,E78&lt;0),"",E78/R78)</f>
        <v/>
      </c>
      <c r="J78" s="33" t="n">
        <v>76.59999999999999</v>
      </c>
      <c r="K78" s="33" t="n">
        <v>64.7</v>
      </c>
      <c r="L78" s="33" t="n">
        <v>71.47</v>
      </c>
      <c r="M78" s="33" t="n">
        <v>22.03</v>
      </c>
      <c r="N78" s="33" t="n">
        <v>-0.38</v>
      </c>
      <c r="O78" s="33" t="n">
        <v>80.09999999999999</v>
      </c>
      <c r="Q78" s="33" t="n">
        <v>371.6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IFERROR((AVERAGE(T78,U78,V78,W78,X78)-1)*25,"")</f>
        <v/>
      </c>
      <c r="Z78" s="33" t="n">
        <v>5</v>
      </c>
      <c r="AA78" s="33" t="n">
        <v>5</v>
      </c>
      <c r="AB78" s="33" t="n">
        <v>3</v>
      </c>
      <c r="AC78" s="71" t="n">
        <v>67.5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IFERROR((AVERAGE(AE78,AF78,AG78,AH78,AL78)-1)*25,"")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2026-07-16</t>
        </is>
      </c>
      <c r="E79" s="33" t="n">
        <v>33.60504</v>
      </c>
      <c r="F79" s="33" t="n">
        <v>42.265</v>
      </c>
      <c r="G79" s="33" t="n">
        <v>-0.99</v>
      </c>
      <c r="H79" s="33" t="n">
        <v>8.207147000000001</v>
      </c>
      <c r="I79" s="33">
        <f>IF(OR(E79="",R79="",R79&lt;=0,E79&lt;0),"",E79/R79)</f>
        <v/>
      </c>
      <c r="J79" s="33" t="n">
        <v>37.7</v>
      </c>
      <c r="K79" s="33" t="n">
        <v>5.42</v>
      </c>
      <c r="L79" s="33" t="n">
        <v>36.99</v>
      </c>
      <c r="M79" s="33" t="n">
        <v>-8.15</v>
      </c>
      <c r="N79" s="33" t="n">
        <v>0.76</v>
      </c>
      <c r="O79" s="33" t="n">
        <v>42.3</v>
      </c>
      <c r="P79" s="33" t="n">
        <v>20.55</v>
      </c>
      <c r="Q79" s="33" t="n">
        <v>20.5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IFERROR((AVERAGE(T79,U79,V79,W79,X79)-1)*25,"")</f>
        <v/>
      </c>
      <c r="Z79" s="33" t="n">
        <v>4</v>
      </c>
      <c r="AA79" s="33" t="n">
        <v>5</v>
      </c>
      <c r="AB79" s="33" t="n">
        <v>3</v>
      </c>
      <c r="AC79" s="71" t="n">
        <v>56.7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IFERROR((AVERAGE(AE79,AF79,AG79,AH79,AL79)-1)*25,"")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2026-07-16</t>
        </is>
      </c>
      <c r="E80" s="33" t="n">
        <v>38.588978</v>
      </c>
      <c r="F80" s="33" t="n">
        <v>99.8</v>
      </c>
      <c r="G80" s="33" t="n">
        <v>0.21</v>
      </c>
      <c r="H80" s="33" t="n">
        <v>22.080332</v>
      </c>
      <c r="I80" s="33">
        <f>IF(OR(E80="",R80="",R80&lt;=0,E80&lt;0),"",E80/R80)</f>
        <v/>
      </c>
      <c r="J80" s="33" t="n">
        <v>21.5</v>
      </c>
      <c r="K80" s="33" t="n">
        <v>8.779999999999999</v>
      </c>
      <c r="L80" s="33" t="n">
        <v>40.84</v>
      </c>
      <c r="M80" s="33" t="n">
        <v>4.58</v>
      </c>
      <c r="N80" s="33" t="n">
        <v>0.28</v>
      </c>
      <c r="O80" s="33" t="n">
        <v>54.8</v>
      </c>
      <c r="P80" s="33" t="n">
        <v>-1.33</v>
      </c>
      <c r="Q80" s="33" t="n">
        <v>90.09999999999999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IFERROR((AVERAGE(T80,U80,V80,W80,X80)-1)*25,"")</f>
        <v/>
      </c>
      <c r="Z80" s="33" t="n">
        <v>5</v>
      </c>
      <c r="AA80" s="33" t="n">
        <v>5</v>
      </c>
      <c r="AB80" s="33" t="n">
        <v>3</v>
      </c>
      <c r="AC80" s="71" t="n">
        <v>66.7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IFERROR((AVERAGE(AE80,AF80,AG80,AH80,AL80)-1)*25,"")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2026-07-16</t>
        </is>
      </c>
      <c r="E81" s="33" t="n">
        <v>26.65969</v>
      </c>
      <c r="F81" s="33" t="n">
        <v>32.41</v>
      </c>
      <c r="G81" s="33" t="n">
        <v>0.27</v>
      </c>
      <c r="H81" s="33" t="n">
        <v>3.8933847</v>
      </c>
      <c r="I81" s="33">
        <f>IF(OR(E81="",R81="",R81&lt;=0,E81&lt;0),"",E81/R81)</f>
        <v/>
      </c>
      <c r="J81" s="33" t="n">
        <v>56.5</v>
      </c>
      <c r="K81" s="33" t="n">
        <v>15.73</v>
      </c>
      <c r="L81" s="33" t="n">
        <v>12.04</v>
      </c>
      <c r="M81" s="33" t="n">
        <v>1.06</v>
      </c>
      <c r="N81" s="33" t="n">
        <v>-1.96</v>
      </c>
      <c r="O81" s="33" t="n">
        <v>53.1</v>
      </c>
      <c r="P81" s="33" t="n">
        <v>14.76</v>
      </c>
      <c r="Q81" s="33" t="n">
        <v>39.3</v>
      </c>
      <c r="R81" s="33" t="n">
        <v>54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IFERROR((AVERAGE(T81,U81,V81,W81,X81)-1)*25,"")</f>
        <v/>
      </c>
      <c r="Z81" s="33" t="n">
        <v>4</v>
      </c>
      <c r="AA81" s="33" t="n">
        <v>3</v>
      </c>
      <c r="AB81" s="33" t="n">
        <v>3</v>
      </c>
      <c r="AC81" s="71" t="n">
        <v>41.7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IFERROR((AVERAGE(AE81,AF81,AG81,AH81,AL81)-1)*25,"")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2026-07-16</t>
        </is>
      </c>
      <c r="E82" s="33" t="n">
        <v>21.005867</v>
      </c>
      <c r="F82" s="33" t="n">
        <v>-287.16</v>
      </c>
      <c r="G82" s="33" t="n">
        <v>-5.2</v>
      </c>
      <c r="H82" s="33" t="n">
        <v>15.864961</v>
      </c>
      <c r="I82" s="33">
        <f>IF(OR(E82="",R82="",R82&lt;=0,E82&lt;0),"",E82/R82)</f>
        <v/>
      </c>
      <c r="J82" s="33" t="n">
        <v>49.4</v>
      </c>
      <c r="K82" s="33" t="n">
        <v>-2.66</v>
      </c>
      <c r="L82" s="33" t="n">
        <v>29.64</v>
      </c>
      <c r="M82" s="33" t="n">
        <v>-82.5</v>
      </c>
      <c r="N82" s="33" t="n"/>
      <c r="O82" s="33" t="n">
        <v>12.5</v>
      </c>
      <c r="P82" s="33" t="n">
        <v>26.93</v>
      </c>
      <c r="Q82" s="33" t="n">
        <v>51.4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IFERROR((AVERAGE(T82,U82,V82,W82,X82)-1)*25,"")</f>
        <v/>
      </c>
      <c r="Z82" s="33" t="n">
        <v>4</v>
      </c>
      <c r="AA82" s="33" t="n">
        <v>5</v>
      </c>
      <c r="AB82" s="33" t="n">
        <v>3</v>
      </c>
      <c r="AC82" s="71" t="n">
        <v>49.2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IFERROR((AVERAGE(AE82,AF82,AG82,AH82,AL82)-1)*25,"")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2026-07-16</t>
        </is>
      </c>
      <c r="E83" s="33" t="n">
        <v>-45.117645</v>
      </c>
      <c r="F83" s="33" t="n">
        <v>-15.968</v>
      </c>
      <c r="G83" s="33" t="n">
        <v>-2.75</v>
      </c>
      <c r="H83" s="33" t="n">
        <v>937.847</v>
      </c>
      <c r="I83" s="33">
        <f>IF(OR(E83="",R83="",R83&lt;=0,E83&lt;0),"",E83/R83)</f>
        <v/>
      </c>
      <c r="J83" s="33" t="n">
        <v>27.3</v>
      </c>
      <c r="K83" s="33" t="n">
        <v>-4.28</v>
      </c>
      <c r="L83" s="33" t="n">
        <v>100</v>
      </c>
      <c r="M83" s="33" t="n">
        <v>-2578.29</v>
      </c>
      <c r="N83" s="33" t="n"/>
      <c r="O83" s="33" t="n">
        <v>34.7</v>
      </c>
      <c r="P83" s="33" t="n">
        <v>24.82</v>
      </c>
      <c r="Q83" s="33" t="n">
        <v>201.9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IFERROR((AVERAGE(T83,U83,V83,W83,X83)-1)*25,"")</f>
        <v/>
      </c>
      <c r="Z83" s="33" t="n">
        <v>1</v>
      </c>
      <c r="AA83" s="33" t="n">
        <v>3</v>
      </c>
      <c r="AB83" s="33" t="n">
        <v>2</v>
      </c>
      <c r="AC83" s="71" t="n">
        <v>44.2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IFERROR((AVERAGE(AE83,AF83,AG83,AH83,AL83)-1)*25,"")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2026-08-07</t>
        </is>
      </c>
      <c r="E84" s="33" t="n">
        <v>37.43305</v>
      </c>
      <c r="F84" s="33" t="n">
        <v>49.404</v>
      </c>
      <c r="G84" s="33" t="n">
        <v>2.19</v>
      </c>
      <c r="H84" s="33" t="n">
        <v>22.871422</v>
      </c>
      <c r="I84" s="33">
        <f>IF(OR(E84="",R84="",R84&lt;=0,E84&lt;0),"",E84/R84)</f>
        <v/>
      </c>
      <c r="J84" s="33" t="n">
        <v>48.8</v>
      </c>
      <c r="K84" s="33" t="n">
        <v>21.8</v>
      </c>
      <c r="L84" s="33" t="n">
        <v>63</v>
      </c>
      <c r="M84" s="33" t="n">
        <v>50.07</v>
      </c>
      <c r="N84" s="33" t="n">
        <v>-2.88</v>
      </c>
      <c r="O84" s="33" t="n">
        <v>90.59999999999999</v>
      </c>
      <c r="P84" s="33" t="n">
        <v>27.15</v>
      </c>
      <c r="Q84" s="33" t="n">
        <v>37.7</v>
      </c>
      <c r="R84" s="33" t="n">
        <v>36.5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IFERROR((AVERAGE(T84,U84,V84,W84,X84)-1)*25,"")</f>
        <v/>
      </c>
      <c r="Z84" s="33" t="n">
        <v>5</v>
      </c>
      <c r="AA84" s="33" t="n">
        <v>2</v>
      </c>
      <c r="AB84" s="33" t="n">
        <v>3</v>
      </c>
      <c r="AC84" s="71" t="n">
        <v>84.2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IFERROR((AVERAGE(AE84,AF84,AG84,AH84,AL84)-1)*25,"")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2026-07-16</t>
        </is>
      </c>
      <c r="E85" s="33" t="n">
        <v>22.883926</v>
      </c>
      <c r="F85" s="33" t="n">
        <v>26.376</v>
      </c>
      <c r="G85" s="33" t="n">
        <v>2.73</v>
      </c>
      <c r="H85" s="33" t="n">
        <v>7.1151643</v>
      </c>
      <c r="I85" s="33">
        <f>IF(OR(E85="",R85="",R85&lt;=0,E85&lt;0),"",E85/R85)</f>
        <v/>
      </c>
      <c r="J85" s="33" t="n">
        <v>65.7</v>
      </c>
      <c r="K85" s="33" t="n">
        <v>15.11</v>
      </c>
      <c r="L85" s="33" t="n">
        <v>64.3</v>
      </c>
      <c r="M85" s="33" t="n">
        <v>19.41</v>
      </c>
      <c r="N85" s="33" t="n">
        <v>0.96</v>
      </c>
      <c r="O85" s="33" t="n">
        <v>79.8</v>
      </c>
      <c r="P85" s="33" t="n">
        <v>3.19</v>
      </c>
      <c r="Q85" s="33" t="n">
        <v>12</v>
      </c>
      <c r="R85" s="33" t="n">
        <v>35.4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IFERROR((AVERAGE(T85,U85,V85,W85,X85)-1)*25,"")</f>
        <v/>
      </c>
      <c r="Z85" s="33" t="n">
        <v>3</v>
      </c>
      <c r="AA85" s="33" t="n">
        <v>3</v>
      </c>
      <c r="AB85" s="33" t="n">
        <v>3</v>
      </c>
      <c r="AC85" s="71" t="n">
        <v>64.2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IFERROR((AVERAGE(AE85,AF85,AG85,AH85,AL85)-1)*25,"")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2026-09-08</t>
        </is>
      </c>
      <c r="E86" s="33" t="n">
        <v>30.125242</v>
      </c>
      <c r="F86" s="33" t="n">
        <v>45.026</v>
      </c>
      <c r="G86" s="33" t="n">
        <v>1.68</v>
      </c>
      <c r="H86" s="33" t="n">
        <v>8.2163725</v>
      </c>
      <c r="I86" s="33">
        <f>IF(OR(E86="",R86="",R86&lt;=0,E86&lt;0),"",E86/R86)</f>
        <v/>
      </c>
      <c r="J86" s="33" t="n">
        <v>48.5</v>
      </c>
      <c r="K86" s="33" t="n">
        <v>12.02</v>
      </c>
      <c r="L86" s="33" t="n">
        <v>44.07</v>
      </c>
      <c r="M86" s="33" t="n">
        <v>13.83</v>
      </c>
      <c r="N86" s="33" t="n">
        <v>0.64</v>
      </c>
      <c r="O86" s="33" t="n">
        <v>63.1</v>
      </c>
      <c r="P86" s="33" t="n">
        <v>9.5</v>
      </c>
      <c r="Q86" s="33" t="n">
        <v>37</v>
      </c>
      <c r="R86" s="33" t="n">
        <v>429.6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IFERROR((AVERAGE(T86,U86,V86,W86,X86)-1)*25,"")</f>
        <v/>
      </c>
      <c r="Z86" s="33" t="n">
        <v>5</v>
      </c>
      <c r="AA86" s="33" t="n">
        <v>5</v>
      </c>
      <c r="AB86" s="33" t="n">
        <v>3</v>
      </c>
      <c r="AC86" s="71" t="n">
        <v>41.7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IFERROR((AVERAGE(AE86,AF86,AG86,AH86,AL86)-1)*25,"")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2026-07-16</t>
        </is>
      </c>
      <c r="E87" s="33" t="n">
        <v>26.217844</v>
      </c>
      <c r="F87" s="33" t="n">
        <v>24.804</v>
      </c>
      <c r="G87" s="33" t="n">
        <v>2.46</v>
      </c>
      <c r="H87" s="33" t="n">
        <v>7.272991</v>
      </c>
      <c r="I87" s="33">
        <f>IF(OR(E87="",R87="",R87&lt;=0,E87&lt;0),"",E87/R87)</f>
        <v/>
      </c>
      <c r="J87" s="33" t="n">
        <v>69.3</v>
      </c>
      <c r="K87" s="33" t="n">
        <v>14.81</v>
      </c>
      <c r="L87" s="33" t="n">
        <v>37.92</v>
      </c>
      <c r="M87" s="33" t="n">
        <v>17.88</v>
      </c>
      <c r="N87" s="33" t="n">
        <v>1.73</v>
      </c>
      <c r="O87" s="33" t="n">
        <v>61.5</v>
      </c>
      <c r="P87" s="33" t="n">
        <v>22.31</v>
      </c>
      <c r="Q87" s="33" t="n">
        <v>58.4</v>
      </c>
      <c r="R87" s="33" t="n">
        <v>26.5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IFERROR((AVERAGE(T87,U87,V87,W87,X87)-1)*25,"")</f>
        <v/>
      </c>
      <c r="Z87" s="33" t="n">
        <v>4</v>
      </c>
      <c r="AA87" s="33" t="n">
        <v>2</v>
      </c>
      <c r="AB87" s="33" t="n">
        <v>3</v>
      </c>
      <c r="AC87" s="71" t="n">
        <v>68.3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IFERROR((AVERAGE(AE87,AF87,AG87,AH87,AL87)-1)*25,"")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2026-07-16</t>
        </is>
      </c>
      <c r="E88" s="33" t="n">
        <v>16.038734</v>
      </c>
      <c r="F88" s="33" t="n">
        <v>13.534</v>
      </c>
      <c r="G88" s="33" t="n">
        <v>5.73</v>
      </c>
      <c r="H88" s="33" t="n">
        <v>3.1626732</v>
      </c>
      <c r="I88" s="33">
        <f>IF(OR(E88="",R88="",R88&lt;=0,E88&lt;0),"",E88/R88)</f>
        <v/>
      </c>
      <c r="J88" s="33" t="n">
        <v>78.2</v>
      </c>
      <c r="K88" s="33" t="n">
        <v>14.8</v>
      </c>
      <c r="L88" s="33" t="n">
        <v>36.07</v>
      </c>
      <c r="M88" s="33" t="n">
        <v>18.14</v>
      </c>
      <c r="N88" s="33" t="n">
        <v>1</v>
      </c>
      <c r="O88" s="33" t="n">
        <v>59</v>
      </c>
      <c r="P88" s="33" t="n">
        <v>1.97</v>
      </c>
      <c r="Q88" s="33" t="n">
        <v>14.5</v>
      </c>
      <c r="R88" s="33" t="n"/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IFERROR((AVERAGE(T88,U88,V88,W88,X88)-1)*25,"")</f>
        <v/>
      </c>
      <c r="Z88" s="33" t="n">
        <v>4</v>
      </c>
      <c r="AA88" s="33" t="n">
        <v>2</v>
      </c>
      <c r="AB88" s="33" t="n">
        <v>3</v>
      </c>
      <c r="AC88" s="71" t="n">
        <v>34.2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IFERROR((AVERAGE(AE88,AF88,AG88,AH88,AL88)-1)*25,"")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2026-07-16</t>
        </is>
      </c>
      <c r="E89" s="33" t="n">
        <v>36.91937</v>
      </c>
      <c r="F89" s="33" t="n">
        <v>37.119</v>
      </c>
      <c r="G89" s="33" t="n">
        <v>1.1</v>
      </c>
      <c r="H89" s="33" t="n">
        <v>8.352209999999999</v>
      </c>
      <c r="I89" s="33">
        <f>IF(OR(E89="",R89="",R89&lt;=0,E89&lt;0),"",E89/R89)</f>
        <v/>
      </c>
      <c r="J89" s="33" t="n">
        <v>47.1</v>
      </c>
      <c r="K89" s="33" t="n">
        <v>8.31</v>
      </c>
      <c r="L89" s="33" t="n">
        <v>36.38</v>
      </c>
      <c r="M89" s="33" t="n">
        <v>9.19</v>
      </c>
      <c r="N89" s="33" t="n">
        <v>2.09</v>
      </c>
      <c r="O89" s="33" t="n">
        <v>41</v>
      </c>
      <c r="P89" s="33" t="n">
        <v>3.27</v>
      </c>
      <c r="Q89" s="33" t="n">
        <v>20</v>
      </c>
      <c r="R89" s="33" t="n">
        <v>136.3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IFERROR((AVERAGE(T89,U89,V89,W89,X89)-1)*25,"")</f>
        <v/>
      </c>
      <c r="Z89" s="33" t="n">
        <v>4</v>
      </c>
      <c r="AA89" s="33" t="n">
        <v>5</v>
      </c>
      <c r="AB89" s="33" t="n">
        <v>3</v>
      </c>
      <c r="AC89" s="71" t="n">
        <v>57.5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IFERROR((AVERAGE(AE89,AF89,AG89,AH89,AL89)-1)*25,"")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2026-07-16</t>
        </is>
      </c>
      <c r="E90" s="33" t="n">
        <v>7.897827</v>
      </c>
      <c r="F90" s="33" t="n">
        <v>14.373</v>
      </c>
      <c r="G90" s="33" t="n">
        <v>-42.9</v>
      </c>
      <c r="H90" s="33" t="n">
        <v>0.47373083</v>
      </c>
      <c r="I90" s="33">
        <f>IF(OR(E90="",R90="",R90&lt;=0,E90&lt;0),"",E90/R90)</f>
        <v/>
      </c>
      <c r="J90" s="33" t="n">
        <v>74.2</v>
      </c>
      <c r="K90" s="33" t="n">
        <v>9.73</v>
      </c>
      <c r="L90" s="33" t="n">
        <v>8.390000000000001</v>
      </c>
      <c r="M90" s="33" t="n">
        <v>-20.33</v>
      </c>
      <c r="N90" s="33" t="n">
        <v>4.97</v>
      </c>
      <c r="O90" s="33" t="n">
        <v>18.4</v>
      </c>
      <c r="P90" s="33" t="n">
        <v>61.71</v>
      </c>
      <c r="Q90" s="33" t="n">
        <v>122.7</v>
      </c>
      <c r="R90" s="33" t="n">
        <v>344.4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IFERROR((AVERAGE(T90,U90,V90,W90,X90)-1)*25,"")</f>
        <v/>
      </c>
      <c r="Z90" s="33" t="n">
        <v>5</v>
      </c>
      <c r="AA90" s="33" t="n">
        <v>1</v>
      </c>
      <c r="AB90" s="33" t="n">
        <v>3</v>
      </c>
      <c r="AC90" s="71" t="n">
        <v>50.8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IFERROR((AVERAGE(AE90,AF90,AG90,AH90,AL90)-1)*25,"")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2026-09-07</t>
        </is>
      </c>
      <c r="E91" s="33" t="n">
        <v>18.3223</v>
      </c>
      <c r="F91" s="33" t="n">
        <v>20.624</v>
      </c>
      <c r="G91" s="33" t="n">
        <v>2.79</v>
      </c>
      <c r="H91" s="33" t="n">
        <v>2.2399192</v>
      </c>
      <c r="I91" s="33">
        <f>IF(OR(E91="",R91="",R91&lt;=0,E91&lt;0),"",E91/R91)</f>
        <v/>
      </c>
      <c r="J91" s="33" t="n">
        <v>61.9</v>
      </c>
      <c r="K91" s="33" t="n">
        <v>22.34</v>
      </c>
      <c r="L91" s="33" t="n">
        <v>19.89</v>
      </c>
      <c r="M91" s="33" t="n">
        <v>6.24</v>
      </c>
      <c r="N91" s="33" t="n">
        <v>1.31</v>
      </c>
      <c r="O91" s="33" t="n">
        <v>51.6</v>
      </c>
      <c r="P91" s="33" t="n">
        <v>3.53</v>
      </c>
      <c r="Q91" s="33" t="n">
        <v>57.7</v>
      </c>
      <c r="R91" s="33" t="n">
        <v>255.1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IFERROR((AVERAGE(T91,U91,V91,W91,X91)-1)*25,"")</f>
        <v/>
      </c>
      <c r="Z91" s="33" t="n">
        <v>4</v>
      </c>
      <c r="AA91" s="33" t="n">
        <v>4</v>
      </c>
      <c r="AB91" s="33" t="n">
        <v>3</v>
      </c>
      <c r="AC91" s="71" t="n">
        <v>98.3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IFERROR((AVERAGE(AE91,AF91,AG91,AH91,AL91)-1)*25,"")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2026-09-07</t>
        </is>
      </c>
      <c r="E92" s="33" t="n">
        <v>11.412894</v>
      </c>
      <c r="F92" s="33" t="n">
        <v>12.075</v>
      </c>
      <c r="G92" s="33" t="n">
        <v>5.78</v>
      </c>
      <c r="H92" s="33" t="n">
        <v>1.6485914</v>
      </c>
      <c r="I92" s="33">
        <f>IF(OR(E92="",R92="",R92&lt;=0,E92&lt;0),"",E92/R92)</f>
        <v/>
      </c>
      <c r="J92" s="33" t="n">
        <v>81.90000000000001</v>
      </c>
      <c r="K92" s="33" t="n">
        <v>4.28</v>
      </c>
      <c r="L92" s="33" t="n">
        <v>36.62</v>
      </c>
      <c r="M92" s="33" t="n">
        <v>9.529999999999999</v>
      </c>
      <c r="N92" s="33" t="n">
        <v>2.05</v>
      </c>
      <c r="O92" s="33" t="n">
        <v>38.4</v>
      </c>
      <c r="P92" s="33" t="n">
        <v>6.37</v>
      </c>
      <c r="Q92" s="33" t="n">
        <v>33.7</v>
      </c>
      <c r="R92" s="33" t="n">
        <v>404.9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IFERROR((AVERAGE(T92,U92,V92,W92,X92)-1)*25,"")</f>
        <v/>
      </c>
      <c r="Z92" s="33" t="n">
        <v>2</v>
      </c>
      <c r="AA92" s="33" t="n">
        <v>3</v>
      </c>
      <c r="AB92" s="33" t="n">
        <v>3</v>
      </c>
      <c r="AC92" s="71" t="n">
        <v>99.2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IFERROR((AVERAGE(AE92,AF92,AG92,AH92,AL92)-1)*25,"")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2026-08-02</t>
        </is>
      </c>
      <c r="E93" s="33" t="n">
        <v>19.964653</v>
      </c>
      <c r="F93" s="33" t="n">
        <v>18.034</v>
      </c>
      <c r="G93" s="33" t="n">
        <v>1.94</v>
      </c>
      <c r="H93" s="33" t="n">
        <v>10.399017</v>
      </c>
      <c r="I93" s="33">
        <f>IF(OR(E93="",R93="",R93&lt;=0,E93&lt;0),"",E93/R93)</f>
        <v/>
      </c>
      <c r="J93" s="33" t="n">
        <v>70</v>
      </c>
      <c r="K93" s="33" t="n">
        <v>21.22</v>
      </c>
      <c r="L93" s="33" t="n">
        <v>67.94</v>
      </c>
      <c r="M93" s="33" t="n">
        <v>20.19</v>
      </c>
      <c r="N93" s="33" t="n">
        <v>0.27</v>
      </c>
      <c r="O93" s="33" t="n">
        <v>90.59999999999999</v>
      </c>
      <c r="P93" s="33" t="n">
        <v>16.12</v>
      </c>
      <c r="Q93" s="33" t="n">
        <v>17.7</v>
      </c>
      <c r="R93" s="33" t="n">
        <v>31.3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IFERROR((AVERAGE(T93,U93,V93,W93,X93)-1)*25,"")</f>
        <v/>
      </c>
      <c r="Z93" s="33" t="n">
        <v>3</v>
      </c>
      <c r="AA93" s="33" t="n">
        <v>1</v>
      </c>
      <c r="AB93" s="33" t="n">
        <v>4</v>
      </c>
      <c r="AC93" s="71" t="n">
        <v>63.3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4</v>
      </c>
      <c r="AG93" s="33" t="n">
        <v>5</v>
      </c>
      <c r="AH93" s="33" t="n">
        <v>3</v>
      </c>
      <c r="AI93" s="33">
        <f>IFERROR((AVERAGE(AE93,AF93,AG93,AH93,AL93)-1)*25,"")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2026-07-27</t>
        </is>
      </c>
      <c r="E94" s="33" t="n">
        <v>22.16232</v>
      </c>
      <c r="F94" s="33" t="n">
        <v>21.984</v>
      </c>
      <c r="G94" s="33" t="n">
        <v>1.33</v>
      </c>
      <c r="H94" s="33" t="n">
        <v>8.9574175</v>
      </c>
      <c r="I94" s="33">
        <f>IF(OR(E94="",R94="",R94&lt;=0,E94&lt;0),"",E94/R94)</f>
        <v/>
      </c>
      <c r="J94" s="33" t="n">
        <v>54</v>
      </c>
      <c r="K94" s="33" t="n">
        <v>15.14</v>
      </c>
      <c r="L94" s="33" t="n">
        <v>60.9</v>
      </c>
      <c r="M94" s="33" t="n">
        <v>11.95</v>
      </c>
      <c r="N94" s="33" t="n">
        <v>-0.7</v>
      </c>
      <c r="O94" s="33" t="n">
        <v>83.09999999999999</v>
      </c>
      <c r="P94" s="33" t="n">
        <v>12.51</v>
      </c>
      <c r="Q94" s="33" t="n">
        <v>24.2</v>
      </c>
      <c r="R94" s="33" t="n"/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IFERROR((AVERAGE(T94,U94,V94,W94,X94)-1)*25,"")</f>
        <v/>
      </c>
      <c r="Z94" s="33" t="n">
        <v>4</v>
      </c>
      <c r="AA94" s="33" t="n">
        <v>3</v>
      </c>
      <c r="AB94" s="33" t="n">
        <v>3</v>
      </c>
      <c r="AC94" s="71" t="n">
        <v>45.8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4</v>
      </c>
      <c r="AG94" s="33" t="n">
        <v>5</v>
      </c>
      <c r="AH94" s="33" t="n">
        <v>2</v>
      </c>
      <c r="AI94" s="33">
        <f>IFERROR((AVERAGE(AE94,AF94,AG94,AH94,AL94)-1)*25,"")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2026-10-05</t>
        </is>
      </c>
      <c r="E95" s="33" t="n">
        <v>23.998373</v>
      </c>
      <c r="F95" s="33" t="n">
        <v>16.823</v>
      </c>
      <c r="G95" s="33" t="n">
        <v>-0.09</v>
      </c>
      <c r="H95" s="33" t="n">
        <v>3.4958732</v>
      </c>
      <c r="I95" s="33">
        <f>IF(OR(E95="",R95="",R95&lt;=0,E95&lt;0),"",E95/R95)</f>
        <v/>
      </c>
      <c r="J95" s="33" t="n">
        <v>73.8</v>
      </c>
      <c r="K95" s="33" t="n">
        <v>9.66</v>
      </c>
      <c r="L95" s="33" t="n">
        <v>50.77</v>
      </c>
      <c r="M95" s="33" t="n">
        <v>-0.32</v>
      </c>
      <c r="N95" s="33" t="n">
        <v>0.76</v>
      </c>
      <c r="O95" s="33" t="n">
        <v>75.59999999999999</v>
      </c>
      <c r="P95" s="33" t="n">
        <v>11.73</v>
      </c>
      <c r="Q95" s="33" t="n">
        <v>19.6</v>
      </c>
      <c r="R95" s="33" t="n"/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IFERROR((AVERAGE(T95,U95,V95,W95,X95)-1)*25,"")</f>
        <v/>
      </c>
      <c r="Z95" s="33" t="n">
        <v>5</v>
      </c>
      <c r="AA95" s="33" t="n">
        <v>3</v>
      </c>
      <c r="AB95" s="33" t="n">
        <v>3</v>
      </c>
      <c r="AC95" s="71" t="n">
        <v>55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3</v>
      </c>
      <c r="AH95" s="33" t="n">
        <v>2</v>
      </c>
      <c r="AI95" s="33">
        <f>IFERROR((AVERAGE(AE95,AF95,AG95,AH95,AL95)-1)*25,"")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2026-09-28</t>
        </is>
      </c>
      <c r="E96" s="33" t="n">
        <v>20.547644</v>
      </c>
      <c r="F96" s="33" t="n">
        <v>16.826</v>
      </c>
      <c r="G96" s="33" t="n">
        <v>2.25</v>
      </c>
      <c r="H96" s="33" t="n">
        <v>7.987165</v>
      </c>
      <c r="I96" s="33">
        <f>IF(OR(E96="",R96="",R96&lt;=0,E96&lt;0),"",E96/R96)</f>
        <v/>
      </c>
      <c r="J96" s="33" t="n">
        <v>69</v>
      </c>
      <c r="K96" s="33" t="n">
        <v>17.18</v>
      </c>
      <c r="L96" s="33" t="n">
        <v>81.75</v>
      </c>
      <c r="M96" s="33" t="n">
        <v>17.95</v>
      </c>
      <c r="N96" s="33" t="n">
        <v>0.2</v>
      </c>
      <c r="O96" s="33" t="n">
        <v>91.90000000000001</v>
      </c>
      <c r="P96" s="33" t="n">
        <v>19.89</v>
      </c>
      <c r="Q96" s="33" t="n">
        <v>28</v>
      </c>
      <c r="R96" s="33" t="n">
        <v>-13.6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4</v>
      </c>
      <c r="V96" s="33" t="n">
        <v>5</v>
      </c>
      <c r="W96" s="33" t="n">
        <v>5</v>
      </c>
      <c r="X96" s="33" t="n">
        <v>5</v>
      </c>
      <c r="Y96" s="33">
        <f>IFERROR((AVERAGE(T96,U96,V96,W96,X96)-1)*25,"")</f>
        <v/>
      </c>
      <c r="Z96" s="33" t="n">
        <v>5</v>
      </c>
      <c r="AA96" s="33" t="n">
        <v>5</v>
      </c>
      <c r="AB96" s="33" t="n">
        <v>3</v>
      </c>
      <c r="AC96" s="71" t="n">
        <v>41.7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4</v>
      </c>
      <c r="AG96" s="33" t="n">
        <v>3</v>
      </c>
      <c r="AH96" s="33" t="n">
        <v>2</v>
      </c>
      <c r="AI96" s="33">
        <f>IFERROR((AVERAGE(AE96,AF96,AG96,AH96,AL96)-1)*25,"")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2026-09-18</t>
        </is>
      </c>
      <c r="E97" s="33" t="n">
        <v>13.42252</v>
      </c>
      <c r="F97" s="33" t="n">
        <v>17.216</v>
      </c>
      <c r="G97" s="33" t="n">
        <v>-6.43</v>
      </c>
      <c r="H97" s="33" t="n">
        <v>6.218425</v>
      </c>
      <c r="I97" s="33">
        <f>IF(OR(E97="",R97="",R97&lt;=0,E97&lt;0),"",E97/R97)</f>
        <v/>
      </c>
      <c r="J97" s="33" t="n">
        <v>80</v>
      </c>
      <c r="K97" s="33" t="n">
        <v>8.359999999999999</v>
      </c>
      <c r="L97" s="33" t="n">
        <v>63.96</v>
      </c>
      <c r="M97" s="33" t="n">
        <v>-40.01</v>
      </c>
      <c r="N97" s="33" t="n">
        <v>3.84</v>
      </c>
      <c r="O97" s="33" t="n">
        <v>64.40000000000001</v>
      </c>
      <c r="P97" s="33" t="n">
        <v>10.48</v>
      </c>
      <c r="Q97" s="33" t="n">
        <v>29.6</v>
      </c>
      <c r="R97" s="33" t="n">
        <v>62.6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IFERROR((AVERAGE(T97,U97,V97,W97,X97)-1)*25,"")</f>
        <v/>
      </c>
      <c r="Z97" s="33" t="n">
        <v>3</v>
      </c>
      <c r="AA97" s="33" t="n">
        <v>1</v>
      </c>
      <c r="AB97" s="33" t="n">
        <v>3</v>
      </c>
      <c r="AC97" s="71" t="n">
        <v>52.5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IFERROR((AVERAGE(AE97,AF97,AG97,AH97,AL97)-1)*25,"")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2026-07-16</t>
        </is>
      </c>
      <c r="E98" s="33" t="n">
        <v>475.52737</v>
      </c>
      <c r="F98" s="33" t="n">
        <v>12.6</v>
      </c>
      <c r="G98" s="33" t="n">
        <v>-7.23</v>
      </c>
      <c r="H98" s="33" t="n">
        <v>49.677746</v>
      </c>
      <c r="I98" s="33">
        <f>IF(OR(E98="",R98="",R98&lt;=0,E98&lt;0),"",E98/R98)</f>
        <v/>
      </c>
      <c r="J98" s="33" t="n">
        <v>27.5</v>
      </c>
      <c r="K98" s="33" t="n">
        <v>-2.16</v>
      </c>
      <c r="L98" s="33" t="n">
        <v>72.06</v>
      </c>
      <c r="M98" s="33" t="n">
        <v>-359.35</v>
      </c>
      <c r="N98" s="33" t="n"/>
      <c r="O98" s="33" t="n">
        <v>55.8</v>
      </c>
      <c r="P98" s="33" t="n">
        <v>239.83</v>
      </c>
      <c r="Q98" s="33" t="n">
        <v>683.9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IFERROR((AVERAGE(T98,U98,V98,W98,X98)-1)*25,"")</f>
        <v/>
      </c>
      <c r="Z98" s="33" t="n">
        <v>3</v>
      </c>
      <c r="AA98" s="33" t="n">
        <v>5</v>
      </c>
      <c r="AB98" s="33" t="n">
        <v>3</v>
      </c>
      <c r="AC98" s="71" t="n">
        <v>66.7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IFERROR((AVERAGE(AE98,AF98,AG98,AH98,AL98)-1)*25,"")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2026-07-16</t>
        </is>
      </c>
      <c r="E99" s="33" t="n">
        <v>-21.495935</v>
      </c>
      <c r="F99" s="33" t="n">
        <v>4.7</v>
      </c>
      <c r="G99" s="33" t="n">
        <v>-23.97</v>
      </c>
      <c r="H99" s="33" t="n">
        <v>23.666288</v>
      </c>
      <c r="I99" s="33">
        <f>IF(OR(E99="",R99="",R99&lt;=0,E99&lt;0),"",E99/R99)</f>
        <v/>
      </c>
      <c r="J99" s="33" t="n">
        <v>32.5</v>
      </c>
      <c r="K99" s="33" t="n">
        <v>-1.82</v>
      </c>
      <c r="L99" s="33" t="n">
        <v>45.41</v>
      </c>
      <c r="M99" s="33" t="n">
        <v>-567.23</v>
      </c>
      <c r="N99" s="33" t="n">
        <v>78.90000000000001</v>
      </c>
      <c r="O99" s="33" t="n">
        <v>30.6</v>
      </c>
      <c r="P99" s="33" t="n">
        <v>156.45</v>
      </c>
      <c r="Q99" s="33" t="n">
        <v>139.3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IFERROR((AVERAGE(T99,U99,V99,W99,X99)-1)*25,"")</f>
        <v/>
      </c>
      <c r="Z99" s="33" t="n">
        <v>2</v>
      </c>
      <c r="AA99" s="33" t="n">
        <v>5</v>
      </c>
      <c r="AB99" s="33" t="n">
        <v>3</v>
      </c>
      <c r="AC99" s="71" t="n">
        <v>43.3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IFERROR((AVERAGE(AE99,AF99,AG99,AH99,AL99)-1)*25,"")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2026-07-16</t>
        </is>
      </c>
      <c r="E100" s="33" t="n">
        <v>70.85314</v>
      </c>
      <c r="F100" s="33" t="n">
        <v>4.1</v>
      </c>
      <c r="G100" s="33" t="n">
        <v>-6.9</v>
      </c>
      <c r="H100" s="33" t="n">
        <v>18.836292</v>
      </c>
      <c r="I100" s="33">
        <f>IF(OR(E100="",R100="",R100&lt;=0,E100&lt;0),"",E100/R100)</f>
        <v/>
      </c>
      <c r="J100" s="33" t="n">
        <v>45</v>
      </c>
      <c r="K100" s="33" t="n">
        <v>-6.46</v>
      </c>
      <c r="L100" s="33" t="n">
        <v>21.56</v>
      </c>
      <c r="M100" s="33" t="n">
        <v>-130</v>
      </c>
      <c r="N100" s="33" t="n"/>
      <c r="O100" s="33" t="n">
        <v>40.8</v>
      </c>
      <c r="P100" s="33" t="n">
        <v>-20.72</v>
      </c>
      <c r="Q100" s="33" t="n">
        <v>44.9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IFERROR((AVERAGE(T100,U100,V100,W100,X100)-1)*25,"")</f>
        <v/>
      </c>
      <c r="Z100" s="33" t="n">
        <v>3</v>
      </c>
      <c r="AA100" s="33" t="n">
        <v>3</v>
      </c>
      <c r="AB100" s="33" t="n">
        <v>3</v>
      </c>
      <c r="AC100" s="71" t="n">
        <v>48.3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IFERROR((AVERAGE(AE100,AF100,AG100,AH100,AL100)-1)*25,"")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2026-07-16</t>
        </is>
      </c>
      <c r="E101" s="33" t="n">
        <v>-37.053192</v>
      </c>
      <c r="F101" s="33" t="n">
        <v>4.9</v>
      </c>
      <c r="G101" s="33" t="n">
        <v>-19.67</v>
      </c>
      <c r="H101" s="33" t="n">
        <v>16.441591</v>
      </c>
      <c r="I101" s="33">
        <f>IF(OR(E101="",R101="",R101&lt;=0,E101&lt;0),"",E101/R101)</f>
        <v/>
      </c>
      <c r="J101" s="33" t="n">
        <v>36.2</v>
      </c>
      <c r="K101" s="33" t="n">
        <v>-2.21</v>
      </c>
      <c r="L101" s="33" t="n">
        <v>68.40000000000001</v>
      </c>
      <c r="M101" s="33" t="n">
        <v>-323.37</v>
      </c>
      <c r="N101" s="33" t="n">
        <v>11.9</v>
      </c>
      <c r="O101" s="33" t="n">
        <v>44.4</v>
      </c>
      <c r="P101" s="33" t="n">
        <v>103.98</v>
      </c>
      <c r="Q101" s="33" t="n">
        <v>0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IFERROR((AVERAGE(T101,U101,V101,W101,X101)-1)*25,"")</f>
        <v/>
      </c>
      <c r="Z101" s="33" t="n">
        <v>3</v>
      </c>
      <c r="AA101" s="33" t="n">
        <v>5</v>
      </c>
      <c r="AB101" s="33" t="n">
        <v>3</v>
      </c>
      <c r="AC101" s="71" t="n">
        <v>51.7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IFERROR((AVERAGE(AE101,AF101,AG101,AH101,AL101)-1)*25,"")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2026-07-16</t>
        </is>
      </c>
      <c r="E102" s="33" t="n">
        <v>36.916668</v>
      </c>
      <c r="F102" s="33" t="n">
        <v>12.5</v>
      </c>
      <c r="G102" s="33" t="n">
        <v>-14.04</v>
      </c>
      <c r="H102" s="33" t="n">
        <v>34.545406</v>
      </c>
      <c r="I102" s="33">
        <f>IF(OR(E102="",R102="",R102&lt;=0,E102&lt;0),"",E102/R102)</f>
        <v/>
      </c>
      <c r="J102" s="33" t="n">
        <v>33.8</v>
      </c>
      <c r="K102" s="33" t="n">
        <v>-5.17</v>
      </c>
      <c r="L102" s="33" t="n">
        <v>12.38</v>
      </c>
      <c r="M102" s="33" t="n">
        <v>-484.87</v>
      </c>
      <c r="N102" s="33" t="n">
        <v>24.31</v>
      </c>
      <c r="O102" s="33" t="n">
        <v>21.9</v>
      </c>
      <c r="P102" s="33" t="n">
        <v>319.34</v>
      </c>
      <c r="Q102" s="33" t="n">
        <v>-28.8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IFERROR((AVERAGE(T102,U102,V102,W102,X102)-1)*25,"")</f>
        <v/>
      </c>
      <c r="Z102" s="33" t="n">
        <v>2</v>
      </c>
      <c r="AA102" s="33" t="n">
        <v>5</v>
      </c>
      <c r="AB102" s="33" t="n">
        <v>3</v>
      </c>
      <c r="AC102" s="71" t="n">
        <v>54.2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IFERROR((AVERAGE(AE102,AF102,AG102,AH102,AL102)-1)*25,"")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2026-07-16</t>
        </is>
      </c>
      <c r="E103" s="33" t="n">
        <v>-17.793102</v>
      </c>
      <c r="F103" s="33" t="n">
        <v>2.7</v>
      </c>
      <c r="G103" s="33" t="n">
        <v>-32.39</v>
      </c>
      <c r="H103" s="33" t="n">
        <v>4.4740133</v>
      </c>
      <c r="I103" s="33">
        <f>IF(OR(E103="",R103="",R103&lt;=0,E103&lt;0),"",E103/R103)</f>
        <v/>
      </c>
      <c r="J103" s="33" t="n">
        <v>47.5</v>
      </c>
      <c r="K103" s="33" t="n">
        <v>-11.12</v>
      </c>
      <c r="L103" s="33" t="n">
        <v>50.71</v>
      </c>
      <c r="M103" s="33" t="n">
        <v>-144.92</v>
      </c>
      <c r="N103" s="33" t="n"/>
      <c r="O103" s="33" t="n">
        <v>40.8</v>
      </c>
      <c r="P103" s="33" t="n">
        <v>79.94</v>
      </c>
      <c r="Q103" s="33" t="n">
        <v>-24.9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1</v>
      </c>
      <c r="U103" s="33" t="n">
        <v>3</v>
      </c>
      <c r="V103" s="33" t="n">
        <v>2</v>
      </c>
      <c r="W103" s="33" t="n">
        <v>4</v>
      </c>
      <c r="X103" s="33" t="n">
        <v>3</v>
      </c>
      <c r="Y103" s="33">
        <f>IFERROR((AVERAGE(T103,U103,V103,W103,X103)-1)*25,"")</f>
        <v/>
      </c>
      <c r="Z103" s="33" t="n">
        <v>4</v>
      </c>
      <c r="AA103" s="33" t="n">
        <v>2</v>
      </c>
      <c r="AB103" s="33" t="n">
        <v>3</v>
      </c>
      <c r="AC103" s="71" t="n">
        <v>54.2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2</v>
      </c>
      <c r="AH103" s="33" t="n">
        <v>4</v>
      </c>
      <c r="AI103" s="33">
        <f>IFERROR((AVERAGE(AE103,AF103,AG103,AH103,AL103)-1)*25,"")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2026-07-16</t>
        </is>
      </c>
      <c r="E104" s="33" t="n">
        <v>-31.647888</v>
      </c>
      <c r="F104" s="33" t="n">
        <v>1.8</v>
      </c>
      <c r="G104" s="33" t="n">
        <v>-77.45</v>
      </c>
      <c r="H104" s="33" t="n">
        <v>3.6988163</v>
      </c>
      <c r="I104" s="33">
        <f>IF(OR(E104="",R104="",R104&lt;=0,E104&lt;0),"",E104/R104)</f>
        <v/>
      </c>
      <c r="J104" s="33" t="n">
        <v>48.8</v>
      </c>
      <c r="K104" s="33" t="n">
        <v>-8.48</v>
      </c>
      <c r="L104" s="33" t="n">
        <v>3.51</v>
      </c>
      <c r="M104" s="33" t="n">
        <v>-286.49</v>
      </c>
      <c r="N104" s="33" t="n">
        <v>3.82</v>
      </c>
      <c r="O104" s="33" t="n">
        <v>29.4</v>
      </c>
      <c r="P104" s="33" t="n">
        <v>23</v>
      </c>
      <c r="Q104" s="33" t="n">
        <v>169.4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IFERROR((AVERAGE(T104,U104,V104,W104,X104)-1)*25,"")</f>
        <v/>
      </c>
      <c r="Z104" s="33" t="n">
        <v>2</v>
      </c>
      <c r="AA104" s="33" t="n">
        <v>1</v>
      </c>
      <c r="AB104" s="33" t="n">
        <v>3</v>
      </c>
      <c r="AC104" s="71" t="n">
        <v>56.7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IFERROR((AVERAGE(AE104,AF104,AG104,AH104,AL104)-1)*25,"")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2026-07-16</t>
        </is>
      </c>
      <c r="E105" s="33" t="n">
        <v>-49.480488</v>
      </c>
      <c r="F105" s="33" t="n">
        <v>6.1</v>
      </c>
      <c r="G105" s="33" t="n">
        <v>-7.87</v>
      </c>
      <c r="H105" s="33" t="n">
        <v>36.39746</v>
      </c>
      <c r="I105" s="33">
        <f>IF(OR(E105="",R105="",R105&lt;=0,E105&lt;0),"",E105/R105)</f>
        <v/>
      </c>
      <c r="J105" s="33" t="n">
        <v>35</v>
      </c>
      <c r="K105" s="33" t="n">
        <v>-1.45</v>
      </c>
      <c r="L105" s="33" t="n">
        <v>59.67</v>
      </c>
      <c r="M105" s="33" t="n">
        <v>-286.43</v>
      </c>
      <c r="N105" s="33" t="n"/>
      <c r="O105" s="33" t="n">
        <v>52.5</v>
      </c>
      <c r="P105" s="33" t="n">
        <v>43.73</v>
      </c>
      <c r="Q105" s="33" t="n">
        <v>225.5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IFERROR((AVERAGE(T105,U105,V105,W105,X105)-1)*25,"")</f>
        <v/>
      </c>
      <c r="Z105" s="33" t="n">
        <v>3</v>
      </c>
      <c r="AA105" s="33" t="n">
        <v>5</v>
      </c>
      <c r="AB105" s="33" t="n">
        <v>3</v>
      </c>
      <c r="AC105" s="71" t="n">
        <v>54.2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IFERROR((AVERAGE(AE105,AF105,AG105,AH105,AL105)-1)*25,"")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2026-07-16</t>
        </is>
      </c>
      <c r="E106" s="33" t="n">
        <v>-60.538464</v>
      </c>
      <c r="F106" s="33" t="n">
        <v>3.4</v>
      </c>
      <c r="G106" s="33" t="n">
        <v>-17.14</v>
      </c>
      <c r="H106" s="33" t="n">
        <v>10.868624</v>
      </c>
      <c r="I106" s="33">
        <f>IF(OR(E106="",R106="",R106&lt;=0,E106&lt;0),"",E106/R106)</f>
        <v/>
      </c>
      <c r="J106" s="33" t="n">
        <v>47.5</v>
      </c>
      <c r="K106" s="33" t="n">
        <v>-15.85</v>
      </c>
      <c r="L106" s="33" t="n">
        <v>-20.81</v>
      </c>
      <c r="M106" s="33" t="n">
        <v>-186.29</v>
      </c>
      <c r="N106" s="33" t="n"/>
      <c r="O106" s="33" t="n">
        <v>20.8</v>
      </c>
      <c r="P106" s="33" t="n">
        <v>17.2</v>
      </c>
      <c r="Q106" s="33" t="n">
        <v>-22.4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IFERROR((AVERAGE(T106,U106,V106,W106,X106)-1)*25,"")</f>
        <v/>
      </c>
      <c r="Z106" s="33" t="n">
        <v>3</v>
      </c>
      <c r="AA106" s="33" t="n">
        <v>3</v>
      </c>
      <c r="AB106" s="33" t="n">
        <v>3</v>
      </c>
      <c r="AC106" s="71" t="n">
        <v>47.5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2</v>
      </c>
      <c r="AH106" s="33" t="n">
        <v>3</v>
      </c>
      <c r="AI106" s="33">
        <f>IFERROR((AVERAGE(AE106,AF106,AG106,AH106,AL106)-1)*25,"")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2026-07-16</t>
        </is>
      </c>
      <c r="E107" s="33" t="n">
        <v>-26.945377</v>
      </c>
      <c r="F107" s="33" t="n">
        <v>4.6</v>
      </c>
      <c r="G107" s="33" t="n">
        <v>-17.88</v>
      </c>
      <c r="H107" s="33" t="n">
        <v>10.8941765</v>
      </c>
      <c r="I107" s="33">
        <f>IF(OR(E107="",R107="",R107&lt;=0,E107&lt;0),"",E107/R107)</f>
        <v/>
      </c>
      <c r="J107" s="33" t="n">
        <v>41.2</v>
      </c>
      <c r="K107" s="33" t="n">
        <v>-12.07</v>
      </c>
      <c r="L107" s="33" t="n">
        <v>32.35</v>
      </c>
      <c r="M107" s="33" t="n">
        <v>-194.81</v>
      </c>
      <c r="N107" s="33" t="n"/>
      <c r="O107" s="33" t="n">
        <v>29.2</v>
      </c>
      <c r="P107" s="33" t="n">
        <v>35.69</v>
      </c>
      <c r="Q107" s="33" t="n">
        <v>3.6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IFERROR((AVERAGE(T107,U107,V107,W107,X107)-1)*25,"")</f>
        <v/>
      </c>
      <c r="Z107" s="33" t="n">
        <v>3</v>
      </c>
      <c r="AA107" s="33" t="n">
        <v>3</v>
      </c>
      <c r="AB107" s="33" t="n">
        <v>3</v>
      </c>
      <c r="AC107" s="71" t="n">
        <v>55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IFERROR((AVERAGE(AE107,AF107,AG107,AH107,AL107)-1)*25,"")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2026-07-16</t>
        </is>
      </c>
      <c r="E108" s="33" t="n">
        <v>92.20513</v>
      </c>
      <c r="F108" s="33" t="n">
        <v>12.3</v>
      </c>
      <c r="G108" s="33" t="n">
        <v>-18.93</v>
      </c>
      <c r="H108" s="33" t="n">
        <v>53.014225</v>
      </c>
      <c r="I108" s="33">
        <f>IF(OR(E108="",R108="",R108&lt;=0,E108&lt;0),"",E108/R108)</f>
        <v/>
      </c>
      <c r="J108" s="33" t="n">
        <v>18.8</v>
      </c>
      <c r="K108" s="33" t="n">
        <v>-6.95</v>
      </c>
      <c r="L108" s="33" t="n">
        <v>64.02</v>
      </c>
      <c r="M108" s="33" t="n">
        <v>-1003.63</v>
      </c>
      <c r="N108" s="33" t="n"/>
      <c r="O108" s="33" t="n">
        <v>34.2</v>
      </c>
      <c r="P108" s="33" t="n">
        <v>123.78</v>
      </c>
      <c r="Q108" s="33" t="n">
        <v>-1.1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5</v>
      </c>
      <c r="U108" s="33" t="n">
        <v>4</v>
      </c>
      <c r="V108" s="33" t="n">
        <v>4</v>
      </c>
      <c r="W108" s="33" t="n">
        <v>5</v>
      </c>
      <c r="X108" s="33" t="n">
        <v>5</v>
      </c>
      <c r="Y108" s="33">
        <f>IFERROR((AVERAGE(T108,U108,V108,W108,X108)-1)*25,"")</f>
        <v/>
      </c>
      <c r="Z108" s="33" t="n">
        <v>5</v>
      </c>
      <c r="AA108" s="33" t="n">
        <v>2</v>
      </c>
      <c r="AB108" s="33" t="n">
        <v>4</v>
      </c>
      <c r="AC108" s="71" t="n">
        <v>50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2</v>
      </c>
      <c r="AF108" s="33" t="n">
        <v>4</v>
      </c>
      <c r="AG108" s="33" t="n">
        <v>2</v>
      </c>
      <c r="AH108" s="33" t="n">
        <v>3</v>
      </c>
      <c r="AI108" s="33">
        <f>IFERROR((AVERAGE(AE108,AF108,AG108,AH108,AL108)-1)*25,"")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2026-09-18</t>
        </is>
      </c>
      <c r="E109" s="33" t="n">
        <v>76.47041</v>
      </c>
      <c r="F109" s="33" t="n">
        <v>123.4</v>
      </c>
      <c r="G109" s="33" t="n">
        <v>0.79</v>
      </c>
      <c r="H109" s="33" t="n">
        <v>69.34428</v>
      </c>
      <c r="I109" s="33">
        <f>IF(OR(E109="",R109="",R109&lt;=0,E109&lt;0),"",E109/R109)</f>
        <v/>
      </c>
      <c r="J109" s="33" t="n">
        <v>36.5</v>
      </c>
      <c r="K109" s="33" t="n">
        <v>25.63</v>
      </c>
      <c r="L109" s="33" t="n">
        <v>84.8</v>
      </c>
      <c r="M109" s="33" t="n">
        <v>54.55</v>
      </c>
      <c r="N109" s="33" t="n">
        <v>-3.45</v>
      </c>
      <c r="O109" s="33" t="n">
        <v>85.8</v>
      </c>
      <c r="P109" s="33" t="n">
        <v>32.92</v>
      </c>
      <c r="Q109" s="33" t="n">
        <v>92.8</v>
      </c>
      <c r="R109" s="33" t="n">
        <v>225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5</v>
      </c>
      <c r="W109" s="33" t="n">
        <v>5</v>
      </c>
      <c r="X109" s="33" t="n">
        <v>3</v>
      </c>
      <c r="Y109" s="33">
        <f>IFERROR((AVERAGE(T109,U109,V109,W109,X109)-1)*25,"")</f>
        <v/>
      </c>
      <c r="Z109" s="33" t="n">
        <v>5</v>
      </c>
      <c r="AA109" s="33" t="n">
        <v>4</v>
      </c>
      <c r="AB109" s="33" t="n">
        <v>3</v>
      </c>
      <c r="AC109" s="71" t="n">
        <v>44.2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3</v>
      </c>
      <c r="AF109" s="33" t="n">
        <v>4</v>
      </c>
      <c r="AG109" s="33" t="n">
        <v>5</v>
      </c>
      <c r="AH109" s="33" t="n">
        <v>3</v>
      </c>
      <c r="AI109" s="33">
        <f>IFERROR((AVERAGE(AE109,AF109,AG109,AH109,AL109)-1)*25,"")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2026-09-07</t>
        </is>
      </c>
      <c r="E110" s="33" t="n">
        <v>113.38965</v>
      </c>
      <c r="F110" s="33" t="n">
        <v>102.2</v>
      </c>
      <c r="G110" s="33" t="n">
        <v>0.98</v>
      </c>
      <c r="H110" s="33" t="n">
        <v>21.888653</v>
      </c>
      <c r="I110" s="33">
        <f>IF(OR(E110="",R110="",R110&lt;=0,E110&lt;0),"",E110/R110)</f>
        <v/>
      </c>
      <c r="J110" s="33" t="n">
        <v>29.3</v>
      </c>
      <c r="K110" s="33" t="n">
        <v>-21.73</v>
      </c>
      <c r="L110" s="33" t="n">
        <v>67.03</v>
      </c>
      <c r="M110" s="33" t="n">
        <v>21.47</v>
      </c>
      <c r="N110" s="33" t="n"/>
      <c r="O110" s="33" t="n">
        <v>12.9</v>
      </c>
      <c r="P110" s="33" t="n">
        <v>31.38</v>
      </c>
      <c r="Q110" s="33" t="n">
        <v>35.1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3</v>
      </c>
      <c r="Y110" s="33">
        <f>IFERROR((AVERAGE(T110,U110,V110,W110,X110)-1)*25,"")</f>
        <v/>
      </c>
      <c r="Z110" s="33" t="n">
        <v>2</v>
      </c>
      <c r="AA110" s="33" t="n">
        <v>3</v>
      </c>
      <c r="AB110" s="33" t="n">
        <v>3</v>
      </c>
      <c r="AC110" s="71" t="n">
        <v>72.5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4</v>
      </c>
      <c r="AF110" s="33" t="n">
        <v>4</v>
      </c>
      <c r="AG110" s="33" t="n">
        <v>4</v>
      </c>
      <c r="AH110" s="33" t="n">
        <v>4</v>
      </c>
      <c r="AI110" s="33">
        <f>IFERROR((AVERAGE(AE110,AF110,AG110,AH110,AL110)-1)*25,"")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2026-07-16</t>
        </is>
      </c>
      <c r="E111" s="33" t="n">
        <v>20.710379</v>
      </c>
      <c r="F111" s="33" t="n">
        <v>22.6</v>
      </c>
      <c r="G111" s="33" t="n">
        <v>4.31</v>
      </c>
      <c r="H111" s="33" t="n">
        <v>7.6838365</v>
      </c>
      <c r="I111" s="33">
        <f>IF(OR(E111="",R111="",R111&lt;=0,E111&lt;0),"",E111/R111)</f>
        <v/>
      </c>
      <c r="J111" s="33" t="n">
        <v>57.6</v>
      </c>
      <c r="K111" s="33" t="n">
        <v>6.13</v>
      </c>
      <c r="L111" s="33" t="n">
        <v>76.56</v>
      </c>
      <c r="M111" s="33" t="n">
        <v>33.12</v>
      </c>
      <c r="N111" s="33" t="n">
        <v>-0.95</v>
      </c>
      <c r="O111" s="33" t="n">
        <v>61.9</v>
      </c>
      <c r="P111" s="33" t="n">
        <v>22.38</v>
      </c>
      <c r="Q111" s="33" t="n">
        <v>22.1</v>
      </c>
      <c r="R111" s="33" t="n">
        <v>2</v>
      </c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3</v>
      </c>
      <c r="Y111" s="33">
        <f>IFERROR((AVERAGE(T111,U111,V111,W111,X111)-1)*25,"")</f>
        <v/>
      </c>
      <c r="Z111" s="33" t="n">
        <v>2</v>
      </c>
      <c r="AA111" s="33" t="n">
        <v>1</v>
      </c>
      <c r="AB111" s="33" t="n">
        <v>3</v>
      </c>
      <c r="AC111" s="71" t="n">
        <v>60.8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4</v>
      </c>
      <c r="AF111" s="33" t="n">
        <v>4</v>
      </c>
      <c r="AG111" s="33" t="n">
        <v>5</v>
      </c>
      <c r="AH111" s="33" t="n">
        <v>4</v>
      </c>
      <c r="AI111" s="33">
        <f>IFERROR((AVERAGE(AE111,AF111,AG111,AH111,AL111)-1)*25,"")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2026-09-07</t>
        </is>
      </c>
      <c r="E112" s="33" t="n">
        <v>16.193537</v>
      </c>
      <c r="F112" s="33" t="n">
        <v>16.1</v>
      </c>
      <c r="G112" s="33" t="n">
        <v>7.1</v>
      </c>
      <c r="H112" s="33" t="n">
        <v>4.8556213</v>
      </c>
      <c r="I112" s="33">
        <f>IF(OR(E112="",R112="",R112&lt;=0,E112&lt;0),"",E112/R112)</f>
        <v/>
      </c>
      <c r="J112" s="33" t="n">
        <v>77.90000000000001</v>
      </c>
      <c r="K112" s="33" t="n">
        <v>8.84</v>
      </c>
      <c r="L112" s="33" t="n">
        <v>77.28</v>
      </c>
      <c r="M112" s="33" t="n">
        <v>34.49</v>
      </c>
      <c r="N112" s="33" t="n">
        <v>2.4</v>
      </c>
      <c r="O112" s="33" t="n">
        <v>57.6</v>
      </c>
      <c r="P112" s="33" t="n">
        <v>9.82</v>
      </c>
      <c r="Q112" s="33" t="n">
        <v>10.8</v>
      </c>
      <c r="R112" s="33" t="n"/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IFERROR((AVERAGE(T112,U112,V112,W112,X112)-1)*25,"")</f>
        <v/>
      </c>
      <c r="Z112" s="33" t="n">
        <v>4</v>
      </c>
      <c r="AA112" s="33" t="n">
        <v>2</v>
      </c>
      <c r="AB112" s="33" t="n">
        <v>3</v>
      </c>
      <c r="AC112" s="71" t="n">
        <v>41.7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4</v>
      </c>
      <c r="AF112" s="33" t="n">
        <v>4</v>
      </c>
      <c r="AG112" s="33" t="n">
        <v>4</v>
      </c>
      <c r="AH112" s="33" t="n">
        <v>4</v>
      </c>
      <c r="AI112" s="33">
        <f>IFERROR((AVERAGE(AE112,AF112,AG112,AH112,AL112)-1)*25,"")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2026-07-16</t>
        </is>
      </c>
      <c r="E113" s="33" t="n">
        <v>26.319311</v>
      </c>
      <c r="F113" s="33" t="n">
        <v>37.623</v>
      </c>
      <c r="G113" s="33" t="n">
        <v>2.54</v>
      </c>
      <c r="H113" s="33" t="n">
        <v>8.779441</v>
      </c>
      <c r="I113" s="33">
        <f>IF(OR(E113="",R113="",R113&lt;=0,E113&lt;0),"",E113/R113)</f>
        <v/>
      </c>
      <c r="J113" s="33" t="n">
        <v>57.4</v>
      </c>
      <c r="K113" s="33" t="n">
        <v>12.94</v>
      </c>
      <c r="L113" s="33" t="n">
        <v>62.14</v>
      </c>
      <c r="M113" s="33" t="n">
        <v>22.29</v>
      </c>
      <c r="N113" s="33" t="n">
        <v>0.25</v>
      </c>
      <c r="O113" s="33" t="n">
        <v>77.8</v>
      </c>
      <c r="P113" s="33" t="n">
        <v>-0.28</v>
      </c>
      <c r="Q113" s="33" t="n">
        <v>31.5</v>
      </c>
      <c r="R113" s="33" t="n">
        <v>35.8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IFERROR((AVERAGE(T113,U113,V113,W113,X113)-1)*25,"")</f>
        <v/>
      </c>
      <c r="Z113" s="33" t="n">
        <v>5</v>
      </c>
      <c r="AA113" s="33" t="n">
        <v>5</v>
      </c>
      <c r="AB113" s="33" t="n">
        <v>3</v>
      </c>
      <c r="AC113" s="71" t="n">
        <v>63.3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IFERROR((AVERAGE(AE113,AF113,AG113,AH113,AL113)-1)*25,"")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2026-07-16</t>
        </is>
      </c>
      <c r="E114" s="33" t="n">
        <v>24.1</v>
      </c>
      <c r="F114" s="33" t="n">
        <v>32.24</v>
      </c>
      <c r="G114" s="33" t="n">
        <v>-0.09</v>
      </c>
      <c r="H114" s="33" t="n">
        <v>4.354561</v>
      </c>
      <c r="I114" s="33">
        <f>IF(OR(E114="",R114="",R114&lt;=0,E114&lt;0),"",E114/R114)</f>
        <v/>
      </c>
      <c r="J114" s="33" t="n">
        <v>65</v>
      </c>
      <c r="K114" s="33" t="n">
        <v>9.56</v>
      </c>
      <c r="L114" s="33" t="n">
        <v>21</v>
      </c>
      <c r="M114" s="33" t="n">
        <v>-0.38</v>
      </c>
      <c r="N114" s="33" t="n">
        <v>1.45</v>
      </c>
      <c r="O114" s="33" t="n">
        <v>39.4</v>
      </c>
      <c r="P114" s="33" t="n">
        <v>5.22</v>
      </c>
      <c r="Q114" s="33" t="n">
        <v>30.4</v>
      </c>
      <c r="R114" s="33" t="n">
        <v>55.3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IFERROR((AVERAGE(T114,U114,V114,W114,X114)-1)*25,"")</f>
        <v/>
      </c>
      <c r="Z114" s="33" t="n">
        <v>5</v>
      </c>
      <c r="AA114" s="33" t="n">
        <v>5</v>
      </c>
      <c r="AB114" s="33" t="n">
        <v>2</v>
      </c>
      <c r="AC114" s="71" t="n">
        <v>50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IFERROR((AVERAGE(AE114,AF114,AG114,AH114,AL114)-1)*25,"")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2026-07-16</t>
        </is>
      </c>
      <c r="E115" s="33" t="n">
        <v>42.725853</v>
      </c>
      <c r="F115" s="33" t="n">
        <v>73.261</v>
      </c>
      <c r="G115" s="33" t="n">
        <v>0.98</v>
      </c>
      <c r="H115" s="33" t="n">
        <v>21.69247</v>
      </c>
      <c r="I115" s="33">
        <f>IF(OR(E115="",R115="",R115&lt;=0,E115&lt;0),"",E115/R115)</f>
        <v/>
      </c>
      <c r="J115" s="33" t="n">
        <v>30.6</v>
      </c>
      <c r="K115" s="33" t="n">
        <v>18.35</v>
      </c>
      <c r="L115" s="33" t="n">
        <v>55.17</v>
      </c>
      <c r="M115" s="33" t="n">
        <v>21.19</v>
      </c>
      <c r="N115" s="33" t="n">
        <v>-1.57</v>
      </c>
      <c r="O115" s="33" t="n">
        <v>62.7</v>
      </c>
      <c r="P115" s="33" t="n">
        <v>15.86</v>
      </c>
      <c r="Q115" s="33" t="n">
        <v>26.1</v>
      </c>
      <c r="R115" s="33" t="n">
        <v>43.1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IFERROR((AVERAGE(T115,U115,V115,W115,X115)-1)*25,"")</f>
        <v/>
      </c>
      <c r="Z115" s="33" t="n">
        <v>4</v>
      </c>
      <c r="AA115" s="33" t="n">
        <v>5</v>
      </c>
      <c r="AB115" s="33" t="n">
        <v>2</v>
      </c>
      <c r="AC115" s="71" t="n">
        <v>45.8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IFERROR((AVERAGE(AE115,AF115,AG115,AH115,AL115)-1)*25,"")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inlineStr">
        <is>
          <t>2026-09-02</t>
        </is>
      </c>
      <c r="E116" s="33" t="n">
        <v>17.16525</v>
      </c>
      <c r="F116" s="33" t="n">
        <v>77.379</v>
      </c>
      <c r="G116" s="33" t="n">
        <v>1.31</v>
      </c>
      <c r="H116" s="33" t="n">
        <v>23.25683</v>
      </c>
      <c r="I116" s="33">
        <f>IF(OR(E116="",R116="",R116&lt;=0,E116&lt;0),"",E116/R116)</f>
        <v/>
      </c>
      <c r="J116" s="33" t="n">
        <v>57.4</v>
      </c>
      <c r="K116" s="33" t="n">
        <v>21.06</v>
      </c>
      <c r="L116" s="33" t="n">
        <v>68.04000000000001</v>
      </c>
      <c r="M116" s="33" t="n">
        <v>30.48</v>
      </c>
      <c r="N116" s="33" t="n">
        <v>-2.96</v>
      </c>
      <c r="O116" s="33" t="n">
        <v>90.59999999999999</v>
      </c>
      <c r="P116" s="33" t="n">
        <v>93.53</v>
      </c>
      <c r="Q116" s="33" t="n">
        <v>157</v>
      </c>
      <c r="R116" s="33" t="n">
        <v>362.2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IFERROR((AVERAGE(T116,U116,V116,W116,X116)-1)*25,"")</f>
        <v/>
      </c>
      <c r="Z116" s="33" t="n">
        <v>5</v>
      </c>
      <c r="AA116" s="33" t="n">
        <v>4</v>
      </c>
      <c r="AB116" s="33" t="n">
        <v>3</v>
      </c>
      <c r="AC116" s="71" t="n">
        <v>63.3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IFERROR((AVERAGE(AE116,AF116,AG116,AH116,AL116)-1)*25,"")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2026-07-16</t>
        </is>
      </c>
      <c r="E117" s="33" t="n">
        <v>17.492502</v>
      </c>
      <c r="F117" s="33" t="n">
        <v>22.549</v>
      </c>
      <c r="G117" s="33" t="n">
        <v>2.37</v>
      </c>
      <c r="H117" s="33" t="n">
        <v>1.5897795</v>
      </c>
      <c r="I117" s="33">
        <f>IF(OR(E117="",R117="",R117&lt;=0,E117&lt;0),"",E117/R117)</f>
        <v/>
      </c>
      <c r="J117" s="33" t="n">
        <v>57.7</v>
      </c>
      <c r="K117" s="33" t="n">
        <v>11.09</v>
      </c>
      <c r="L117" s="33" t="n">
        <v>9.41</v>
      </c>
      <c r="M117" s="33" t="n">
        <v>3.77</v>
      </c>
      <c r="N117" s="33" t="n">
        <v>1.01</v>
      </c>
      <c r="O117" s="33" t="n">
        <v>39.1</v>
      </c>
      <c r="P117" s="33" t="n">
        <v>-0.6899999999999999</v>
      </c>
      <c r="Q117" s="33" t="n">
        <v>16.9</v>
      </c>
      <c r="R117" s="33" t="n">
        <v>12.6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IFERROR((AVERAGE(T117,U117,V117,W117,X117)-1)*25,"")</f>
        <v/>
      </c>
      <c r="Z117" s="33" t="n">
        <v>5</v>
      </c>
      <c r="AA117" s="33" t="n">
        <v>5</v>
      </c>
      <c r="AB117" s="33" t="n">
        <v>3</v>
      </c>
      <c r="AC117" s="71" t="n">
        <v>55.8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IFERROR((AVERAGE(AE117,AF117,AG117,AH117,AL117)-1)*25,"")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2026-07-16</t>
        </is>
      </c>
      <c r="E118" s="33" t="n">
        <v>22.74678</v>
      </c>
      <c r="F118" s="33" t="n">
        <v>69.559</v>
      </c>
      <c r="G118" s="33" t="n">
        <v>2.27</v>
      </c>
      <c r="H118" s="33" t="n">
        <v>5.7721767</v>
      </c>
      <c r="I118" s="33">
        <f>IF(OR(E118="",R118="",R118&lt;=0,E118&lt;0),"",E118/R118)</f>
        <v/>
      </c>
      <c r="J118" s="33" t="n">
        <v>31.2</v>
      </c>
      <c r="K118" s="33" t="n">
        <v>5.09</v>
      </c>
      <c r="L118" s="33" t="n">
        <v>70.23</v>
      </c>
      <c r="M118" s="33" t="n">
        <v>13.1</v>
      </c>
      <c r="N118" s="33" t="n">
        <v>-1.01</v>
      </c>
      <c r="O118" s="33" t="n">
        <v>64.09999999999999</v>
      </c>
      <c r="P118" s="33" t="n">
        <v>9.98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IFERROR((AVERAGE(T118,U118,V118,W118,X118)-1)*25,"")</f>
        <v/>
      </c>
      <c r="Z118" s="33" t="n">
        <v>4</v>
      </c>
      <c r="AA118" s="33" t="n">
        <v>3</v>
      </c>
      <c r="AB118" s="33" t="n">
        <v>3</v>
      </c>
      <c r="AC118" s="71" t="n">
        <v>68.3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IFERROR((AVERAGE(AE118,AF118,AG118,AH118,AL118)-1)*25,"")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2026-09-07</t>
        </is>
      </c>
      <c r="E119" s="33" t="n">
        <v>71.73054999999999</v>
      </c>
      <c r="F119" s="33" t="n">
        <v>67.8</v>
      </c>
      <c r="G119" s="33" t="n">
        <v>1.4</v>
      </c>
      <c r="H119" s="33" t="n">
        <v>19.274801</v>
      </c>
      <c r="I119" s="33">
        <f>IF(OR(E119="",R119="",R119&lt;=0,E119&lt;0),"",E119/R119)</f>
        <v/>
      </c>
      <c r="J119" s="33" t="n">
        <v>42.8</v>
      </c>
      <c r="K119" s="33" t="n">
        <v>0.27</v>
      </c>
      <c r="L119" s="33" t="n">
        <v>79.54000000000001</v>
      </c>
      <c r="M119" s="33" t="n">
        <v>27.04</v>
      </c>
      <c r="N119" s="33" t="n">
        <v>-44.73</v>
      </c>
      <c r="O119" s="33" t="n">
        <v>55.1</v>
      </c>
      <c r="P119" s="33" t="n">
        <v>26.95</v>
      </c>
      <c r="Q119" s="33" t="n">
        <v>35.6</v>
      </c>
      <c r="R119" s="33" t="n">
        <v>1583.3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3</v>
      </c>
      <c r="Y119" s="33">
        <f>IFERROR((AVERAGE(T119,U119,V119,W119,X119)-1)*25,"")</f>
        <v/>
      </c>
      <c r="Z119" s="33" t="n">
        <v>4</v>
      </c>
      <c r="AA119" s="33" t="n">
        <v>5</v>
      </c>
      <c r="AB119" s="33" t="n">
        <v>3</v>
      </c>
      <c r="AC119" s="71" t="n">
        <v>67.5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IFERROR((AVERAGE(AE119,AF119,AG119,AH119,AL119)-1)*25,"")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2026-09-07</t>
        </is>
      </c>
      <c r="E120" s="33" t="n">
        <v>132.8885</v>
      </c>
      <c r="F120" s="33" t="n">
        <v>140.6</v>
      </c>
      <c r="G120" s="33" t="n">
        <v>0.7</v>
      </c>
      <c r="H120" s="33" t="n">
        <v>40.43637</v>
      </c>
      <c r="I120" s="33">
        <f>IF(OR(E120="",R120="",R120&lt;=0,E120&lt;0),"",E120/R120)</f>
        <v/>
      </c>
      <c r="J120" s="33" t="n">
        <v>13.9</v>
      </c>
      <c r="K120" s="33" t="n">
        <v>-1.57</v>
      </c>
      <c r="L120" s="33" t="n">
        <v>75.19</v>
      </c>
      <c r="M120" s="33" t="n">
        <v>28.22</v>
      </c>
      <c r="N120" s="33" t="n">
        <v>-39.24</v>
      </c>
      <c r="O120" s="33" t="n">
        <v>48.3</v>
      </c>
      <c r="P120" s="33" t="n">
        <v>29.01</v>
      </c>
      <c r="Q120" s="33" t="n">
        <v>25.8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4</v>
      </c>
      <c r="V120" s="33" t="n">
        <v>4</v>
      </c>
      <c r="W120" s="33" t="n">
        <v>3</v>
      </c>
      <c r="X120" s="33" t="n">
        <v>3</v>
      </c>
      <c r="Y120" s="33">
        <f>IFERROR((AVERAGE(T120,U120,V120,W120,X120)-1)*25,"")</f>
        <v/>
      </c>
      <c r="Z120" s="33" t="n">
        <v>5</v>
      </c>
      <c r="AA120" s="33" t="n">
        <v>5</v>
      </c>
      <c r="AB120" s="33" t="n">
        <v>3</v>
      </c>
      <c r="AC120" s="71" t="n">
        <v>87.5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IFERROR((AVERAGE(AE120,AF120,AG120,AH120,AL120)-1)*25,"")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2026-09-07</t>
        </is>
      </c>
      <c r="E121" s="33" t="n">
        <v>47.48298</v>
      </c>
      <c r="F121" s="33" t="n">
        <v>41.5</v>
      </c>
      <c r="G121" s="33" t="n">
        <v>2.22</v>
      </c>
      <c r="H121" s="33" t="n">
        <v>10.67438</v>
      </c>
      <c r="I121" s="33">
        <f>IF(OR(E121="",R121="",R121&lt;=0,E121&lt;0),"",E121/R121)</f>
        <v/>
      </c>
      <c r="J121" s="33" t="n">
        <v>45.1</v>
      </c>
      <c r="K121" s="33" t="n">
        <v>-0.36</v>
      </c>
      <c r="L121" s="33" t="n">
        <v>72.69</v>
      </c>
      <c r="M121" s="33" t="n">
        <v>23.68</v>
      </c>
      <c r="N121" s="33" t="n">
        <v>-170.08</v>
      </c>
      <c r="O121" s="33" t="n">
        <v>44.9</v>
      </c>
      <c r="P121" s="33" t="n">
        <v>24.26</v>
      </c>
      <c r="Q121" s="33" t="n">
        <v>30.5</v>
      </c>
      <c r="R121" s="33" t="n"/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IFERROR((AVERAGE(T121,U121,V121,W121,X121)-1)*25,"")</f>
        <v/>
      </c>
      <c r="Z121" s="33" t="n">
        <v>4</v>
      </c>
      <c r="AA121" s="33" t="n">
        <v>4</v>
      </c>
      <c r="AB121" s="33" t="n">
        <v>3</v>
      </c>
      <c r="AC121" s="71" t="n">
        <v>64.2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IFERROR((AVERAGE(AE121,AF121,AG121,AH121,AL121)-1)*25,"")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2026-09-07</t>
        </is>
      </c>
      <c r="E122" s="33" t="n">
        <v>13.263214</v>
      </c>
      <c r="F122" s="33" t="n">
        <v>13.8</v>
      </c>
      <c r="G122" s="33" t="n">
        <v>5.81</v>
      </c>
      <c r="H122" s="33" t="n">
        <v>3.7271273</v>
      </c>
      <c r="I122" s="33">
        <f>IF(OR(E122="",R122="",R122&lt;=0,E122&lt;0),"",E122/R122)</f>
        <v/>
      </c>
      <c r="J122" s="33" t="n">
        <v>86</v>
      </c>
      <c r="K122" s="33" t="n">
        <v>4.88</v>
      </c>
      <c r="L122" s="33" t="n">
        <v>83.05</v>
      </c>
      <c r="M122" s="33" t="n">
        <v>21.67</v>
      </c>
      <c r="N122" s="33" t="n">
        <v>-9.9</v>
      </c>
      <c r="O122" s="33" t="n">
        <v>58.5</v>
      </c>
      <c r="P122" s="33" t="n">
        <v>15.01</v>
      </c>
      <c r="Q122" s="33" t="n">
        <v>17.3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2</v>
      </c>
      <c r="U122" s="33" t="n">
        <v>3</v>
      </c>
      <c r="V122" s="33" t="n">
        <v>3</v>
      </c>
      <c r="W122" s="33" t="n">
        <v>2</v>
      </c>
      <c r="X122" s="33" t="n">
        <v>2</v>
      </c>
      <c r="Y122" s="33">
        <f>IFERROR((AVERAGE(T122,U122,V122,W122,X122)-1)*25,"")</f>
        <v/>
      </c>
      <c r="Z122" s="33" t="n">
        <v>4</v>
      </c>
      <c r="AA122" s="33" t="n">
        <v>4</v>
      </c>
      <c r="AB122" s="33" t="n">
        <v>3</v>
      </c>
      <c r="AC122" s="71" t="n">
        <v>50.8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5</v>
      </c>
      <c r="AF122" s="33" t="n">
        <v>4</v>
      </c>
      <c r="AG122" s="33" t="n">
        <v>5</v>
      </c>
      <c r="AH122" s="33" t="n">
        <v>3</v>
      </c>
      <c r="AI122" s="33">
        <f>IFERROR((AVERAGE(AE122,AF122,AG122,AH122,AL122)-1)*25,"")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3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2026-07-16</t>
        </is>
      </c>
      <c r="E123" s="61" t="n">
        <v>55.16478</v>
      </c>
      <c r="F123" s="61" t="n">
        <v>-40.015</v>
      </c>
      <c r="G123" s="62" t="n">
        <v>0.66</v>
      </c>
      <c r="H123" s="61" t="n">
        <v>6.852187</v>
      </c>
      <c r="I123" s="33">
        <f>IF(OR(E123="",R123="",R123&lt;=0,E123&lt;0),"",E123/R123)</f>
        <v/>
      </c>
      <c r="J123" s="63" t="n">
        <v>48.2</v>
      </c>
      <c r="K123" s="62" t="n">
        <v>-9.57</v>
      </c>
      <c r="L123" s="62" t="n">
        <v>58.82</v>
      </c>
      <c r="M123" s="62" t="n">
        <v>4.49</v>
      </c>
      <c r="N123" s="61" t="n"/>
      <c r="O123" s="63" t="n">
        <v>25.1</v>
      </c>
      <c r="P123" s="62" t="n">
        <v>4.99</v>
      </c>
      <c r="Q123" s="62" t="n">
        <v>16.9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IFERROR((AVERAGE(T123,U123,V123,W123,X123)-1)*25,"")</f>
        <v/>
      </c>
      <c r="Z123" s="60" t="n">
        <v>3</v>
      </c>
      <c r="AA123" s="60" t="n">
        <v>4</v>
      </c>
      <c r="AB123" s="60" t="n">
        <v>3</v>
      </c>
      <c r="AC123" s="70" t="n">
        <v>48.3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IFERROR((AVERAGE(AE123,AF123,AG123,AH123,AL123)-1)*25,"")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2026-07-16</t>
        </is>
      </c>
      <c r="E124" s="61" t="n">
        <v>46.839092</v>
      </c>
      <c r="F124" s="61" t="n">
        <v>-112.41</v>
      </c>
      <c r="G124" s="62" t="n">
        <v>-0.54</v>
      </c>
      <c r="H124" s="61" t="n">
        <v>9.549488</v>
      </c>
      <c r="I124" s="33">
        <f>IF(OR(E124="",R124="",R124&lt;=0,E124&lt;0),"",E124/R124)</f>
        <v/>
      </c>
      <c r="J124" s="63" t="n">
        <v>41.2</v>
      </c>
      <c r="K124" s="62" t="n">
        <v>-2.09</v>
      </c>
      <c r="L124" s="62" t="n">
        <v>87.19</v>
      </c>
      <c r="M124" s="62" t="n">
        <v>-5.13</v>
      </c>
      <c r="N124" s="61" t="n"/>
      <c r="O124" s="63" t="n">
        <v>35.3</v>
      </c>
      <c r="P124" s="62" t="n">
        <v>-3.13</v>
      </c>
      <c r="Q124" s="62" t="n">
        <v>11.5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IFERROR((AVERAGE(T124,U124,V124,W124,X124)-1)*25,"")</f>
        <v/>
      </c>
      <c r="Z124" s="60" t="n">
        <v>2</v>
      </c>
      <c r="AA124" s="60" t="n">
        <v>3</v>
      </c>
      <c r="AB124" s="60" t="n">
        <v>5</v>
      </c>
      <c r="AC124" s="70" t="n">
        <v>55.8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IFERROR((AVERAGE(AE124,AF124,AG124,AH124,AL124)-1)*25,"")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Semiconductor Equipment &amp; Materials / EDA &amp; IP</t>
        </is>
      </c>
      <c r="D125" s="60" t="inlineStr">
        <is>
          <t>2026-07-16</t>
        </is>
      </c>
      <c r="E125" s="61" t="n">
        <v>197.01588</v>
      </c>
      <c r="F125" s="61" t="n">
        <v>-46.3</v>
      </c>
      <c r="G125" s="62" t="n">
        <v>-0.33</v>
      </c>
      <c r="H125" s="61" t="n">
        <v>18.610819</v>
      </c>
      <c r="I125" s="33">
        <f>IF(OR(E125="",R125="",R125&lt;=0,E125&lt;0),"",E125/R125)</f>
        <v/>
      </c>
      <c r="J125" s="63" t="n">
        <v>25.3</v>
      </c>
      <c r="K125" s="62" t="n">
        <v>-22.61</v>
      </c>
      <c r="L125" s="62" t="n">
        <v>88.8</v>
      </c>
      <c r="M125" s="62" t="n">
        <v>-6.09</v>
      </c>
      <c r="N125" s="61" t="n"/>
      <c r="O125" s="63" t="n">
        <v>32.8</v>
      </c>
      <c r="P125" s="62" t="n">
        <v>11.9</v>
      </c>
      <c r="Q125" s="62" t="n">
        <v>38.7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IFERROR((AVERAGE(T125,U125,V125,W125,X125)-1)*25,"")</f>
        <v/>
      </c>
      <c r="Z125" s="60" t="n">
        <v>4</v>
      </c>
      <c r="AA125" s="60" t="n">
        <v>5</v>
      </c>
      <c r="AB125" s="60" t="n">
        <v>3</v>
      </c>
      <c r="AC125" s="70" t="n">
        <v>53.3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IFERROR((AVERAGE(AE125,AF125,AG125,AH125,AL125)-1)*25,"")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2026-07-16</t>
        </is>
      </c>
      <c r="E126" s="61" t="n">
        <v>22.786518</v>
      </c>
      <c r="F126" s="61" t="n">
        <v>25.098</v>
      </c>
      <c r="G126" s="62" t="n">
        <v>2.41</v>
      </c>
      <c r="H126" s="61" t="n">
        <v>4.9447126</v>
      </c>
      <c r="I126" s="33">
        <f>IF(OR(E126="",R126="",R126&lt;=0,E126&lt;0),"",E126/R126)</f>
        <v/>
      </c>
      <c r="J126" s="63" t="n">
        <v>69</v>
      </c>
      <c r="K126" s="62" t="n">
        <v>8.17</v>
      </c>
      <c r="L126" s="62" t="n">
        <v>45.09</v>
      </c>
      <c r="M126" s="62" t="n">
        <v>11.9</v>
      </c>
      <c r="N126" s="61" t="n">
        <v>0.88</v>
      </c>
      <c r="O126" s="63" t="n">
        <v>57.8</v>
      </c>
      <c r="P126" s="62" t="n">
        <v>7.4</v>
      </c>
      <c r="Q126" s="62" t="n">
        <v>15.8</v>
      </c>
      <c r="R126" s="62" t="n">
        <v>119.1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IFERROR((AVERAGE(T126,U126,V126,W126,X126)-1)*25,"")</f>
        <v/>
      </c>
      <c r="Z126" s="60" t="n">
        <v>4</v>
      </c>
      <c r="AA126" s="60" t="n">
        <v>5</v>
      </c>
      <c r="AB126" s="60" t="n">
        <v>3</v>
      </c>
      <c r="AC126" s="70" t="n">
        <v>63.3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IFERROR((AVERAGE(AE126,AF126,AG126,AH126,AL126)-1)*25,"")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2026-07-16</t>
        </is>
      </c>
      <c r="E127" s="33" t="n">
        <v>18.10888</v>
      </c>
      <c r="F127" s="33" t="n">
        <v>20.27</v>
      </c>
      <c r="G127" s="33" t="n">
        <v>3.13</v>
      </c>
      <c r="H127" s="33" t="n">
        <v>4.6098094</v>
      </c>
      <c r="I127" s="33">
        <f>IF(OR(E127="",R127="",R127&lt;=0,E127&lt;0),"",E127/R127)</f>
        <v/>
      </c>
      <c r="J127" s="33" t="n">
        <v>63.1</v>
      </c>
      <c r="K127" s="33" t="n">
        <v>18.42</v>
      </c>
      <c r="L127" s="33" t="n">
        <v>21.92</v>
      </c>
      <c r="M127" s="33" t="n">
        <v>14.43</v>
      </c>
      <c r="N127" s="33" t="n">
        <v>-1.48</v>
      </c>
      <c r="O127" s="33" t="n">
        <v>73.5</v>
      </c>
      <c r="P127" s="33" t="n">
        <v>23.23</v>
      </c>
      <c r="Q127" s="33" t="n">
        <v>-4.7</v>
      </c>
      <c r="R127" s="33" t="n">
        <v>-3.9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IFERROR((AVERAGE(T127,U127,V127,W127,X127)-1)*25,"")</f>
        <v/>
      </c>
      <c r="Z127" s="33" t="n">
        <v>5</v>
      </c>
      <c r="AA127" s="33" t="n">
        <v>4</v>
      </c>
      <c r="AB127" s="33" t="n">
        <v>3</v>
      </c>
      <c r="AC127" s="71" t="n">
        <v>33.3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IFERROR((AVERAGE(AE127,AF127,AG127,AH127,AL127)-1)*25,"")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2026-07-16</t>
        </is>
      </c>
      <c r="E128" s="33" t="n">
        <v>33.147877</v>
      </c>
      <c r="F128" s="33" t="n">
        <v>38.7</v>
      </c>
      <c r="G128" s="33" t="n">
        <v>-1.98</v>
      </c>
      <c r="H128" s="33" t="n">
        <v>5.7344756</v>
      </c>
      <c r="I128" s="33">
        <f>IF(OR(E128="",R128="",R128&lt;=0,E128&lt;0),"",E128/R128)</f>
        <v/>
      </c>
      <c r="J128" s="33" t="n">
        <v>32.2</v>
      </c>
      <c r="K128" s="33" t="n">
        <v>11.65</v>
      </c>
      <c r="L128" s="33" t="n">
        <v>26.24</v>
      </c>
      <c r="M128" s="33" t="n">
        <v>-11.35</v>
      </c>
      <c r="N128" s="33" t="n">
        <v>1.77</v>
      </c>
      <c r="O128" s="33" t="n">
        <v>42.6</v>
      </c>
      <c r="P128" s="33" t="n">
        <v>17.51</v>
      </c>
      <c r="Q128" s="33" t="n">
        <v>54.3</v>
      </c>
      <c r="R128" s="33" t="n">
        <v>35.9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IFERROR((AVERAGE(T128,U128,V128,W128,X128)-1)*25,"")</f>
        <v/>
      </c>
      <c r="Z128" s="33" t="n">
        <v>5</v>
      </c>
      <c r="AA128" s="33" t="n">
        <v>5</v>
      </c>
      <c r="AB128" s="33" t="n">
        <v>3</v>
      </c>
      <c r="AC128" s="71" t="n">
        <v>45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IFERROR((AVERAGE(AE128,AF128,AG128,AH128,AL128)-1)*25,"")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2026-07-16</t>
        </is>
      </c>
      <c r="F129" s="33" t="n">
        <v>88.2</v>
      </c>
      <c r="G129" s="33" t="n">
        <v>0.92</v>
      </c>
      <c r="H129" s="33" t="n">
        <v>29.28</v>
      </c>
      <c r="I129" s="33">
        <f>IF(OR(E129="",R129="",R129&lt;=0,E129&lt;0),"",E129/R129)</f>
        <v/>
      </c>
      <c r="J129" s="33" t="n">
        <v>16.2</v>
      </c>
      <c r="K129" s="33" t="n">
        <v>24.73</v>
      </c>
      <c r="L129" s="33" t="n">
        <v>63.27</v>
      </c>
      <c r="M129" s="33" t="n">
        <v>26.95</v>
      </c>
      <c r="N129" s="33" t="n">
        <v>-0.44</v>
      </c>
      <c r="O129" s="33" t="n">
        <v>86.8</v>
      </c>
      <c r="P129" s="33" t="n">
        <v>-6.48</v>
      </c>
      <c r="Q129" s="33" t="n">
        <v>28.3</v>
      </c>
      <c r="R129" s="33" t="n">
        <v>63.7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IFERROR((AVERAGE(T129,U129,V129,W129,X129)-1)*25,"")</f>
        <v/>
      </c>
      <c r="Z129" s="33" t="n">
        <v>5</v>
      </c>
      <c r="AA129" s="33" t="n">
        <v>5</v>
      </c>
      <c r="AB129" s="33" t="n">
        <v>5</v>
      </c>
      <c r="AC129" s="71" t="n">
        <v>53.3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IFERROR((AVERAGE(AE129,AF129,AG129,AH129,AL129)-1)*25,"")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2026-07-16</t>
        </is>
      </c>
      <c r="E130" s="33" t="n">
        <v>38.37349</v>
      </c>
      <c r="F130" s="33" t="n">
        <v>58.797</v>
      </c>
      <c r="G130" s="33" t="n">
        <v>0.44</v>
      </c>
      <c r="H130" s="33" t="n">
        <v>9.942754000000001</v>
      </c>
      <c r="I130" s="33">
        <f>IF(OR(E130="",R130="",R130&lt;=0,E130&lt;0),"",E130/R130)</f>
        <v/>
      </c>
      <c r="J130" s="33" t="n">
        <v>37.4</v>
      </c>
      <c r="K130" s="33" t="n">
        <v>6.08</v>
      </c>
      <c r="L130" s="33" t="n">
        <v>42.2</v>
      </c>
      <c r="M130" s="33" t="n">
        <v>4.35</v>
      </c>
      <c r="N130" s="33" t="n">
        <v>-1.98</v>
      </c>
      <c r="O130" s="33" t="n">
        <v>45.6</v>
      </c>
      <c r="P130" s="33" t="n">
        <v>1.62</v>
      </c>
      <c r="Q130" s="33" t="n">
        <v>32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IFERROR((AVERAGE(T130,U130,V130,W130,X130)-1)*25,"")</f>
        <v/>
      </c>
      <c r="Z130" s="33" t="n">
        <v>5</v>
      </c>
      <c r="AA130" s="33" t="n">
        <v>5</v>
      </c>
      <c r="AB130" s="33" t="n">
        <v>3</v>
      </c>
      <c r="AC130" s="71" t="n">
        <v>52.5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IFERROR((AVERAGE(AE130,AF130,AG130,AH130,AL130)-1)*25,"")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2026-07-16</t>
        </is>
      </c>
      <c r="E131" s="33" t="n">
        <v>23.680153</v>
      </c>
      <c r="F131" s="33" t="n">
        <v>36.8</v>
      </c>
      <c r="G131" s="33" t="n">
        <v>0.6</v>
      </c>
      <c r="H131" s="33" t="n">
        <v>6.003909</v>
      </c>
      <c r="I131" s="33">
        <f>IF(OR(E131="",R131="",R131&lt;=0,E131&lt;0),"",E131/R131)</f>
        <v/>
      </c>
      <c r="J131" s="33" t="n">
        <v>54.8</v>
      </c>
      <c r="K131" s="33" t="n">
        <v>12.66</v>
      </c>
      <c r="L131" s="33" t="n">
        <v>39</v>
      </c>
      <c r="M131" s="33" t="n">
        <v>3.58</v>
      </c>
      <c r="N131" s="33" t="n">
        <v>-0.06</v>
      </c>
      <c r="O131" s="33" t="n">
        <v>54.9</v>
      </c>
      <c r="P131" s="33" t="n">
        <v>-0.85</v>
      </c>
      <c r="Q131" s="33" t="n">
        <v>26.3</v>
      </c>
      <c r="R131" s="33" t="n">
        <v>170.4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IFERROR((AVERAGE(T131,U131,V131,W131,X131)-1)*25,"")</f>
        <v/>
      </c>
      <c r="Z131" s="33" t="n">
        <v>5</v>
      </c>
      <c r="AA131" s="33" t="n">
        <v>5</v>
      </c>
      <c r="AB131" s="33" t="n">
        <v>3</v>
      </c>
      <c r="AC131" s="71" t="n">
        <v>42.5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IFERROR((AVERAGE(AE131,AF131,AG131,AH131,AL131)-1)*25,"")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2026-07-16</t>
        </is>
      </c>
      <c r="E132" s="33" t="n">
        <v>-84.86139</v>
      </c>
      <c r="F132" s="33" t="n">
        <v>-39.294</v>
      </c>
      <c r="G132" s="33" t="n">
        <v>-1.66</v>
      </c>
      <c r="H132" s="33" t="n">
        <v>70.698105</v>
      </c>
      <c r="I132" s="33">
        <f>IF(OR(E132="",R132="",R132&lt;=0,E132&lt;0),"",E132/R132)</f>
        <v/>
      </c>
      <c r="J132" s="33" t="n">
        <v>25.7</v>
      </c>
      <c r="K132" s="33" t="n">
        <v>-9.66</v>
      </c>
      <c r="L132" s="33" t="n">
        <v>30.07</v>
      </c>
      <c r="M132" s="33" t="n">
        <v>-117.41</v>
      </c>
      <c r="O132" s="33" t="n">
        <v>2.3</v>
      </c>
      <c r="P132" s="33" t="n">
        <v>6.56</v>
      </c>
      <c r="Q132" s="33" t="n">
        <v>-38.7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IFERROR((AVERAGE(T132,U132,V132,W132,X132)-1)*25,"")</f>
        <v/>
      </c>
      <c r="Z132" s="33" t="n">
        <v>4</v>
      </c>
      <c r="AA132" s="33" t="n">
        <v>5</v>
      </c>
      <c r="AB132" s="33" t="n">
        <v>3</v>
      </c>
      <c r="AC132" s="71" t="n">
        <v>44.2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IFERROR((AVERAGE(AE132,AF132,AG132,AH132,AL132)-1)*25,"")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2026-07-16</t>
        </is>
      </c>
      <c r="E133" s="33" t="n">
        <v>53.54102</v>
      </c>
      <c r="F133" s="33" t="n">
        <v>241.707</v>
      </c>
      <c r="G133" s="33" t="n">
        <v>0.75</v>
      </c>
      <c r="H133" s="33" t="n">
        <v>29.716393</v>
      </c>
      <c r="I133" s="33">
        <f>IF(OR(E133="",R133="",R133&lt;=0,E133&lt;0),"",E133/R133)</f>
        <v/>
      </c>
      <c r="J133" s="33" t="n">
        <v>27.3</v>
      </c>
      <c r="K133" s="33" t="n">
        <v>5.38</v>
      </c>
      <c r="L133" s="33" t="n">
        <v>68.44</v>
      </c>
      <c r="M133" s="33" t="n">
        <v>22.27</v>
      </c>
      <c r="N133" s="33" t="n">
        <v>-1.43</v>
      </c>
      <c r="O133" s="33" t="n">
        <v>63.4</v>
      </c>
      <c r="P133" s="33" t="n">
        <v>-7.46</v>
      </c>
      <c r="Q133" s="33" t="n">
        <v>42.2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IFERROR((AVERAGE(T133,U133,V133,W133,X133)-1)*25,"")</f>
        <v/>
      </c>
      <c r="Z133" s="33" t="n">
        <v>5</v>
      </c>
      <c r="AA133" s="33" t="n">
        <v>5</v>
      </c>
      <c r="AB133" s="33" t="n">
        <v>4</v>
      </c>
      <c r="AC133" s="71" t="n">
        <v>55.8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IFERROR((AVERAGE(AE133,AF133,AG133,AH133,AL133)-1)*25,"")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2026-07-16</t>
        </is>
      </c>
      <c r="E134" s="33" t="n">
        <v>27.676807</v>
      </c>
      <c r="F134" s="33" t="n">
        <v>33.76</v>
      </c>
      <c r="G134" s="33" t="n">
        <v>3.06</v>
      </c>
      <c r="H134" s="33" t="n">
        <v>15.207897</v>
      </c>
      <c r="I134" s="33">
        <f>IF(OR(E134="",R134="",R134&lt;=0,E134&lt;0),"",E134/R134)</f>
        <v/>
      </c>
      <c r="J134" s="33" t="n">
        <v>49.6</v>
      </c>
      <c r="K134" s="33" t="n">
        <v>14.73</v>
      </c>
      <c r="L134" s="33" t="n">
        <v>80.41</v>
      </c>
      <c r="M134" s="33" t="n">
        <v>46.48</v>
      </c>
      <c r="N134" s="33" t="n">
        <v>-2.52</v>
      </c>
      <c r="O134" s="33" t="n">
        <v>88.7</v>
      </c>
      <c r="P134" s="33" t="n">
        <v>15.88</v>
      </c>
      <c r="Q134" s="33" t="n">
        <v>8.1</v>
      </c>
      <c r="R134" s="33" t="n">
        <v>-0.7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IFERROR((AVERAGE(T134,U134,V134,W134,X134)-1)*25,"")</f>
        <v/>
      </c>
      <c r="Z134" s="33" t="n">
        <v>4</v>
      </c>
      <c r="AA134" s="33" t="n">
        <v>4</v>
      </c>
      <c r="AB134" s="33" t="n">
        <v>3</v>
      </c>
      <c r="AC134" s="71" t="n">
        <v>41.7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IFERROR((AVERAGE(AE134,AF134,AG134,AH134,AL134)-1)*25,"")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2026-07-16</t>
        </is>
      </c>
      <c r="E135" s="33" t="n">
        <v>26.176262</v>
      </c>
      <c r="F135" s="33" t="n">
        <v>48.433</v>
      </c>
      <c r="G135" s="33" t="n">
        <v>1.44</v>
      </c>
      <c r="H135" s="33" t="n">
        <v>15.182604</v>
      </c>
      <c r="I135" s="33">
        <f>IF(OR(E135="",R135="",R135&lt;=0,E135&lt;0),"",E135/R135)</f>
        <v/>
      </c>
      <c r="J135" s="33" t="n">
        <v>34</v>
      </c>
      <c r="K135" s="33" t="n">
        <v>53.27</v>
      </c>
      <c r="L135" s="33" t="n">
        <v>41.57</v>
      </c>
      <c r="M135" s="33" t="n">
        <v>21.91</v>
      </c>
      <c r="N135" s="33" t="n">
        <v>0.86</v>
      </c>
      <c r="O135" s="33" t="n">
        <v>77.2</v>
      </c>
      <c r="P135" s="33" t="n">
        <v>-7.94</v>
      </c>
      <c r="Q135" s="33" t="n">
        <v>44.1</v>
      </c>
      <c r="R135" s="33" t="n">
        <v>120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IFERROR((AVERAGE(T135,U135,V135,W135,X135)-1)*25,"")</f>
        <v/>
      </c>
      <c r="Z135" s="33" t="n">
        <v>5</v>
      </c>
      <c r="AA135" s="33" t="n">
        <v>5</v>
      </c>
      <c r="AB135" s="33" t="n">
        <v>3</v>
      </c>
      <c r="AC135" s="71" t="n">
        <v>65.8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IFERROR((AVERAGE(AE135,AF135,AG135,AH135,AL135)-1)*25,"")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2026-09-07</t>
        </is>
      </c>
      <c r="E136" s="33" t="n">
        <v>-676.89777</v>
      </c>
      <c r="F136" s="33" t="n">
        <v>-46.9</v>
      </c>
      <c r="G136" s="33" t="n">
        <v>-2.28</v>
      </c>
      <c r="H136" s="33" t="n">
        <v>7.054026</v>
      </c>
      <c r="I136" s="33">
        <f>IF(OR(E136="",R136="",R136&lt;=0,E136&lt;0),"",E136/R136)</f>
        <v/>
      </c>
      <c r="J136" s="33" t="n">
        <v>42.6</v>
      </c>
      <c r="K136" s="33" t="n">
        <v>-11.32</v>
      </c>
      <c r="L136" s="33" t="n">
        <v>63.39</v>
      </c>
      <c r="M136" s="33" t="n">
        <v>-16.11</v>
      </c>
      <c r="O136" s="33" t="n">
        <v>9.800000000000001</v>
      </c>
      <c r="P136" s="33" t="n">
        <v>58.29</v>
      </c>
      <c r="Q136" s="33" t="n">
        <v>36.1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5</v>
      </c>
      <c r="U136" s="33" t="n">
        <v>3</v>
      </c>
      <c r="V136" s="33" t="n">
        <v>4</v>
      </c>
      <c r="W136" s="33" t="n">
        <v>4</v>
      </c>
      <c r="X136" s="33" t="n">
        <v>3</v>
      </c>
      <c r="Y136" s="33">
        <f>IFERROR((AVERAGE(T136,U136,V136,W136,X136)-1)*25,"")</f>
        <v/>
      </c>
      <c r="Z136" s="33" t="n">
        <v>4</v>
      </c>
      <c r="AA136" s="33" t="n">
        <v>3</v>
      </c>
      <c r="AB136" s="33" t="n">
        <v>3</v>
      </c>
      <c r="AC136" s="71" t="n">
        <v>57.5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3</v>
      </c>
      <c r="AF136" s="33" t="n">
        <v>5</v>
      </c>
      <c r="AG136" s="33" t="n">
        <v>4</v>
      </c>
      <c r="AH136" s="33" t="n">
        <v>3</v>
      </c>
      <c r="AI136" s="33">
        <f>IFERROR((AVERAGE(AE136,AF136,AG136,AH136,AL136)-1)*25,"")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2026-07-16</t>
        </is>
      </c>
      <c r="E137" s="33" t="n">
        <v>24.565138</v>
      </c>
      <c r="F137" s="33" t="n">
        <v>20.903</v>
      </c>
      <c r="G137" s="33" t="n">
        <v>-9.890000000000001</v>
      </c>
      <c r="H137" s="33" t="n">
        <v>8.522057999999999</v>
      </c>
      <c r="I137" s="33">
        <f>IF(OR(E137="",R137="",R137&lt;=0,E137&lt;0),"",E137/R137)</f>
        <v/>
      </c>
      <c r="J137" s="33" t="n">
        <v>43</v>
      </c>
      <c r="K137" s="33" t="n">
        <v>3.55</v>
      </c>
      <c r="L137" s="33" t="n">
        <v>46.92</v>
      </c>
      <c r="M137" s="33" t="n">
        <v>-84.29000000000001</v>
      </c>
      <c r="N137" s="33" t="n">
        <v>5.14</v>
      </c>
      <c r="O137" s="33" t="n">
        <v>30.8</v>
      </c>
      <c r="P137" s="33" t="n">
        <v>24.81</v>
      </c>
      <c r="Q137" s="33" t="n">
        <v>55.3</v>
      </c>
      <c r="R137" s="33" t="n">
        <v>303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IFERROR((AVERAGE(T137,U137,V137,W137,X137)-1)*25,"")</f>
        <v/>
      </c>
      <c r="Z137" s="33" t="n">
        <v>5</v>
      </c>
      <c r="AA137" s="33" t="n">
        <v>4</v>
      </c>
      <c r="AB137" s="33" t="n">
        <v>4</v>
      </c>
      <c r="AC137" s="33" t="n">
        <v>58.3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IFERROR((AVERAGE(AE137,AF137,AG137,AH137,AL137)-1)*25,"")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2026-07-16</t>
        </is>
      </c>
      <c r="E138" s="33" t="n">
        <v>28.741472</v>
      </c>
      <c r="F138" s="33" t="n">
        <v>-30.648</v>
      </c>
      <c r="G138" s="33" t="n">
        <v>-2.59</v>
      </c>
      <c r="H138" s="33" t="n">
        <v>1.886175</v>
      </c>
      <c r="I138" s="33">
        <f>IF(OR(E138="",R138="",R138&lt;=0,E138&lt;0),"",E138/R138)</f>
        <v/>
      </c>
      <c r="J138" s="33" t="n">
        <v>65.90000000000001</v>
      </c>
      <c r="K138" s="33" t="n">
        <v>-12.78</v>
      </c>
      <c r="L138" s="33" t="n">
        <v>7.61</v>
      </c>
      <c r="M138" s="33" t="n">
        <v>-4.89</v>
      </c>
      <c r="O138" s="33" t="n">
        <v>21.6</v>
      </c>
      <c r="Q138" s="33" t="n">
        <v>232.3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IFERROR((AVERAGE(T138,U138,V138,W138,X138)-1)*25,"")</f>
        <v/>
      </c>
      <c r="Z138" s="33" t="n">
        <v>3</v>
      </c>
      <c r="AA138" s="33" t="n">
        <v>3</v>
      </c>
      <c r="AB138" s="33" t="n">
        <v>3</v>
      </c>
      <c r="AC138" s="33" t="n">
        <v>30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IFERROR((AVERAGE(AE138,AF138,AG138,AH138,AL138)-1)*25,"")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2026-07-16</t>
        </is>
      </c>
      <c r="E139" s="33" t="n">
        <v>9.566265</v>
      </c>
      <c r="F139" s="33" t="n">
        <v>8.368</v>
      </c>
      <c r="G139" s="33" t="n">
        <v>3.55</v>
      </c>
      <c r="H139" s="33" t="n">
        <v>1.0231029</v>
      </c>
      <c r="I139" s="33">
        <f>IF(OR(E139="",R139="",R139&lt;=0,E139&lt;0),"",E139/R139)</f>
        <v/>
      </c>
      <c r="J139" s="33" t="n">
        <v>85.2</v>
      </c>
      <c r="K139" s="33" t="n">
        <v>21.77</v>
      </c>
      <c r="L139" s="33" t="n">
        <v>24.32</v>
      </c>
      <c r="M139" s="33" t="n">
        <v>3.63</v>
      </c>
      <c r="N139" s="33" t="n">
        <v>1.21</v>
      </c>
      <c r="O139" s="33" t="n">
        <v>65.40000000000001</v>
      </c>
      <c r="P139" s="33" t="n">
        <v>14.49</v>
      </c>
      <c r="Q139" s="33" t="n">
        <v>-5.1</v>
      </c>
      <c r="R139" s="33" t="n">
        <v>-61.7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IFERROR((AVERAGE(T139,U139,V139,W139,X139)-1)*25,"")</f>
        <v/>
      </c>
      <c r="Z139" s="33" t="n">
        <v>2</v>
      </c>
      <c r="AA139" s="33" t="n">
        <v>1</v>
      </c>
      <c r="AB139" s="33" t="n">
        <v>3</v>
      </c>
      <c r="AC139" s="33" t="n">
        <v>40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IFERROR((AVERAGE(AE139,AF139,AG139,AH139,AL139)-1)*25,"")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2026-07-16</t>
        </is>
      </c>
      <c r="E140" s="33" t="n">
        <v>31.30221</v>
      </c>
      <c r="F140" s="33" t="n">
        <v>10.05</v>
      </c>
      <c r="G140" s="33" t="n">
        <v>-0.58</v>
      </c>
      <c r="H140" s="33" t="n">
        <v>1.3233688</v>
      </c>
      <c r="I140" s="33">
        <f>IF(OR(E140="",R140="",R140&lt;=0,E140&lt;0),"",E140/R140)</f>
        <v/>
      </c>
      <c r="J140" s="33" t="n">
        <v>60.5</v>
      </c>
      <c r="K140" s="33" t="n">
        <v>-0.68</v>
      </c>
      <c r="L140" s="33" t="n">
        <v>22.4</v>
      </c>
      <c r="M140" s="33" t="n">
        <v>-0.77</v>
      </c>
      <c r="N140" s="33" t="n">
        <v>0.19</v>
      </c>
      <c r="O140" s="33" t="n">
        <v>45.6</v>
      </c>
      <c r="P140" s="33" t="n">
        <v>-0.28</v>
      </c>
      <c r="Q140" s="33" t="n">
        <v>-24.7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IFERROR((AVERAGE(T140,U140,V140,W140,X140)-1)*25,"")</f>
        <v/>
      </c>
      <c r="Z140" s="33" t="n">
        <v>4</v>
      </c>
      <c r="AA140" s="33" t="n">
        <v>4</v>
      </c>
      <c r="AB140" s="33" t="n">
        <v>3</v>
      </c>
      <c r="AC140" s="33" t="n">
        <v>38.3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IFERROR((AVERAGE(AE140,AF140,AG140,AH140,AL140)-1)*25,"")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2026-07-16</t>
        </is>
      </c>
      <c r="E141" s="33" t="n">
        <v>21.11579</v>
      </c>
      <c r="F141" s="33" t="n">
        <v>66.592</v>
      </c>
      <c r="G141" s="33" t="n">
        <v>-4.17</v>
      </c>
      <c r="H141" s="33" t="n">
        <v>2.284436</v>
      </c>
      <c r="I141" s="33">
        <f>IF(OR(E141="",R141="",R141&lt;=0,E141&lt;0),"",E141/R141)</f>
        <v/>
      </c>
      <c r="J141" s="33" t="n">
        <v>43.1</v>
      </c>
      <c r="K141" s="33" t="n">
        <v>3.8</v>
      </c>
      <c r="L141" s="33" t="n">
        <v>24.41</v>
      </c>
      <c r="M141" s="33" t="n">
        <v>-9.52</v>
      </c>
      <c r="N141" s="33" t="n">
        <v>8.85</v>
      </c>
      <c r="O141" s="33" t="n">
        <v>32.8</v>
      </c>
      <c r="P141" s="33" t="n">
        <v>-1.2</v>
      </c>
      <c r="Q141" s="33" t="n">
        <v>44.3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IFERROR((AVERAGE(T141,U141,V141,W141,X141)-1)*25,"")</f>
        <v/>
      </c>
      <c r="Z141" s="33" t="n">
        <v>3</v>
      </c>
      <c r="AA141" s="33" t="n">
        <v>5</v>
      </c>
      <c r="AB141" s="33" t="n">
        <v>3</v>
      </c>
      <c r="AC141" s="33" t="n">
        <v>39.2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IFERROR((AVERAGE(AE141,AF141,AG141,AH141,AL141)-1)*25,"")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2026-07-16</t>
        </is>
      </c>
      <c r="E142" s="33" t="n">
        <v>44.228825</v>
      </c>
      <c r="F142" s="33" t="n">
        <v>16.7</v>
      </c>
      <c r="G142" s="33" t="n">
        <v>-33.69</v>
      </c>
      <c r="H142" s="33" t="n">
        <v>12.043519</v>
      </c>
      <c r="I142" s="33">
        <f>IF(OR(E142="",R142="",R142&lt;=0,E142&lt;0),"",E142/R142)</f>
        <v/>
      </c>
      <c r="J142" s="33" t="n">
        <v>23.8</v>
      </c>
      <c r="K142" s="33" t="n">
        <v>-3.71</v>
      </c>
      <c r="L142" s="33" t="n">
        <v>87.26000000000001</v>
      </c>
      <c r="M142" s="33" t="n">
        <v>-405.69</v>
      </c>
      <c r="O142" s="33" t="n">
        <v>54.2</v>
      </c>
      <c r="Q142" s="33" t="n">
        <v>30.6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IFERROR((AVERAGE(T142,U142,V142,W142,X142)-1)*25,"")</f>
        <v/>
      </c>
      <c r="Z142" s="33" t="n">
        <v>3</v>
      </c>
      <c r="AA142" s="33" t="n">
        <v>3</v>
      </c>
      <c r="AB142" s="33" t="n">
        <v>3</v>
      </c>
      <c r="AC142" s="33" t="n">
        <v>52.5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IFERROR((AVERAGE(AE142,AF142,AG142,AH142,AL142)-1)*25,"")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2026-07-16</t>
        </is>
      </c>
      <c r="E143" s="33" t="n">
        <v>-31.69082</v>
      </c>
      <c r="F143" s="33" t="n">
        <v>8.6</v>
      </c>
      <c r="G143" s="33" t="n">
        <v>-3.04</v>
      </c>
      <c r="H143" s="33" t="n">
        <v>1335.0244</v>
      </c>
      <c r="I143" s="33">
        <f>IF(OR(E143="",R143="",R143&lt;=0,E143&lt;0),"",E143/R143)</f>
        <v/>
      </c>
      <c r="J143" s="33" t="n">
        <v>36.2</v>
      </c>
      <c r="K143" s="33" t="n">
        <v>-1.04</v>
      </c>
      <c r="L143" s="33" t="n">
        <v>-9.289999999999999</v>
      </c>
      <c r="M143" s="33" t="n">
        <v>-4052.68</v>
      </c>
      <c r="O143" s="33" t="n">
        <v>25.8</v>
      </c>
      <c r="Q143" s="33" t="n">
        <v>-9.6</v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IFERROR((AVERAGE(T143,U143,V143,W143,X143)-1)*25,"")</f>
        <v/>
      </c>
      <c r="AC143" s="33" t="n">
        <v>58.6</v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IFERROR((AVERAGE(AE143,AF143,AG143,AH143,AL143)-1)*25,"")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2026-07-16</t>
        </is>
      </c>
      <c r="E144" s="33" t="n">
        <v>12.000001</v>
      </c>
      <c r="F144" s="33" t="n">
        <v>1.5</v>
      </c>
      <c r="G144" s="33" t="n">
        <v>-15.07</v>
      </c>
      <c r="H144" s="33" t="n">
        <v>2.5863802</v>
      </c>
      <c r="I144" s="33">
        <f>IF(OR(E144="",R144="",R144&lt;=0,E144&lt;0),"",E144/R144)</f>
        <v/>
      </c>
      <c r="J144" s="33" t="n">
        <v>83.8</v>
      </c>
      <c r="K144" s="33" t="n">
        <v>-23.37</v>
      </c>
      <c r="L144" s="33" t="n">
        <v>36.23</v>
      </c>
      <c r="M144" s="33" t="n">
        <v>-38.98</v>
      </c>
      <c r="N144" s="33" t="n">
        <v>0.65</v>
      </c>
      <c r="O144" s="33" t="n">
        <v>50.6</v>
      </c>
      <c r="P144" s="33" t="n">
        <v>40.96</v>
      </c>
      <c r="Q144" s="33" t="n">
        <v>130.5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IFERROR((AVERAGE(T144,U144,V144,W144,X144)-1)*25,"")</f>
        <v/>
      </c>
      <c r="Z144" s="33" t="n">
        <v>3</v>
      </c>
      <c r="AA144" s="33" t="n">
        <v>3</v>
      </c>
      <c r="AB144" s="33" t="n">
        <v>2</v>
      </c>
      <c r="AC144" s="33" t="n">
        <v>53.3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IFERROR((AVERAGE(AE144,AF144,AG144,AH144,AL144)-1)*25,"")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2026-08-31</t>
        </is>
      </c>
      <c r="E145" s="33" t="n">
        <v>24.510445</v>
      </c>
      <c r="F145" s="33" t="n">
        <v>25.552</v>
      </c>
      <c r="G145" s="33" t="n">
        <v>2.25</v>
      </c>
      <c r="H145" s="33" t="n">
        <v>12.248777</v>
      </c>
      <c r="I145" s="33">
        <f>IF(OR(E145="",R145="",R145&lt;=0,E145&lt;0),"",E145/R145)</f>
        <v/>
      </c>
      <c r="J145" s="33" t="n">
        <v>54.5</v>
      </c>
      <c r="K145" s="33" t="n">
        <v>19.88</v>
      </c>
      <c r="L145" s="33" t="n">
        <v>58.33</v>
      </c>
      <c r="M145" s="33" t="n">
        <v>27.53</v>
      </c>
      <c r="N145" s="33" t="n">
        <v>0.74</v>
      </c>
      <c r="O145" s="33" t="n">
        <v>74</v>
      </c>
      <c r="P145" s="33" t="n">
        <v>-4.07</v>
      </c>
      <c r="Q145" s="33" t="n">
        <v>22.8</v>
      </c>
      <c r="R145" s="33" t="n">
        <v>52.9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IFERROR((AVERAGE(T145,U145,V145,W145,X145)-1)*25,"")</f>
        <v/>
      </c>
      <c r="Z145" s="33" t="n">
        <v>5</v>
      </c>
      <c r="AA145" s="33" t="n">
        <v>3</v>
      </c>
      <c r="AB145" s="33" t="n">
        <v>3</v>
      </c>
      <c r="AC145" s="33" t="n">
        <v>52.5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IFERROR((AVERAGE(AE145,AF145,AG145,AH145,AL145)-1)*25,"")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2026-08-31</t>
        </is>
      </c>
      <c r="E146" s="33" t="n">
        <v>16.710531</v>
      </c>
      <c r="F146" s="33" t="n">
        <v>14.952</v>
      </c>
      <c r="G146" s="33" t="n">
        <v>5.72</v>
      </c>
      <c r="H146" s="33" t="n">
        <v>4.1317697</v>
      </c>
      <c r="I146" s="33">
        <f>IF(OR(E146="",R146="",R146&lt;=0,E146&lt;0),"",E146/R146)</f>
        <v/>
      </c>
      <c r="J146" s="33" t="n">
        <v>70.5</v>
      </c>
      <c r="K146" s="33" t="n">
        <v>18.43</v>
      </c>
      <c r="L146" s="33" t="n">
        <v>54.23</v>
      </c>
      <c r="M146" s="33" t="n">
        <v>23.64</v>
      </c>
      <c r="N146" s="33" t="n">
        <v>0.58</v>
      </c>
      <c r="O146" s="33" t="n">
        <v>67.09999999999999</v>
      </c>
      <c r="P146" s="33" t="n">
        <v>0.06</v>
      </c>
      <c r="Q146" s="33" t="n">
        <v>-4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IFERROR((AVERAGE(T146,U146,V146,W146,X146)-1)*25,"")</f>
        <v/>
      </c>
      <c r="Z146" s="33" t="n">
        <v>2</v>
      </c>
      <c r="AA146" s="33" t="n">
        <v>1</v>
      </c>
      <c r="AB146" s="33" t="n">
        <v>3</v>
      </c>
      <c r="AC146" s="33" t="n">
        <v>47.5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IFERROR((AVERAGE(AE146,AF146,AG146,AH146,AL146)-1)*25,"")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2026-08-31</t>
        </is>
      </c>
      <c r="E147" s="33" t="n">
        <v>22.16716</v>
      </c>
      <c r="F147" s="33" t="n">
        <v>26.311</v>
      </c>
      <c r="G147" s="33" t="n">
        <v>2.6</v>
      </c>
      <c r="H147" s="33" t="n">
        <v>12.641103</v>
      </c>
      <c r="I147" s="33">
        <f>IF(OR(E147="",R147="",R147&lt;=0,E147&lt;0),"",E147/R147)</f>
        <v/>
      </c>
      <c r="J147" s="33" t="n">
        <v>56.1</v>
      </c>
      <c r="K147" s="33" t="n">
        <v>10.19</v>
      </c>
      <c r="L147" s="33" t="n">
        <v>65.8</v>
      </c>
      <c r="M147" s="33" t="n">
        <v>32.89</v>
      </c>
      <c r="N147" s="33" t="n">
        <v>0.99</v>
      </c>
      <c r="O147" s="33" t="n">
        <v>72.5</v>
      </c>
      <c r="P147" s="33" t="n">
        <v>-2.84</v>
      </c>
      <c r="Q147" s="33" t="n">
        <v>39.6</v>
      </c>
      <c r="R147" s="33" t="n">
        <v>158.4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IFERROR((AVERAGE(T147,U147,V147,W147,X147)-1)*25,"")</f>
        <v/>
      </c>
      <c r="Z147" s="33" t="n">
        <v>5</v>
      </c>
      <c r="AA147" s="33" t="n">
        <v>1</v>
      </c>
      <c r="AB147" s="33" t="n">
        <v>3</v>
      </c>
      <c r="AC147" s="33" t="n">
        <v>49.2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IFERROR((AVERAGE(AE147,AF147,AG147,AH147,AL147)-1)*25,"")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2026-08-31</t>
        </is>
      </c>
      <c r="E148" s="33" t="n">
        <v>19.741167</v>
      </c>
      <c r="F148" s="33" t="n">
        <v>15.453</v>
      </c>
      <c r="G148" s="33" t="n">
        <v>0.5</v>
      </c>
      <c r="H148" s="33" t="n">
        <v>3.4145918</v>
      </c>
      <c r="I148" s="33">
        <f>IF(OR(E148="",R148="",R148&lt;=0,E148&lt;0),"",E148/R148)</f>
        <v/>
      </c>
      <c r="J148" s="33" t="n">
        <v>51.2</v>
      </c>
      <c r="K148" s="33" t="n">
        <v>1.85</v>
      </c>
      <c r="L148" s="33" t="n">
        <v>34.29</v>
      </c>
      <c r="M148" s="33" t="n">
        <v>1.69</v>
      </c>
      <c r="N148" s="33" t="n">
        <v>-0.65</v>
      </c>
      <c r="O148" s="33" t="n">
        <v>31.4</v>
      </c>
      <c r="P148" s="33" t="n">
        <v>-9.890000000000001</v>
      </c>
      <c r="Q148" s="33" t="n">
        <v>26.1</v>
      </c>
      <c r="R148" s="33" t="n">
        <v>-33.9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IFERROR((AVERAGE(T148,U148,V148,W148,X148)-1)*25,"")</f>
        <v/>
      </c>
      <c r="Z148" s="33" t="n">
        <v>4</v>
      </c>
      <c r="AA148" s="33" t="n">
        <v>5</v>
      </c>
      <c r="AB148" s="33" t="n">
        <v>3</v>
      </c>
      <c r="AC148" s="33" t="n">
        <v>59.2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IFERROR((AVERAGE(AE148,AF148,AG148,AH148,AL148)-1)*25,"")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2026-08-31</t>
        </is>
      </c>
      <c r="E149" s="33" t="n">
        <v>12.414404</v>
      </c>
      <c r="F149" s="33" t="n">
        <v>12.726</v>
      </c>
      <c r="G149" s="33" t="n">
        <v>4.68</v>
      </c>
      <c r="H149" s="33" t="n">
        <v>4.296258</v>
      </c>
      <c r="I149" s="33">
        <f>IF(OR(E149="",R149="",R149&lt;=0,E149&lt;0),"",E149/R149)</f>
        <v/>
      </c>
      <c r="J149" s="33" t="n">
        <v>70.5</v>
      </c>
      <c r="K149" s="33" t="n">
        <v>12.69</v>
      </c>
      <c r="L149" s="33" t="n">
        <v>56.1</v>
      </c>
      <c r="M149" s="33" t="n">
        <v>20.09</v>
      </c>
      <c r="N149" s="33" t="n">
        <v>1.53</v>
      </c>
      <c r="O149" s="33" t="n">
        <v>51.8</v>
      </c>
      <c r="P149" s="33" t="n">
        <v>-2.42</v>
      </c>
      <c r="Q149" s="33" t="n">
        <v>19.5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IFERROR((AVERAGE(T149,U149,V149,W149,X149)-1)*25,"")</f>
        <v/>
      </c>
      <c r="Z149" s="33" t="n">
        <v>5</v>
      </c>
      <c r="AA149" s="33" t="n">
        <v>1</v>
      </c>
      <c r="AB149" s="33" t="n">
        <v>2</v>
      </c>
      <c r="AC149" s="33" t="n">
        <v>40.8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IFERROR((AVERAGE(AE149,AF149,AG149,AH149,AL149)-1)*25,"")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2026-08-31</t>
        </is>
      </c>
      <c r="E150" s="33" t="n">
        <v>16.089285</v>
      </c>
      <c r="F150" s="33" t="n">
        <v>29.698</v>
      </c>
      <c r="G150" s="33" t="n">
        <v>2.79</v>
      </c>
      <c r="H150" s="33" t="n">
        <v>7.786344</v>
      </c>
      <c r="I150" s="33">
        <f>IF(OR(E150="",R150="",R150&lt;=0,E150&lt;0),"",E150/R150)</f>
        <v/>
      </c>
      <c r="J150" s="33" t="n">
        <v>53</v>
      </c>
      <c r="K150" s="33" t="n">
        <v>5.24</v>
      </c>
      <c r="L150" s="33" t="n">
        <v>60.19</v>
      </c>
      <c r="M150" s="33" t="n">
        <v>21.69</v>
      </c>
      <c r="N150" s="33" t="n">
        <v>3.4</v>
      </c>
      <c r="O150" s="33" t="n">
        <v>43.9</v>
      </c>
      <c r="P150" s="33" t="n">
        <v>-17.65</v>
      </c>
      <c r="Q150" s="33" t="n">
        <v>38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IFERROR((AVERAGE(T150,U150,V150,W150,X150)-1)*25,"")</f>
        <v/>
      </c>
      <c r="Z150" s="33" t="n">
        <v>5</v>
      </c>
      <c r="AA150" s="33" t="n">
        <v>1</v>
      </c>
      <c r="AB150" s="33" t="n">
        <v>3</v>
      </c>
      <c r="AC150" s="33" t="n">
        <v>45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IFERROR((AVERAGE(AE150,AF150,AG150,AH150,AL150)-1)*25,"")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2026-08-31</t>
        </is>
      </c>
      <c r="E151" s="33" t="n">
        <v>16.361078</v>
      </c>
      <c r="F151" s="33" t="n">
        <v>13.94</v>
      </c>
      <c r="G151" s="33" t="n">
        <v>5.2</v>
      </c>
      <c r="H151" s="33" t="n">
        <v>4.654009</v>
      </c>
      <c r="I151" s="33">
        <f>IF(OR(E151="",R151="",R151&lt;=0,E151&lt;0),"",E151/R151)</f>
        <v/>
      </c>
      <c r="J151" s="33" t="n">
        <v>69.59999999999999</v>
      </c>
      <c r="K151" s="33" t="n">
        <v>8.66</v>
      </c>
      <c r="L151" s="33" t="n">
        <v>42.78</v>
      </c>
      <c r="M151" s="33" t="n">
        <v>24.21</v>
      </c>
      <c r="N151" s="33" t="n">
        <v>0.4</v>
      </c>
      <c r="O151" s="33" t="n">
        <v>56.5</v>
      </c>
      <c r="P151" s="33" t="n">
        <v>-10.37</v>
      </c>
      <c r="Q151" s="33" t="n">
        <v>9.199999999999999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IFERROR((AVERAGE(T151,U151,V151,W151,X151)-1)*25,"")</f>
        <v/>
      </c>
      <c r="Z151" s="33" t="n">
        <v>5</v>
      </c>
      <c r="AA151" s="33" t="n">
        <v>5</v>
      </c>
      <c r="AB151" s="33" t="n">
        <v>3</v>
      </c>
      <c r="AC151" s="33" t="n">
        <v>47.5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IFERROR((AVERAGE(AE151,AF151,AG151,AH151,AL151)-1)*25,"")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2026-08-31</t>
        </is>
      </c>
      <c r="E152" s="33" t="n">
        <v>13.474493</v>
      </c>
      <c r="F152" s="33" t="n">
        <v>11.113</v>
      </c>
      <c r="G152" s="33" t="n">
        <v>4.05</v>
      </c>
      <c r="H152" s="33" t="n">
        <v>2.5108256</v>
      </c>
      <c r="I152" s="33">
        <f>IF(OR(E152="",R152="",R152&lt;=0,E152&lt;0),"",E152/R152)</f>
        <v/>
      </c>
      <c r="J152" s="33" t="n">
        <v>74.2</v>
      </c>
      <c r="K152" s="33" t="n">
        <v>4.74</v>
      </c>
      <c r="L152" s="33" t="n">
        <v>40.73</v>
      </c>
      <c r="M152" s="33" t="n">
        <v>10.18</v>
      </c>
      <c r="N152" s="33" t="n">
        <v>-0.13</v>
      </c>
      <c r="O152" s="33" t="n">
        <v>38.3</v>
      </c>
      <c r="P152" s="33" t="n">
        <v>-9.34</v>
      </c>
      <c r="Q152" s="33" t="n">
        <v>-3.1</v>
      </c>
      <c r="R152" s="33" t="n">
        <v>-67.7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IFERROR((AVERAGE(T152,U152,V152,W152,X152)-1)*25,"")</f>
        <v/>
      </c>
      <c r="Z152" s="33" t="n">
        <v>4</v>
      </c>
      <c r="AA152" s="33" t="n">
        <v>1</v>
      </c>
      <c r="AB152" s="33" t="n">
        <v>3</v>
      </c>
      <c r="AC152" s="33" t="n">
        <v>66.7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IFERROR((AVERAGE(AE152,AF152,AG152,AH152,AL152)-1)*25,"")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2026-09-07</t>
        </is>
      </c>
      <c r="E153" s="33" t="n">
        <v>25.168922</v>
      </c>
      <c r="F153" s="33" t="n">
        <v>40.577</v>
      </c>
      <c r="G153" s="33" t="n">
        <v>1.81</v>
      </c>
      <c r="H153" s="33" t="n">
        <v>13.662313</v>
      </c>
      <c r="I153" s="33">
        <f>IF(OR(E153="",R153="",R153&lt;=0,E153&lt;0),"",E153/R153)</f>
        <v/>
      </c>
      <c r="J153" s="33" t="n">
        <v>28.2</v>
      </c>
      <c r="K153" s="33" t="n">
        <v>45.48</v>
      </c>
      <c r="L153" s="33" t="n">
        <v>45.43</v>
      </c>
      <c r="M153" s="33" t="n">
        <v>24.67</v>
      </c>
      <c r="N153" s="33" t="n">
        <v>-0.39</v>
      </c>
      <c r="O153" s="33" t="n">
        <v>82.8</v>
      </c>
      <c r="P153" s="33" t="n">
        <v>-20.28</v>
      </c>
      <c r="Q153" s="33" t="n">
        <v>45.5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5</v>
      </c>
      <c r="U153" s="33" t="n">
        <v>5</v>
      </c>
      <c r="V153" s="33" t="n">
        <v>4</v>
      </c>
      <c r="W153" s="33" t="n">
        <v>3</v>
      </c>
      <c r="X153" s="33" t="n">
        <v>5</v>
      </c>
      <c r="Y153" s="33">
        <f>IFERROR((AVERAGE(T153,U153,V153,W153,X153)-1)*25,"")</f>
        <v/>
      </c>
      <c r="Z153" s="33" t="n">
        <v>5</v>
      </c>
      <c r="AA153" s="33" t="n">
        <v>5</v>
      </c>
      <c r="AB153" s="33" t="n">
        <v>3</v>
      </c>
      <c r="AC153" s="33" t="n">
        <v>59.2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4</v>
      </c>
      <c r="AG153" s="33" t="n">
        <v>5</v>
      </c>
      <c r="AH153" s="33" t="n">
        <v>4</v>
      </c>
      <c r="AI153" s="33">
        <f>IFERROR((AVERAGE(AE153,AF153,AG153,AH153,AL153)-1)*25,"")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2026-09-07</t>
        </is>
      </c>
      <c r="E154" s="33" t="n">
        <v>68.25182</v>
      </c>
      <c r="F154" s="33" t="n">
        <v>71.59999999999999</v>
      </c>
      <c r="G154" s="33" t="n">
        <v>1.4</v>
      </c>
      <c r="H154" s="33" t="n">
        <v>23.659138</v>
      </c>
      <c r="I154" s="33">
        <f>IF(OR(E154="",R154="",R154&lt;=0,E154&lt;0),"",E154/R154)</f>
        <v/>
      </c>
      <c r="J154" s="33" t="n">
        <v>21.7</v>
      </c>
      <c r="K154" s="33" t="n">
        <v>1.78</v>
      </c>
      <c r="L154" s="33" t="n">
        <v>70.48999999999999</v>
      </c>
      <c r="M154" s="33" t="n">
        <v>33.04</v>
      </c>
      <c r="N154" s="33" t="n">
        <v>-0.31</v>
      </c>
      <c r="O154" s="33" t="n">
        <v>52.8</v>
      </c>
      <c r="P154" s="33" t="n">
        <v>18.79</v>
      </c>
      <c r="Q154" s="33" t="n">
        <v>34.4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3</v>
      </c>
      <c r="Y154" s="33">
        <f>IFERROR((AVERAGE(T154,U154,V154,W154,X154)-1)*25,"")</f>
        <v/>
      </c>
      <c r="Z154" s="33" t="n">
        <v>4</v>
      </c>
      <c r="AA154" s="33" t="n">
        <v>5</v>
      </c>
      <c r="AB154" s="33" t="n">
        <v>5</v>
      </c>
      <c r="AC154" s="33" t="n">
        <v>89.2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4</v>
      </c>
      <c r="AH154" s="33" t="n">
        <v>4</v>
      </c>
      <c r="AI154" s="33">
        <f>IFERROR((AVERAGE(AE154,AF154,AG154,AH154,AL154)-1)*25,"")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2026-09-07</t>
        </is>
      </c>
      <c r="E155" s="33" t="n">
        <v>20.046139</v>
      </c>
      <c r="F155" s="33" t="n"/>
      <c r="G155" s="33" t="n">
        <v>2.18</v>
      </c>
      <c r="H155" s="33" t="n">
        <v>23.67853</v>
      </c>
      <c r="I155" s="33">
        <f>IF(OR(E155="",R155="",R155&lt;=0,E155&lt;0),"",E155/R155)</f>
        <v/>
      </c>
      <c r="J155" s="33" t="n">
        <v>54.8</v>
      </c>
      <c r="K155" s="33" t="n">
        <v>63.79</v>
      </c>
      <c r="L155" s="33" t="n">
        <v>88.37</v>
      </c>
      <c r="M155" s="33" t="n">
        <v>51.59</v>
      </c>
      <c r="N155" s="33" t="n">
        <v>0.22</v>
      </c>
      <c r="O155" s="33" t="n">
        <v>89</v>
      </c>
      <c r="P155" s="33" t="n">
        <v>24.84</v>
      </c>
      <c r="Q155" s="33" t="n">
        <v>59</v>
      </c>
      <c r="R155" s="33" t="n">
        <v>109.2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5</v>
      </c>
      <c r="U155" s="33" t="n">
        <v>4</v>
      </c>
      <c r="V155" s="33" t="n">
        <v>3</v>
      </c>
      <c r="W155" s="33" t="n">
        <v>3</v>
      </c>
      <c r="X155" s="33" t="n">
        <v>2</v>
      </c>
      <c r="Y155" s="33">
        <f>IFERROR((AVERAGE(T155,U155,V155,W155,X155)-1)*25,"")</f>
        <v/>
      </c>
      <c r="Z155" s="33" t="n">
        <v>2</v>
      </c>
      <c r="AA155" s="33" t="n">
        <v>1</v>
      </c>
      <c r="AB155" s="33" t="n">
        <v>3</v>
      </c>
      <c r="AC155" s="33" t="n">
        <v>43.3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4</v>
      </c>
      <c r="AF155" s="33" t="n">
        <v>5</v>
      </c>
      <c r="AG155" s="33" t="n">
        <v>5</v>
      </c>
      <c r="AH155" s="33" t="n">
        <v>1</v>
      </c>
      <c r="AI155" s="33">
        <f>IFERROR((AVERAGE(AE155,AF155,AG155,AH155,AL155)-1)*25,"")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2026-09-18</t>
        </is>
      </c>
      <c r="E156" s="33" t="n">
        <v>8.994958</v>
      </c>
      <c r="F156" s="33" t="n">
        <v>9.800000000000001</v>
      </c>
      <c r="G156" s="33" t="n">
        <v>10.39</v>
      </c>
      <c r="H156" s="33" t="n">
        <v>3.81</v>
      </c>
      <c r="I156" s="33">
        <f>IF(OR(E156="",R156="",R156&lt;=0,E156&lt;0),"",E156/R156)</f>
        <v/>
      </c>
      <c r="J156" s="33" t="n">
        <v>81.5</v>
      </c>
      <c r="K156" s="33" t="n">
        <v>40.39</v>
      </c>
      <c r="L156" s="33" t="n">
        <v>89.25</v>
      </c>
      <c r="M156" s="33" t="n">
        <v>39.58</v>
      </c>
      <c r="N156" s="33" t="n">
        <v>0.12</v>
      </c>
      <c r="O156" s="33" t="n">
        <v>86.7</v>
      </c>
      <c r="P156" s="33" t="n">
        <v>10.52</v>
      </c>
      <c r="Q156" s="33" t="n">
        <v>12.9</v>
      </c>
      <c r="R156" s="33" t="n">
        <v>3.1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1</v>
      </c>
      <c r="Y156" s="33">
        <f>IFERROR((AVERAGE(T156,U156,V156,W156,X156)-1)*25,"")</f>
        <v/>
      </c>
      <c r="Z156" s="33" t="n">
        <v>2</v>
      </c>
      <c r="AA156" s="33" t="n">
        <v>1</v>
      </c>
      <c r="AB156" s="33" t="n">
        <v>3</v>
      </c>
      <c r="AC156" s="33" t="n">
        <v>44.2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IFERROR((AVERAGE(AE156,AF156,AG156,AH156,AL156)-1)*25,"")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2026-07-16</t>
        </is>
      </c>
      <c r="E157" s="33" t="n">
        <v>46.930595</v>
      </c>
      <c r="F157" s="33" t="n">
        <v>47.2</v>
      </c>
      <c r="G157" s="33" t="n">
        <v>2.07</v>
      </c>
      <c r="H157" s="33" t="n">
        <v>16.568705</v>
      </c>
      <c r="I157" s="33">
        <f>IF(OR(E157="",R157="",R157&lt;=0,E157&lt;0),"",E157/R157)</f>
        <v/>
      </c>
      <c r="J157" s="33" t="n">
        <v>38</v>
      </c>
      <c r="K157" s="33" t="n">
        <v>32.8</v>
      </c>
      <c r="L157" s="33" t="n">
        <v>80.3</v>
      </c>
      <c r="M157" s="33" t="n">
        <v>34.26</v>
      </c>
      <c r="N157" s="33" t="n">
        <v>-1.16</v>
      </c>
      <c r="O157" s="33" t="n">
        <v>76.7</v>
      </c>
      <c r="P157" s="33" t="n">
        <v>15.46</v>
      </c>
      <c r="Q157" s="33" t="n">
        <v>20.1</v>
      </c>
      <c r="R157" s="33" t="n">
        <v>23.3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1</v>
      </c>
      <c r="Y157" s="33">
        <f>IFERROR((AVERAGE(T157,U157,V157,W157,X157)-1)*25,"")</f>
        <v/>
      </c>
      <c r="Z157" s="33" t="n">
        <v>4</v>
      </c>
      <c r="AA157" s="33" t="n">
        <v>4</v>
      </c>
      <c r="AB157" s="33" t="n">
        <v>3</v>
      </c>
      <c r="AC157" s="33" t="n">
        <v>84.2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IFERROR((AVERAGE(AE157,AF157,AG157,AH157,AL157)-1)*25,"")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2026-09-07</t>
        </is>
      </c>
      <c r="E158" s="33" t="n">
        <v>30.389698</v>
      </c>
      <c r="F158" s="33" t="n">
        <v>29.3</v>
      </c>
      <c r="G158" s="33" t="n">
        <v>3.22</v>
      </c>
      <c r="H158" s="33" t="n">
        <v>8.258464</v>
      </c>
      <c r="I158" s="33">
        <f>IF(OR(E158="",R158="",R158&lt;=0,E158&lt;0),"",E158/R158)</f>
        <v/>
      </c>
      <c r="J158" s="33" t="n">
        <v>58.5</v>
      </c>
      <c r="K158" s="33" t="n">
        <v>-2.56</v>
      </c>
      <c r="L158" s="33" t="n">
        <v>76.87</v>
      </c>
      <c r="M158" s="33" t="n">
        <v>26.56</v>
      </c>
      <c r="N158" s="33" t="n">
        <v>-36.63</v>
      </c>
      <c r="O158" s="33" t="n">
        <v>47.2</v>
      </c>
      <c r="P158" s="33" t="n">
        <v>34.81</v>
      </c>
      <c r="Q158" s="33" t="n">
        <v>24.9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IFERROR((AVERAGE(T158,U158,V158,W158,X158)-1)*25,"")</f>
        <v/>
      </c>
      <c r="Z158" s="33" t="n">
        <v>1</v>
      </c>
      <c r="AA158" s="33" t="n">
        <v>1</v>
      </c>
      <c r="AB158" s="33" t="n">
        <v>3</v>
      </c>
      <c r="AC158" s="33" t="n">
        <v>55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IFERROR((AVERAGE(AE158,AF158,AG158,AH158,AL158)-1)*25,"")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2026-09-07</t>
        </is>
      </c>
      <c r="E159" s="33" t="n">
        <v>12.175089</v>
      </c>
      <c r="F159" s="33" t="n">
        <v>11.9</v>
      </c>
      <c r="G159" s="33" t="n">
        <v>8.48</v>
      </c>
      <c r="H159" s="33" t="n">
        <v>4.2430887</v>
      </c>
      <c r="I159" s="33">
        <f>IF(OR(E159="",R159="",R159&lt;=0,E159&lt;0),"",E159/R159)</f>
        <v/>
      </c>
      <c r="J159" s="33" t="n">
        <v>89</v>
      </c>
      <c r="K159" s="33" t="n">
        <v>16.67</v>
      </c>
      <c r="L159" s="33" t="n">
        <v>80.98</v>
      </c>
      <c r="M159" s="33" t="n">
        <v>35.97</v>
      </c>
      <c r="N159" s="33" t="n">
        <v>0.17</v>
      </c>
      <c r="O159" s="33" t="n">
        <v>73.09999999999999</v>
      </c>
      <c r="P159" s="33" t="n">
        <v>13.95</v>
      </c>
      <c r="Q159" s="33" t="n">
        <v>13.7</v>
      </c>
      <c r="R159" s="33" t="n"/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1</v>
      </c>
      <c r="Y159" s="33">
        <f>IFERROR((AVERAGE(T159,U159,V159,W159,X159)-1)*25,"")</f>
        <v/>
      </c>
      <c r="Z159" s="33" t="n">
        <v>2</v>
      </c>
      <c r="AA159" s="33" t="n">
        <v>1</v>
      </c>
      <c r="AB159" s="33" t="n">
        <v>4</v>
      </c>
      <c r="AC159" s="33" t="n">
        <v>28.3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5</v>
      </c>
      <c r="AH159" s="33" t="n">
        <v>3</v>
      </c>
      <c r="AI159" s="33">
        <f>IFERROR((AVERAGE(AE159,AF159,AG159,AH159,AL159)-1)*25,"")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2026-09-07</t>
        </is>
      </c>
      <c r="E160" s="33" t="n">
        <v>14.818274</v>
      </c>
      <c r="F160" s="33" t="n">
        <v>16.7</v>
      </c>
      <c r="G160" s="33" t="n">
        <v>6.03</v>
      </c>
      <c r="H160" s="33" t="n">
        <v>4.6465178</v>
      </c>
      <c r="I160" s="33">
        <f>IF(OR(E160="",R160="",R160&lt;=0,E160&lt;0),"",E160/R160)</f>
        <v/>
      </c>
      <c r="J160" s="33" t="n">
        <v>81.59999999999999</v>
      </c>
      <c r="K160" s="33" t="n">
        <v>12.8</v>
      </c>
      <c r="L160" s="33" t="n">
        <v>75.8</v>
      </c>
      <c r="M160" s="33" t="n">
        <v>28.01</v>
      </c>
      <c r="N160" s="33" t="n">
        <v>0.23</v>
      </c>
      <c r="O160" s="33" t="n">
        <v>56</v>
      </c>
      <c r="P160" s="33" t="n">
        <v>15.4</v>
      </c>
      <c r="Q160" s="33" t="n">
        <v>12.8</v>
      </c>
      <c r="R160" s="33" t="n"/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2</v>
      </c>
      <c r="W160" s="33" t="n">
        <v>4</v>
      </c>
      <c r="X160" s="33" t="n">
        <v>1</v>
      </c>
      <c r="Y160" s="33">
        <f>IFERROR((AVERAGE(T160,U160,V160,W160,X160)-1)*25,"")</f>
        <v/>
      </c>
      <c r="Z160" s="33" t="n">
        <v>2</v>
      </c>
      <c r="AA160" s="33" t="n">
        <v>1</v>
      </c>
      <c r="AB160" s="33" t="n">
        <v>3</v>
      </c>
      <c r="AC160" s="33" t="n">
        <v>60.8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5</v>
      </c>
      <c r="AH160" s="33" t="n">
        <v>3</v>
      </c>
      <c r="AI160" s="33">
        <f>IFERROR((AVERAGE(AE160,AF160,AG160,AH160,AL160)-1)*25,"")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2026-09-07</t>
        </is>
      </c>
      <c r="E161" s="33" t="n">
        <v>15.329524</v>
      </c>
      <c r="F161" s="33" t="n">
        <v>16.1</v>
      </c>
      <c r="G161" s="33" t="n">
        <v>6.16</v>
      </c>
      <c r="H161" s="33" t="n">
        <v>5.846097</v>
      </c>
      <c r="I161" s="33">
        <f>IF(OR(E161="",R161="",R161&lt;=0,E161&lt;0),"",E161/R161)</f>
        <v/>
      </c>
      <c r="J161" s="33" t="n">
        <v>80.09999999999999</v>
      </c>
      <c r="K161" s="33" t="n">
        <v>26.7</v>
      </c>
      <c r="L161" s="33" t="n">
        <v>92.5</v>
      </c>
      <c r="M161" s="33" t="n">
        <v>35.99</v>
      </c>
      <c r="N161" s="33" t="n">
        <v>-0.2</v>
      </c>
      <c r="O161" s="33" t="n">
        <v>88.09999999999999</v>
      </c>
      <c r="P161" s="33" t="n">
        <v>12.92</v>
      </c>
      <c r="Q161" s="33" t="n">
        <v>16.1</v>
      </c>
      <c r="R161" s="33" t="n">
        <v>57.2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1</v>
      </c>
      <c r="Y161" s="33">
        <f>IFERROR((AVERAGE(T161,U161,V161,W161,X161)-1)*25,"")</f>
        <v/>
      </c>
      <c r="Z161" s="33" t="n">
        <v>4</v>
      </c>
      <c r="AA161" s="33" t="n">
        <v>2</v>
      </c>
      <c r="AB161" s="33" t="n">
        <v>5</v>
      </c>
      <c r="AC161" s="33" t="n">
        <v>39.2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2</v>
      </c>
      <c r="AI161" s="33">
        <f>IFERROR((AVERAGE(AE161,AF161,AG161,AH161,AL161)-1)*25,"")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2026-07-16</t>
        </is>
      </c>
      <c r="E162" s="33" t="n">
        <v>153.11069</v>
      </c>
      <c r="F162" s="33" t="n">
        <v>205.8</v>
      </c>
      <c r="G162" s="33" t="n">
        <v>0.48</v>
      </c>
      <c r="H162" s="33" t="n">
        <v>15.005398</v>
      </c>
      <c r="I162" s="33">
        <f>IF(OR(E162="",R162="",R162&lt;=0,E162&lt;0),"",E162/R162)</f>
        <v/>
      </c>
      <c r="J162" s="33" t="n">
        <v>15.3</v>
      </c>
      <c r="K162" s="33" t="n">
        <v>3.13</v>
      </c>
      <c r="L162" s="33" t="n">
        <v>19.06</v>
      </c>
      <c r="M162" s="33" t="n">
        <v>7.15</v>
      </c>
      <c r="N162" s="33" t="n">
        <v>-2.6</v>
      </c>
      <c r="O162" s="33" t="n">
        <v>38.1</v>
      </c>
      <c r="P162" s="33" t="n">
        <v>5.19</v>
      </c>
      <c r="Q162" s="33" t="n">
        <v>15.8</v>
      </c>
      <c r="R162" s="33" t="n">
        <v>16.6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1</v>
      </c>
      <c r="Y162" s="33">
        <f>IFERROR((AVERAGE(T162,U162,V162,W162,X162)-1)*25,"")</f>
        <v/>
      </c>
      <c r="Z162" s="33" t="n">
        <v>2</v>
      </c>
      <c r="AA162" s="33" t="n">
        <v>2</v>
      </c>
      <c r="AB162" s="33" t="n">
        <v>3</v>
      </c>
      <c r="AC162" s="33" t="n">
        <v>40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IFERROR((AVERAGE(AE162,AF162,AG162,AH162,AL162)-1)*25,"")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2026-07-16</t>
        </is>
      </c>
      <c r="E163" s="33" t="n">
        <v>34.639137</v>
      </c>
      <c r="F163" s="33" t="n">
        <v>38</v>
      </c>
      <c r="G163" s="33" t="n">
        <v>2.64</v>
      </c>
      <c r="H163" s="33" t="n">
        <v>10.842385</v>
      </c>
      <c r="I163" s="33">
        <f>IF(OR(E163="",R163="",R163&lt;=0,E163&lt;0),"",E163/R163)</f>
        <v/>
      </c>
      <c r="J163" s="33" t="n">
        <v>40.9</v>
      </c>
      <c r="K163" s="33" t="n">
        <v>54.74</v>
      </c>
      <c r="L163" s="33" t="n">
        <v>47.86</v>
      </c>
      <c r="M163" s="33" t="n">
        <v>28.61</v>
      </c>
      <c r="N163" s="33" t="n">
        <v>0.1</v>
      </c>
      <c r="O163" s="33" t="n">
        <v>59.4</v>
      </c>
      <c r="P163" s="33" t="n">
        <v>1.81</v>
      </c>
      <c r="Q163" s="33" t="n">
        <v>16.6</v>
      </c>
      <c r="R163" s="33" t="n">
        <v>19.4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IFERROR((AVERAGE(T163,U163,V163,W163,X163)-1)*25,"")</f>
        <v/>
      </c>
      <c r="Z163" s="33" t="n">
        <v>4</v>
      </c>
      <c r="AA163" s="33" t="n">
        <v>2</v>
      </c>
      <c r="AB163" s="33" t="n">
        <v>3</v>
      </c>
      <c r="AC163" s="33" t="n">
        <v>77.5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IFERROR((AVERAGE(AE163,AF163,AG163,AH163,AL163)-1)*25,"")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72" t="n">
        <v>46273</v>
      </c>
      <c r="E164" s="33" t="n"/>
      <c r="F164" s="33" t="n">
        <v>-57.3</v>
      </c>
      <c r="G164" s="33" t="n">
        <v>-1.7</v>
      </c>
      <c r="H164" s="33" t="n">
        <v>87.2</v>
      </c>
      <c r="I164" s="33">
        <f>IF(OR(E164="",R164="",R164&lt;=0,E164&lt;0),"",E164/R164)</f>
        <v/>
      </c>
      <c r="J164" s="33" t="n">
        <v>35.6</v>
      </c>
      <c r="K164" s="33" t="n">
        <v>-1.3</v>
      </c>
      <c r="L164" s="33" t="n">
        <v>52.9</v>
      </c>
      <c r="M164" s="33" t="n">
        <v>-148.1</v>
      </c>
      <c r="N164" s="33" t="n">
        <v>-8.470000000000001</v>
      </c>
      <c r="O164" s="33" t="n">
        <v>33.5</v>
      </c>
      <c r="P164" s="33" t="n">
        <v>34.1</v>
      </c>
      <c r="Q164" s="33" t="n">
        <v>92</v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4</v>
      </c>
      <c r="U164" s="33" t="n">
        <v>4</v>
      </c>
      <c r="V164" s="33" t="n">
        <v>4</v>
      </c>
      <c r="W164" s="33" t="n">
        <v>5</v>
      </c>
      <c r="X164" s="33" t="n">
        <v>5</v>
      </c>
      <c r="Y164" s="33">
        <f>IFERROR((AVERAGE(T164,U164,V164,W164,X164)-1)*25,"")</f>
        <v/>
      </c>
      <c r="Z164" s="33" t="n">
        <v>4</v>
      </c>
      <c r="AA164" s="33" t="n">
        <v>2</v>
      </c>
      <c r="AB164" s="33" t="n">
        <v>3</v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5</v>
      </c>
      <c r="AH164" s="33" t="n">
        <v>3</v>
      </c>
      <c r="AI164" s="33">
        <f>IFERROR((AVERAGE(AE164,AF164,AG164,AH164,AL164)-1)*25,"")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  <row r="165">
      <c r="A165" s="33" t="inlineStr">
        <is>
          <t>ACLS</t>
        </is>
      </c>
      <c r="B165" s="33" t="inlineStr">
        <is>
          <t>Axcelis Technologies, Inc.</t>
        </is>
      </c>
      <c r="C165" s="33" t="inlineStr">
        <is>
          <t>04 Semiconductor Equipment &amp; Materials / Equipment</t>
        </is>
      </c>
      <c r="D165" s="33" t="inlineStr">
        <is>
          <t>2026-07-16</t>
        </is>
      </c>
      <c r="E165" s="33" t="n">
        <v>28.741749</v>
      </c>
      <c r="F165" s="33" t="n">
        <v>36.861</v>
      </c>
      <c r="G165" s="33" t="n">
        <v>2.07</v>
      </c>
      <c r="H165" s="33" t="n">
        <v>5.065357</v>
      </c>
      <c r="I165" s="33">
        <f>IF(OR(E165="",R165="",R165&lt;=0,E165&lt;0),"",E165/R165)</f>
        <v/>
      </c>
      <c r="J165" s="33" t="n">
        <v>53.1</v>
      </c>
      <c r="K165" s="33" t="n">
        <v>6.59</v>
      </c>
      <c r="L165" s="33" t="n">
        <v>43.61</v>
      </c>
      <c r="M165" s="33" t="n">
        <v>10.46</v>
      </c>
      <c r="N165" s="33" t="n">
        <v>-2.74</v>
      </c>
      <c r="O165" s="33" t="n">
        <v>52</v>
      </c>
      <c r="P165" s="33" t="n">
        <v>-3.02</v>
      </c>
      <c r="Q165" s="33" t="n">
        <v>3.3</v>
      </c>
      <c r="R165" s="33" t="n">
        <v>-67.8</v>
      </c>
      <c r="S165" s="33">
        <f>IFERROR(AVERAGE(IFERROR(IF(P165="","",IF(P165&gt;=40,100,IF(P165&gt;=30,90,IF(P165&gt;=20,75,IF(P165&gt;=15,60,IF(P165&gt;=10,45,IF(P165&gt;=5,30,15))))))),""),IFERROR(IF(Q165="","",IF(Q165&gt;=40,100,IF(Q165&gt;=30,90,IF(Q165&gt;=20,75,IF(Q165&gt;=10,60,IF(Q165&gt;=5,45,IF(Q165&gt;=0,30,15))))))),""),IFERROR(IF(R165="","",IF(R165&gt;=40,100,IF(R165&gt;=30,90,IF(R165&gt;=20,75,IF(R165&gt;=10,60,IF(R165&gt;=0,45,IF(R165&gt;=-10,30,15))))))),"")),"")</f>
        <v/>
      </c>
      <c r="T165" s="33" t="n">
        <v>2</v>
      </c>
      <c r="U165" s="33" t="n">
        <v>4</v>
      </c>
      <c r="V165" s="33" t="n">
        <v>4</v>
      </c>
      <c r="W165" s="33" t="n">
        <v>3</v>
      </c>
      <c r="X165" s="33" t="n">
        <v>2</v>
      </c>
      <c r="Y165" s="33">
        <f>IFERROR((AVERAGE(T165,U165,V165,W165,X165)-1)*25,"")</f>
        <v/>
      </c>
      <c r="Z165" s="33" t="n">
        <v>3</v>
      </c>
      <c r="AA165" s="33" t="n">
        <v>5</v>
      </c>
      <c r="AB165" s="33" t="n">
        <v>3</v>
      </c>
      <c r="AC165" s="33" t="n">
        <v>54.2</v>
      </c>
      <c r="AD165" s="33">
        <f>IFERROR(AVERAGE(IFERROR(IF(Z165="","",Z165*20),""),IFERROR(IF(AA165="","",AA165*20),""),IFERROR(IF(AB165="","",AB165*20),""),IFERROR(IF(AC165="","",IF(AC165&gt;=85,100,IF(AC165&gt;=70,90,IF(AC165&gt;=55,75,IF(AC165&gt;=40,60,IF(AC165&gt;=25,40,20)))))),"")),"")</f>
        <v/>
      </c>
      <c r="AE165" s="33" t="n">
        <v>4</v>
      </c>
      <c r="AF165" s="33" t="n">
        <v>2</v>
      </c>
      <c r="AG165" s="33" t="n">
        <v>5</v>
      </c>
      <c r="AH165" s="33" t="n">
        <v>3</v>
      </c>
      <c r="AI165" s="33">
        <f>IFERROR((AVERAGE(AE165,AF165,AG165,AH165,AL165)-1)*25,"")</f>
        <v/>
      </c>
      <c r="AJ165" s="33">
        <f>IFERROR(J165*Weights!$B$4 + O165*Weights!$B$5 + S165*Weights!$B$6 + Y165*Weights!$B$7 + AD165*Weights!$B$8 + AI165*Weights!$B$9,"")</f>
        <v/>
      </c>
      <c r="AK165" s="33">
        <f>IF(AJ165="","",IF(AJ165&gt;=85,"✓✓✓",IF(AJ165&gt;=70,"✓✓",IF(AJ165&gt;=55,"✓",IF(AJ165&gt;=40,"?","✗")))))</f>
        <v/>
      </c>
      <c r="AL165" s="33" t="n">
        <v>5</v>
      </c>
    </row>
    <row r="166">
      <c r="A166" s="33" t="inlineStr">
        <is>
          <t>COHU</t>
        </is>
      </c>
      <c r="B166" s="33" t="inlineStr">
        <is>
          <t>Cohu, Inc.</t>
        </is>
      </c>
      <c r="C166" s="33" t="inlineStr">
        <is>
          <t>04 Semiconductor Equipment &amp; Materials / Test &amp; measurement</t>
        </is>
      </c>
      <c r="D166" s="33" t="inlineStr">
        <is>
          <t>2026-07-16</t>
        </is>
      </c>
      <c r="E166" s="33" t="n">
        <v>34.862946</v>
      </c>
      <c r="F166" s="33" t="n">
        <v>-1913.547</v>
      </c>
      <c r="G166" s="33" t="n">
        <v>1.65</v>
      </c>
      <c r="H166" s="33" t="n">
        <v>5.0490613</v>
      </c>
      <c r="I166" s="33">
        <f>IF(OR(E166="",R166="",R166&lt;=0,E166&lt;0),"",E166/R166)</f>
        <v/>
      </c>
      <c r="J166" s="33" t="n">
        <v>57.5</v>
      </c>
      <c r="K166" s="33" t="n">
        <v>-2.28</v>
      </c>
      <c r="L166" s="33" t="n">
        <v>43.47</v>
      </c>
      <c r="M166" s="33" t="n">
        <v>8.35</v>
      </c>
      <c r="O166" s="33" t="n">
        <v>23.7</v>
      </c>
      <c r="P166" s="33" t="n">
        <v>-17.71</v>
      </c>
      <c r="Q166" s="33" t="n">
        <v>29.3</v>
      </c>
      <c r="S166" s="33">
        <f>IFERROR(AVERAGE(IFERROR(IF(P166="","",IF(P166&gt;=40,100,IF(P166&gt;=30,90,IF(P166&gt;=20,75,IF(P166&gt;=15,60,IF(P166&gt;=10,45,IF(P166&gt;=5,30,15))))))),""),IFERROR(IF(Q166="","",IF(Q166&gt;=40,100,IF(Q166&gt;=30,90,IF(Q166&gt;=20,75,IF(Q166&gt;=10,60,IF(Q166&gt;=5,45,IF(Q166&gt;=0,30,15))))))),""),IFERROR(IF(R166="","",IF(R166&gt;=40,100,IF(R166&gt;=30,90,IF(R166&gt;=20,75,IF(R166&gt;=10,60,IF(R166&gt;=0,45,IF(R166&gt;=-10,30,15))))))),"")),"")</f>
        <v/>
      </c>
      <c r="T166" s="33" t="n">
        <v>3</v>
      </c>
      <c r="U166" s="33" t="n">
        <v>3</v>
      </c>
      <c r="V166" s="33" t="n">
        <v>3</v>
      </c>
      <c r="W166" s="33" t="n">
        <v>4</v>
      </c>
      <c r="X166" s="33" t="n">
        <v>2</v>
      </c>
      <c r="Y166" s="33">
        <f>IFERROR((AVERAGE(T166,U166,V166,W166,X166)-1)*25,"")</f>
        <v/>
      </c>
      <c r="Z166" s="33" t="n">
        <v>5</v>
      </c>
      <c r="AA166" s="33" t="n">
        <v>3</v>
      </c>
      <c r="AB166" s="33" t="n">
        <v>3</v>
      </c>
      <c r="AC166" s="33" t="n">
        <v>65.8</v>
      </c>
      <c r="AD166" s="33">
        <f>IFERROR(AVERAGE(IFERROR(IF(Z166="","",Z166*20),""),IFERROR(IF(AA166="","",AA166*20),""),IFERROR(IF(AB166="","",AB166*20),""),IFERROR(IF(AC166="","",IF(AC166&gt;=85,100,IF(AC166&gt;=70,90,IF(AC166&gt;=55,75,IF(AC166&gt;=40,60,IF(AC166&gt;=25,40,20)))))),"")),"")</f>
        <v/>
      </c>
      <c r="AE166" s="33" t="n">
        <v>4</v>
      </c>
      <c r="AF166" s="33" t="n">
        <v>3</v>
      </c>
      <c r="AG166" s="33" t="n">
        <v>4</v>
      </c>
      <c r="AH166" s="33" t="n">
        <v>4</v>
      </c>
      <c r="AI166" s="33">
        <f>IFERROR((AVERAGE(AE166,AF166,AG166,AH166,AL166)-1)*25,"")</f>
        <v/>
      </c>
      <c r="AJ166" s="33">
        <f>IFERROR(J166*Weights!$B$4 + O166*Weights!$B$5 + S166*Weights!$B$6 + Y166*Weights!$B$7 + AD166*Weights!$B$8 + AI166*Weights!$B$9,"")</f>
        <v/>
      </c>
      <c r="AK166" s="33">
        <f>IF(AJ166="","",IF(AJ166&gt;=85,"✓✓✓",IF(AJ166&gt;=70,"✓✓",IF(AJ166&gt;=55,"✓",IF(AJ166&gt;=40,"?","✗")))))</f>
        <v/>
      </c>
      <c r="AL166" s="33" t="n">
        <v>5</v>
      </c>
    </row>
    <row r="167">
      <c r="A167" s="33" t="inlineStr">
        <is>
          <t>AMKR</t>
        </is>
      </c>
      <c r="B167" s="33" t="inlineStr">
        <is>
          <t>Amkor Technology, Inc.</t>
        </is>
      </c>
      <c r="C167" s="33" t="inlineStr">
        <is>
          <t>04 Semiconductor Equipment &amp; Materials / OSAT &amp; advanced packaging</t>
        </is>
      </c>
      <c r="D167" s="33" t="inlineStr">
        <is>
          <t>2026-07-16</t>
        </is>
      </c>
      <c r="E167" s="33" t="n">
        <v>25.701992</v>
      </c>
      <c r="F167" s="33" t="n">
        <v>12.907</v>
      </c>
      <c r="G167" s="33" t="n">
        <v>1.07</v>
      </c>
      <c r="H167" s="33" t="n">
        <v>2.2091203</v>
      </c>
      <c r="I167" s="33">
        <f>IF(OR(E167="",R167="",R167&lt;=0,E167&lt;0),"",E167/R167)</f>
        <v/>
      </c>
      <c r="J167" s="33" t="n">
        <v>72.3</v>
      </c>
      <c r="K167" s="33" t="n">
        <v>7.45</v>
      </c>
      <c r="L167" s="33" t="n">
        <v>14.43</v>
      </c>
      <c r="M167" s="33" t="n">
        <v>2.36</v>
      </c>
      <c r="N167" s="33" t="n">
        <v>-0.19</v>
      </c>
      <c r="O167" s="33" t="n">
        <v>41.2</v>
      </c>
      <c r="P167" s="33" t="n">
        <v>-1.84</v>
      </c>
      <c r="Q167" s="33" t="n">
        <v>27.5</v>
      </c>
      <c r="R167" s="33" t="n">
        <v>294.5</v>
      </c>
      <c r="S167" s="33">
        <f>IFERROR(AVERAGE(IFERROR(IF(P167="","",IF(P167&gt;=40,100,IF(P167&gt;=30,90,IF(P167&gt;=20,75,IF(P167&gt;=15,60,IF(P167&gt;=10,45,IF(P167&gt;=5,30,15))))))),""),IFERROR(IF(Q167="","",IF(Q167&gt;=40,100,IF(Q167&gt;=30,90,IF(Q167&gt;=20,75,IF(Q167&gt;=10,60,IF(Q167&gt;=5,45,IF(Q167&gt;=0,30,15))))))),""),IFERROR(IF(R167="","",IF(R167&gt;=40,100,IF(R167&gt;=30,90,IF(R167&gt;=20,75,IF(R167&gt;=10,60,IF(R167&gt;=0,45,IF(R167&gt;=-10,30,15))))))),"")),"")</f>
        <v/>
      </c>
      <c r="T167" s="33" t="n">
        <v>3</v>
      </c>
      <c r="U167" s="33" t="n">
        <v>3</v>
      </c>
      <c r="V167" s="33" t="n">
        <v>3</v>
      </c>
      <c r="W167" s="33" t="n">
        <v>5</v>
      </c>
      <c r="X167" s="33" t="n">
        <v>2</v>
      </c>
      <c r="Y167" s="33">
        <f>IFERROR((AVERAGE(T167,U167,V167,W167,X167)-1)*25,"")</f>
        <v/>
      </c>
      <c r="Z167" s="33" t="n">
        <v>5</v>
      </c>
      <c r="AA167" s="33" t="n">
        <v>5</v>
      </c>
      <c r="AB167" s="33" t="n">
        <v>3</v>
      </c>
      <c r="AC167" s="33" t="n">
        <v>49.2</v>
      </c>
      <c r="AD167" s="33">
        <f>IFERROR(AVERAGE(IFERROR(IF(Z167="","",Z167*20),""),IFERROR(IF(AA167="","",AA167*20),""),IFERROR(IF(AB167="","",AB167*20),""),IFERROR(IF(AC167="","",IF(AC167&gt;=85,100,IF(AC167&gt;=70,90,IF(AC167&gt;=55,75,IF(AC167&gt;=40,60,IF(AC167&gt;=25,40,20)))))),"")),"")</f>
        <v/>
      </c>
      <c r="AE167" s="33" t="n">
        <v>3</v>
      </c>
      <c r="AF167" s="33" t="n">
        <v>2</v>
      </c>
      <c r="AG167" s="33" t="n">
        <v>4</v>
      </c>
      <c r="AH167" s="33" t="n">
        <v>4</v>
      </c>
      <c r="AI167" s="33">
        <f>IFERROR((AVERAGE(AE167,AF167,AG167,AH167,AL167)-1)*25,"")</f>
        <v/>
      </c>
      <c r="AJ167" s="33">
        <f>IFERROR(J167*Weights!$B$4 + O167*Weights!$B$5 + S167*Weights!$B$6 + Y167*Weights!$B$7 + AD167*Weights!$B$8 + AI167*Weights!$B$9,"")</f>
        <v/>
      </c>
      <c r="AK167" s="33">
        <f>IF(AJ167="","",IF(AJ167&gt;=85,"✓✓✓",IF(AJ167&gt;=70,"✓✓",IF(AJ167&gt;=55,"✓",IF(AJ167&gt;=40,"?","✗")))))</f>
        <v/>
      </c>
      <c r="AL167" s="33" t="n">
        <v>5</v>
      </c>
    </row>
    <row r="168">
      <c r="A168" s="33" t="inlineStr">
        <is>
          <t>ASX</t>
        </is>
      </c>
      <c r="B168" s="33" t="inlineStr">
        <is>
          <t>ASE Technology Holding Co., Ltd.</t>
        </is>
      </c>
      <c r="C168" s="33" t="inlineStr">
        <is>
          <t>04 Semiconductor Equipment &amp; Materials / OSAT &amp; advanced packaging</t>
        </is>
      </c>
      <c r="D168" s="33" t="inlineStr">
        <is>
          <t>2026-07-16</t>
        </is>
      </c>
      <c r="E168" s="33" t="n">
        <v>19.836527</v>
      </c>
      <c r="F168" s="33" t="n">
        <v>23.42</v>
      </c>
      <c r="G168" s="33" t="n">
        <v>-0.61</v>
      </c>
      <c r="H168" s="33" t="n">
        <v>4.17</v>
      </c>
      <c r="I168" s="33">
        <f>IF(OR(E168="",R168="",R168&lt;=0,E168&lt;0),"",E168/R168)</f>
        <v/>
      </c>
      <c r="J168" s="33" t="n">
        <v>69.40000000000001</v>
      </c>
      <c r="K168" s="33" t="n">
        <v>7.78</v>
      </c>
      <c r="L168" s="33" t="n">
        <v>18.5</v>
      </c>
      <c r="M168" s="33" t="n">
        <v>-2.56</v>
      </c>
      <c r="N168" s="33" t="n">
        <v>1.14</v>
      </c>
      <c r="O168" s="33" t="n">
        <v>33.9</v>
      </c>
      <c r="P168" s="33" t="n">
        <v>-1.28</v>
      </c>
      <c r="Q168" s="33" t="n">
        <v>17.2</v>
      </c>
      <c r="R168" s="33" t="n">
        <v>87.3</v>
      </c>
      <c r="S168" s="33">
        <f>IFERROR(AVERAGE(IFERROR(IF(P168="","",IF(P168&gt;=40,100,IF(P168&gt;=30,90,IF(P168&gt;=20,75,IF(P168&gt;=15,60,IF(P168&gt;=10,45,IF(P168&gt;=5,30,15))))))),""),IFERROR(IF(Q168="","",IF(Q168&gt;=40,100,IF(Q168&gt;=30,90,IF(Q168&gt;=20,75,IF(Q168&gt;=10,60,IF(Q168&gt;=5,45,IF(Q168&gt;=0,30,15))))))),""),IFERROR(IF(R168="","",IF(R168&gt;=40,100,IF(R168&gt;=30,90,IF(R168&gt;=20,75,IF(R168&gt;=10,60,IF(R168&gt;=0,45,IF(R168&gt;=-10,30,15))))))),"")),"")</f>
        <v/>
      </c>
      <c r="T168" s="33" t="n">
        <v>3</v>
      </c>
      <c r="U168" s="33" t="n">
        <v>4</v>
      </c>
      <c r="V168" s="33" t="n">
        <v>3</v>
      </c>
      <c r="W168" s="33" t="n">
        <v>5</v>
      </c>
      <c r="X168" s="33" t="n">
        <v>3</v>
      </c>
      <c r="Y168" s="33">
        <f>IFERROR((AVERAGE(T168,U168,V168,W168,X168)-1)*25,"")</f>
        <v/>
      </c>
      <c r="Z168" s="33" t="n">
        <v>3</v>
      </c>
      <c r="AA168" s="33" t="n">
        <v>4</v>
      </c>
      <c r="AB168" s="33" t="n">
        <v>3</v>
      </c>
      <c r="AC168" s="33" t="n">
        <v>75</v>
      </c>
      <c r="AD168" s="33">
        <f>IFERROR(AVERAGE(IFERROR(IF(Z168="","",Z168*20),""),IFERROR(IF(AA168="","",AA168*20),""),IFERROR(IF(AB168="","",AB168*20),""),IFERROR(IF(AC168="","",IF(AC168&gt;=85,100,IF(AC168&gt;=70,90,IF(AC168&gt;=55,75,IF(AC168&gt;=40,60,IF(AC168&gt;=25,40,20)))))),"")),"")</f>
        <v/>
      </c>
      <c r="AE168" s="33" t="n">
        <v>3</v>
      </c>
      <c r="AF168" s="33" t="n">
        <v>2</v>
      </c>
      <c r="AG168" s="33" t="n">
        <v>3</v>
      </c>
      <c r="AH168" s="33" t="n">
        <v>4</v>
      </c>
      <c r="AI168" s="33">
        <f>IFERROR((AVERAGE(AE168,AF168,AG168,AH168,AL168)-1)*25,"")</f>
        <v/>
      </c>
      <c r="AJ168" s="33">
        <f>IFERROR(J168*Weights!$B$4 + O168*Weights!$B$5 + S168*Weights!$B$6 + Y168*Weights!$B$7 + AD168*Weights!$B$8 + AI168*Weights!$B$9,"")</f>
        <v/>
      </c>
      <c r="AK168" s="33">
        <f>IF(AJ168="","",IF(AJ168&gt;=85,"✓✓✓",IF(AJ168&gt;=70,"✓✓",IF(AJ168&gt;=55,"✓",IF(AJ168&gt;=40,"?","✗")))))</f>
        <v/>
      </c>
      <c r="AL168" s="33" t="n">
        <v>5</v>
      </c>
    </row>
    <row r="169">
      <c r="A169" s="33" t="inlineStr">
        <is>
          <t>RDDT</t>
        </is>
      </c>
      <c r="B169" s="33" t="inlineStr">
        <is>
          <t>Reddit, Inc.</t>
        </is>
      </c>
      <c r="C169" s="33" t="inlineStr">
        <is>
          <t>10 Models, Software &amp; Applications / AI advertising</t>
        </is>
      </c>
      <c r="D169" s="33" t="inlineStr">
        <is>
          <t>2026-10-04</t>
        </is>
      </c>
      <c r="E169" s="33" t="n">
        <v>15.262982</v>
      </c>
      <c r="F169" s="33" t="n">
        <v>25.2</v>
      </c>
      <c r="G169" s="33" t="n">
        <v>3.58</v>
      </c>
      <c r="H169" s="33" t="n">
        <v>10.237297</v>
      </c>
      <c r="I169" s="33">
        <f>IF(OR(E169="",R169="",R169&lt;=0,E169&lt;0),"",E169/R169)</f>
        <v/>
      </c>
      <c r="J169" s="33" t="n">
        <v>75.40000000000001</v>
      </c>
      <c r="K169" s="33" t="n">
        <v>23.61</v>
      </c>
      <c r="L169" s="33" t="n">
        <v>91.44</v>
      </c>
      <c r="M169" s="33" t="n">
        <v>36.66</v>
      </c>
      <c r="N169" s="33" t="n">
        <v>-3.45</v>
      </c>
      <c r="O169" s="33" t="n">
        <v>84.7</v>
      </c>
      <c r="P169" s="33" t="n">
        <v>48.93</v>
      </c>
      <c r="Q169" s="33" t="n">
        <v>61.1</v>
      </c>
      <c r="R169" s="33" t="n">
        <v>183.2</v>
      </c>
      <c r="S169" s="33">
        <f>IFERROR(AVERAGE(IFERROR(IF(P169="","",IF(P169&gt;=40,100,IF(P169&gt;=30,90,IF(P169&gt;=20,75,IF(P169&gt;=15,60,IF(P169&gt;=10,45,IF(P169&gt;=5,30,15))))))),""),IFERROR(IF(Q169="","",IF(Q169&gt;=40,100,IF(Q169&gt;=30,90,IF(Q169&gt;=20,75,IF(Q169&gt;=10,60,IF(Q169&gt;=5,45,IF(Q169&gt;=0,30,15))))))),""),IFERROR(IF(R169="","",IF(R169&gt;=40,100,IF(R169&gt;=30,90,IF(R169&gt;=20,75,IF(R169&gt;=10,60,IF(R169&gt;=0,45,IF(R169&gt;=-10,30,15))))))),"")),"")</f>
        <v/>
      </c>
      <c r="T169" s="33" t="n">
        <v>2</v>
      </c>
      <c r="U169" s="33" t="n">
        <v>2</v>
      </c>
      <c r="V169" s="33" t="n">
        <v>3</v>
      </c>
      <c r="W169" s="33" t="n">
        <v>3</v>
      </c>
      <c r="X169" s="33" t="n">
        <v>2</v>
      </c>
      <c r="Y169" s="33">
        <f>IFERROR((AVERAGE(T169,U169,V169,W169,X169)-1)*25,"")</f>
        <v/>
      </c>
      <c r="Z169" s="33" t="n">
        <v>5</v>
      </c>
      <c r="AA169" s="33" t="n">
        <v>3</v>
      </c>
      <c r="AB169" s="33" t="n">
        <v>3</v>
      </c>
      <c r="AC169" s="33" t="n">
        <v>56.7</v>
      </c>
      <c r="AD169" s="33">
        <f>IFERROR(AVERAGE(IFERROR(IF(Z169="","",Z169*20),""),IFERROR(IF(AA169="","",AA169*20),""),IFERROR(IF(AB169="","",AB169*20),""),IFERROR(IF(AC169="","",IF(AC169&gt;=85,100,IF(AC169&gt;=70,90,IF(AC169&gt;=55,75,IF(AC169&gt;=40,60,IF(AC169&gt;=25,40,20)))))),"")),"")</f>
        <v/>
      </c>
      <c r="AE169" s="33" t="n">
        <v>5</v>
      </c>
      <c r="AF169" s="33" t="n">
        <v>5</v>
      </c>
      <c r="AG169" s="33" t="n">
        <v>5</v>
      </c>
      <c r="AH169" s="33" t="n">
        <v>3</v>
      </c>
      <c r="AI169" s="33">
        <f>IFERROR((AVERAGE(AE169,AF169,AG169,AH169,AL169)-1)*25,"")</f>
        <v/>
      </c>
      <c r="AJ169" s="33">
        <f>IFERROR(J169*Weights!$B$4 + O169*Weights!$B$5 + S169*Weights!$B$6 + Y169*Weights!$B$7 + AD169*Weights!$B$8 + AI169*Weights!$B$9,"")</f>
        <v/>
      </c>
      <c r="AK169" s="33">
        <f>IF(AJ169="","",IF(AJ169&gt;=85,"✓✓✓",IF(AJ169&gt;=70,"✓✓",IF(AJ169&gt;=55,"✓",IF(AJ169&gt;=40,"?","✗")))))</f>
        <v/>
      </c>
      <c r="AL169" s="33" t="n">
        <v>2</v>
      </c>
    </row>
    <row r="170">
      <c r="A170" s="33" t="inlineStr">
        <is>
          <t>NTAP</t>
        </is>
      </c>
      <c r="B170" s="33" t="inlineStr">
        <is>
          <t>NetApp, Inc.</t>
        </is>
      </c>
      <c r="C170" s="33" t="inlineStr">
        <is>
          <t>08 Servers, Systems &amp; Liquid Cooling / Storage infrastructure</t>
        </is>
      </c>
      <c r="D170" s="33" t="inlineStr">
        <is>
          <t>2026-09-07</t>
        </is>
      </c>
      <c r="E170" s="33" t="n">
        <v>17.016926</v>
      </c>
      <c r="F170" s="33" t="n">
        <v>16.903</v>
      </c>
      <c r="G170" s="33" t="n">
        <v>5.13</v>
      </c>
      <c r="H170" s="33" t="n">
        <v>4.932134</v>
      </c>
      <c r="I170" s="33">
        <f>IF(OR(E170="",R170="",R170&lt;=0,E170&lt;0),"",E170/R170)</f>
        <v/>
      </c>
      <c r="J170" s="33" t="n">
        <v>69</v>
      </c>
      <c r="K170" s="33" t="n">
        <v>19.52</v>
      </c>
      <c r="L170" s="33" t="n">
        <v>70.63</v>
      </c>
      <c r="M170" s="33" t="n">
        <v>25.29</v>
      </c>
      <c r="N170" s="33" t="n">
        <v>-0.5</v>
      </c>
      <c r="O170" s="33" t="n">
        <v>85.90000000000001</v>
      </c>
      <c r="P170" s="33" t="n">
        <v>2.87</v>
      </c>
      <c r="Q170" s="33" t="n">
        <v>29.9</v>
      </c>
      <c r="R170" s="33" t="n">
        <v>60.9</v>
      </c>
      <c r="S170" s="33">
        <f>IFERROR(AVERAGE(IFERROR(IF(P170="","",IF(P170&gt;=40,100,IF(P170&gt;=30,90,IF(P170&gt;=20,75,IF(P170&gt;=15,60,IF(P170&gt;=10,45,IF(P170&gt;=5,30,15))))))),""),IFERROR(IF(Q170="","",IF(Q170&gt;=40,100,IF(Q170&gt;=30,90,IF(Q170&gt;=20,75,IF(Q170&gt;=10,60,IF(Q170&gt;=5,45,IF(Q170&gt;=0,30,15))))))),""),IFERROR(IF(R170="","",IF(R170&gt;=40,100,IF(R170&gt;=30,90,IF(R170&gt;=20,75,IF(R170&gt;=10,60,IF(R170&gt;=0,45,IF(R170&gt;=-10,30,15))))))),"")),"")</f>
        <v/>
      </c>
      <c r="T170" s="33" t="n">
        <v>2</v>
      </c>
      <c r="U170" s="33" t="n">
        <v>3</v>
      </c>
      <c r="V170" s="33" t="n">
        <v>3</v>
      </c>
      <c r="W170" s="33" t="n">
        <v>3</v>
      </c>
      <c r="X170" s="33" t="n">
        <v>2</v>
      </c>
      <c r="Y170" s="33">
        <f>IFERROR((AVERAGE(T170,U170,V170,W170,X170)-1)*25,"")</f>
        <v/>
      </c>
      <c r="Z170" s="33" t="n">
        <v>5</v>
      </c>
      <c r="AA170" s="33" t="n">
        <v>5</v>
      </c>
      <c r="AB170" s="33" t="n">
        <v>3</v>
      </c>
      <c r="AC170" s="33" t="n">
        <v>95</v>
      </c>
      <c r="AD170" s="33">
        <f>IFERROR(AVERAGE(IFERROR(IF(Z170="","",Z170*20),""),IFERROR(IF(AA170="","",AA170*20),""),IFERROR(IF(AB170="","",AB170*20),""),IFERROR(IF(AC170="","",IF(AC170&gt;=85,100,IF(AC170&gt;=70,90,IF(AC170&gt;=55,75,IF(AC170&gt;=40,60,IF(AC170&gt;=25,40,20)))))),"")),"")</f>
        <v/>
      </c>
      <c r="AE170" s="33" t="n">
        <v>4</v>
      </c>
      <c r="AF170" s="33" t="n">
        <v>5</v>
      </c>
      <c r="AG170" s="33" t="n">
        <v>5</v>
      </c>
      <c r="AH170" s="33" t="n">
        <v>4</v>
      </c>
      <c r="AI170" s="33">
        <f>IFERROR((AVERAGE(AE170,AF170,AG170,AH170,AL170)-1)*25,"")</f>
        <v/>
      </c>
      <c r="AJ170" s="33">
        <f>IFERROR(J170*Weights!$B$4 + O170*Weights!$B$5 + S170*Weights!$B$6 + Y170*Weights!$B$7 + AD170*Weights!$B$8 + AI170*Weights!$B$9,"")</f>
        <v/>
      </c>
      <c r="AK170" s="33">
        <f>IF(AJ170="","",IF(AJ170&gt;=85,"✓✓✓",IF(AJ170&gt;=70,"✓✓",IF(AJ170&gt;=55,"✓",IF(AJ170&gt;=40,"?","✗")))))</f>
        <v/>
      </c>
      <c r="AL170" s="33" t="n">
        <v>5</v>
      </c>
    </row>
    <row r="171">
      <c r="A171" s="33" t="inlineStr">
        <is>
          <t>5347.TWO</t>
        </is>
      </c>
      <c r="B171" s="33" t="inlineStr">
        <is>
          <t>Vanguard International Semiconductor Corporation</t>
        </is>
      </c>
      <c r="C171" s="33" t="inlineStr">
        <is>
          <t>05 Fabs &amp; Foundries</t>
        </is>
      </c>
      <c r="D171" s="33" t="inlineStr">
        <is>
          <t>2026-07-16</t>
        </is>
      </c>
      <c r="E171" s="33" t="n">
        <v>27.208607</v>
      </c>
      <c r="F171" s="33" t="n">
        <v>23.631</v>
      </c>
      <c r="G171" s="33" t="n">
        <v>-6.99</v>
      </c>
      <c r="H171" s="33" t="n">
        <v>6.455491</v>
      </c>
      <c r="I171" s="33">
        <f>IF(OR(E171="",R171="",R171&lt;=0,E171&lt;0),"",E171/R171)</f>
        <v/>
      </c>
      <c r="J171" s="33" t="n">
        <v>44.1</v>
      </c>
      <c r="L171" s="33" t="n">
        <v>27.92</v>
      </c>
      <c r="M171" s="33" t="n">
        <v>-45.15</v>
      </c>
      <c r="N171" s="33" t="n">
        <v>0</v>
      </c>
      <c r="O171" s="33" t="n">
        <v>62.5</v>
      </c>
      <c r="P171" s="33" t="n">
        <v>-2.04</v>
      </c>
      <c r="Q171" s="33" t="n">
        <v>4.9</v>
      </c>
      <c r="R171" s="33" t="n">
        <v>-7</v>
      </c>
      <c r="S171" s="33">
        <f>IFERROR(AVERAGE(IFERROR(IF(P171="","",IF(P171&gt;=40,100,IF(P171&gt;=30,90,IF(P171&gt;=20,75,IF(P171&gt;=15,60,IF(P171&gt;=10,45,IF(P171&gt;=5,30,15))))))),""),IFERROR(IF(Q171="","",IF(Q171&gt;=40,100,IF(Q171&gt;=30,90,IF(Q171&gt;=20,75,IF(Q171&gt;=10,60,IF(Q171&gt;=5,45,IF(Q171&gt;=0,30,15))))))),""),IFERROR(IF(R171="","",IF(R171&gt;=40,100,IF(R171&gt;=30,90,IF(R171&gt;=20,75,IF(R171&gt;=10,60,IF(R171&gt;=0,45,IF(R171&gt;=-10,30,15))))))),"")),"")</f>
        <v/>
      </c>
      <c r="Y171" s="33">
        <f>IFERROR((AVERAGE(T171,U171,V171,W171,X171)-1)*25,"")</f>
        <v/>
      </c>
      <c r="AC171" s="33" t="n">
        <v>60.8</v>
      </c>
      <c r="AD171" s="33">
        <f>IFERROR(AVERAGE(IFERROR(IF(Z171="","",Z171*20),""),IFERROR(IF(AA171="","",AA171*20),""),IFERROR(IF(AB171="","",AB171*20),""),IFERROR(IF(AC171="","",IF(AC171&gt;=85,100,IF(AC171&gt;=70,90,IF(AC171&gt;=55,75,IF(AC171&gt;=40,60,IF(AC171&gt;=25,40,20)))))),"")),"")</f>
        <v/>
      </c>
      <c r="AI171" s="33">
        <f>IFERROR((AVERAGE(AE171,AF171,AG171,AH171,AL171)-1)*25,"")</f>
        <v/>
      </c>
      <c r="AJ171" s="33">
        <f>IFERROR(J171*Weights!$B$4 + O171*Weights!$B$5 + S171*Weights!$B$6 + Y171*Weights!$B$7 + AD171*Weights!$B$8 + AI171*Weights!$B$9,"")</f>
        <v/>
      </c>
      <c r="AK171" s="33">
        <f>IF(AJ171="","",IF(AJ171&gt;=85,"✓✓✓",IF(AJ171&gt;=70,"✓✓",IF(AJ171&gt;=55,"✓",IF(AJ171&gt;=40,"?","✗")))))</f>
        <v/>
      </c>
    </row>
    <row r="172">
      <c r="A172" s="33" t="inlineStr">
        <is>
          <t>HHUSF</t>
        </is>
      </c>
      <c r="B172" s="33" t="inlineStr">
        <is>
          <t>Hua Hong Grace Semiconductor Limited</t>
        </is>
      </c>
      <c r="C172" s="33" t="inlineStr">
        <is>
          <t>05 Fabs &amp; Foundries</t>
        </is>
      </c>
      <c r="D172" s="33" t="inlineStr">
        <is>
          <t>2026-07-16</t>
        </is>
      </c>
      <c r="F172" s="33" t="n">
        <v>59.912</v>
      </c>
      <c r="G172" s="33" t="n">
        <v>-5.69</v>
      </c>
      <c r="H172" s="33" t="n">
        <v>13.264102</v>
      </c>
      <c r="I172" s="33">
        <f>IF(OR(E172="",R172="",R172&lt;=0,E172&lt;0),"",E172/R172)</f>
        <v/>
      </c>
      <c r="J172" s="33" t="n">
        <v>22.9</v>
      </c>
      <c r="L172" s="33" t="n">
        <v>12.65</v>
      </c>
      <c r="M172" s="33" t="n">
        <v>-75.44</v>
      </c>
      <c r="N172" s="33" t="n">
        <v>-0.53</v>
      </c>
      <c r="O172" s="33" t="n">
        <v>37.5</v>
      </c>
      <c r="P172" s="33" t="n">
        <v>-1</v>
      </c>
      <c r="Q172" s="33" t="n">
        <v>22.2</v>
      </c>
      <c r="R172" s="33" t="n">
        <v>458.1</v>
      </c>
      <c r="S172" s="33">
        <f>IFERROR(AVERAGE(IFERROR(IF(P172="","",IF(P172&gt;=40,100,IF(P172&gt;=30,90,IF(P172&gt;=20,75,IF(P172&gt;=15,60,IF(P172&gt;=10,45,IF(P172&gt;=5,30,15))))))),""),IFERROR(IF(Q172="","",IF(Q172&gt;=40,100,IF(Q172&gt;=30,90,IF(Q172&gt;=20,75,IF(Q172&gt;=10,60,IF(Q172&gt;=5,45,IF(Q172&gt;=0,30,15))))))),""),IFERROR(IF(R172="","",IF(R172&gt;=40,100,IF(R172&gt;=30,90,IF(R172&gt;=20,75,IF(R172&gt;=10,60,IF(R172&gt;=0,45,IF(R172&gt;=-10,30,15))))))),"")),"")</f>
        <v/>
      </c>
      <c r="Y172" s="33">
        <f>IFERROR((AVERAGE(T172,U172,V172,W172,X172)-1)*25,"")</f>
        <v/>
      </c>
      <c r="AC172" s="33" t="n">
        <v>66.7</v>
      </c>
      <c r="AD172" s="33">
        <f>IFERROR(AVERAGE(IFERROR(IF(Z172="","",Z172*20),""),IFERROR(IF(AA172="","",AA172*20),""),IFERROR(IF(AB172="","",AB172*20),""),IFERROR(IF(AC172="","",IF(AC172&gt;=85,100,IF(AC172&gt;=70,90,IF(AC172&gt;=55,75,IF(AC172&gt;=40,60,IF(AC172&gt;=25,40,20)))))),"")),"")</f>
        <v/>
      </c>
      <c r="AI172" s="33">
        <f>IFERROR((AVERAGE(AE172,AF172,AG172,AH172,AL172)-1)*25,"")</f>
        <v/>
      </c>
      <c r="AJ172" s="33">
        <f>IFERROR(J172*Weights!$B$4 + O172*Weights!$B$5 + S172*Weights!$B$6 + Y172*Weights!$B$7 + AD172*Weights!$B$8 + AI172*Weights!$B$9,"")</f>
        <v/>
      </c>
      <c r="AK172" s="33">
        <f>IF(AJ172="","",IF(AJ172&gt;=85,"✓✓✓",IF(AJ172&gt;=70,"✓✓",IF(AJ172&gt;=55,"✓",IF(AJ172&gt;=40,"?","✗")))))</f>
        <v/>
      </c>
    </row>
    <row r="173">
      <c r="A173" s="33" t="inlineStr">
        <is>
          <t>0981.HK</t>
        </is>
      </c>
      <c r="B173" s="33" t="inlineStr">
        <is>
          <t>Semiconductor Manufacturing International Corporation</t>
        </is>
      </c>
      <c r="C173" s="33" t="inlineStr">
        <is>
          <t>05 Fabs &amp; Foundries</t>
        </is>
      </c>
      <c r="D173" s="33" t="inlineStr">
        <is>
          <t>2026-07-16</t>
        </is>
      </c>
      <c r="E173" s="33" t="n">
        <v>49.996933</v>
      </c>
      <c r="F173" s="33" t="n">
        <v>17.55</v>
      </c>
      <c r="G173" s="33" t="n">
        <v>-6.03</v>
      </c>
      <c r="H173" s="33" t="n">
        <v>8.16</v>
      </c>
      <c r="I173" s="33">
        <f>IF(OR(E173="",R173="",R173&lt;=0,E173&lt;0),"",E173/R173)</f>
        <v/>
      </c>
      <c r="J173" s="33" t="n">
        <v>37.2</v>
      </c>
      <c r="L173" s="33" t="n">
        <v>20.39</v>
      </c>
      <c r="M173" s="33" t="n">
        <v>-49.16</v>
      </c>
      <c r="N173" s="33" t="n">
        <v>0.49</v>
      </c>
      <c r="O173" s="33" t="n">
        <v>42.5</v>
      </c>
      <c r="P173" s="33" t="n">
        <v>8.640000000000001</v>
      </c>
      <c r="Q173" s="33" t="n">
        <v>11.5</v>
      </c>
      <c r="R173" s="33" t="n">
        <v>5</v>
      </c>
      <c r="S173" s="33">
        <f>IFERROR(AVERAGE(IFERROR(IF(P173="","",IF(P173&gt;=40,100,IF(P173&gt;=30,90,IF(P173&gt;=20,75,IF(P173&gt;=15,60,IF(P173&gt;=10,45,IF(P173&gt;=5,30,15))))))),""),IFERROR(IF(Q173="","",IF(Q173&gt;=40,100,IF(Q173&gt;=30,90,IF(Q173&gt;=20,75,IF(Q173&gt;=10,60,IF(Q173&gt;=5,45,IF(Q173&gt;=0,30,15))))))),""),IFERROR(IF(R173="","",IF(R173&gt;=40,100,IF(R173&gt;=30,90,IF(R173&gt;=20,75,IF(R173&gt;=10,60,IF(R173&gt;=0,45,IF(R173&gt;=-10,30,15))))))),"")),"")</f>
        <v/>
      </c>
      <c r="Y173" s="33">
        <f>IFERROR((AVERAGE(T173,U173,V173,W173,X173)-1)*25,"")</f>
        <v/>
      </c>
      <c r="AC173" s="33" t="n">
        <v>45</v>
      </c>
      <c r="AD173" s="33">
        <f>IFERROR(AVERAGE(IFERROR(IF(Z173="","",Z173*20),""),IFERROR(IF(AA173="","",AA173*20),""),IFERROR(IF(AB173="","",AB173*20),""),IFERROR(IF(AC173="","",IF(AC173&gt;=85,100,IF(AC173&gt;=70,90,IF(AC173&gt;=55,75,IF(AC173&gt;=40,60,IF(AC173&gt;=25,40,20)))))),"")),"")</f>
        <v/>
      </c>
      <c r="AI173" s="33">
        <f>IFERROR((AVERAGE(AE173,AF173,AG173,AH173,AL173)-1)*25,"")</f>
        <v/>
      </c>
      <c r="AJ173" s="33">
        <f>IFERROR(J173*Weights!$B$4 + O173*Weights!$B$5 + S173*Weights!$B$6 + Y173*Weights!$B$7 + AD173*Weights!$B$8 + AI173*Weights!$B$9,"")</f>
        <v/>
      </c>
      <c r="AK173" s="33">
        <f>IF(AJ173="","",IF(AJ173&gt;=85,"✓✓✓",IF(AJ173&gt;=70,"✓✓",IF(AJ173&gt;=55,"✓",IF(AJ173&gt;=40,"?","✗")))))</f>
        <v/>
      </c>
    </row>
    <row r="174">
      <c r="A174" s="33" t="inlineStr">
        <is>
          <t>HOOD</t>
        </is>
      </c>
      <c r="B174" s="33" t="inlineStr">
        <is>
          <t>Robinhood Markets, Inc.</t>
        </is>
      </c>
      <c r="C174" s="33" t="inlineStr">
        <is>
          <t>10 Models, Software &amp; Applications / Consumer fintech (AI adopter)</t>
        </is>
      </c>
      <c r="D174" s="33" t="inlineStr">
        <is>
          <t>2026-07-16</t>
        </is>
      </c>
      <c r="E174" s="33" t="n">
        <v>34.475693</v>
      </c>
      <c r="F174" s="33" t="n">
        <v>30.3</v>
      </c>
      <c r="G174" s="33" t="n">
        <v>3.11</v>
      </c>
      <c r="H174" s="33" t="n">
        <v>20.696196</v>
      </c>
      <c r="I174" s="33">
        <f>IF(OR(E174="",R174="",R174&lt;=0,E174&lt;0),"",E174/R174)</f>
        <v/>
      </c>
      <c r="J174" s="33" t="n">
        <v>31.9</v>
      </c>
      <c r="K174" s="33" t="n">
        <v>16.33</v>
      </c>
      <c r="L174" s="33" t="n">
        <v>92.23999999999999</v>
      </c>
      <c r="M174" s="33" t="n">
        <v>64.45</v>
      </c>
      <c r="O174" s="33" t="n">
        <v>84.09999999999999</v>
      </c>
      <c r="P174" s="33" t="n">
        <v>48.79</v>
      </c>
      <c r="Q174" s="33" t="n">
        <v>15.1</v>
      </c>
      <c r="R174" s="33" t="n">
        <v>4.2</v>
      </c>
      <c r="S174" s="33">
        <f>IFERROR(AVERAGE(IFERROR(IF(P174="","",IF(P174&gt;=40,100,IF(P174&gt;=30,90,IF(P174&gt;=20,75,IF(P174&gt;=15,60,IF(P174&gt;=10,45,IF(P174&gt;=5,30,15))))))),""),IFERROR(IF(Q174="","",IF(Q174&gt;=40,100,IF(Q174&gt;=30,90,IF(Q174&gt;=20,75,IF(Q174&gt;=10,60,IF(Q174&gt;=5,45,IF(Q174&gt;=0,30,15))))))),""),IFERROR(IF(R174="","",IF(R174&gt;=40,100,IF(R174&gt;=30,90,IF(R174&gt;=20,75,IF(R174&gt;=10,60,IF(R174&gt;=0,45,IF(R174&gt;=-10,30,15))))))),"")),"")</f>
        <v/>
      </c>
      <c r="T174" s="33" t="n">
        <v>1</v>
      </c>
      <c r="U174" s="33" t="n">
        <v>2</v>
      </c>
      <c r="V174" s="33" t="n">
        <v>3</v>
      </c>
      <c r="W174" s="33" t="n">
        <v>4</v>
      </c>
      <c r="X174" s="33" t="n">
        <v>2</v>
      </c>
      <c r="Y174" s="33">
        <f>IFERROR((AVERAGE(T174,U174,V174,W174,X174)-1)*25,"")</f>
        <v/>
      </c>
      <c r="Z174" s="33" t="n">
        <v>4</v>
      </c>
      <c r="AA174" s="33" t="n">
        <v>5</v>
      </c>
      <c r="AB174" s="33" t="n">
        <v>3</v>
      </c>
      <c r="AC174" s="33" t="n">
        <v>67.5</v>
      </c>
      <c r="AD174" s="33">
        <f>IFERROR(AVERAGE(IFERROR(IF(Z174="","",Z174*20),""),IFERROR(IF(AA174="","",AA174*20),""),IFERROR(IF(AB174="","",AB174*20),""),IFERROR(IF(AC174="","",IF(AC174&gt;=85,100,IF(AC174&gt;=70,90,IF(AC174&gt;=55,75,IF(AC174&gt;=40,60,IF(AC174&gt;=25,40,20)))))),"")),"")</f>
        <v/>
      </c>
      <c r="AE174" s="33" t="n">
        <v>5</v>
      </c>
      <c r="AF174" s="33" t="n">
        <v>5</v>
      </c>
      <c r="AG174" s="33" t="n">
        <v>5</v>
      </c>
      <c r="AH174" s="33" t="n">
        <v>2</v>
      </c>
      <c r="AI174" s="33">
        <f>IFERROR((AVERAGE(AE174,AF174,AG174,AH174,AL174)-1)*25,"")</f>
        <v/>
      </c>
      <c r="AJ174" s="33">
        <f>IFERROR(J174*Weights!$B$4 + O174*Weights!$B$5 + S174*Weights!$B$6 + Y174*Weights!$B$7 + AD174*Weights!$B$8 + AI174*Weights!$B$9,"")</f>
        <v/>
      </c>
      <c r="AK174" s="33">
        <f>IF(AJ174="","",IF(AJ174&gt;=85,"✓✓✓",IF(AJ174&gt;=70,"✓✓",IF(AJ174&gt;=55,"✓",IF(AJ174&gt;=40,"?","✗")))))</f>
        <v/>
      </c>
      <c r="AL174" s="33" t="n">
        <v>4</v>
      </c>
    </row>
    <row r="175">
      <c r="A175" s="33" t="inlineStr">
        <is>
          <t>9880.HK</t>
        </is>
      </c>
      <c r="B175" s="33" t="inlineStr">
        <is>
          <t>Ubtech Robotics Corp Ltd</t>
        </is>
      </c>
      <c r="C175" s="33" t="inlineStr">
        <is>
          <t>11 Robotics &amp; Physical AI / Humanoid &amp; service robot makers</t>
        </is>
      </c>
      <c r="D175" s="33" t="inlineStr">
        <is>
          <t>2026-08-02</t>
        </is>
      </c>
      <c r="E175" s="33" t="n">
        <v>23.676382</v>
      </c>
      <c r="G175" s="33" t="n">
        <v>-2.4</v>
      </c>
      <c r="H175" s="33" t="n">
        <v>17.65</v>
      </c>
      <c r="I175" s="33">
        <f>IF(OR(E175="",R175="",R175&lt;=0,E175&lt;0),"",E175/R175)</f>
        <v/>
      </c>
      <c r="J175" s="33" t="n">
        <v>34</v>
      </c>
      <c r="L175" s="33" t="n">
        <v>36.31</v>
      </c>
      <c r="M175" s="33" t="n">
        <v>-42.29</v>
      </c>
      <c r="O175" s="33" t="n">
        <v>34.8</v>
      </c>
      <c r="P175" s="33" t="n">
        <v>25.67</v>
      </c>
      <c r="Q175" s="33" t="n">
        <v>68.59999999999999</v>
      </c>
      <c r="S175" s="33">
        <f>IFERROR(AVERAGE(IFERROR(IF(P175="","",IF(P175&gt;=40,100,IF(P175&gt;=30,90,IF(P175&gt;=20,75,IF(P175&gt;=15,60,IF(P175&gt;=10,45,IF(P175&gt;=5,30,15))))))),""),IFERROR(IF(Q175="","",IF(Q175&gt;=40,100,IF(Q175&gt;=30,90,IF(Q175&gt;=20,75,IF(Q175&gt;=10,60,IF(Q175&gt;=5,45,IF(Q175&gt;=0,30,15))))))),""),IFERROR(IF(R175="","",IF(R175&gt;=40,100,IF(R175&gt;=30,90,IF(R175&gt;=20,75,IF(R175&gt;=10,60,IF(R175&gt;=0,45,IF(R175&gt;=-10,30,15))))))),"")),"")</f>
        <v/>
      </c>
      <c r="T175" s="33" t="n">
        <v>5</v>
      </c>
      <c r="U175" s="33" t="n">
        <v>2</v>
      </c>
      <c r="V175" s="33" t="n">
        <v>2</v>
      </c>
      <c r="W175" s="33" t="n">
        <v>5</v>
      </c>
      <c r="X175" s="33" t="n">
        <v>5</v>
      </c>
      <c r="Y175" s="33">
        <f>IFERROR((AVERAGE(T175,U175,V175,W175,X175)-1)*25,"")</f>
        <v/>
      </c>
      <c r="Z175" s="33" t="n">
        <v>4</v>
      </c>
      <c r="AA175" s="33" t="n">
        <v>1</v>
      </c>
      <c r="AB175" s="33" t="n">
        <v>3</v>
      </c>
      <c r="AC175" s="33" t="n">
        <v>22.5</v>
      </c>
      <c r="AD175" s="33">
        <f>IFERROR(AVERAGE(IFERROR(IF(Z175="","",Z175*20),""),IFERROR(IF(AA175="","",AA175*20),""),IFERROR(IF(AB175="","",AB175*20),""),IFERROR(IF(AC175="","",IF(AC175&gt;=85,100,IF(AC175&gt;=70,90,IF(AC175&gt;=55,75,IF(AC175&gt;=40,60,IF(AC175&gt;=25,40,20)))))),"")),"")</f>
        <v/>
      </c>
      <c r="AE175" s="33" t="n">
        <v>3</v>
      </c>
      <c r="AF175" s="33" t="n">
        <v>2</v>
      </c>
      <c r="AG175" s="33" t="n">
        <v>3</v>
      </c>
      <c r="AH175" s="33" t="n">
        <v>2</v>
      </c>
      <c r="AI175" s="33">
        <f>IFERROR((AVERAGE(AE175,AF175,AG175,AH175,AL175)-1)*25,"")</f>
        <v/>
      </c>
      <c r="AJ175" s="33">
        <f>IFERROR(J175*Weights!$B$4 + O175*Weights!$B$5 + S175*Weights!$B$6 + Y175*Weights!$B$7 + AD175*Weights!$B$8 + AI175*Weights!$B$9,"")</f>
        <v/>
      </c>
      <c r="AK175" s="33">
        <f>IF(AJ175="","",IF(AJ175&gt;=85,"✓✓✓",IF(AJ175&gt;=70,"✓✓",IF(AJ175&gt;=55,"✓",IF(AJ175&gt;=40,"?","✗")))))</f>
        <v/>
      </c>
      <c r="AL175" s="33" t="n">
        <v>5</v>
      </c>
    </row>
    <row r="176">
      <c r="A176" s="33" t="inlineStr">
        <is>
          <t>SERV</t>
        </is>
      </c>
      <c r="B176" s="33" t="inlineStr">
        <is>
          <t>Serve Robotics Inc.</t>
        </is>
      </c>
      <c r="C176" s="33" t="inlineStr">
        <is>
          <t>11 Robotics &amp; Physical AI / Humanoid &amp; service robot makers</t>
        </is>
      </c>
      <c r="D176" s="33" t="inlineStr">
        <is>
          <t>2026-08-02</t>
        </is>
      </c>
      <c r="E176" s="33" t="n">
        <v>-2.6555557</v>
      </c>
      <c r="F176" s="33" t="n">
        <v>-1.387</v>
      </c>
      <c r="G176" s="33" t="n">
        <v>-36.35</v>
      </c>
      <c r="H176" s="33" t="n">
        <v>78.29285</v>
      </c>
      <c r="I176" s="33">
        <f>IF(OR(E176="",R176="",R176&lt;=0,E176&lt;0),"",E176/R176)</f>
        <v/>
      </c>
      <c r="J176" s="33" t="n">
        <v>19.8</v>
      </c>
      <c r="K176" s="33" t="n">
        <v>-42.42</v>
      </c>
      <c r="L176" s="33" t="n">
        <v>0</v>
      </c>
      <c r="M176" s="33" t="n">
        <v>-2846.29</v>
      </c>
      <c r="O176" s="33" t="n">
        <v>3.1</v>
      </c>
      <c r="P176" s="33" t="n">
        <v>190.78</v>
      </c>
      <c r="Q176" s="33" t="n">
        <v>578.2</v>
      </c>
      <c r="S176" s="33">
        <f>IFERROR(AVERAGE(IFERROR(IF(P176="","",IF(P176&gt;=40,100,IF(P176&gt;=30,90,IF(P176&gt;=20,75,IF(P176&gt;=15,60,IF(P176&gt;=10,45,IF(P176&gt;=5,30,15))))))),""),IFERROR(IF(Q176="","",IF(Q176&gt;=40,100,IF(Q176&gt;=30,90,IF(Q176&gt;=20,75,IF(Q176&gt;=10,60,IF(Q176&gt;=5,45,IF(Q176&gt;=0,30,15))))))),""),IFERROR(IF(R176="","",IF(R176&gt;=40,100,IF(R176&gt;=30,90,IF(R176&gt;=20,75,IF(R176&gt;=10,60,IF(R176&gt;=0,45,IF(R176&gt;=-10,30,15))))))),"")),"")</f>
        <v/>
      </c>
      <c r="T176" s="33" t="n">
        <v>5</v>
      </c>
      <c r="U176" s="33" t="n">
        <v>2</v>
      </c>
      <c r="V176" s="33" t="n">
        <v>2</v>
      </c>
      <c r="W176" s="33" t="n">
        <v>4</v>
      </c>
      <c r="X176" s="33" t="n">
        <v>4</v>
      </c>
      <c r="Y176" s="33">
        <f>IFERROR((AVERAGE(T176,U176,V176,W176,X176)-1)*25,"")</f>
        <v/>
      </c>
      <c r="Z176" s="33" t="n">
        <v>2</v>
      </c>
      <c r="AA176" s="33" t="n">
        <v>1</v>
      </c>
      <c r="AB176" s="33" t="n">
        <v>3</v>
      </c>
      <c r="AC176" s="33" t="n">
        <v>15</v>
      </c>
      <c r="AD176" s="33">
        <f>IFERROR(AVERAGE(IFERROR(IF(Z176="","",Z176*20),""),IFERROR(IF(AA176="","",AA176*20),""),IFERROR(IF(AB176="","",AB176*20),""),IFERROR(IF(AC176="","",IF(AC176&gt;=85,100,IF(AC176&gt;=70,90,IF(AC176&gt;=55,75,IF(AC176&gt;=40,60,IF(AC176&gt;=25,40,20)))))),"")),"")</f>
        <v/>
      </c>
      <c r="AE176" s="33" t="n">
        <v>4</v>
      </c>
      <c r="AF176" s="33" t="n">
        <v>5</v>
      </c>
      <c r="AG176" s="33" t="n">
        <v>3</v>
      </c>
      <c r="AH176" s="33" t="n">
        <v>3</v>
      </c>
      <c r="AI176" s="33">
        <f>IFERROR((AVERAGE(AE176,AF176,AG176,AH176,AL176)-1)*25,"")</f>
        <v/>
      </c>
      <c r="AJ176" s="33">
        <f>IFERROR(J176*Weights!$B$4 + O176*Weights!$B$5 + S176*Weights!$B$6 + Y176*Weights!$B$7 + AD176*Weights!$B$8 + AI176*Weights!$B$9,"")</f>
        <v/>
      </c>
      <c r="AK176" s="33">
        <f>IF(AJ176="","",IF(AJ176&gt;=85,"✓✓✓",IF(AJ176&gt;=70,"✓✓",IF(AJ176&gt;=55,"✓",IF(AJ176&gt;=40,"?","✗")))))</f>
        <v/>
      </c>
      <c r="AL176" s="33" t="n">
        <v>5</v>
      </c>
    </row>
    <row r="177">
      <c r="A177" s="33" t="inlineStr">
        <is>
          <t>TNC</t>
        </is>
      </c>
      <c r="B177" s="33" t="inlineStr">
        <is>
          <t>Tennant Company</t>
        </is>
      </c>
      <c r="C177" s="33" t="inlineStr">
        <is>
          <t>11 Robotics &amp; Physical AI / Humanoid &amp; service robot makers</t>
        </is>
      </c>
      <c r="D177" s="33" t="inlineStr">
        <is>
          <t>2026-08-02</t>
        </is>
      </c>
      <c r="E177" s="33" t="n">
        <v>13.109204</v>
      </c>
      <c r="F177" s="33" t="n">
        <v>14.725</v>
      </c>
      <c r="G177" s="33" t="n">
        <v>1.11</v>
      </c>
      <c r="H177" s="33" t="n">
        <v>1.181921</v>
      </c>
      <c r="I177" s="33">
        <f>IF(OR(E177="",R177="",R177&lt;=0,E177&lt;0),"",E177/R177)</f>
        <v/>
      </c>
      <c r="J177" s="33" t="n">
        <v>74.59999999999999</v>
      </c>
      <c r="K177" s="33" t="n">
        <v>2.98</v>
      </c>
      <c r="L177" s="33" t="n">
        <v>39.45</v>
      </c>
      <c r="M177" s="33" t="n">
        <v>1.31</v>
      </c>
      <c r="N177" s="33" t="n">
        <v>2.62</v>
      </c>
      <c r="O177" s="33" t="n">
        <v>59.4</v>
      </c>
      <c r="P177" s="33" t="n">
        <v>3.29</v>
      </c>
      <c r="Q177" s="33" t="n">
        <v>2.7</v>
      </c>
      <c r="R177" s="33" t="n">
        <v>-98.5</v>
      </c>
      <c r="S177" s="33">
        <f>IFERROR(AVERAGE(IFERROR(IF(P177="","",IF(P177&gt;=40,100,IF(P177&gt;=30,90,IF(P177&gt;=20,75,IF(P177&gt;=15,60,IF(P177&gt;=10,45,IF(P177&gt;=5,30,15))))))),""),IFERROR(IF(Q177="","",IF(Q177&gt;=40,100,IF(Q177&gt;=30,90,IF(Q177&gt;=20,75,IF(Q177&gt;=10,60,IF(Q177&gt;=5,45,IF(Q177&gt;=0,30,15))))))),""),IFERROR(IF(R177="","",IF(R177&gt;=40,100,IF(R177&gt;=30,90,IF(R177&gt;=20,75,IF(R177&gt;=10,60,IF(R177&gt;=0,45,IF(R177&gt;=-10,30,15))))))),"")),"")</f>
        <v/>
      </c>
      <c r="T177" s="33" t="n">
        <v>2</v>
      </c>
      <c r="U177" s="33" t="n">
        <v>3</v>
      </c>
      <c r="V177" s="33" t="n">
        <v>3</v>
      </c>
      <c r="W177" s="33" t="n">
        <v>3</v>
      </c>
      <c r="X177" s="33" t="n">
        <v>3</v>
      </c>
      <c r="Y177" s="33">
        <f>IFERROR((AVERAGE(T177,U177,V177,W177,X177)-1)*25,"")</f>
        <v/>
      </c>
      <c r="Z177" s="33" t="n">
        <v>3</v>
      </c>
      <c r="AA177" s="33" t="n">
        <v>2</v>
      </c>
      <c r="AB177" s="33" t="n">
        <v>5</v>
      </c>
      <c r="AC177" s="33" t="n">
        <v>63.3</v>
      </c>
      <c r="AD177" s="33">
        <f>IFERROR(AVERAGE(IFERROR(IF(Z177="","",Z177*20),""),IFERROR(IF(AA177="","",AA177*20),""),IFERROR(IF(AB177="","",AB177*20),""),IFERROR(IF(AC177="","",IF(AC177&gt;=85,100,IF(AC177&gt;=70,90,IF(AC177&gt;=55,75,IF(AC177&gt;=40,60,IF(AC177&gt;=25,40,20)))))),"")),"")</f>
        <v/>
      </c>
      <c r="AE177" s="33" t="n">
        <v>5</v>
      </c>
      <c r="AF177" s="33" t="n">
        <v>5</v>
      </c>
      <c r="AG177" s="33" t="n">
        <v>4</v>
      </c>
      <c r="AH177" s="33" t="n">
        <v>2</v>
      </c>
      <c r="AI177" s="33">
        <f>IFERROR((AVERAGE(AE177,AF177,AG177,AH177,AL177)-1)*25,"")</f>
        <v/>
      </c>
      <c r="AJ177" s="33">
        <f>IFERROR(J177*Weights!$B$4 + O177*Weights!$B$5 + S177*Weights!$B$6 + Y177*Weights!$B$7 + AD177*Weights!$B$8 + AI177*Weights!$B$9,"")</f>
        <v/>
      </c>
      <c r="AK177" s="33">
        <f>IF(AJ177="","",IF(AJ177&gt;=85,"✓✓✓",IF(AJ177&gt;=70,"✓✓",IF(AJ177&gt;=55,"✓",IF(AJ177&gt;=40,"?","✗")))))</f>
        <v/>
      </c>
      <c r="AL177" s="33" t="n">
        <v>5</v>
      </c>
    </row>
    <row r="178">
      <c r="A178" s="33" t="inlineStr">
        <is>
          <t>6954.T</t>
        </is>
      </c>
      <c r="B178" s="33" t="inlineStr">
        <is>
          <t>Fanuc Corporation</t>
        </is>
      </c>
      <c r="C178" s="33" t="inlineStr">
        <is>
          <t>11 Robotics &amp; Physical AI / Industrial automation &amp; robot arms</t>
        </is>
      </c>
      <c r="D178" s="33" t="inlineStr">
        <is>
          <t>2026-08-02</t>
        </is>
      </c>
      <c r="E178" s="33" t="n">
        <v>41.216568</v>
      </c>
      <c r="F178" s="33" t="n">
        <v>24.34</v>
      </c>
      <c r="H178" s="33" t="n">
        <v>7.460011</v>
      </c>
      <c r="I178" s="33">
        <f>IF(OR(E178="",R178="",R178&lt;=0,E178&lt;0),"",E178/R178)</f>
        <v/>
      </c>
      <c r="J178" s="33" t="n">
        <v>40.4</v>
      </c>
      <c r="L178" s="33" t="n">
        <v>38.43</v>
      </c>
      <c r="N178" s="33" t="n">
        <v>-3.14</v>
      </c>
      <c r="O178" s="33" t="n">
        <v>77.59999999999999</v>
      </c>
      <c r="P178" s="33" t="n">
        <v>0.23</v>
      </c>
      <c r="Q178" s="33" t="n">
        <v>17.7</v>
      </c>
      <c r="R178" s="33" t="n">
        <v>34.7</v>
      </c>
      <c r="S178" s="33">
        <f>IFERROR(AVERAGE(IFERROR(IF(P178="","",IF(P178&gt;=40,100,IF(P178&gt;=30,90,IF(P178&gt;=20,75,IF(P178&gt;=15,60,IF(P178&gt;=10,45,IF(P178&gt;=5,30,15))))))),""),IFERROR(IF(Q178="","",IF(Q178&gt;=40,100,IF(Q178&gt;=30,90,IF(Q178&gt;=20,75,IF(Q178&gt;=10,60,IF(Q178&gt;=5,45,IF(Q178&gt;=0,30,15))))))),""),IFERROR(IF(R178="","",IF(R178&gt;=40,100,IF(R178&gt;=30,90,IF(R178&gt;=20,75,IF(R178&gt;=10,60,IF(R178&gt;=0,45,IF(R178&gt;=-10,30,15))))))),"")),"")</f>
        <v/>
      </c>
      <c r="T178" s="33" t="n">
        <v>4</v>
      </c>
      <c r="U178" s="33" t="n">
        <v>4</v>
      </c>
      <c r="V178" s="33" t="n">
        <v>4</v>
      </c>
      <c r="W178" s="33" t="n">
        <v>3</v>
      </c>
      <c r="X178" s="33" t="n">
        <v>4</v>
      </c>
      <c r="Y178" s="33">
        <f>IFERROR((AVERAGE(T178,U178,V178,W178,X178)-1)*25,"")</f>
        <v/>
      </c>
      <c r="Z178" s="33" t="n">
        <v>5</v>
      </c>
      <c r="AA178" s="33" t="n">
        <v>5</v>
      </c>
      <c r="AB178" s="33" t="n">
        <v>3</v>
      </c>
      <c r="AC178" s="33" t="n">
        <v>42.5</v>
      </c>
      <c r="AD178" s="33">
        <f>IFERROR(AVERAGE(IFERROR(IF(Z178="","",Z178*20),""),IFERROR(IF(AA178="","",AA178*20),""),IFERROR(IF(AB178="","",AB178*20),""),IFERROR(IF(AC178="","",IF(AC178&gt;=85,100,IF(AC178&gt;=70,90,IF(AC178&gt;=55,75,IF(AC178&gt;=40,60,IF(AC178&gt;=25,40,20)))))),"")),"")</f>
        <v/>
      </c>
      <c r="AE178" s="33" t="n">
        <v>5</v>
      </c>
      <c r="AF178" s="33" t="n">
        <v>3</v>
      </c>
      <c r="AG178" s="33" t="n">
        <v>5</v>
      </c>
      <c r="AH178" s="33" t="n">
        <v>4</v>
      </c>
      <c r="AI178" s="33">
        <f>IFERROR((AVERAGE(AE178,AF178,AG178,AH178,AL178)-1)*25,"")</f>
        <v/>
      </c>
      <c r="AJ178" s="33">
        <f>IFERROR(J178*Weights!$B$4 + O178*Weights!$B$5 + S178*Weights!$B$6 + Y178*Weights!$B$7 + AD178*Weights!$B$8 + AI178*Weights!$B$9,"")</f>
        <v/>
      </c>
      <c r="AK178" s="33">
        <f>IF(AJ178="","",IF(AJ178&gt;=85,"✓✓✓",IF(AJ178&gt;=70,"✓✓",IF(AJ178&gt;=55,"✓",IF(AJ178&gt;=40,"?","✗")))))</f>
        <v/>
      </c>
      <c r="AL178" s="33" t="n">
        <v>5</v>
      </c>
    </row>
    <row r="179">
      <c r="A179" s="33" t="inlineStr">
        <is>
          <t>6506.T</t>
        </is>
      </c>
      <c r="B179" s="33" t="inlineStr">
        <is>
          <t>YASKAWA Electric Corporation</t>
        </is>
      </c>
      <c r="C179" s="33" t="inlineStr">
        <is>
          <t>11 Robotics &amp; Physical AI / Industrial automation &amp; robot arms</t>
        </is>
      </c>
      <c r="D179" s="33" t="inlineStr">
        <is>
          <t>2026-08-02</t>
        </is>
      </c>
      <c r="E179" s="33" t="n">
        <v>23.75421</v>
      </c>
      <c r="F179" s="33" t="n">
        <v>19.808</v>
      </c>
      <c r="G179" s="33" t="n">
        <v>0.1</v>
      </c>
      <c r="H179" s="33" t="n">
        <v>2.2726016</v>
      </c>
      <c r="I179" s="33">
        <f>IF(OR(E179="",R179="",R179&lt;=0,E179&lt;0),"",E179/R179)</f>
        <v/>
      </c>
      <c r="J179" s="33" t="n">
        <v>59.8</v>
      </c>
      <c r="L179" s="33" t="n">
        <v>35.01</v>
      </c>
      <c r="M179" s="33" t="n">
        <v>0.23</v>
      </c>
      <c r="N179" s="33" t="n">
        <v>0.9399999999999999</v>
      </c>
      <c r="O179" s="33" t="n">
        <v>57.7</v>
      </c>
      <c r="P179" s="33" t="n">
        <v>-0.84</v>
      </c>
      <c r="Q179" s="33" t="n">
        <v>10.6</v>
      </c>
      <c r="R179" s="33" t="n">
        <v>-21.7</v>
      </c>
      <c r="S179" s="33">
        <f>IFERROR(AVERAGE(IFERROR(IF(P179="","",IF(P179&gt;=40,100,IF(P179&gt;=30,90,IF(P179&gt;=20,75,IF(P179&gt;=15,60,IF(P179&gt;=10,45,IF(P179&gt;=5,30,15))))))),""),IFERROR(IF(Q179="","",IF(Q179&gt;=40,100,IF(Q179&gt;=30,90,IF(Q179&gt;=20,75,IF(Q179&gt;=10,60,IF(Q179&gt;=5,45,IF(Q179&gt;=0,30,15))))))),""),IFERROR(IF(R179="","",IF(R179&gt;=40,100,IF(R179&gt;=30,90,IF(R179&gt;=20,75,IF(R179&gt;=10,60,IF(R179&gt;=0,45,IF(R179&gt;=-10,30,15))))))),"")),"")</f>
        <v/>
      </c>
      <c r="T179" s="33" t="n">
        <v>4</v>
      </c>
      <c r="U179" s="33" t="n">
        <v>4</v>
      </c>
      <c r="V179" s="33" t="n">
        <v>3</v>
      </c>
      <c r="W179" s="33" t="n">
        <v>3</v>
      </c>
      <c r="X179" s="33" t="n">
        <v>4</v>
      </c>
      <c r="Y179" s="33">
        <f>IFERROR((AVERAGE(T179,U179,V179,W179,X179)-1)*25,"")</f>
        <v/>
      </c>
      <c r="Z179" s="33" t="n">
        <v>3</v>
      </c>
      <c r="AA179" s="33" t="n">
        <v>2</v>
      </c>
      <c r="AB179" s="33" t="n">
        <v>3</v>
      </c>
      <c r="AC179" s="33" t="n">
        <v>50.8</v>
      </c>
      <c r="AD179" s="33">
        <f>IFERROR(AVERAGE(IFERROR(IF(Z179="","",Z179*20),""),IFERROR(IF(AA179="","",AA179*20),""),IFERROR(IF(AB179="","",AB179*20),""),IFERROR(IF(AC179="","",IF(AC179&gt;=85,100,IF(AC179&gt;=70,90,IF(AC179&gt;=55,75,IF(AC179&gt;=40,60,IF(AC179&gt;=25,40,20)))))),"")),"")</f>
        <v/>
      </c>
      <c r="AE179" s="33" t="n">
        <v>5</v>
      </c>
      <c r="AF179" s="33" t="n">
        <v>3</v>
      </c>
      <c r="AG179" s="33" t="n">
        <v>4</v>
      </c>
      <c r="AH179" s="33" t="n">
        <v>4</v>
      </c>
      <c r="AI179" s="33">
        <f>IFERROR((AVERAGE(AE179,AF179,AG179,AH179,AL179)-1)*25,"")</f>
        <v/>
      </c>
      <c r="AJ179" s="33">
        <f>IFERROR(J179*Weights!$B$4 + O179*Weights!$B$5 + S179*Weights!$B$6 + Y179*Weights!$B$7 + AD179*Weights!$B$8 + AI179*Weights!$B$9,"")</f>
        <v/>
      </c>
      <c r="AK179" s="33">
        <f>IF(AJ179="","",IF(AJ179&gt;=85,"✓✓✓",IF(AJ179&gt;=70,"✓✓",IF(AJ179&gt;=55,"✓",IF(AJ179&gt;=40,"?","✗")))))</f>
        <v/>
      </c>
      <c r="AL179" s="33" t="n">
        <v>5</v>
      </c>
    </row>
    <row r="180">
      <c r="A180" s="33" t="inlineStr">
        <is>
          <t>SYM</t>
        </is>
      </c>
      <c r="B180" s="33" t="inlineStr">
        <is>
          <t>Symbotic Inc.</t>
        </is>
      </c>
      <c r="C180" s="33" t="inlineStr">
        <is>
          <t>11 Robotics &amp; Physical AI / Warehouse &amp; logistics automation</t>
        </is>
      </c>
      <c r="D180" s="33" t="inlineStr">
        <is>
          <t>2026-08-02</t>
        </is>
      </c>
      <c r="E180" s="33" t="n">
        <v>59.67563</v>
      </c>
      <c r="F180" s="33" t="n">
        <v>169.44</v>
      </c>
      <c r="G180" s="33" t="n">
        <v>2.88</v>
      </c>
      <c r="H180" s="33" t="n">
        <v>10.324192</v>
      </c>
      <c r="I180" s="33">
        <f>IF(OR(E180="",R180="",R180&lt;=0,E180&lt;0),"",E180/R180)</f>
        <v/>
      </c>
      <c r="J180" s="33" t="n">
        <v>46.9</v>
      </c>
      <c r="K180" s="33" t="n">
        <v>2.39</v>
      </c>
      <c r="L180" s="33" t="n">
        <v>20.41</v>
      </c>
      <c r="M180" s="33" t="n">
        <v>29.74</v>
      </c>
      <c r="N180" s="33" t="n">
        <v>-87.51000000000001</v>
      </c>
      <c r="O180" s="33" t="n">
        <v>67.59999999999999</v>
      </c>
      <c r="P180" s="33" t="n">
        <v>55.87</v>
      </c>
      <c r="Q180" s="33" t="n">
        <v>23.1</v>
      </c>
      <c r="S180" s="33">
        <f>IFERROR(AVERAGE(IFERROR(IF(P180="","",IF(P180&gt;=40,100,IF(P180&gt;=30,90,IF(P180&gt;=20,75,IF(P180&gt;=15,60,IF(P180&gt;=10,45,IF(P180&gt;=5,30,15))))))),""),IFERROR(IF(Q180="","",IF(Q180&gt;=40,100,IF(Q180&gt;=30,90,IF(Q180&gt;=20,75,IF(Q180&gt;=10,60,IF(Q180&gt;=5,45,IF(Q180&gt;=0,30,15))))))),""),IFERROR(IF(R180="","",IF(R180&gt;=40,100,IF(R180&gt;=30,90,IF(R180&gt;=20,75,IF(R180&gt;=10,60,IF(R180&gt;=0,45,IF(R180&gt;=-10,30,15))))))),"")),"")</f>
        <v/>
      </c>
      <c r="T180" s="33" t="n">
        <v>5</v>
      </c>
      <c r="U180" s="33" t="n">
        <v>3</v>
      </c>
      <c r="V180" s="33" t="n">
        <v>3</v>
      </c>
      <c r="W180" s="33" t="n">
        <v>4</v>
      </c>
      <c r="X180" s="33" t="n">
        <v>3</v>
      </c>
      <c r="Y180" s="33">
        <f>IFERROR((AVERAGE(T180,U180,V180,W180,X180)-1)*25,"")</f>
        <v/>
      </c>
      <c r="Z180" s="33" t="n">
        <v>3</v>
      </c>
      <c r="AA180" s="33" t="n">
        <v>1</v>
      </c>
      <c r="AB180" s="33" t="n">
        <v>3</v>
      </c>
      <c r="AC180" s="33" t="n">
        <v>28.3</v>
      </c>
      <c r="AD180" s="33">
        <f>IFERROR(AVERAGE(IFERROR(IF(Z180="","",Z180*20),""),IFERROR(IF(AA180="","",AA180*20),""),IFERROR(IF(AB180="","",AB180*20),""),IFERROR(IF(AC180="","",IF(AC180&gt;=85,100,IF(AC180&gt;=70,90,IF(AC180&gt;=55,75,IF(AC180&gt;=40,60,IF(AC180&gt;=25,40,20)))))),"")),"")</f>
        <v/>
      </c>
      <c r="AE180" s="33" t="n">
        <v>1</v>
      </c>
      <c r="AF180" s="33" t="n">
        <v>5</v>
      </c>
      <c r="AG180" s="33" t="n">
        <v>5</v>
      </c>
      <c r="AH180" s="33" t="n">
        <v>2</v>
      </c>
      <c r="AI180" s="33">
        <f>IFERROR((AVERAGE(AE180,AF180,AG180,AH180,AL180)-1)*25,"")</f>
        <v/>
      </c>
      <c r="AJ180" s="33">
        <f>IFERROR(J180*Weights!$B$4 + O180*Weights!$B$5 + S180*Weights!$B$6 + Y180*Weights!$B$7 + AD180*Weights!$B$8 + AI180*Weights!$B$9,"")</f>
        <v/>
      </c>
      <c r="AK180" s="33">
        <f>IF(AJ180="","",IF(AJ180&gt;=85,"✓✓✓",IF(AJ180&gt;=70,"✓✓",IF(AJ180&gt;=55,"✓",IF(AJ180&gt;=40,"?","✗")))))</f>
        <v/>
      </c>
      <c r="AL180" s="33" t="n">
        <v>5</v>
      </c>
    </row>
    <row r="181">
      <c r="A181" s="33" t="inlineStr">
        <is>
          <t>AUTO.OL</t>
        </is>
      </c>
      <c r="B181" s="33" t="inlineStr">
        <is>
          <t>AutoStore Holdings Ltd.</t>
        </is>
      </c>
      <c r="C181" s="33" t="inlineStr">
        <is>
          <t>11 Robotics &amp; Physical AI / Warehouse &amp; logistics automation</t>
        </is>
      </c>
      <c r="D181" s="33" t="inlineStr">
        <is>
          <t>2026-08-02</t>
        </is>
      </c>
      <c r="E181" s="33" t="n">
        <v>21.715109</v>
      </c>
      <c r="F181" s="33" t="n">
        <v>21.21</v>
      </c>
      <c r="G181" s="33" t="n">
        <v>0.66</v>
      </c>
      <c r="H181" s="33" t="n">
        <v>6.87</v>
      </c>
      <c r="I181" s="33">
        <f>IF(OR(E181="",R181="",R181&lt;=0,E181&lt;0),"",E181/R181)</f>
        <v/>
      </c>
      <c r="J181" s="33" t="n">
        <v>42.8</v>
      </c>
      <c r="L181" s="33" t="n">
        <v>72.27</v>
      </c>
      <c r="M181" s="33" t="n">
        <v>4.56</v>
      </c>
      <c r="N181" s="33" t="n">
        <v>0.79</v>
      </c>
      <c r="O181" s="33" t="n">
        <v>79.7</v>
      </c>
      <c r="P181" s="33" t="n">
        <v>-2.57</v>
      </c>
      <c r="Q181" s="33" t="n">
        <v>93</v>
      </c>
      <c r="S181" s="33">
        <f>IFERROR(AVERAGE(IFERROR(IF(P181="","",IF(P181&gt;=40,100,IF(P181&gt;=30,90,IF(P181&gt;=20,75,IF(P181&gt;=15,60,IF(P181&gt;=10,45,IF(P181&gt;=5,30,15))))))),""),IFERROR(IF(Q181="","",IF(Q181&gt;=40,100,IF(Q181&gt;=30,90,IF(Q181&gt;=20,75,IF(Q181&gt;=10,60,IF(Q181&gt;=5,45,IF(Q181&gt;=0,30,15))))))),""),IFERROR(IF(R181="","",IF(R181&gt;=40,100,IF(R181&gt;=30,90,IF(R181&gt;=20,75,IF(R181&gt;=10,60,IF(R181&gt;=0,45,IF(R181&gt;=-10,30,15))))))),"")),"")</f>
        <v/>
      </c>
      <c r="T181" s="33" t="n">
        <v>5</v>
      </c>
      <c r="U181" s="33" t="n">
        <v>4</v>
      </c>
      <c r="V181" s="33" t="n">
        <v>4</v>
      </c>
      <c r="W181" s="33" t="n">
        <v>3</v>
      </c>
      <c r="X181" s="33" t="n">
        <v>3</v>
      </c>
      <c r="Y181" s="33">
        <f>IFERROR((AVERAGE(T181,U181,V181,W181,X181)-1)*25,"")</f>
        <v/>
      </c>
      <c r="Z181" s="33" t="n">
        <v>3</v>
      </c>
      <c r="AA181" s="33" t="n">
        <v>2</v>
      </c>
      <c r="AB181" s="33" t="n">
        <v>3</v>
      </c>
      <c r="AC181" s="33" t="n">
        <v>64.2</v>
      </c>
      <c r="AD181" s="33">
        <f>IFERROR(AVERAGE(IFERROR(IF(Z181="","",Z181*20),""),IFERROR(IF(AA181="","",AA181*20),""),IFERROR(IF(AB181="","",AB181*20),""),IFERROR(IF(AC181="","",IF(AC181&gt;=85,100,IF(AC181&gt;=70,90,IF(AC181&gt;=55,75,IF(AC181&gt;=40,60,IF(AC181&gt;=25,40,20)))))),"")),"")</f>
        <v/>
      </c>
      <c r="AE181" s="33" t="n">
        <v>4</v>
      </c>
      <c r="AF181" s="33" t="n">
        <v>4</v>
      </c>
      <c r="AG181" s="33" t="n">
        <v>4</v>
      </c>
      <c r="AH181" s="33" t="n">
        <v>4</v>
      </c>
      <c r="AI181" s="33">
        <f>IFERROR((AVERAGE(AE181,AF181,AG181,AH181,AL181)-1)*25,"")</f>
        <v/>
      </c>
      <c r="AJ181" s="33">
        <f>IFERROR(J181*Weights!$B$4 + O181*Weights!$B$5 + S181*Weights!$B$6 + Y181*Weights!$B$7 + AD181*Weights!$B$8 + AI181*Weights!$B$9,"")</f>
        <v/>
      </c>
      <c r="AK181" s="33">
        <f>IF(AJ181="","",IF(AJ181&gt;=85,"✓✓✓",IF(AJ181&gt;=70,"✓✓",IF(AJ181&gt;=55,"✓",IF(AJ181&gt;=40,"?","✗")))))</f>
        <v/>
      </c>
      <c r="AL181" s="33" t="n">
        <v>5</v>
      </c>
    </row>
    <row r="182">
      <c r="A182" s="33" t="inlineStr">
        <is>
          <t>6383.T</t>
        </is>
      </c>
      <c r="B182" s="33" t="inlineStr">
        <is>
          <t>Daifuku Co., Ltd.</t>
        </is>
      </c>
      <c r="C182" s="33" t="inlineStr">
        <is>
          <t>11 Robotics &amp; Physical AI / Warehouse &amp; logistics automation</t>
        </is>
      </c>
      <c r="D182" s="33" t="inlineStr">
        <is>
          <t>2026-08-02</t>
        </is>
      </c>
      <c r="E182" s="33" t="n">
        <v>41.658546</v>
      </c>
      <c r="F182" s="33" t="n">
        <v>17.51</v>
      </c>
      <c r="H182" s="33" t="n">
        <v>3.2680929</v>
      </c>
      <c r="I182" s="33">
        <f>IF(OR(E182="",R182="",R182&lt;=0,E182&lt;0),"",E182/R182)</f>
        <v/>
      </c>
      <c r="J182" s="33" t="n">
        <v>41.3</v>
      </c>
      <c r="L182" s="33" t="n">
        <v>24.93</v>
      </c>
      <c r="N182" s="33" t="n">
        <v>-1.66</v>
      </c>
      <c r="O182" s="33" t="n">
        <v>57.1</v>
      </c>
      <c r="P182" s="33" t="n">
        <v>8.85</v>
      </c>
      <c r="Q182" s="33" t="n">
        <v>7.8</v>
      </c>
      <c r="R182" s="33" t="n">
        <v>15.6</v>
      </c>
      <c r="S182" s="33">
        <f>IFERROR(AVERAGE(IFERROR(IF(P182="","",IF(P182&gt;=40,100,IF(P182&gt;=30,90,IF(P182&gt;=20,75,IF(P182&gt;=15,60,IF(P182&gt;=10,45,IF(P182&gt;=5,30,15))))))),""),IFERROR(IF(Q182="","",IF(Q182&gt;=40,100,IF(Q182&gt;=30,90,IF(Q182&gt;=20,75,IF(Q182&gt;=10,60,IF(Q182&gt;=5,45,IF(Q182&gt;=0,30,15))))))),""),IFERROR(IF(R182="","",IF(R182&gt;=40,100,IF(R182&gt;=30,90,IF(R182&gt;=20,75,IF(R182&gt;=10,60,IF(R182&gt;=0,45,IF(R182&gt;=-10,30,15))))))),"")),"")</f>
        <v/>
      </c>
      <c r="T182" s="33" t="n">
        <v>5</v>
      </c>
      <c r="U182" s="33" t="n">
        <v>4</v>
      </c>
      <c r="V182" s="33" t="n">
        <v>4</v>
      </c>
      <c r="W182" s="33" t="n">
        <v>5</v>
      </c>
      <c r="X182" s="33" t="n">
        <v>5</v>
      </c>
      <c r="Y182" s="33">
        <f>IFERROR((AVERAGE(T182,U182,V182,W182,X182)-1)*25,"")</f>
        <v/>
      </c>
      <c r="Z182" s="33" t="n">
        <v>4</v>
      </c>
      <c r="AA182" s="33" t="n">
        <v>1</v>
      </c>
      <c r="AB182" s="33" t="n">
        <v>3</v>
      </c>
      <c r="AC182" s="33" t="n">
        <v>49.2</v>
      </c>
      <c r="AD182" s="33">
        <f>IFERROR(AVERAGE(IFERROR(IF(Z182="","",Z182*20),""),IFERROR(IF(AA182="","",AA182*20),""),IFERROR(IF(AB182="","",AB182*20),""),IFERROR(IF(AC182="","",IF(AC182&gt;=85,100,IF(AC182&gt;=70,90,IF(AC182&gt;=55,75,IF(AC182&gt;=40,60,IF(AC182&gt;=25,40,20)))))),"")),"")</f>
        <v/>
      </c>
      <c r="AE182" s="33" t="n">
        <v>4</v>
      </c>
      <c r="AF182" s="33" t="n">
        <v>3</v>
      </c>
      <c r="AG182" s="33" t="n">
        <v>5</v>
      </c>
      <c r="AH182" s="33" t="n">
        <v>4</v>
      </c>
      <c r="AI182" s="33">
        <f>IFERROR((AVERAGE(AE182,AF182,AG182,AH182,AL182)-1)*25,"")</f>
        <v/>
      </c>
      <c r="AJ182" s="33">
        <f>IFERROR(J182*Weights!$B$4 + O182*Weights!$B$5 + S182*Weights!$B$6 + Y182*Weights!$B$7 + AD182*Weights!$B$8 + AI182*Weights!$B$9,"")</f>
        <v/>
      </c>
      <c r="AK182" s="33">
        <f>IF(AJ182="","",IF(AJ182&gt;=85,"✓✓✓",IF(AJ182&gt;=70,"✓✓",IF(AJ182&gt;=55,"✓",IF(AJ182&gt;=40,"?","✗")))))</f>
        <v/>
      </c>
      <c r="AL182" s="33" t="n">
        <v>5</v>
      </c>
    </row>
    <row r="183">
      <c r="A183" s="33" t="inlineStr">
        <is>
          <t>KGX.DE</t>
        </is>
      </c>
      <c r="B183" s="33" t="inlineStr">
        <is>
          <t>KION GROUP AG</t>
        </is>
      </c>
      <c r="C183" s="33" t="inlineStr">
        <is>
          <t>11 Robotics &amp; Physical AI / Warehouse &amp; logistics automation</t>
        </is>
      </c>
      <c r="D183" s="33" t="inlineStr">
        <is>
          <t>2026-08-02</t>
        </is>
      </c>
      <c r="E183" s="33" t="n">
        <v>8.445327000000001</v>
      </c>
      <c r="F183" s="33" t="n">
        <v>7.219</v>
      </c>
      <c r="G183" s="33" t="n">
        <v>21.15</v>
      </c>
      <c r="H183" s="33" t="n">
        <v>0.44434178</v>
      </c>
      <c r="I183" s="33">
        <f>IF(OR(E183="",R183="",R183&lt;=0,E183&lt;0),"",E183/R183)</f>
        <v/>
      </c>
      <c r="J183" s="33" t="n">
        <v>91.09999999999999</v>
      </c>
      <c r="L183" s="33" t="n">
        <v>26.32</v>
      </c>
      <c r="M183" s="33" t="n">
        <v>9.4</v>
      </c>
      <c r="N183" s="33" t="n">
        <v>4.25</v>
      </c>
      <c r="O183" s="33" t="n">
        <v>43.2</v>
      </c>
      <c r="P183" s="33" t="n">
        <v>0.48</v>
      </c>
      <c r="Q183" s="33" t="n">
        <v>7.7</v>
      </c>
      <c r="R183" s="33" t="n">
        <v>18.7</v>
      </c>
      <c r="S183" s="33">
        <f>IFERROR(AVERAGE(IFERROR(IF(P183="","",IF(P183&gt;=40,100,IF(P183&gt;=30,90,IF(P183&gt;=20,75,IF(P183&gt;=15,60,IF(P183&gt;=10,45,IF(P183&gt;=5,30,15))))))),""),IFERROR(IF(Q183="","",IF(Q183&gt;=40,100,IF(Q183&gt;=30,90,IF(Q183&gt;=20,75,IF(Q183&gt;=10,60,IF(Q183&gt;=5,45,IF(Q183&gt;=0,30,15))))))),""),IFERROR(IF(R183="","",IF(R183&gt;=40,100,IF(R183&gt;=30,90,IF(R183&gt;=20,75,IF(R183&gt;=10,60,IF(R183&gt;=0,45,IF(R183&gt;=-10,30,15))))))),"")),"")</f>
        <v/>
      </c>
      <c r="T183" s="33" t="n">
        <v>4</v>
      </c>
      <c r="U183" s="33" t="n">
        <v>3</v>
      </c>
      <c r="V183" s="33" t="n">
        <v>3</v>
      </c>
      <c r="W183" s="33" t="n">
        <v>2</v>
      </c>
      <c r="X183" s="33" t="n">
        <v>3</v>
      </c>
      <c r="Y183" s="33">
        <f>IFERROR((AVERAGE(T183,U183,V183,W183,X183)-1)*25,"")</f>
        <v/>
      </c>
      <c r="Z183" s="33" t="n">
        <v>2</v>
      </c>
      <c r="AA183" s="33" t="n">
        <v>1</v>
      </c>
      <c r="AB183" s="33" t="n">
        <v>3</v>
      </c>
      <c r="AC183" s="33" t="n">
        <v>26.7</v>
      </c>
      <c r="AD183" s="33">
        <f>IFERROR(AVERAGE(IFERROR(IF(Z183="","",Z183*20),""),IFERROR(IF(AA183="","",AA183*20),""),IFERROR(IF(AB183="","",AB183*20),""),IFERROR(IF(AC183="","",IF(AC183&gt;=85,100,IF(AC183&gt;=70,90,IF(AC183&gt;=55,75,IF(AC183&gt;=40,60,IF(AC183&gt;=25,40,20)))))),"")),"")</f>
        <v/>
      </c>
      <c r="AE183" s="33" t="n">
        <v>5</v>
      </c>
      <c r="AF183" s="33" t="n">
        <v>4</v>
      </c>
      <c r="AG183" s="33" t="n">
        <v>4</v>
      </c>
      <c r="AH183" s="33" t="n">
        <v>4</v>
      </c>
      <c r="AI183" s="33">
        <f>IFERROR((AVERAGE(AE183,AF183,AG183,AH183,AL183)-1)*25,"")</f>
        <v/>
      </c>
      <c r="AJ183" s="33">
        <f>IFERROR(J183*Weights!$B$4 + O183*Weights!$B$5 + S183*Weights!$B$6 + Y183*Weights!$B$7 + AD183*Weights!$B$8 + AI183*Weights!$B$9,"")</f>
        <v/>
      </c>
      <c r="AK183" s="33">
        <f>IF(AJ183="","",IF(AJ183&gt;=85,"✓✓✓",IF(AJ183&gt;=70,"✓✓",IF(AJ183&gt;=55,"✓",IF(AJ183&gt;=40,"?","✗")))))</f>
        <v/>
      </c>
      <c r="AL183" s="33" t="n">
        <v>5</v>
      </c>
    </row>
    <row r="184">
      <c r="A184" s="33" t="inlineStr">
        <is>
          <t>2590.HK</t>
        </is>
      </c>
      <c r="B184" s="33" t="inlineStr">
        <is>
          <t>Beijing Geekplus Technology Co., Ltd.</t>
        </is>
      </c>
      <c r="C184" s="33" t="inlineStr">
        <is>
          <t>11 Robotics &amp; Physical AI / Warehouse &amp; logistics automation</t>
        </is>
      </c>
      <c r="D184" s="33" t="inlineStr">
        <is>
          <t>2026-08-02</t>
        </is>
      </c>
      <c r="E184" s="33" t="n">
        <v>22.403309</v>
      </c>
      <c r="G184" s="33" t="n"/>
      <c r="H184" s="33" t="n">
        <v>3.44</v>
      </c>
      <c r="I184" s="33">
        <f>IF(OR(E184="",R184="",R184&lt;=0,E184&lt;0),"",E184/R184)</f>
        <v/>
      </c>
      <c r="J184" s="33" t="n">
        <v>64</v>
      </c>
      <c r="L184" s="33" t="n">
        <v>35.48</v>
      </c>
      <c r="M184" s="33" t="n"/>
      <c r="O184" s="33" t="n">
        <v>47.4</v>
      </c>
      <c r="P184" s="33" t="n">
        <v>29.74</v>
      </c>
      <c r="Q184" s="33" t="n">
        <v>32</v>
      </c>
      <c r="S184" s="33">
        <f>IFERROR(AVERAGE(IFERROR(IF(P184="","",IF(P184&gt;=40,100,IF(P184&gt;=30,90,IF(P184&gt;=20,75,IF(P184&gt;=15,60,IF(P184&gt;=10,45,IF(P184&gt;=5,30,15))))))),""),IFERROR(IF(Q184="","",IF(Q184&gt;=40,100,IF(Q184&gt;=30,90,IF(Q184&gt;=20,75,IF(Q184&gt;=10,60,IF(Q184&gt;=5,45,IF(Q184&gt;=0,30,15))))))),""),IFERROR(IF(R184="","",IF(R184&gt;=40,100,IF(R184&gt;=30,90,IF(R184&gt;=20,75,IF(R184&gt;=10,60,IF(R184&gt;=0,45,IF(R184&gt;=-10,30,15))))))),"")),"")</f>
        <v/>
      </c>
      <c r="T184" s="33" t="n">
        <v>5</v>
      </c>
      <c r="U184" s="33" t="n">
        <v>3</v>
      </c>
      <c r="V184" s="33" t="n">
        <v>3</v>
      </c>
      <c r="W184" s="33" t="n">
        <v>4</v>
      </c>
      <c r="X184" s="33" t="n">
        <v>3</v>
      </c>
      <c r="Y184" s="33">
        <f>IFERROR((AVERAGE(T184,U184,V184,W184,X184)-1)*25,"")</f>
        <v/>
      </c>
      <c r="Z184" s="33" t="n">
        <v>3</v>
      </c>
      <c r="AA184" s="33" t="n">
        <v>1</v>
      </c>
      <c r="AB184" s="33" t="n">
        <v>3</v>
      </c>
      <c r="AC184" s="33" t="n">
        <v>1.7</v>
      </c>
      <c r="AD184" s="33">
        <f>IFERROR(AVERAGE(IFERROR(IF(Z184="","",Z184*20),""),IFERROR(IF(AA184="","",AA184*20),""),IFERROR(IF(AB184="","",AB184*20),""),IFERROR(IF(AC184="","",IF(AC184&gt;=85,100,IF(AC184&gt;=70,90,IF(AC184&gt;=55,75,IF(AC184&gt;=40,60,IF(AC184&gt;=25,40,20)))))),"")),"")</f>
        <v/>
      </c>
      <c r="AE184" s="33" t="n">
        <v>4</v>
      </c>
      <c r="AF184" s="33" t="n">
        <v>2</v>
      </c>
      <c r="AG184" s="33" t="n">
        <v>4</v>
      </c>
      <c r="AH184" s="33" t="n">
        <v>3</v>
      </c>
      <c r="AI184" s="33">
        <f>IFERROR((AVERAGE(AE184,AF184,AG184,AH184,AL184)-1)*25,"")</f>
        <v/>
      </c>
      <c r="AJ184" s="33">
        <f>IFERROR(J184*Weights!$B$4 + O184*Weights!$B$5 + S184*Weights!$B$6 + Y184*Weights!$B$7 + AD184*Weights!$B$8 + AI184*Weights!$B$9,"")</f>
        <v/>
      </c>
      <c r="AK184" s="33">
        <f>IF(AJ184="","",IF(AJ184&gt;=85,"✓✓✓",IF(AJ184&gt;=70,"✓✓",IF(AJ184&gt;=55,"✓",IF(AJ184&gt;=40,"?","✗")))))</f>
        <v/>
      </c>
      <c r="AL184" s="33" t="n">
        <v>5</v>
      </c>
    </row>
    <row r="185">
      <c r="A185" s="33" t="inlineStr">
        <is>
          <t>ISRG</t>
        </is>
      </c>
      <c r="B185" s="33" t="inlineStr">
        <is>
          <t>Intuitive Surgical, Inc.</t>
        </is>
      </c>
      <c r="C185" s="33" t="inlineStr">
        <is>
          <t>11 Robotics &amp; Physical AI / Surgical &amp; medical robotics</t>
        </is>
      </c>
      <c r="D185" s="33" t="inlineStr">
        <is>
          <t>2026-08-02</t>
        </is>
      </c>
      <c r="E185" s="33" t="n">
        <v>29.27139</v>
      </c>
      <c r="F185" s="33" t="n">
        <v>28.64</v>
      </c>
      <c r="G185" s="33" t="n">
        <v>2.55</v>
      </c>
      <c r="H185" s="33" t="n">
        <v>11.47234</v>
      </c>
      <c r="I185" s="33">
        <f>IF(OR(E185="",R185="",R185&lt;=0,E185&lt;0),"",E185/R185)</f>
        <v/>
      </c>
      <c r="J185" s="33" t="n">
        <v>50.6</v>
      </c>
      <c r="K185" s="33" t="n">
        <v>15.11</v>
      </c>
      <c r="L185" s="33" t="n">
        <v>66.68000000000001</v>
      </c>
      <c r="M185" s="33" t="n">
        <v>29.21</v>
      </c>
      <c r="N185" s="33" t="n">
        <v>-1.25</v>
      </c>
      <c r="O185" s="33" t="n">
        <v>95.40000000000001</v>
      </c>
      <c r="P185" s="33" t="n">
        <v>17.39</v>
      </c>
      <c r="Q185" s="33" t="n">
        <v>18.5</v>
      </c>
      <c r="R185" s="33" t="n">
        <v>24.3</v>
      </c>
      <c r="S185" s="33">
        <f>IFERROR(AVERAGE(IFERROR(IF(P185="","",IF(P185&gt;=40,100,IF(P185&gt;=30,90,IF(P185&gt;=20,75,IF(P185&gt;=15,60,IF(P185&gt;=10,45,IF(P185&gt;=5,30,15))))))),""),IFERROR(IF(Q185="","",IF(Q185&gt;=40,100,IF(Q185&gt;=30,90,IF(Q185&gt;=20,75,IF(Q185&gt;=10,60,IF(Q185&gt;=5,45,IF(Q185&gt;=0,30,15))))))),""),IFERROR(IF(R185="","",IF(R185&gt;=40,100,IF(R185&gt;=30,90,IF(R185&gt;=20,75,IF(R185&gt;=10,60,IF(R185&gt;=0,45,IF(R185&gt;=-10,30,15))))))),"")),"")</f>
        <v/>
      </c>
      <c r="T185" s="33" t="n">
        <v>5</v>
      </c>
      <c r="U185" s="33" t="n">
        <v>4</v>
      </c>
      <c r="V185" s="33" t="n">
        <v>4</v>
      </c>
      <c r="W185" s="33" t="n">
        <v>4</v>
      </c>
      <c r="X185" s="33" t="n">
        <v>4</v>
      </c>
      <c r="Y185" s="33">
        <f>IFERROR((AVERAGE(T185,U185,V185,W185,X185)-1)*25,"")</f>
        <v/>
      </c>
      <c r="Z185" s="33" t="n">
        <v>3</v>
      </c>
      <c r="AA185" s="33" t="n">
        <v>2</v>
      </c>
      <c r="AB185" s="33" t="n">
        <v>3</v>
      </c>
      <c r="AC185" s="33" t="n">
        <v>13.3</v>
      </c>
      <c r="AD185" s="33">
        <f>IFERROR(AVERAGE(IFERROR(IF(Z185="","",Z185*20),""),IFERROR(IF(AA185="","",AA185*20),""),IFERROR(IF(AB185="","",AB185*20),""),IFERROR(IF(AC185="","",IF(AC185&gt;=85,100,IF(AC185&gt;=70,90,IF(AC185&gt;=55,75,IF(AC185&gt;=40,60,IF(AC185&gt;=25,40,20)))))),"")),"")</f>
        <v/>
      </c>
      <c r="AE185" s="33" t="n">
        <v>5</v>
      </c>
      <c r="AF185" s="33" t="n">
        <v>3</v>
      </c>
      <c r="AG185" s="33" t="n">
        <v>5</v>
      </c>
      <c r="AH185" s="33" t="n">
        <v>2</v>
      </c>
      <c r="AI185" s="33">
        <f>IFERROR((AVERAGE(AE185,AF185,AG185,AH185,AL185)-1)*25,"")</f>
        <v/>
      </c>
      <c r="AJ185" s="33">
        <f>IFERROR(J185*Weights!$B$4 + O185*Weights!$B$5 + S185*Weights!$B$6 + Y185*Weights!$B$7 + AD185*Weights!$B$8 + AI185*Weights!$B$9,"")</f>
        <v/>
      </c>
      <c r="AK185" s="33">
        <f>IF(AJ185="","",IF(AJ185&gt;=85,"✓✓✓",IF(AJ185&gt;=70,"✓✓",IF(AJ185&gt;=55,"✓",IF(AJ185&gt;=40,"?","✗")))))</f>
        <v/>
      </c>
      <c r="AL185" s="33" t="n">
        <v>5</v>
      </c>
    </row>
    <row r="186">
      <c r="A186" s="33" t="inlineStr">
        <is>
          <t>PRCT</t>
        </is>
      </c>
      <c r="B186" s="33" t="inlineStr">
        <is>
          <t>PROCEPT BioRobotics Corporation</t>
        </is>
      </c>
      <c r="C186" s="33" t="inlineStr">
        <is>
          <t>11 Robotics &amp; Physical AI / Surgical &amp; medical robotics</t>
        </is>
      </c>
      <c r="D186" s="33" t="inlineStr">
        <is>
          <t>2026-08-02</t>
        </is>
      </c>
      <c r="E186" s="33" t="n">
        <v>-20.805168</v>
      </c>
      <c r="F186" s="33" t="n">
        <v>-8.715</v>
      </c>
      <c r="G186" s="33" t="n">
        <v>-7.6</v>
      </c>
      <c r="H186" s="33" t="n">
        <v>3.291149</v>
      </c>
      <c r="I186" s="33">
        <f>IF(OR(E186="",R186="",R186&lt;=0,E186&lt;0),"",E186/R186)</f>
        <v/>
      </c>
      <c r="J186" s="33" t="n">
        <v>41.6</v>
      </c>
      <c r="K186" s="33" t="n">
        <v>-21.74</v>
      </c>
      <c r="L186" s="33" t="n">
        <v>63.97</v>
      </c>
      <c r="M186" s="33" t="n">
        <v>-25.02</v>
      </c>
      <c r="O186" s="33" t="n">
        <v>43.3</v>
      </c>
      <c r="P186" s="33" t="n">
        <v>60.14</v>
      </c>
      <c r="Q186" s="33" t="n">
        <v>20.2</v>
      </c>
      <c r="S186" s="33">
        <f>IFERROR(AVERAGE(IFERROR(IF(P186="","",IF(P186&gt;=40,100,IF(P186&gt;=30,90,IF(P186&gt;=20,75,IF(P186&gt;=15,60,IF(P186&gt;=10,45,IF(P186&gt;=5,30,15))))))),""),IFERROR(IF(Q186="","",IF(Q186&gt;=40,100,IF(Q186&gt;=30,90,IF(Q186&gt;=20,75,IF(Q186&gt;=10,60,IF(Q186&gt;=5,45,IF(Q186&gt;=0,30,15))))))),""),IFERROR(IF(R186="","",IF(R186&gt;=40,100,IF(R186&gt;=30,90,IF(R186&gt;=20,75,IF(R186&gt;=10,60,IF(R186&gt;=0,45,IF(R186&gt;=-10,30,15))))))),"")),"")</f>
        <v/>
      </c>
      <c r="T186" s="33" t="n">
        <v>5</v>
      </c>
      <c r="U186" s="33" t="n">
        <v>3</v>
      </c>
      <c r="V186" s="33" t="n">
        <v>3</v>
      </c>
      <c r="W186" s="33" t="n">
        <v>4</v>
      </c>
      <c r="X186" s="33" t="n">
        <v>3</v>
      </c>
      <c r="Y186" s="33">
        <f>IFERROR((AVERAGE(T186,U186,V186,W186,X186)-1)*25,"")</f>
        <v/>
      </c>
      <c r="Z186" s="33" t="n">
        <v>3</v>
      </c>
      <c r="AA186" s="33" t="n">
        <v>1</v>
      </c>
      <c r="AB186" s="33" t="n">
        <v>5</v>
      </c>
      <c r="AC186" s="33" t="n">
        <v>39.2</v>
      </c>
      <c r="AD186" s="33">
        <f>IFERROR(AVERAGE(IFERROR(IF(Z186="","",Z186*20),""),IFERROR(IF(AA186="","",AA186*20),""),IFERROR(IF(AB186="","",AB186*20),""),IFERROR(IF(AC186="","",IF(AC186&gt;=85,100,IF(AC186&gt;=70,90,IF(AC186&gt;=55,75,IF(AC186&gt;=40,60,IF(AC186&gt;=25,40,20)))))),"")),"")</f>
        <v/>
      </c>
      <c r="AE186" s="33" t="n">
        <v>5</v>
      </c>
      <c r="AF186" s="33" t="n">
        <v>5</v>
      </c>
      <c r="AG186" s="33" t="n">
        <v>4</v>
      </c>
      <c r="AH186" s="33" t="n">
        <v>2</v>
      </c>
      <c r="AI186" s="33">
        <f>IFERROR((AVERAGE(AE186,AF186,AG186,AH186,AL186)-1)*25,"")</f>
        <v/>
      </c>
      <c r="AJ186" s="33">
        <f>IFERROR(J186*Weights!$B$4 + O186*Weights!$B$5 + S186*Weights!$B$6 + Y186*Weights!$B$7 + AD186*Weights!$B$8 + AI186*Weights!$B$9,"")</f>
        <v/>
      </c>
      <c r="AK186" s="33">
        <f>IF(AJ186="","",IF(AJ186&gt;=85,"✓✓✓",IF(AJ186&gt;=70,"✓✓",IF(AJ186&gt;=55,"✓",IF(AJ186&gt;=40,"?","✗")))))</f>
        <v/>
      </c>
      <c r="AL186" s="33" t="n">
        <v>5</v>
      </c>
    </row>
    <row r="187">
      <c r="A187" s="33" t="inlineStr">
        <is>
          <t>GMED</t>
        </is>
      </c>
      <c r="B187" s="33" t="inlineStr">
        <is>
          <t>Globus Medical, Inc.</t>
        </is>
      </c>
      <c r="C187" s="33" t="inlineStr">
        <is>
          <t>11 Robotics &amp; Physical AI / Surgical &amp; medical robotics</t>
        </is>
      </c>
      <c r="D187" s="33" t="inlineStr">
        <is>
          <t>2026-08-07</t>
        </is>
      </c>
      <c r="E187" s="33" t="n">
        <v>15.527421</v>
      </c>
      <c r="F187" s="33" t="n">
        <v>11.102</v>
      </c>
      <c r="G187" s="33" t="n">
        <v>5.4</v>
      </c>
      <c r="H187" s="33" t="n">
        <v>3.5855174</v>
      </c>
      <c r="I187" s="33">
        <f>IF(OR(E187="",R187="",R187&lt;=0,E187&lt;0),"",E187/R187)</f>
        <v/>
      </c>
      <c r="J187" s="33" t="n">
        <v>82.5</v>
      </c>
      <c r="K187" s="33" t="n">
        <v>10.91</v>
      </c>
      <c r="L187" s="33" t="n">
        <v>68.48999999999999</v>
      </c>
      <c r="M187" s="33" t="n">
        <v>19.37</v>
      </c>
      <c r="N187" s="33" t="n">
        <v>-0.54</v>
      </c>
      <c r="O187" s="33" t="n">
        <v>94.09999999999999</v>
      </c>
      <c r="P187" s="33" t="n">
        <v>42.17</v>
      </c>
      <c r="Q187" s="33" t="n">
        <v>27</v>
      </c>
      <c r="R187" s="33" t="n">
        <v>64.7</v>
      </c>
      <c r="S187" s="33">
        <f>IFERROR(AVERAGE(IFERROR(IF(P187="","",IF(P187&gt;=40,100,IF(P187&gt;=30,90,IF(P187&gt;=20,75,IF(P187&gt;=15,60,IF(P187&gt;=10,45,IF(P187&gt;=5,30,15))))))),""),IFERROR(IF(Q187="","",IF(Q187&gt;=40,100,IF(Q187&gt;=30,90,IF(Q187&gt;=20,75,IF(Q187&gt;=10,60,IF(Q187&gt;=5,45,IF(Q187&gt;=0,30,15))))))),""),IFERROR(IF(R187="","",IF(R187&gt;=40,100,IF(R187&gt;=30,90,IF(R187&gt;=20,75,IF(R187&gt;=10,60,IF(R187&gt;=0,45,IF(R187&gt;=-10,30,15))))))),"")),"")</f>
        <v/>
      </c>
      <c r="T187" s="33" t="n">
        <v>2</v>
      </c>
      <c r="U187" s="33" t="n">
        <v>2</v>
      </c>
      <c r="V187" s="33" t="n">
        <v>3</v>
      </c>
      <c r="W187" s="33" t="n">
        <v>4</v>
      </c>
      <c r="X187" s="33" t="n">
        <v>2</v>
      </c>
      <c r="Y187" s="33">
        <f>IFERROR((AVERAGE(T187,U187,V187,W187,X187)-1)*25,"")</f>
        <v/>
      </c>
      <c r="Z187" s="33" t="n">
        <v>4</v>
      </c>
      <c r="AA187" s="33" t="n">
        <v>3</v>
      </c>
      <c r="AB187" s="33" t="n">
        <v>3</v>
      </c>
      <c r="AC187" s="33" t="n">
        <v>39.2</v>
      </c>
      <c r="AD187" s="33">
        <f>IFERROR(AVERAGE(IFERROR(IF(Z187="","",Z187*20),""),IFERROR(IF(AA187="","",AA187*20),""),IFERROR(IF(AB187="","",AB187*20),""),IFERROR(IF(AC187="","",IF(AC187&gt;=85,100,IF(AC187&gt;=70,90,IF(AC187&gt;=55,75,IF(AC187&gt;=40,60,IF(AC187&gt;=25,40,20)))))),"")),"")</f>
        <v/>
      </c>
      <c r="AE187" s="33" t="n">
        <v>5</v>
      </c>
      <c r="AF187" s="33" t="n">
        <v>5</v>
      </c>
      <c r="AG187" s="33" t="n">
        <v>5</v>
      </c>
      <c r="AH187" s="33" t="n">
        <v>3</v>
      </c>
      <c r="AI187" s="33">
        <f>IFERROR((AVERAGE(AE187,AF187,AG187,AH187,AL187)-1)*25,"")</f>
        <v/>
      </c>
      <c r="AJ187" s="33">
        <f>IFERROR(J187*Weights!$B$4 + O187*Weights!$B$5 + S187*Weights!$B$6 + Y187*Weights!$B$7 + AD187*Weights!$B$8 + AI187*Weights!$B$9,"")</f>
        <v/>
      </c>
      <c r="AK187" s="33">
        <f>IF(AJ187="","",IF(AJ187&gt;=85,"✓✓✓",IF(AJ187&gt;=70,"✓✓",IF(AJ187&gt;=55,"✓",IF(AJ187&gt;=40,"?","✗")))))</f>
        <v/>
      </c>
      <c r="AL187" s="33" t="n">
        <v>5</v>
      </c>
    </row>
    <row r="188">
      <c r="A188" s="33" t="inlineStr">
        <is>
          <t>SSII</t>
        </is>
      </c>
      <c r="B188" s="33" t="inlineStr">
        <is>
          <t>SS Innovations International, Inc.</t>
        </is>
      </c>
      <c r="C188" s="33" t="inlineStr">
        <is>
          <t>11 Robotics &amp; Physical AI / Surgical &amp; medical robotics</t>
        </is>
      </c>
      <c r="D188" s="33" t="inlineStr">
        <is>
          <t>2026-08-02</t>
        </is>
      </c>
      <c r="E188" s="33" t="n">
        <v>-66.333336</v>
      </c>
      <c r="F188" s="33" t="n">
        <v>-168.291</v>
      </c>
      <c r="G188" s="33" t="n">
        <v>-2.21</v>
      </c>
      <c r="H188" s="33" t="n">
        <v>16.434855</v>
      </c>
      <c r="I188" s="33">
        <f>IF(OR(E188="",R188="",R188&lt;=0,E188&lt;0),"",E188/R188)</f>
        <v/>
      </c>
      <c r="J188" s="33" t="n">
        <v>37.8</v>
      </c>
      <c r="K188" s="33" t="n">
        <v>-10.29</v>
      </c>
      <c r="L188" s="33" t="n">
        <v>49.08</v>
      </c>
      <c r="M188" s="33" t="n">
        <v>-36.3</v>
      </c>
      <c r="O188" s="33" t="n">
        <v>44.1</v>
      </c>
      <c r="P188" s="33" t="n">
        <v>209.27</v>
      </c>
      <c r="Q188" s="33" t="n">
        <v>116.8</v>
      </c>
      <c r="S188" s="33">
        <f>IFERROR(AVERAGE(IFERROR(IF(P188="","",IF(P188&gt;=40,100,IF(P188&gt;=30,90,IF(P188&gt;=20,75,IF(P188&gt;=15,60,IF(P188&gt;=10,45,IF(P188&gt;=5,30,15))))))),""),IFERROR(IF(Q188="","",IF(Q188&gt;=40,100,IF(Q188&gt;=30,90,IF(Q188&gt;=20,75,IF(Q188&gt;=10,60,IF(Q188&gt;=5,45,IF(Q188&gt;=0,30,15))))))),""),IFERROR(IF(R188="","",IF(R188&gt;=40,100,IF(R188&gt;=30,90,IF(R188&gt;=20,75,IF(R188&gt;=10,60,IF(R188&gt;=0,45,IF(R188&gt;=-10,30,15))))))),"")),"")</f>
        <v/>
      </c>
      <c r="T188" s="33" t="n">
        <v>5</v>
      </c>
      <c r="U188" s="33" t="n">
        <v>2</v>
      </c>
      <c r="V188" s="33" t="n">
        <v>2</v>
      </c>
      <c r="W188" s="33" t="n">
        <v>4</v>
      </c>
      <c r="X188" s="33" t="n">
        <v>2</v>
      </c>
      <c r="Y188" s="33">
        <f>IFERROR((AVERAGE(T188,U188,V188,W188,X188)-1)*25,"")</f>
        <v/>
      </c>
      <c r="Z188" s="33" t="n">
        <v>3</v>
      </c>
      <c r="AA188" s="33" t="n">
        <v>1</v>
      </c>
      <c r="AB188" s="33" t="n">
        <v>4</v>
      </c>
      <c r="AC188" s="33" t="n">
        <v>26.7</v>
      </c>
      <c r="AD188" s="33">
        <f>IFERROR(AVERAGE(IFERROR(IF(Z188="","",Z188*20),""),IFERROR(IF(AA188="","",AA188*20),""),IFERROR(IF(AB188="","",AB188*20),""),IFERROR(IF(AC188="","",IF(AC188&gt;=85,100,IF(AC188&gt;=70,90,IF(AC188&gt;=55,75,IF(AC188&gt;=40,60,IF(AC188&gt;=25,40,20)))))),"")),"")</f>
        <v/>
      </c>
      <c r="AE188" s="33" t="n">
        <v>4</v>
      </c>
      <c r="AF188" s="33" t="n">
        <v>2</v>
      </c>
      <c r="AG188" s="33" t="n">
        <v>1</v>
      </c>
      <c r="AH188" s="33" t="n">
        <v>3</v>
      </c>
      <c r="AI188" s="33">
        <f>IFERROR((AVERAGE(AE188,AF188,AG188,AH188,AL188)-1)*25,"")</f>
        <v/>
      </c>
      <c r="AJ188" s="33">
        <f>IFERROR(J188*Weights!$B$4 + O188*Weights!$B$5 + S188*Weights!$B$6 + Y188*Weights!$B$7 + AD188*Weights!$B$8 + AI188*Weights!$B$9,"")</f>
        <v/>
      </c>
      <c r="AK188" s="33">
        <f>IF(AJ188="","",IF(AJ188&gt;=85,"✓✓✓",IF(AJ188&gt;=70,"✓✓",IF(AJ188&gt;=55,"✓",IF(AJ188&gt;=40,"?","✗")))))</f>
        <v/>
      </c>
      <c r="AL188" s="33" t="n">
        <v>5</v>
      </c>
    </row>
    <row r="189">
      <c r="A189" s="33" t="inlineStr">
        <is>
          <t>2252.HK</t>
        </is>
      </c>
      <c r="B189" s="33" t="inlineStr">
        <is>
          <t>Shanghai MicroPort MedBot (Group) Co., Ltd.</t>
        </is>
      </c>
      <c r="C189" s="33" t="inlineStr">
        <is>
          <t>11 Robotics &amp; Physical AI / Surgical &amp; medical robotics</t>
        </is>
      </c>
      <c r="D189" s="33" t="inlineStr">
        <is>
          <t>2026-08-02</t>
        </is>
      </c>
      <c r="E189" s="33" t="n">
        <v>68.96423</v>
      </c>
      <c r="G189" s="33" t="n">
        <v>0.25</v>
      </c>
      <c r="H189" s="33" t="n">
        <v>33.52</v>
      </c>
      <c r="I189" s="33">
        <f>IF(OR(E189="",R189="",R189&lt;=0,E189&lt;0),"",E189/R189)</f>
        <v/>
      </c>
      <c r="J189" s="33" t="n">
        <v>23</v>
      </c>
      <c r="L189" s="33" t="n">
        <v>48.38</v>
      </c>
      <c r="M189" s="33" t="n">
        <v>8.43</v>
      </c>
      <c r="O189" s="33" t="n">
        <v>76.5</v>
      </c>
      <c r="P189" s="33" t="n">
        <v>194.37</v>
      </c>
      <c r="Q189" s="33" t="n">
        <v>137.6</v>
      </c>
      <c r="S189" s="33">
        <f>IFERROR(AVERAGE(IFERROR(IF(P189="","",IF(P189&gt;=40,100,IF(P189&gt;=30,90,IF(P189&gt;=20,75,IF(P189&gt;=15,60,IF(P189&gt;=10,45,IF(P189&gt;=5,30,15))))))),""),IFERROR(IF(Q189="","",IF(Q189&gt;=40,100,IF(Q189&gt;=30,90,IF(Q189&gt;=20,75,IF(Q189&gt;=10,60,IF(Q189&gt;=5,45,IF(Q189&gt;=0,30,15))))))),""),IFERROR(IF(R189="","",IF(R189&gt;=40,100,IF(R189&gt;=30,90,IF(R189&gt;=20,75,IF(R189&gt;=10,60,IF(R189&gt;=0,45,IF(R189&gt;=-10,30,15))))))),"")),"")</f>
        <v/>
      </c>
      <c r="T189" s="33" t="n">
        <v>5</v>
      </c>
      <c r="U189" s="33" t="n">
        <v>3</v>
      </c>
      <c r="V189" s="33" t="n">
        <v>3</v>
      </c>
      <c r="W189" s="33" t="n">
        <v>5</v>
      </c>
      <c r="X189" s="33" t="n">
        <v>3</v>
      </c>
      <c r="Y189" s="33">
        <f>IFERROR((AVERAGE(T189,U189,V189,W189,X189)-1)*25,"")</f>
        <v/>
      </c>
      <c r="Z189" s="33" t="n">
        <v>4</v>
      </c>
      <c r="AA189" s="33" t="n">
        <v>3</v>
      </c>
      <c r="AB189" s="33" t="n">
        <v>3</v>
      </c>
      <c r="AC189" s="33" t="n">
        <v>30</v>
      </c>
      <c r="AD189" s="33">
        <f>IFERROR(AVERAGE(IFERROR(IF(Z189="","",Z189*20),""),IFERROR(IF(AA189="","",AA189*20),""),IFERROR(IF(AB189="","",AB189*20),""),IFERROR(IF(AC189="","",IF(AC189&gt;=85,100,IF(AC189&gt;=70,90,IF(AC189&gt;=55,75,IF(AC189&gt;=40,60,IF(AC189&gt;=25,40,20)))))),"")),"")</f>
        <v/>
      </c>
      <c r="AE189" s="33" t="n">
        <v>4</v>
      </c>
      <c r="AF189" s="33" t="n">
        <v>2</v>
      </c>
      <c r="AG189" s="33" t="n">
        <v>2</v>
      </c>
      <c r="AH189" s="33" t="n">
        <v>3</v>
      </c>
      <c r="AI189" s="33">
        <f>IFERROR((AVERAGE(AE189,AF189,AG189,AH189,AL189)-1)*25,"")</f>
        <v/>
      </c>
      <c r="AJ189" s="33">
        <f>IFERROR(J189*Weights!$B$4 + O189*Weights!$B$5 + S189*Weights!$B$6 + Y189*Weights!$B$7 + AD189*Weights!$B$8 + AI189*Weights!$B$9,"")</f>
        <v/>
      </c>
      <c r="AK189" s="33">
        <f>IF(AJ189="","",IF(AJ189&gt;=85,"✓✓✓",IF(AJ189&gt;=70,"✓✓",IF(AJ189&gt;=55,"✓",IF(AJ189&gt;=40,"?","✗")))))</f>
        <v/>
      </c>
      <c r="AL189" s="33" t="n">
        <v>5</v>
      </c>
    </row>
    <row r="190">
      <c r="A190" s="33" t="inlineStr">
        <is>
          <t>6324.T</t>
        </is>
      </c>
      <c r="B190" s="33" t="inlineStr">
        <is>
          <t>Harmonic Drive Systems Inc.</t>
        </is>
      </c>
      <c r="C190" s="33" t="inlineStr">
        <is>
          <t>11 Robotics &amp; Physical AI / Components: motion &amp; actuation</t>
        </is>
      </c>
      <c r="D190" s="33" t="inlineStr">
        <is>
          <t>2026-08-02</t>
        </is>
      </c>
      <c r="E190" s="33" t="n">
        <v>81.12035</v>
      </c>
      <c r="F190" s="33" t="n">
        <v>58.183</v>
      </c>
      <c r="G190" s="33" t="n">
        <v>0.08</v>
      </c>
      <c r="H190" s="33" t="n">
        <v>9.759627</v>
      </c>
      <c r="I190" s="33">
        <f>IF(OR(E190="",R190="",R190&lt;=0,E190&lt;0),"",E190/R190)</f>
        <v/>
      </c>
      <c r="J190" s="33" t="n">
        <v>24.2</v>
      </c>
      <c r="L190" s="33" t="n">
        <v>30.45</v>
      </c>
      <c r="M190" s="33" t="n">
        <v>0.82</v>
      </c>
      <c r="N190" s="33" t="n">
        <v>-0.36</v>
      </c>
      <c r="O190" s="33" t="n">
        <v>58.8</v>
      </c>
      <c r="P190" s="33" t="n">
        <v>-5.92</v>
      </c>
      <c r="Q190" s="33" t="n">
        <v>13.7</v>
      </c>
      <c r="R190" s="33" t="n">
        <v>-78.09999999999999</v>
      </c>
      <c r="S190" s="33">
        <f>IFERROR(AVERAGE(IFERROR(IF(P190="","",IF(P190&gt;=40,100,IF(P190&gt;=30,90,IF(P190&gt;=20,75,IF(P190&gt;=15,60,IF(P190&gt;=10,45,IF(P190&gt;=5,30,15))))))),""),IFERROR(IF(Q190="","",IF(Q190&gt;=40,100,IF(Q190&gt;=30,90,IF(Q190&gt;=20,75,IF(Q190&gt;=10,60,IF(Q190&gt;=5,45,IF(Q190&gt;=0,30,15))))))),""),IFERROR(IF(R190="","",IF(R190&gt;=40,100,IF(R190&gt;=30,90,IF(R190&gt;=20,75,IF(R190&gt;=10,60,IF(R190&gt;=0,45,IF(R190&gt;=-10,30,15))))))),"")),"")</f>
        <v/>
      </c>
      <c r="T190" s="33" t="n">
        <v>4</v>
      </c>
      <c r="U190" s="33" t="n">
        <v>4</v>
      </c>
      <c r="V190" s="33" t="n">
        <v>4</v>
      </c>
      <c r="W190" s="33" t="n">
        <v>3</v>
      </c>
      <c r="X190" s="33" t="n">
        <v>4</v>
      </c>
      <c r="Y190" s="33">
        <f>IFERROR((AVERAGE(T190,U190,V190,W190,X190)-1)*25,"")</f>
        <v/>
      </c>
      <c r="Z190" s="33" t="n">
        <v>3</v>
      </c>
      <c r="AA190" s="33" t="n">
        <v>4</v>
      </c>
      <c r="AB190" s="33" t="n">
        <v>3</v>
      </c>
      <c r="AC190" s="33" t="n">
        <v>57.5</v>
      </c>
      <c r="AD190" s="33">
        <f>IFERROR(AVERAGE(IFERROR(IF(Z190="","",Z190*20),""),IFERROR(IF(AA190="","",AA190*20),""),IFERROR(IF(AB190="","",AB190*20),""),IFERROR(IF(AC190="","",IF(AC190&gt;=85,100,IF(AC190&gt;=70,90,IF(AC190&gt;=55,75,IF(AC190&gt;=40,60,IF(AC190&gt;=25,40,20)))))),"")),"")</f>
        <v/>
      </c>
      <c r="AE190" s="33" t="n">
        <v>4</v>
      </c>
      <c r="AF190" s="33" t="n">
        <v>4</v>
      </c>
      <c r="AG190" s="33" t="n">
        <v>4</v>
      </c>
      <c r="AH190" s="33" t="n">
        <v>4</v>
      </c>
      <c r="AI190" s="33">
        <f>IFERROR((AVERAGE(AE190,AF190,AG190,AH190,AL190)-1)*25,"")</f>
        <v/>
      </c>
      <c r="AJ190" s="33">
        <f>IFERROR(J190*Weights!$B$4 + O190*Weights!$B$5 + S190*Weights!$B$6 + Y190*Weights!$B$7 + AD190*Weights!$B$8 + AI190*Weights!$B$9,"")</f>
        <v/>
      </c>
      <c r="AK190" s="33">
        <f>IF(AJ190="","",IF(AJ190&gt;=85,"✓✓✓",IF(AJ190&gt;=70,"✓✓",IF(AJ190&gt;=55,"✓",IF(AJ190&gt;=40,"?","✗")))))</f>
        <v/>
      </c>
      <c r="AL190" s="33" t="n">
        <v>5</v>
      </c>
    </row>
    <row r="191">
      <c r="A191" s="33" t="inlineStr">
        <is>
          <t>6268.T</t>
        </is>
      </c>
      <c r="B191" s="33" t="inlineStr">
        <is>
          <t>Nabtesco Corporation</t>
        </is>
      </c>
      <c r="C191" s="33" t="inlineStr">
        <is>
          <t>11 Robotics &amp; Physical AI / Components: motion &amp; actuation</t>
        </is>
      </c>
      <c r="D191" s="33" t="inlineStr">
        <is>
          <t>2026-08-02</t>
        </is>
      </c>
      <c r="E191" s="33" t="n">
        <v>43.50204</v>
      </c>
      <c r="F191" s="33" t="n">
        <v>12.059</v>
      </c>
      <c r="G191" s="33" t="n">
        <v>4.61</v>
      </c>
      <c r="H191" s="33" t="n">
        <v>1.7757583</v>
      </c>
      <c r="I191" s="33">
        <f>IF(OR(E191="",R191="",R191&lt;=0,E191&lt;0),"",E191/R191)</f>
        <v/>
      </c>
      <c r="J191" s="33" t="n">
        <v>71.40000000000001</v>
      </c>
      <c r="L191" s="33" t="n">
        <v>32.36</v>
      </c>
      <c r="M191" s="33" t="n">
        <v>8.19</v>
      </c>
      <c r="N191" s="33" t="n">
        <v>-0.97</v>
      </c>
      <c r="O191" s="33" t="n">
        <v>69.5</v>
      </c>
      <c r="P191" s="33" t="n">
        <v>-0.08</v>
      </c>
      <c r="Q191" s="33" t="n">
        <v>0.5</v>
      </c>
      <c r="R191" s="33" t="n">
        <v>114.6</v>
      </c>
      <c r="S191" s="33">
        <f>IFERROR(AVERAGE(IFERROR(IF(P191="","",IF(P191&gt;=40,100,IF(P191&gt;=30,90,IF(P191&gt;=20,75,IF(P191&gt;=15,60,IF(P191&gt;=10,45,IF(P191&gt;=5,30,15))))))),""),IFERROR(IF(Q191="","",IF(Q191&gt;=40,100,IF(Q191&gt;=30,90,IF(Q191&gt;=20,75,IF(Q191&gt;=10,60,IF(Q191&gt;=5,45,IF(Q191&gt;=0,30,15))))))),""),IFERROR(IF(R191="","",IF(R191&gt;=40,100,IF(R191&gt;=30,90,IF(R191&gt;=20,75,IF(R191&gt;=10,60,IF(R191&gt;=0,45,IF(R191&gt;=-10,30,15))))))),"")),"")</f>
        <v/>
      </c>
      <c r="T191" s="33" t="n">
        <v>4</v>
      </c>
      <c r="U191" s="33" t="n">
        <v>4</v>
      </c>
      <c r="V191" s="33" t="n">
        <v>4</v>
      </c>
      <c r="W191" s="33" t="n">
        <v>4</v>
      </c>
      <c r="X191" s="33" t="n">
        <v>2</v>
      </c>
      <c r="Y191" s="33">
        <f>IFERROR((AVERAGE(T191,U191,V191,W191,X191)-1)*25,"")</f>
        <v/>
      </c>
      <c r="Z191" s="33" t="n">
        <v>5</v>
      </c>
      <c r="AA191" s="33" t="n">
        <v>5</v>
      </c>
      <c r="AB191" s="33" t="n">
        <v>3</v>
      </c>
      <c r="AC191" s="33" t="n">
        <v>46.7</v>
      </c>
      <c r="AD191" s="33">
        <f>IFERROR(AVERAGE(IFERROR(IF(Z191="","",Z191*20),""),IFERROR(IF(AA191="","",AA191*20),""),IFERROR(IF(AB191="","",AB191*20),""),IFERROR(IF(AC191="","",IF(AC191&gt;=85,100,IF(AC191&gt;=70,90,IF(AC191&gt;=55,75,IF(AC191&gt;=40,60,IF(AC191&gt;=25,40,20)))))),"")),"")</f>
        <v/>
      </c>
      <c r="AE191" s="33" t="n">
        <v>5</v>
      </c>
      <c r="AF191" s="33" t="n">
        <v>3</v>
      </c>
      <c r="AG191" s="33" t="n">
        <v>5</v>
      </c>
      <c r="AH191" s="33" t="n">
        <v>4</v>
      </c>
      <c r="AI191" s="33">
        <f>IFERROR((AVERAGE(AE191,AF191,AG191,AH191,AL191)-1)*25,"")</f>
        <v/>
      </c>
      <c r="AJ191" s="33">
        <f>IFERROR(J191*Weights!$B$4 + O191*Weights!$B$5 + S191*Weights!$B$6 + Y191*Weights!$B$7 + AD191*Weights!$B$8 + AI191*Weights!$B$9,"")</f>
        <v/>
      </c>
      <c r="AK191" s="33">
        <f>IF(AJ191="","",IF(AJ191&gt;=85,"✓✓✓",IF(AJ191&gt;=70,"✓✓",IF(AJ191&gt;=55,"✓",IF(AJ191&gt;=40,"?","✗")))))</f>
        <v/>
      </c>
      <c r="AL191" s="33" t="n">
        <v>5</v>
      </c>
    </row>
    <row r="192">
      <c r="A192" s="33" t="inlineStr">
        <is>
          <t>6481.T</t>
        </is>
      </c>
      <c r="B192" s="33" t="inlineStr">
        <is>
          <t>THK Co., Ltd.</t>
        </is>
      </c>
      <c r="C192" s="33" t="inlineStr">
        <is>
          <t>11 Robotics &amp; Physical AI / Components: motion &amp; actuation</t>
        </is>
      </c>
      <c r="D192" s="33" t="inlineStr">
        <is>
          <t>2026-08-02</t>
        </is>
      </c>
      <c r="E192" s="33" t="n">
        <v>34.244827</v>
      </c>
      <c r="F192" s="33" t="n">
        <v>17.149</v>
      </c>
      <c r="G192" s="33" t="n">
        <v>2.66</v>
      </c>
      <c r="H192" s="33" t="n">
        <v>2.941155</v>
      </c>
      <c r="I192" s="33">
        <f>IF(OR(E192="",R192="",R192&lt;=0,E192&lt;0),"",E192/R192)</f>
        <v/>
      </c>
      <c r="J192" s="33" t="n">
        <v>58.8</v>
      </c>
      <c r="L192" s="33" t="n">
        <v>30.44</v>
      </c>
      <c r="M192" s="33" t="n">
        <v>7.83</v>
      </c>
      <c r="N192" s="33" t="n">
        <v>0.96</v>
      </c>
      <c r="O192" s="33" t="n">
        <v>60.7</v>
      </c>
      <c r="P192" s="33" t="n">
        <v>-15.16</v>
      </c>
      <c r="Q192" s="33" t="n"/>
      <c r="R192" s="33" t="n"/>
      <c r="S192" s="33">
        <f>IFERROR(AVERAGE(IFERROR(IF(P192="","",IF(P192&gt;=40,100,IF(P192&gt;=30,90,IF(P192&gt;=20,75,IF(P192&gt;=15,60,IF(P192&gt;=10,45,IF(P192&gt;=5,30,15))))))),""),IFERROR(IF(Q192="","",IF(Q192&gt;=40,100,IF(Q192&gt;=30,90,IF(Q192&gt;=20,75,IF(Q192&gt;=10,60,IF(Q192&gt;=5,45,IF(Q192&gt;=0,30,15))))))),""),IFERROR(IF(R192="","",IF(R192&gt;=40,100,IF(R192&gt;=30,90,IF(R192&gt;=20,75,IF(R192&gt;=10,60,IF(R192&gt;=0,45,IF(R192&gt;=-10,30,15))))))),"")),"")</f>
        <v/>
      </c>
      <c r="T192" s="33" t="n">
        <v>3</v>
      </c>
      <c r="U192" s="33" t="n">
        <v>4</v>
      </c>
      <c r="V192" s="33" t="n">
        <v>3</v>
      </c>
      <c r="W192" s="33" t="n">
        <v>3</v>
      </c>
      <c r="X192" s="33" t="n">
        <v>2</v>
      </c>
      <c r="Y192" s="33">
        <f>IFERROR((AVERAGE(T192,U192,V192,W192,X192)-1)*25,"")</f>
        <v/>
      </c>
      <c r="Z192" s="33" t="n">
        <v>4</v>
      </c>
      <c r="AA192" s="33" t="n">
        <v>5</v>
      </c>
      <c r="AB192" s="33" t="n">
        <v>3</v>
      </c>
      <c r="AC192" s="33" t="n">
        <v>62.5</v>
      </c>
      <c r="AD192" s="33">
        <f>IFERROR(AVERAGE(IFERROR(IF(Z192="","",Z192*20),""),IFERROR(IF(AA192="","",AA192*20),""),IFERROR(IF(AB192="","",AB192*20),""),IFERROR(IF(AC192="","",IF(AC192&gt;=85,100,IF(AC192&gt;=70,90,IF(AC192&gt;=55,75,IF(AC192&gt;=40,60,IF(AC192&gt;=25,40,20)))))),"")),"")</f>
        <v/>
      </c>
      <c r="AE192" s="33" t="n">
        <v>5</v>
      </c>
      <c r="AF192" s="33" t="n">
        <v>3</v>
      </c>
      <c r="AG192" s="33" t="n">
        <v>4</v>
      </c>
      <c r="AH192" s="33" t="n">
        <v>4</v>
      </c>
      <c r="AI192" s="33">
        <f>IFERROR((AVERAGE(AE192,AF192,AG192,AH192,AL192)-1)*25,"")</f>
        <v/>
      </c>
      <c r="AJ192" s="33">
        <f>IFERROR(J192*Weights!$B$4 + O192*Weights!$B$5 + S192*Weights!$B$6 + Y192*Weights!$B$7 + AD192*Weights!$B$8 + AI192*Weights!$B$9,"")</f>
        <v/>
      </c>
      <c r="AK192" s="33">
        <f>IF(AJ192="","",IF(AJ192&gt;=85,"✓✓✓",IF(AJ192&gt;=70,"✓✓",IF(AJ192&gt;=55,"✓",IF(AJ192&gt;=40,"?","✗")))))</f>
        <v/>
      </c>
      <c r="AL192" s="33" t="n">
        <v>5</v>
      </c>
    </row>
    <row r="193">
      <c r="A193" s="33" t="inlineStr">
        <is>
          <t>2049.TW</t>
        </is>
      </c>
      <c r="B193" s="33" t="inlineStr">
        <is>
          <t>Hiwin Technologies Corporation</t>
        </is>
      </c>
      <c r="C193" s="33" t="inlineStr">
        <is>
          <t>11 Robotics &amp; Physical AI / Components: motion &amp; actuation</t>
        </is>
      </c>
      <c r="D193" s="33" t="inlineStr">
        <is>
          <t>2026-08-02</t>
        </is>
      </c>
      <c r="E193" s="33" t="n">
        <v>29.484873</v>
      </c>
      <c r="F193" s="33" t="n">
        <v>26.635</v>
      </c>
      <c r="G193" s="33" t="n">
        <v>1.86</v>
      </c>
      <c r="H193" s="33" t="n">
        <v>4.34339</v>
      </c>
      <c r="I193" s="33">
        <f>IF(OR(E193="",R193="",R193&lt;=0,E193&lt;0),"",E193/R193)</f>
        <v/>
      </c>
      <c r="J193" s="33" t="n">
        <v>47.3</v>
      </c>
      <c r="L193" s="33" t="n">
        <v>29.32</v>
      </c>
      <c r="M193" s="33" t="n">
        <v>8.09</v>
      </c>
      <c r="N193" s="33" t="n">
        <v>0.43</v>
      </c>
      <c r="O193" s="33" t="n">
        <v>60.8</v>
      </c>
      <c r="P193" s="33" t="n">
        <v>-6.11</v>
      </c>
      <c r="Q193" s="33" t="n">
        <v>9.300000000000001</v>
      </c>
      <c r="R193" s="33" t="n">
        <v>20</v>
      </c>
      <c r="S193" s="33">
        <f>IFERROR(AVERAGE(IFERROR(IF(P193="","",IF(P193&gt;=40,100,IF(P193&gt;=30,90,IF(P193&gt;=20,75,IF(P193&gt;=15,60,IF(P193&gt;=10,45,IF(P193&gt;=5,30,15))))))),""),IFERROR(IF(Q193="","",IF(Q193&gt;=40,100,IF(Q193&gt;=30,90,IF(Q193&gt;=20,75,IF(Q193&gt;=10,60,IF(Q193&gt;=5,45,IF(Q193&gt;=0,30,15))))))),""),IFERROR(IF(R193="","",IF(R193&gt;=40,100,IF(R193&gt;=30,90,IF(R193&gt;=20,75,IF(R193&gt;=10,60,IF(R193&gt;=0,45,IF(R193&gt;=-10,30,15))))))),"")),"")</f>
        <v/>
      </c>
      <c r="T193" s="33" t="n">
        <v>3</v>
      </c>
      <c r="U193" s="33" t="n">
        <v>4</v>
      </c>
      <c r="V193" s="33" t="n">
        <v>3</v>
      </c>
      <c r="W193" s="33" t="n">
        <v>3</v>
      </c>
      <c r="X193" s="33" t="n">
        <v>3</v>
      </c>
      <c r="Y193" s="33">
        <f>IFERROR((AVERAGE(T193,U193,V193,W193,X193)-1)*25,"")</f>
        <v/>
      </c>
      <c r="Z193" s="33" t="n">
        <v>5</v>
      </c>
      <c r="AA193" s="33" t="n">
        <v>4</v>
      </c>
      <c r="AB193" s="33" t="n">
        <v>3</v>
      </c>
      <c r="AC193" s="33" t="n">
        <v>68.3</v>
      </c>
      <c r="AD193" s="33">
        <f>IFERROR(AVERAGE(IFERROR(IF(Z193="","",Z193*20),""),IFERROR(IF(AA193="","",AA193*20),""),IFERROR(IF(AB193="","",AB193*20),""),IFERROR(IF(AC193="","",IF(AC193&gt;=85,100,IF(AC193&gt;=70,90,IF(AC193&gt;=55,75,IF(AC193&gt;=40,60,IF(AC193&gt;=25,40,20)))))),"")),"")</f>
        <v/>
      </c>
      <c r="AE193" s="33" t="n">
        <v>4</v>
      </c>
      <c r="AF193" s="33" t="n">
        <v>2</v>
      </c>
      <c r="AG193" s="33" t="n">
        <v>4</v>
      </c>
      <c r="AH193" s="33" t="n">
        <v>4</v>
      </c>
      <c r="AI193" s="33">
        <f>IFERROR((AVERAGE(AE193,AF193,AG193,AH193,AL193)-1)*25,"")</f>
        <v/>
      </c>
      <c r="AJ193" s="33">
        <f>IFERROR(J193*Weights!$B$4 + O193*Weights!$B$5 + S193*Weights!$B$6 + Y193*Weights!$B$7 + AD193*Weights!$B$8 + AI193*Weights!$B$9,"")</f>
        <v/>
      </c>
      <c r="AK193" s="33">
        <f>IF(AJ193="","",IF(AJ193&gt;=85,"✓✓✓",IF(AJ193&gt;=70,"✓✓",IF(AJ193&gt;=55,"✓",IF(AJ193&gt;=40,"?","✗")))))</f>
        <v/>
      </c>
      <c r="AL193" s="33" t="n">
        <v>5</v>
      </c>
    </row>
    <row r="194">
      <c r="A194" s="33" t="inlineStr">
        <is>
          <t>TKR</t>
        </is>
      </c>
      <c r="B194" s="33" t="inlineStr">
        <is>
          <t>The Timken Company</t>
        </is>
      </c>
      <c r="C194" s="33" t="inlineStr">
        <is>
          <t>11 Robotics &amp; Physical AI / Components: motion &amp; actuation</t>
        </is>
      </c>
      <c r="D194" s="33" t="inlineStr">
        <is>
          <t>2026-08-02</t>
        </is>
      </c>
      <c r="E194" s="33" t="n">
        <v>19.015455</v>
      </c>
      <c r="F194" s="33" t="n">
        <v>14.225</v>
      </c>
      <c r="G194" s="33" t="n">
        <v>4.01</v>
      </c>
      <c r="H194" s="33" t="n">
        <v>2.0456624</v>
      </c>
      <c r="I194" s="33">
        <f>IF(OR(E194="",R194="",R194&lt;=0,E194&lt;0),"",E194/R194)</f>
        <v/>
      </c>
      <c r="J194" s="33" t="n">
        <v>68.90000000000001</v>
      </c>
      <c r="K194" s="33" t="n">
        <v>7.6</v>
      </c>
      <c r="L194" s="33" t="n">
        <v>30.6</v>
      </c>
      <c r="M194" s="33" t="n">
        <v>8.199999999999999</v>
      </c>
      <c r="N194" s="33" t="n">
        <v>2.28</v>
      </c>
      <c r="O194" s="33" t="n">
        <v>61.7</v>
      </c>
      <c r="P194" s="33" t="n">
        <v>0.63</v>
      </c>
      <c r="Q194" s="33" t="n">
        <v>8</v>
      </c>
      <c r="R194" s="33" t="n">
        <v>25.4</v>
      </c>
      <c r="S194" s="33">
        <f>IFERROR(AVERAGE(IFERROR(IF(P194="","",IF(P194&gt;=40,100,IF(P194&gt;=30,90,IF(P194&gt;=20,75,IF(P194&gt;=15,60,IF(P194&gt;=10,45,IF(P194&gt;=5,30,15))))))),""),IFERROR(IF(Q194="","",IF(Q194&gt;=40,100,IF(Q194&gt;=30,90,IF(Q194&gt;=20,75,IF(Q194&gt;=10,60,IF(Q194&gt;=5,45,IF(Q194&gt;=0,30,15))))))),""),IFERROR(IF(R194="","",IF(R194&gt;=40,100,IF(R194&gt;=30,90,IF(R194&gt;=20,75,IF(R194&gt;=10,60,IF(R194&gt;=0,45,IF(R194&gt;=-10,30,15))))))),"")),"")</f>
        <v/>
      </c>
      <c r="T194" s="33" t="n">
        <v>2</v>
      </c>
      <c r="U194" s="33" t="n">
        <v>3</v>
      </c>
      <c r="V194" s="33" t="n">
        <v>3</v>
      </c>
      <c r="W194" s="33" t="n">
        <v>3</v>
      </c>
      <c r="X194" s="33" t="n">
        <v>2</v>
      </c>
      <c r="Y194" s="33">
        <f>IFERROR((AVERAGE(T194,U194,V194,W194,X194)-1)*25,"")</f>
        <v/>
      </c>
      <c r="Z194" s="33" t="n">
        <v>5</v>
      </c>
      <c r="AA194" s="33" t="n">
        <v>4</v>
      </c>
      <c r="AB194" s="33" t="n">
        <v>2</v>
      </c>
      <c r="AC194" s="33" t="n">
        <v>67.5</v>
      </c>
      <c r="AD194" s="33">
        <f>IFERROR(AVERAGE(IFERROR(IF(Z194="","",Z194*20),""),IFERROR(IF(AA194="","",AA194*20),""),IFERROR(IF(AB194="","",AB194*20),""),IFERROR(IF(AC194="","",IF(AC194&gt;=85,100,IF(AC194&gt;=70,90,IF(AC194&gt;=55,75,IF(AC194&gt;=40,60,IF(AC194&gt;=25,40,20)))))),"")),"")</f>
        <v/>
      </c>
      <c r="AE194" s="33" t="n">
        <v>5</v>
      </c>
      <c r="AF194" s="33" t="n">
        <v>3</v>
      </c>
      <c r="AG194" s="33" t="n">
        <v>3</v>
      </c>
      <c r="AH194" s="33" t="n">
        <v>4</v>
      </c>
      <c r="AI194" s="33">
        <f>IFERROR((AVERAGE(AE194,AF194,AG194,AH194,AL194)-1)*25,"")</f>
        <v/>
      </c>
      <c r="AJ194" s="33">
        <f>IFERROR(J194*Weights!$B$4 + O194*Weights!$B$5 + S194*Weights!$B$6 + Y194*Weights!$B$7 + AD194*Weights!$B$8 + AI194*Weights!$B$9,"")</f>
        <v/>
      </c>
      <c r="AK194" s="33">
        <f>IF(AJ194="","",IF(AJ194&gt;=85,"✓✓✓",IF(AJ194&gt;=70,"✓✓",IF(AJ194&gt;=55,"✓",IF(AJ194&gt;=40,"?","✗")))))</f>
        <v/>
      </c>
      <c r="AL194" s="33" t="n">
        <v>5</v>
      </c>
    </row>
    <row r="195">
      <c r="A195" s="33" t="inlineStr">
        <is>
          <t>RRX</t>
        </is>
      </c>
      <c r="B195" s="33" t="inlineStr">
        <is>
          <t>Regal Rexnord Corporation</t>
        </is>
      </c>
      <c r="C195" s="33" t="inlineStr">
        <is>
          <t>11 Robotics &amp; Physical AI / Components: motion &amp; actuation</t>
        </is>
      </c>
      <c r="D195" s="33" t="inlineStr">
        <is>
          <t>2026-08-02</t>
        </is>
      </c>
      <c r="E195" s="33" t="n">
        <v>15.186844</v>
      </c>
      <c r="F195" s="33" t="n">
        <v>15.106</v>
      </c>
      <c r="G195" s="33" t="n">
        <v>5.89</v>
      </c>
      <c r="H195" s="33" t="n">
        <v>2.278721</v>
      </c>
      <c r="I195" s="33">
        <f>IF(OR(E195="",R195="",R195&lt;=0,E195&lt;0),"",E195/R195)</f>
        <v/>
      </c>
      <c r="J195" s="33" t="n">
        <v>68.59999999999999</v>
      </c>
      <c r="K195" s="33" t="n">
        <v>4.63</v>
      </c>
      <c r="L195" s="33" t="n">
        <v>37.57</v>
      </c>
      <c r="M195" s="33" t="n">
        <v>13.43</v>
      </c>
      <c r="N195" s="33" t="n">
        <v>3.72</v>
      </c>
      <c r="O195" s="33" t="n">
        <v>63.2</v>
      </c>
      <c r="P195" s="33" t="n">
        <v>4.38</v>
      </c>
      <c r="Q195" s="33" t="n">
        <v>4.3</v>
      </c>
      <c r="R195" s="33" t="n">
        <v>12.2</v>
      </c>
      <c r="S195" s="33">
        <f>IFERROR(AVERAGE(IFERROR(IF(P195="","",IF(P195&gt;=40,100,IF(P195&gt;=30,90,IF(P195&gt;=20,75,IF(P195&gt;=15,60,IF(P195&gt;=10,45,IF(P195&gt;=5,30,15))))))),""),IFERROR(IF(Q195="","",IF(Q195&gt;=40,100,IF(Q195&gt;=30,90,IF(Q195&gt;=20,75,IF(Q195&gt;=10,60,IF(Q195&gt;=5,45,IF(Q195&gt;=0,30,15))))))),""),IFERROR(IF(R195="","",IF(R195&gt;=40,100,IF(R195&gt;=30,90,IF(R195&gt;=20,75,IF(R195&gt;=10,60,IF(R195&gt;=0,45,IF(R195&gt;=-10,30,15))))))),"")),"")</f>
        <v/>
      </c>
      <c r="T195" s="33" t="n">
        <v>2</v>
      </c>
      <c r="U195" s="33" t="n">
        <v>3</v>
      </c>
      <c r="V195" s="33" t="n">
        <v>3</v>
      </c>
      <c r="W195" s="33" t="n">
        <v>3</v>
      </c>
      <c r="X195" s="33" t="n">
        <v>4</v>
      </c>
      <c r="Y195" s="33">
        <f>IFERROR((AVERAGE(T195,U195,V195,W195,X195)-1)*25,"")</f>
        <v/>
      </c>
      <c r="Z195" s="33" t="n">
        <v>4</v>
      </c>
      <c r="AA195" s="33" t="n">
        <v>4</v>
      </c>
      <c r="AB195" s="33" t="n">
        <v>1</v>
      </c>
      <c r="AC195" s="33" t="n">
        <v>50.8</v>
      </c>
      <c r="AD195" s="33">
        <f>IFERROR(AVERAGE(IFERROR(IF(Z195="","",Z195*20),""),IFERROR(IF(AA195="","",AA195*20),""),IFERROR(IF(AB195="","",AB195*20),""),IFERROR(IF(AC195="","",IF(AC195&gt;=85,100,IF(AC195&gt;=70,90,IF(AC195&gt;=55,75,IF(AC195&gt;=40,60,IF(AC195&gt;=25,40,20)))))),"")),"")</f>
        <v/>
      </c>
      <c r="AE195" s="33" t="n">
        <v>5</v>
      </c>
      <c r="AF195" s="33" t="n">
        <v>4</v>
      </c>
      <c r="AG195" s="33" t="n">
        <v>3</v>
      </c>
      <c r="AH195" s="33" t="n">
        <v>3</v>
      </c>
      <c r="AI195" s="33">
        <f>IFERROR((AVERAGE(AE195,AF195,AG195,AH195,AL195)-1)*25,"")</f>
        <v/>
      </c>
      <c r="AJ195" s="33">
        <f>IFERROR(J195*Weights!$B$4 + O195*Weights!$B$5 + S195*Weights!$B$6 + Y195*Weights!$B$7 + AD195*Weights!$B$8 + AI195*Weights!$B$9,"")</f>
        <v/>
      </c>
      <c r="AK195" s="33">
        <f>IF(AJ195="","",IF(AJ195&gt;=85,"✓✓✓",IF(AJ195&gt;=70,"✓✓",IF(AJ195&gt;=55,"✓",IF(AJ195&gt;=40,"?","✗")))))</f>
        <v/>
      </c>
      <c r="AL195" s="33" t="n">
        <v>5</v>
      </c>
    </row>
    <row r="196">
      <c r="A196" s="33" t="inlineStr">
        <is>
          <t>ALNT</t>
        </is>
      </c>
      <c r="B196" s="33" t="inlineStr">
        <is>
          <t>Allient Inc.</t>
        </is>
      </c>
      <c r="C196" s="33" t="inlineStr">
        <is>
          <t>11 Robotics &amp; Physical AI / Components: motion &amp; actuation</t>
        </is>
      </c>
      <c r="D196" s="33" t="inlineStr">
        <is>
          <t>2026-08-02</t>
        </is>
      </c>
      <c r="E196" s="33" t="n">
        <v>28.244884</v>
      </c>
      <c r="F196" s="33" t="n">
        <v>22.423</v>
      </c>
      <c r="G196" s="33" t="n">
        <v>2.75</v>
      </c>
      <c r="H196" s="33" t="n">
        <v>2.6516972</v>
      </c>
      <c r="I196" s="33">
        <f>IF(OR(E196="",R196="",R196&lt;=0,E196&lt;0),"",E196/R196)</f>
        <v/>
      </c>
      <c r="J196" s="33" t="n">
        <v>58.1</v>
      </c>
      <c r="K196" s="33" t="n">
        <v>7.78</v>
      </c>
      <c r="L196" s="33" t="n">
        <v>32.88</v>
      </c>
      <c r="M196" s="33" t="n">
        <v>7.28</v>
      </c>
      <c r="N196" s="33" t="n">
        <v>2.13</v>
      </c>
      <c r="O196" s="33" t="n">
        <v>61.7</v>
      </c>
      <c r="P196" s="33" t="n">
        <v>3.3</v>
      </c>
      <c r="Q196" s="33" t="n">
        <v>4.6</v>
      </c>
      <c r="R196" s="33" t="n">
        <v>50.6</v>
      </c>
      <c r="S196" s="33">
        <f>IFERROR(AVERAGE(IFERROR(IF(P196="","",IF(P196&gt;=40,100,IF(P196&gt;=30,90,IF(P196&gt;=20,75,IF(P196&gt;=15,60,IF(P196&gt;=10,45,IF(P196&gt;=5,30,15))))))),""),IFERROR(IF(Q196="","",IF(Q196&gt;=40,100,IF(Q196&gt;=30,90,IF(Q196&gt;=20,75,IF(Q196&gt;=10,60,IF(Q196&gt;=5,45,IF(Q196&gt;=0,30,15))))))),""),IFERROR(IF(R196="","",IF(R196&gt;=40,100,IF(R196&gt;=30,90,IF(R196&gt;=20,75,IF(R196&gt;=10,60,IF(R196&gt;=0,45,IF(R196&gt;=-10,30,15))))))),"")),"")</f>
        <v/>
      </c>
      <c r="T196" s="33" t="n">
        <v>2</v>
      </c>
      <c r="U196" s="33" t="n">
        <v>3</v>
      </c>
      <c r="V196" s="33" t="n">
        <v>3</v>
      </c>
      <c r="W196" s="33" t="n">
        <v>3</v>
      </c>
      <c r="X196" s="33" t="n">
        <v>2</v>
      </c>
      <c r="Y196" s="33">
        <f>IFERROR((AVERAGE(T196,U196,V196,W196,X196)-1)*25,"")</f>
        <v/>
      </c>
      <c r="Z196" s="33" t="n">
        <v>4</v>
      </c>
      <c r="AA196" s="33" t="n">
        <v>5</v>
      </c>
      <c r="AB196" s="33" t="n">
        <v>3</v>
      </c>
      <c r="AC196" s="33" t="n">
        <v>73.3</v>
      </c>
      <c r="AD196" s="33">
        <f>IFERROR(AVERAGE(IFERROR(IF(Z196="","",Z196*20),""),IFERROR(IF(AA196="","",AA196*20),""),IFERROR(IF(AB196="","",AB196*20),""),IFERROR(IF(AC196="","",IF(AC196&gt;=85,100,IF(AC196&gt;=70,90,IF(AC196&gt;=55,75,IF(AC196&gt;=40,60,IF(AC196&gt;=25,40,20)))))),"")),"")</f>
        <v/>
      </c>
      <c r="AE196" s="33" t="n">
        <v>5</v>
      </c>
      <c r="AF196" s="33" t="n">
        <v>4</v>
      </c>
      <c r="AG196" s="33" t="n">
        <v>3</v>
      </c>
      <c r="AH196" s="33" t="n">
        <v>4</v>
      </c>
      <c r="AI196" s="33">
        <f>IFERROR((AVERAGE(AE196,AF196,AG196,AH196,AL196)-1)*25,"")</f>
        <v/>
      </c>
      <c r="AJ196" s="33">
        <f>IFERROR(J196*Weights!$B$4 + O196*Weights!$B$5 + S196*Weights!$B$6 + Y196*Weights!$B$7 + AD196*Weights!$B$8 + AI196*Weights!$B$9,"")</f>
        <v/>
      </c>
      <c r="AK196" s="33">
        <f>IF(AJ196="","",IF(AJ196&gt;=85,"✓✓✓",IF(AJ196&gt;=70,"✓✓",IF(AJ196&gt;=55,"✓",IF(AJ196&gt;=40,"?","✗")))))</f>
        <v/>
      </c>
      <c r="AL196" s="33" t="n">
        <v>5</v>
      </c>
    </row>
    <row r="197">
      <c r="A197" s="33" t="inlineStr">
        <is>
          <t>NOVT</t>
        </is>
      </c>
      <c r="B197" s="33" t="inlineStr">
        <is>
          <t>Novanta Inc.</t>
        </is>
      </c>
      <c r="C197" s="33" t="inlineStr">
        <is>
          <t>11 Robotics &amp; Physical AI / Components: motion &amp; actuation</t>
        </is>
      </c>
      <c r="D197" s="33" t="inlineStr">
        <is>
          <t>2026-08-02</t>
        </is>
      </c>
      <c r="E197" s="33" t="n">
        <v>34.404694</v>
      </c>
      <c r="F197" s="33" t="n">
        <v>27.846</v>
      </c>
      <c r="G197" s="33" t="n">
        <v>1.35</v>
      </c>
      <c r="H197" s="33" t="n">
        <v>5.0517163</v>
      </c>
      <c r="I197" s="33">
        <f>IF(OR(E197="",R197="",R197&lt;=0,E197&lt;0),"",E197/R197)</f>
        <v/>
      </c>
      <c r="J197" s="33" t="n">
        <v>36.5</v>
      </c>
      <c r="K197" s="33" t="n">
        <v>4.91</v>
      </c>
      <c r="L197" s="33" t="n">
        <v>44.23</v>
      </c>
      <c r="M197" s="33" t="n">
        <v>6.82</v>
      </c>
      <c r="N197" s="33" t="n">
        <v>-0.55</v>
      </c>
      <c r="O197" s="33" t="n">
        <v>74.40000000000001</v>
      </c>
      <c r="P197" s="33" t="n">
        <v>4.43</v>
      </c>
      <c r="Q197" s="33" t="n">
        <v>10.4</v>
      </c>
      <c r="R197" s="33" t="n">
        <v>-0.5</v>
      </c>
      <c r="S197" s="33">
        <f>IFERROR(AVERAGE(IFERROR(IF(P197="","",IF(P197&gt;=40,100,IF(P197&gt;=30,90,IF(P197&gt;=20,75,IF(P197&gt;=15,60,IF(P197&gt;=10,45,IF(P197&gt;=5,30,15))))))),""),IFERROR(IF(Q197="","",IF(Q197&gt;=40,100,IF(Q197&gt;=30,90,IF(Q197&gt;=20,75,IF(Q197&gt;=10,60,IF(Q197&gt;=5,45,IF(Q197&gt;=0,30,15))))))),""),IFERROR(IF(R197="","",IF(R197&gt;=40,100,IF(R197&gt;=30,90,IF(R197&gt;=20,75,IF(R197&gt;=10,60,IF(R197&gt;=0,45,IF(R197&gt;=-10,30,15))))))),"")),"")</f>
        <v/>
      </c>
      <c r="T197" s="33" t="n">
        <v>4</v>
      </c>
      <c r="U197" s="33" t="n">
        <v>4</v>
      </c>
      <c r="V197" s="33" t="n">
        <v>4</v>
      </c>
      <c r="W197" s="33" t="n">
        <v>4</v>
      </c>
      <c r="X197" s="33" t="n">
        <v>4</v>
      </c>
      <c r="Y197" s="33">
        <f>IFERROR((AVERAGE(T197,U197,V197,W197,X197)-1)*25,"")</f>
        <v/>
      </c>
      <c r="Z197" s="33" t="n">
        <v>3</v>
      </c>
      <c r="AA197" s="33" t="n">
        <v>3</v>
      </c>
      <c r="AB197" s="33" t="n">
        <v>3</v>
      </c>
      <c r="AC197" s="33" t="n">
        <v>52.5</v>
      </c>
      <c r="AD197" s="33">
        <f>IFERROR(AVERAGE(IFERROR(IF(Z197="","",Z197*20),""),IFERROR(IF(AA197="","",AA197*20),""),IFERROR(IF(AB197="","",AB197*20),""),IFERROR(IF(AC197="","",IF(AC197&gt;=85,100,IF(AC197&gt;=70,90,IF(AC197&gt;=55,75,IF(AC197&gt;=40,60,IF(AC197&gt;=25,40,20)))))),"")),"")</f>
        <v/>
      </c>
      <c r="AE197" s="33" t="n">
        <v>5</v>
      </c>
      <c r="AF197" s="33" t="n">
        <v>5</v>
      </c>
      <c r="AG197" s="33" t="n">
        <v>3</v>
      </c>
      <c r="AH197" s="33" t="n">
        <v>4</v>
      </c>
      <c r="AI197" s="33">
        <f>IFERROR((AVERAGE(AE197,AF197,AG197,AH197,AL197)-1)*25,"")</f>
        <v/>
      </c>
      <c r="AJ197" s="33">
        <f>IFERROR(J197*Weights!$B$4 + O197*Weights!$B$5 + S197*Weights!$B$6 + Y197*Weights!$B$7 + AD197*Weights!$B$8 + AI197*Weights!$B$9,"")</f>
        <v/>
      </c>
      <c r="AK197" s="33">
        <f>IF(AJ197="","",IF(AJ197&gt;=85,"✓✓✓",IF(AJ197&gt;=70,"✓✓",IF(AJ197&gt;=55,"✓",IF(AJ197&gt;=40,"?","✗")))))</f>
        <v/>
      </c>
      <c r="AL197" s="33" t="n">
        <v>5</v>
      </c>
    </row>
    <row r="198">
      <c r="A198" s="33" t="inlineStr">
        <is>
          <t>VPG</t>
        </is>
      </c>
      <c r="B198" s="33" t="inlineStr">
        <is>
          <t>Vishay Precision Group, Inc.</t>
        </is>
      </c>
      <c r="C198" s="33" t="inlineStr">
        <is>
          <t>11 Robotics &amp; Physical AI / Components: motion &amp; actuation</t>
        </is>
      </c>
      <c r="D198" s="33" t="inlineStr">
        <is>
          <t>2026-08-02</t>
        </is>
      </c>
      <c r="E198" s="33" t="n">
        <v>50.856358</v>
      </c>
      <c r="F198" s="33" t="n">
        <v>45.986</v>
      </c>
      <c r="G198" s="33" t="n">
        <v>-0.09</v>
      </c>
      <c r="H198" s="33" t="n">
        <v>3.828341</v>
      </c>
      <c r="I198" s="33">
        <f>IF(OR(E198="",R198="",R198&lt;=0,E198&lt;0),"",E198/R198)</f>
        <v/>
      </c>
      <c r="J198" s="33" t="n">
        <v>33.1</v>
      </c>
      <c r="K198" s="33" t="n">
        <v>1.27</v>
      </c>
      <c r="L198" s="33" t="n">
        <v>39.24</v>
      </c>
      <c r="M198" s="33" t="n">
        <v>-0.33</v>
      </c>
      <c r="N198" s="33" t="n">
        <v>-1.48</v>
      </c>
      <c r="O198" s="33" t="n">
        <v>62.5</v>
      </c>
      <c r="P198" s="33" t="n">
        <v>-5.37</v>
      </c>
      <c r="Q198" s="33" t="n">
        <v>17.6</v>
      </c>
      <c r="S198" s="33">
        <f>IFERROR(AVERAGE(IFERROR(IF(P198="","",IF(P198&gt;=40,100,IF(P198&gt;=30,90,IF(P198&gt;=20,75,IF(P198&gt;=15,60,IF(P198&gt;=10,45,IF(P198&gt;=5,30,15))))))),""),IFERROR(IF(Q198="","",IF(Q198&gt;=40,100,IF(Q198&gt;=30,90,IF(Q198&gt;=20,75,IF(Q198&gt;=10,60,IF(Q198&gt;=5,45,IF(Q198&gt;=0,30,15))))))),""),IFERROR(IF(R198="","",IF(R198&gt;=40,100,IF(R198&gt;=30,90,IF(R198&gt;=20,75,IF(R198&gt;=10,60,IF(R198&gt;=0,45,IF(R198&gt;=-10,30,15))))))),"")),"")</f>
        <v/>
      </c>
      <c r="T198" s="33" t="n">
        <v>1</v>
      </c>
      <c r="U198" s="33" t="n">
        <v>4</v>
      </c>
      <c r="V198" s="33" t="n">
        <v>3</v>
      </c>
      <c r="W198" s="33" t="n">
        <v>3</v>
      </c>
      <c r="X198" s="33" t="n">
        <v>3</v>
      </c>
      <c r="Y198" s="33">
        <f>IFERROR((AVERAGE(T198,U198,V198,W198,X198)-1)*25,"")</f>
        <v/>
      </c>
      <c r="Z198" s="33" t="n">
        <v>4</v>
      </c>
      <c r="AA198" s="33" t="n">
        <v>5</v>
      </c>
      <c r="AB198" s="33" t="n">
        <v>3</v>
      </c>
      <c r="AC198" s="33" t="n">
        <v>54.2</v>
      </c>
      <c r="AD198" s="33">
        <f>IFERROR(AVERAGE(IFERROR(IF(Z198="","",Z198*20),""),IFERROR(IF(AA198="","",AA198*20),""),IFERROR(IF(AB198="","",AB198*20),""),IFERROR(IF(AC198="","",IF(AC198&gt;=85,100,IF(AC198&gt;=70,90,IF(AC198&gt;=55,75,IF(AC198&gt;=40,60,IF(AC198&gt;=25,40,20)))))),"")),"")</f>
        <v/>
      </c>
      <c r="AE198" s="33" t="n">
        <v>5</v>
      </c>
      <c r="AF198" s="33" t="n">
        <v>2</v>
      </c>
      <c r="AG198" s="33" t="n">
        <v>5</v>
      </c>
      <c r="AH198" s="33" t="n">
        <v>4</v>
      </c>
      <c r="AI198" s="33">
        <f>IFERROR((AVERAGE(AE198,AF198,AG198,AH198,AL198)-1)*25,"")</f>
        <v/>
      </c>
      <c r="AJ198" s="33">
        <f>IFERROR(J198*Weights!$B$4 + O198*Weights!$B$5 + S198*Weights!$B$6 + Y198*Weights!$B$7 + AD198*Weights!$B$8 + AI198*Weights!$B$9,"")</f>
        <v/>
      </c>
      <c r="AK198" s="33">
        <f>IF(AJ198="","",IF(AJ198&gt;=85,"✓✓✓",IF(AJ198&gt;=70,"✓✓",IF(AJ198&gt;=55,"✓",IF(AJ198&gt;=40,"?","✗")))))</f>
        <v/>
      </c>
      <c r="AL198" s="33" t="n">
        <v>5</v>
      </c>
    </row>
    <row r="199">
      <c r="A199" s="33" t="inlineStr">
        <is>
          <t>CGNX</t>
        </is>
      </c>
      <c r="B199" s="33" t="inlineStr">
        <is>
          <t>Cognex Corporation</t>
        </is>
      </c>
      <c r="C199" s="33" t="inlineStr">
        <is>
          <t>11 Robotics &amp; Physical AI / Machine vision &amp; perception</t>
        </is>
      </c>
      <c r="D199" s="33" t="inlineStr">
        <is>
          <t>2026-08-02</t>
        </is>
      </c>
      <c r="E199" s="33" t="n">
        <v>36.569916</v>
      </c>
      <c r="F199" s="33" t="n">
        <v>46.964</v>
      </c>
      <c r="G199" s="33" t="n">
        <v>2.22</v>
      </c>
      <c r="H199" s="33" t="n">
        <v>10.372201</v>
      </c>
      <c r="I199" s="33">
        <f>IF(OR(E199="",R199="",R199&lt;=0,E199&lt;0),"",E199/R199)</f>
        <v/>
      </c>
      <c r="J199" s="33" t="n">
        <v>42.6</v>
      </c>
      <c r="K199" s="33" t="n">
        <v>8.23</v>
      </c>
      <c r="L199" s="33" t="n">
        <v>68.02</v>
      </c>
      <c r="M199" s="33" t="n">
        <v>23.03</v>
      </c>
      <c r="N199" s="33" t="n">
        <v>-0.98</v>
      </c>
      <c r="O199" s="33" t="n">
        <v>93.09999999999999</v>
      </c>
      <c r="P199" s="33" t="n">
        <v>-0.39</v>
      </c>
      <c r="Q199" s="33" t="n">
        <v>24.3</v>
      </c>
      <c r="R199" s="33" t="n">
        <v>119.1</v>
      </c>
      <c r="S199" s="33">
        <f>IFERROR(AVERAGE(IFERROR(IF(P199="","",IF(P199&gt;=40,100,IF(P199&gt;=30,90,IF(P199&gt;=20,75,IF(P199&gt;=15,60,IF(P199&gt;=10,45,IF(P199&gt;=5,30,15))))))),""),IFERROR(IF(Q199="","",IF(Q199&gt;=40,100,IF(Q199&gt;=30,90,IF(Q199&gt;=20,75,IF(Q199&gt;=10,60,IF(Q199&gt;=5,45,IF(Q199&gt;=0,30,15))))))),""),IFERROR(IF(R199="","",IF(R199&gt;=40,100,IF(R199&gt;=30,90,IF(R199&gt;=20,75,IF(R199&gt;=10,60,IF(R199&gt;=0,45,IF(R199&gt;=-10,30,15))))))),"")),"")</f>
        <v/>
      </c>
      <c r="T199" s="33" t="n">
        <v>2</v>
      </c>
      <c r="U199" s="33" t="n">
        <v>4</v>
      </c>
      <c r="V199" s="33" t="n">
        <v>4</v>
      </c>
      <c r="W199" s="33" t="n">
        <v>3</v>
      </c>
      <c r="X199" s="33" t="n">
        <v>3</v>
      </c>
      <c r="Y199" s="33">
        <f>IFERROR((AVERAGE(T199,U199,V199,W199,X199)-1)*25,"")</f>
        <v/>
      </c>
      <c r="Z199" s="33" t="n">
        <v>5</v>
      </c>
      <c r="AA199" s="33" t="n">
        <v>5</v>
      </c>
      <c r="AB199" s="33" t="n">
        <v>3</v>
      </c>
      <c r="AC199" s="33" t="n">
        <v>65.8</v>
      </c>
      <c r="AD199" s="33">
        <f>IFERROR(AVERAGE(IFERROR(IF(Z199="","",Z199*20),""),IFERROR(IF(AA199="","",AA199*20),""),IFERROR(IF(AB199="","",AB199*20),""),IFERROR(IF(AC199="","",IF(AC199&gt;=85,100,IF(AC199&gt;=70,90,IF(AC199&gt;=55,75,IF(AC199&gt;=40,60,IF(AC199&gt;=25,40,20)))))),"")),"")</f>
        <v/>
      </c>
      <c r="AE199" s="33" t="n">
        <v>4</v>
      </c>
      <c r="AF199" s="33" t="n">
        <v>4</v>
      </c>
      <c r="AG199" s="33" t="n">
        <v>5</v>
      </c>
      <c r="AH199" s="33" t="n">
        <v>5</v>
      </c>
      <c r="AI199" s="33">
        <f>IFERROR((AVERAGE(AE199,AF199,AG199,AH199,AL199)-1)*25,"")</f>
        <v/>
      </c>
      <c r="AJ199" s="33">
        <f>IFERROR(J199*Weights!$B$4 + O199*Weights!$B$5 + S199*Weights!$B$6 + Y199*Weights!$B$7 + AD199*Weights!$B$8 + AI199*Weights!$B$9,"")</f>
        <v/>
      </c>
      <c r="AK199" s="33">
        <f>IF(AJ199="","",IF(AJ199&gt;=85,"✓✓✓",IF(AJ199&gt;=70,"✓✓",IF(AJ199&gt;=55,"✓",IF(AJ199&gt;=40,"?","✗")))))</f>
        <v/>
      </c>
      <c r="AL199" s="33" t="n">
        <v>5</v>
      </c>
    </row>
    <row r="200">
      <c r="A200" s="33" t="inlineStr">
        <is>
          <t>6861.T</t>
        </is>
      </c>
      <c r="B200" s="33" t="inlineStr">
        <is>
          <t>Keyence Corporation</t>
        </is>
      </c>
      <c r="C200" s="33" t="inlineStr">
        <is>
          <t>11 Robotics &amp; Physical AI / Machine vision &amp; perception</t>
        </is>
      </c>
      <c r="D200" s="33" t="inlineStr">
        <is>
          <t>2026-08-02</t>
        </is>
      </c>
      <c r="E200" s="33" t="n">
        <v>43.456375</v>
      </c>
      <c r="H200" s="33" t="n">
        <v>15.684077</v>
      </c>
      <c r="I200" s="33">
        <f>IF(OR(E200="",R200="",R200&lt;=0,E200&lt;0),"",E200/R200)</f>
        <v/>
      </c>
      <c r="J200" s="33" t="n">
        <v>43.1</v>
      </c>
      <c r="L200" s="33" t="n">
        <v>83.66</v>
      </c>
      <c r="O200" s="33" t="n">
        <v>98.7</v>
      </c>
      <c r="P200" s="33" t="n">
        <v>8.23</v>
      </c>
      <c r="Q200" s="33" t="n">
        <v>32.8</v>
      </c>
      <c r="R200" s="33" t="n">
        <v>51</v>
      </c>
      <c r="S200" s="33">
        <f>IFERROR(AVERAGE(IFERROR(IF(P200="","",IF(P200&gt;=40,100,IF(P200&gt;=30,90,IF(P200&gt;=20,75,IF(P200&gt;=15,60,IF(P200&gt;=10,45,IF(P200&gt;=5,30,15))))))),""),IFERROR(IF(Q200="","",IF(Q200&gt;=40,100,IF(Q200&gt;=30,90,IF(Q200&gt;=20,75,IF(Q200&gt;=10,60,IF(Q200&gt;=5,45,IF(Q200&gt;=0,30,15))))))),""),IFERROR(IF(R200="","",IF(R200&gt;=40,100,IF(R200&gt;=30,90,IF(R200&gt;=20,75,IF(R200&gt;=10,60,IF(R200&gt;=0,45,IF(R200&gt;=-10,30,15))))))),"")),"")</f>
        <v/>
      </c>
      <c r="T200" s="33" t="n">
        <v>2</v>
      </c>
      <c r="U200" s="33" t="n">
        <v>5</v>
      </c>
      <c r="V200" s="33" t="n">
        <v>5</v>
      </c>
      <c r="W200" s="33" t="n">
        <v>3</v>
      </c>
      <c r="X200" s="33" t="n">
        <v>3</v>
      </c>
      <c r="Y200" s="33">
        <f>IFERROR((AVERAGE(T200,U200,V200,W200,X200)-1)*25,"")</f>
        <v/>
      </c>
      <c r="Z200" s="33" t="n">
        <v>5</v>
      </c>
      <c r="AA200" s="33" t="n">
        <v>5</v>
      </c>
      <c r="AB200" s="33" t="n">
        <v>3</v>
      </c>
      <c r="AC200" s="33" t="n">
        <v>70.8</v>
      </c>
      <c r="AD200" s="33">
        <f>IFERROR(AVERAGE(IFERROR(IF(Z200="","",Z200*20),""),IFERROR(IF(AA200="","",AA200*20),""),IFERROR(IF(AB200="","",AB200*20),""),IFERROR(IF(AC200="","",IF(AC200&gt;=85,100,IF(AC200&gt;=70,90,IF(AC200&gt;=55,75,IF(AC200&gt;=40,60,IF(AC200&gt;=25,40,20)))))),"")),"")</f>
        <v/>
      </c>
      <c r="AE200" s="33" t="n">
        <v>5</v>
      </c>
      <c r="AF200" s="33" t="n">
        <v>3</v>
      </c>
      <c r="AG200" s="33" t="n">
        <v>5</v>
      </c>
      <c r="AH200" s="33" t="n">
        <v>5</v>
      </c>
      <c r="AI200" s="33">
        <f>IFERROR((AVERAGE(AE200,AF200,AG200,AH200,AL200)-1)*25,"")</f>
        <v/>
      </c>
      <c r="AJ200" s="33">
        <f>IFERROR(J200*Weights!$B$4 + O200*Weights!$B$5 + S200*Weights!$B$6 + Y200*Weights!$B$7 + AD200*Weights!$B$8 + AI200*Weights!$B$9,"")</f>
        <v/>
      </c>
      <c r="AK200" s="33">
        <f>IF(AJ200="","",IF(AJ200&gt;=85,"✓✓✓",IF(AJ200&gt;=70,"✓✓",IF(AJ200&gt;=55,"✓",IF(AJ200&gt;=40,"?","✗")))))</f>
        <v/>
      </c>
      <c r="AL200" s="33" t="n">
        <v>5</v>
      </c>
    </row>
    <row r="201">
      <c r="A201" s="33" t="inlineStr">
        <is>
          <t>OUST</t>
        </is>
      </c>
      <c r="B201" s="33" t="inlineStr">
        <is>
          <t>Ouster, Inc.</t>
        </is>
      </c>
      <c r="C201" s="33" t="inlineStr">
        <is>
          <t>11 Robotics &amp; Physical AI / Machine vision &amp; perception</t>
        </is>
      </c>
      <c r="D201" s="33" t="inlineStr">
        <is>
          <t>2026-08-02</t>
        </is>
      </c>
      <c r="E201" s="33" t="n">
        <v>-866.8887999999999</v>
      </c>
      <c r="F201" s="33" t="n">
        <v>-34.444</v>
      </c>
      <c r="G201" s="33" t="n">
        <v>-2.64</v>
      </c>
      <c r="H201" s="33" t="n">
        <v>14.164846</v>
      </c>
      <c r="I201" s="33">
        <f>IF(OR(E201="",R201="",R201&lt;=0,E201&lt;0),"",E201/R201)</f>
        <v/>
      </c>
      <c r="J201" s="33" t="n">
        <v>36.8</v>
      </c>
      <c r="K201" s="33" t="n">
        <v>-12.62</v>
      </c>
      <c r="L201" s="33" t="n">
        <v>47.69</v>
      </c>
      <c r="M201" s="33" t="n">
        <v>-37.37</v>
      </c>
      <c r="O201" s="33" t="n">
        <v>39.9</v>
      </c>
      <c r="P201" s="33" t="n">
        <v>60.42</v>
      </c>
      <c r="Q201" s="33" t="n">
        <v>48.9</v>
      </c>
      <c r="S201" s="33">
        <f>IFERROR(AVERAGE(IFERROR(IF(P201="","",IF(P201&gt;=40,100,IF(P201&gt;=30,90,IF(P201&gt;=20,75,IF(P201&gt;=15,60,IF(P201&gt;=10,45,IF(P201&gt;=5,30,15))))))),""),IFERROR(IF(Q201="","",IF(Q201&gt;=40,100,IF(Q201&gt;=30,90,IF(Q201&gt;=20,75,IF(Q201&gt;=10,60,IF(Q201&gt;=5,45,IF(Q201&gt;=0,30,15))))))),""),IFERROR(IF(R201="","",IF(R201&gt;=40,100,IF(R201&gt;=30,90,IF(R201&gt;=20,75,IF(R201&gt;=10,60,IF(R201&gt;=0,45,IF(R201&gt;=-10,30,15))))))),"")),"")</f>
        <v/>
      </c>
      <c r="T201" s="33" t="n">
        <v>5</v>
      </c>
      <c r="U201" s="33" t="n">
        <v>3</v>
      </c>
      <c r="V201" s="33" t="n">
        <v>3</v>
      </c>
      <c r="W201" s="33" t="n">
        <v>5</v>
      </c>
      <c r="X201" s="33" t="n">
        <v>4</v>
      </c>
      <c r="Y201" s="33">
        <f>IFERROR((AVERAGE(T201,U201,V201,W201,X201)-1)*25,"")</f>
        <v/>
      </c>
      <c r="Z201" s="33" t="n">
        <v>4</v>
      </c>
      <c r="AA201" s="33" t="n">
        <v>5</v>
      </c>
      <c r="AB201" s="33" t="n">
        <v>4</v>
      </c>
      <c r="AC201" s="33" t="n">
        <v>64.2</v>
      </c>
      <c r="AD201" s="33">
        <f>IFERROR(AVERAGE(IFERROR(IF(Z201="","",Z201*20),""),IFERROR(IF(AA201="","",AA201*20),""),IFERROR(IF(AB201="","",AB201*20),""),IFERROR(IF(AC201="","",IF(AC201&gt;=85,100,IF(AC201&gt;=70,90,IF(AC201&gt;=55,75,IF(AC201&gt;=40,60,IF(AC201&gt;=25,40,20)))))),"")),"")</f>
        <v/>
      </c>
      <c r="AE201" s="33" t="n">
        <v>3</v>
      </c>
      <c r="AF201" s="33" t="n">
        <v>4</v>
      </c>
      <c r="AG201" s="33" t="n">
        <v>4</v>
      </c>
      <c r="AH201" s="33" t="n">
        <v>4</v>
      </c>
      <c r="AI201" s="33">
        <f>IFERROR((AVERAGE(AE201,AF201,AG201,AH201,AL201)-1)*25,"")</f>
        <v/>
      </c>
      <c r="AJ201" s="33">
        <f>IFERROR(J201*Weights!$B$4 + O201*Weights!$B$5 + S201*Weights!$B$6 + Y201*Weights!$B$7 + AD201*Weights!$B$8 + AI201*Weights!$B$9,"")</f>
        <v/>
      </c>
      <c r="AK201" s="33">
        <f>IF(AJ201="","",IF(AJ201&gt;=85,"✓✓✓",IF(AJ201&gt;=70,"✓✓",IF(AJ201&gt;=55,"✓",IF(AJ201&gt;=40,"?","✗")))))</f>
        <v/>
      </c>
      <c r="AL201" s="33" t="n">
        <v>5</v>
      </c>
    </row>
    <row r="202">
      <c r="A202" s="33" t="inlineStr">
        <is>
          <t>HSAI</t>
        </is>
      </c>
      <c r="B202" s="33" t="inlineStr">
        <is>
          <t>Hesai Group</t>
        </is>
      </c>
      <c r="C202" s="33" t="inlineStr">
        <is>
          <t>11 Robotics &amp; Physical AI / Machine vision &amp; perception</t>
        </is>
      </c>
      <c r="D202" s="33" t="inlineStr">
        <is>
          <t>2026-08-02</t>
        </is>
      </c>
      <c r="E202" s="33" t="n">
        <v>18.911867</v>
      </c>
      <c r="H202" s="33" t="n">
        <v>5.7</v>
      </c>
      <c r="I202" s="33">
        <f>IF(OR(E202="",R202="",R202&lt;=0,E202&lt;0),"",E202/R202)</f>
        <v/>
      </c>
      <c r="J202" s="33" t="n">
        <v>62.5</v>
      </c>
      <c r="K202" s="33" t="n">
        <v>1.41</v>
      </c>
      <c r="L202" s="33" t="n">
        <v>41.22</v>
      </c>
      <c r="N202" s="33" t="n">
        <v>-39.28</v>
      </c>
      <c r="O202" s="33" t="n">
        <v>73.8</v>
      </c>
      <c r="P202" s="33" t="n">
        <v>36.03</v>
      </c>
      <c r="Q202" s="33" t="n">
        <v>29.6</v>
      </c>
      <c r="S202" s="33">
        <f>IFERROR(AVERAGE(IFERROR(IF(P202="","",IF(P202&gt;=40,100,IF(P202&gt;=30,90,IF(P202&gt;=20,75,IF(P202&gt;=15,60,IF(P202&gt;=10,45,IF(P202&gt;=5,30,15))))))),""),IFERROR(IF(Q202="","",IF(Q202&gt;=40,100,IF(Q202&gt;=30,90,IF(Q202&gt;=20,75,IF(Q202&gt;=10,60,IF(Q202&gt;=5,45,IF(Q202&gt;=0,30,15))))))),""),IFERROR(IF(R202="","",IF(R202&gt;=40,100,IF(R202&gt;=30,90,IF(R202&gt;=20,75,IF(R202&gt;=10,60,IF(R202&gt;=0,45,IF(R202&gt;=-10,30,15))))))),"")),"")</f>
        <v/>
      </c>
      <c r="T202" s="33" t="n">
        <v>4</v>
      </c>
      <c r="U202" s="33" t="n">
        <v>3</v>
      </c>
      <c r="V202" s="33" t="n">
        <v>3</v>
      </c>
      <c r="W202" s="33" t="n">
        <v>5</v>
      </c>
      <c r="X202" s="33" t="n">
        <v>4</v>
      </c>
      <c r="Y202" s="33">
        <f>IFERROR((AVERAGE(T202,U202,V202,W202,X202)-1)*25,"")</f>
        <v/>
      </c>
      <c r="Z202" s="33" t="n">
        <v>3</v>
      </c>
      <c r="AA202" s="33" t="n">
        <v>1</v>
      </c>
      <c r="AB202" s="33" t="n">
        <v>3</v>
      </c>
      <c r="AC202" s="33" t="n">
        <v>26.7</v>
      </c>
      <c r="AD202" s="33">
        <f>IFERROR(AVERAGE(IFERROR(IF(Z202="","",Z202*20),""),IFERROR(IF(AA202="","",AA202*20),""),IFERROR(IF(AB202="","",AB202*20),""),IFERROR(IF(AC202="","",IF(AC202&gt;=85,100,IF(AC202&gt;=70,90,IF(AC202&gt;=55,75,IF(AC202&gt;=40,60,IF(AC202&gt;=25,40,20)))))),"")),"")</f>
        <v/>
      </c>
      <c r="AE202" s="33" t="n">
        <v>4</v>
      </c>
      <c r="AF202" s="33" t="n">
        <v>2</v>
      </c>
      <c r="AG202" s="33" t="n">
        <v>5</v>
      </c>
      <c r="AH202" s="33" t="n">
        <v>2</v>
      </c>
      <c r="AI202" s="33">
        <f>IFERROR((AVERAGE(AE202,AF202,AG202,AH202,AL202)-1)*25,"")</f>
        <v/>
      </c>
      <c r="AJ202" s="33">
        <f>IFERROR(J202*Weights!$B$4 + O202*Weights!$B$5 + S202*Weights!$B$6 + Y202*Weights!$B$7 + AD202*Weights!$B$8 + AI202*Weights!$B$9,"")</f>
        <v/>
      </c>
      <c r="AK202" s="33">
        <f>IF(AJ202="","",IF(AJ202&gt;=85,"✓✓✓",IF(AJ202&gt;=70,"✓✓",IF(AJ202&gt;=55,"✓",IF(AJ202&gt;=40,"?","✗")))))</f>
        <v/>
      </c>
      <c r="AL202" s="33" t="n">
        <v>5</v>
      </c>
    </row>
    <row r="203">
      <c r="A203" s="33" t="inlineStr">
        <is>
          <t>AEVA</t>
        </is>
      </c>
      <c r="B203" s="33" t="inlineStr">
        <is>
          <t>Aeva Technologies, Inc.</t>
        </is>
      </c>
      <c r="C203" s="33" t="inlineStr">
        <is>
          <t>11 Robotics &amp; Physical AI / Machine vision &amp; perception</t>
        </is>
      </c>
      <c r="D203" s="33" t="inlineStr">
        <is>
          <t>2026-08-02</t>
        </is>
      </c>
      <c r="E203" s="33" t="n">
        <v>-11.334411</v>
      </c>
      <c r="F203" s="33" t="n">
        <v>-8.727</v>
      </c>
      <c r="G203" s="33" t="n">
        <v>-9.84</v>
      </c>
      <c r="H203" s="33" t="n">
        <v>56.48059</v>
      </c>
      <c r="I203" s="33">
        <f>IF(OR(E203="",R203="",R203&lt;=0,E203&lt;0),"",E203/R203)</f>
        <v/>
      </c>
      <c r="J203" s="33" t="n">
        <v>25.6</v>
      </c>
      <c r="K203" s="33" t="n">
        <v>-51.65</v>
      </c>
      <c r="L203" s="33" t="n">
        <v>4.63</v>
      </c>
      <c r="M203" s="33" t="n">
        <v>-555.51</v>
      </c>
      <c r="O203" s="33" t="n">
        <v>3.5</v>
      </c>
      <c r="P203" s="33" t="n">
        <v>62.77</v>
      </c>
      <c r="Q203" s="33" t="n">
        <v>85.90000000000001</v>
      </c>
      <c r="S203" s="33">
        <f>IFERROR(AVERAGE(IFERROR(IF(P203="","",IF(P203&gt;=40,100,IF(P203&gt;=30,90,IF(P203&gt;=20,75,IF(P203&gt;=15,60,IF(P203&gt;=10,45,IF(P203&gt;=5,30,15))))))),""),IFERROR(IF(Q203="","",IF(Q203&gt;=40,100,IF(Q203&gt;=30,90,IF(Q203&gt;=20,75,IF(Q203&gt;=10,60,IF(Q203&gt;=5,45,IF(Q203&gt;=0,30,15))))))),""),IFERROR(IF(R203="","",IF(R203&gt;=40,100,IF(R203&gt;=30,90,IF(R203&gt;=20,75,IF(R203&gt;=10,60,IF(R203&gt;=0,45,IF(R203&gt;=-10,30,15))))))),"")),"")</f>
        <v/>
      </c>
      <c r="T203" s="33" t="n">
        <v>5</v>
      </c>
      <c r="U203" s="33" t="n">
        <v>2</v>
      </c>
      <c r="V203" s="33" t="n">
        <v>3</v>
      </c>
      <c r="W203" s="33" t="n">
        <v>4</v>
      </c>
      <c r="X203" s="33" t="n">
        <v>3</v>
      </c>
      <c r="Y203" s="33">
        <f>IFERROR((AVERAGE(T203,U203,V203,W203,X203)-1)*25,"")</f>
        <v/>
      </c>
      <c r="Z203" s="33" t="n">
        <v>3</v>
      </c>
      <c r="AA203" s="33" t="n">
        <v>1</v>
      </c>
      <c r="AB203" s="33" t="n">
        <v>3</v>
      </c>
      <c r="AC203" s="33" t="n">
        <v>51.7</v>
      </c>
      <c r="AD203" s="33">
        <f>IFERROR(AVERAGE(IFERROR(IF(Z203="","",Z203*20),""),IFERROR(IF(AA203="","",AA203*20),""),IFERROR(IF(AB203="","",AB203*20),""),IFERROR(IF(AC203="","",IF(AC203&gt;=85,100,IF(AC203&gt;=70,90,IF(AC203&gt;=55,75,IF(AC203&gt;=40,60,IF(AC203&gt;=25,40,20)))))),"")),"")</f>
        <v/>
      </c>
      <c r="AE203" s="33" t="n">
        <v>2</v>
      </c>
      <c r="AF203" s="33" t="n">
        <v>3</v>
      </c>
      <c r="AG203" s="33" t="n">
        <v>2</v>
      </c>
      <c r="AH203" s="33" t="n">
        <v>4</v>
      </c>
      <c r="AI203" s="33">
        <f>IFERROR((AVERAGE(AE203,AF203,AG203,AH203,AL203)-1)*25,"")</f>
        <v/>
      </c>
      <c r="AJ203" s="33">
        <f>IFERROR(J203*Weights!$B$4 + O203*Weights!$B$5 + S203*Weights!$B$6 + Y203*Weights!$B$7 + AD203*Weights!$B$8 + AI203*Weights!$B$9,"")</f>
        <v/>
      </c>
      <c r="AK203" s="33">
        <f>IF(AJ203="","",IF(AJ203&gt;=85,"✓✓✓",IF(AJ203&gt;=70,"✓✓",IF(AJ203&gt;=55,"✓",IF(AJ203&gt;=40,"?","✗")))))</f>
        <v/>
      </c>
      <c r="AL203" s="33" t="n">
        <v>5</v>
      </c>
    </row>
    <row r="204">
      <c r="A204" s="33" t="inlineStr">
        <is>
          <t>2498.HK</t>
        </is>
      </c>
      <c r="B204" s="33" t="inlineStr">
        <is>
          <t>Robosense Technology Co., Ltd</t>
        </is>
      </c>
      <c r="C204" s="33" t="inlineStr">
        <is>
          <t>11 Robotics &amp; Physical AI / Machine vision &amp; perception</t>
        </is>
      </c>
      <c r="D204" s="33" t="inlineStr">
        <is>
          <t>2026-08-02</t>
        </is>
      </c>
      <c r="E204" s="33" t="n">
        <v>27.35483</v>
      </c>
      <c r="H204" s="33" t="n">
        <v>4.57</v>
      </c>
      <c r="I204" s="33">
        <f>IF(OR(E204="",R204="",R204&lt;=0,E204&lt;0),"",E204/R204)</f>
        <v/>
      </c>
      <c r="J204" s="33" t="n">
        <v>50.1</v>
      </c>
      <c r="L204" s="33" t="n">
        <v>25.91</v>
      </c>
      <c r="O204" s="33" t="n">
        <v>16.7</v>
      </c>
      <c r="P204" s="33" t="n">
        <v>54.11</v>
      </c>
      <c r="Q204" s="33" t="n">
        <v>39.9</v>
      </c>
      <c r="S204" s="33">
        <f>IFERROR(AVERAGE(IFERROR(IF(P204="","",IF(P204&gt;=40,100,IF(P204&gt;=30,90,IF(P204&gt;=20,75,IF(P204&gt;=15,60,IF(P204&gt;=10,45,IF(P204&gt;=5,30,15))))))),""),IFERROR(IF(Q204="","",IF(Q204&gt;=40,100,IF(Q204&gt;=30,90,IF(Q204&gt;=20,75,IF(Q204&gt;=10,60,IF(Q204&gt;=5,45,IF(Q204&gt;=0,30,15))))))),""),IFERROR(IF(R204="","",IF(R204&gt;=40,100,IF(R204&gt;=30,90,IF(R204&gt;=20,75,IF(R204&gt;=10,60,IF(R204&gt;=0,45,IF(R204&gt;=-10,30,15))))))),"")),"")</f>
        <v/>
      </c>
      <c r="T204" s="33" t="n">
        <v>4</v>
      </c>
      <c r="U204" s="33" t="n">
        <v>2</v>
      </c>
      <c r="V204" s="33" t="n">
        <v>2</v>
      </c>
      <c r="W204" s="33" t="n">
        <v>4</v>
      </c>
      <c r="X204" s="33" t="n">
        <v>5</v>
      </c>
      <c r="Y204" s="33">
        <f>IFERROR((AVERAGE(T204,U204,V204,W204,X204)-1)*25,"")</f>
        <v/>
      </c>
      <c r="Z204" s="33" t="n">
        <v>3</v>
      </c>
      <c r="AA204" s="33" t="n">
        <v>1</v>
      </c>
      <c r="AB204" s="33" t="n">
        <v>3</v>
      </c>
      <c r="AC204" s="33" t="n">
        <v>9.199999999999999</v>
      </c>
      <c r="AD204" s="33">
        <f>IFERROR(AVERAGE(IFERROR(IF(Z204="","",Z204*20),""),IFERROR(IF(AA204="","",AA204*20),""),IFERROR(IF(AB204="","",AB204*20),""),IFERROR(IF(AC204="","",IF(AC204&gt;=85,100,IF(AC204&gt;=70,90,IF(AC204&gt;=55,75,IF(AC204&gt;=40,60,IF(AC204&gt;=25,40,20)))))),"")),"")</f>
        <v/>
      </c>
      <c r="AE204" s="33" t="n">
        <v>3</v>
      </c>
      <c r="AF204" s="33" t="n">
        <v>2</v>
      </c>
      <c r="AG204" s="33" t="n">
        <v>4</v>
      </c>
      <c r="AH204" s="33" t="n">
        <v>3</v>
      </c>
      <c r="AI204" s="33">
        <f>IFERROR((AVERAGE(AE204,AF204,AG204,AH204,AL204)-1)*25,"")</f>
        <v/>
      </c>
      <c r="AJ204" s="33">
        <f>IFERROR(J204*Weights!$B$4 + O204*Weights!$B$5 + S204*Weights!$B$6 + Y204*Weights!$B$7 + AD204*Weights!$B$8 + AI204*Weights!$B$9,"")</f>
        <v/>
      </c>
      <c r="AK204" s="33">
        <f>IF(AJ204="","",IF(AJ204&gt;=85,"✓✓✓",IF(AJ204&gt;=70,"✓✓",IF(AJ204&gt;=55,"✓",IF(AJ204&gt;=40,"?","✗")))))</f>
        <v/>
      </c>
      <c r="AL204" s="33" t="n">
        <v>5</v>
      </c>
    </row>
    <row r="205">
      <c r="A205" s="33" t="inlineStr">
        <is>
          <t>BSL.DE</t>
        </is>
      </c>
      <c r="B205" s="33" t="inlineStr">
        <is>
          <t>Basler Aktiengesellschaft</t>
        </is>
      </c>
      <c r="C205" s="33" t="inlineStr">
        <is>
          <t>11 Robotics &amp; Physical AI / Machine vision &amp; perception</t>
        </is>
      </c>
      <c r="D205" s="33" t="inlineStr">
        <is>
          <t>2026-08-02</t>
        </is>
      </c>
      <c r="E205" s="33" t="n">
        <v>23.809525</v>
      </c>
      <c r="F205" s="33" t="n">
        <v>22.863</v>
      </c>
      <c r="G205" s="33" t="n">
        <v>2.23</v>
      </c>
      <c r="H205" s="33" t="n">
        <v>3.1712081</v>
      </c>
      <c r="I205" s="33">
        <f>IF(OR(E205="",R205="",R205&lt;=0,E205&lt;0),"",E205/R205)</f>
        <v/>
      </c>
      <c r="J205" s="33" t="n">
        <v>59.4</v>
      </c>
      <c r="L205" s="33" t="n">
        <v>49.26</v>
      </c>
      <c r="M205" s="33" t="n">
        <v>7.06</v>
      </c>
      <c r="N205" s="33" t="n">
        <v>0.92</v>
      </c>
      <c r="O205" s="33" t="n">
        <v>76.59999999999999</v>
      </c>
      <c r="P205" s="33" t="n">
        <v>-6.45</v>
      </c>
      <c r="Q205" s="33" t="n">
        <v>30.1</v>
      </c>
      <c r="R205" s="33" t="n">
        <v>172.5</v>
      </c>
      <c r="S205" s="33">
        <f>IFERROR(AVERAGE(IFERROR(IF(P205="","",IF(P205&gt;=40,100,IF(P205&gt;=30,90,IF(P205&gt;=20,75,IF(P205&gt;=15,60,IF(P205&gt;=10,45,IF(P205&gt;=5,30,15))))))),""),IFERROR(IF(Q205="","",IF(Q205&gt;=40,100,IF(Q205&gt;=30,90,IF(Q205&gt;=20,75,IF(Q205&gt;=10,60,IF(Q205&gt;=5,45,IF(Q205&gt;=0,30,15))))))),""),IFERROR(IF(R205="","",IF(R205&gt;=40,100,IF(R205&gt;=30,90,IF(R205&gt;=20,75,IF(R205&gt;=10,60,IF(R205&gt;=0,45,IF(R205&gt;=-10,30,15))))))),"")),"")</f>
        <v/>
      </c>
      <c r="T205" s="33" t="n">
        <v>2</v>
      </c>
      <c r="U205" s="33" t="n">
        <v>3</v>
      </c>
      <c r="V205" s="33" t="n">
        <v>3</v>
      </c>
      <c r="W205" s="33" t="n">
        <v>5</v>
      </c>
      <c r="X205" s="33" t="n">
        <v>2</v>
      </c>
      <c r="Y205" s="33">
        <f>IFERROR((AVERAGE(T205,U205,V205,W205,X205)-1)*25,"")</f>
        <v/>
      </c>
      <c r="Z205" s="33" t="n">
        <v>5</v>
      </c>
      <c r="AA205" s="33" t="n">
        <v>5</v>
      </c>
      <c r="AB205" s="33" t="n">
        <v>3</v>
      </c>
      <c r="AC205" s="33" t="n">
        <v>55</v>
      </c>
      <c r="AD205" s="33">
        <f>IFERROR(AVERAGE(IFERROR(IF(Z205="","",Z205*20),""),IFERROR(IF(AA205="","",AA205*20),""),IFERROR(IF(AB205="","",AB205*20),""),IFERROR(IF(AC205="","",IF(AC205&gt;=85,100,IF(AC205&gt;=70,90,IF(AC205&gt;=55,75,IF(AC205&gt;=40,60,IF(AC205&gt;=25,40,20)))))),"")),"")</f>
        <v/>
      </c>
      <c r="AE205" s="33" t="n">
        <v>5</v>
      </c>
      <c r="AF205" s="33" t="n">
        <v>3</v>
      </c>
      <c r="AG205" s="33" t="n">
        <v>4</v>
      </c>
      <c r="AH205" s="33" t="n">
        <v>5</v>
      </c>
      <c r="AI205" s="33">
        <f>IFERROR((AVERAGE(AE205,AF205,AG205,AH205,AL205)-1)*25,"")</f>
        <v/>
      </c>
      <c r="AJ205" s="33">
        <f>IFERROR(J205*Weights!$B$4 + O205*Weights!$B$5 + S205*Weights!$B$6 + Y205*Weights!$B$7 + AD205*Weights!$B$8 + AI205*Weights!$B$9,"")</f>
        <v/>
      </c>
      <c r="AK205" s="33">
        <f>IF(AJ205="","",IF(AJ205&gt;=85,"✓✓✓",IF(AJ205&gt;=70,"✓✓",IF(AJ205&gt;=55,"✓",IF(AJ205&gt;=40,"?","✗")))))</f>
        <v/>
      </c>
      <c r="AL205" s="33" t="n">
        <v>5</v>
      </c>
    </row>
    <row r="206">
      <c r="A206" s="33" t="inlineStr">
        <is>
          <t>MBLY</t>
        </is>
      </c>
      <c r="B206" s="33" t="inlineStr">
        <is>
          <t>Mobileye Global Inc.</t>
        </is>
      </c>
      <c r="C206" s="33" t="inlineStr">
        <is>
          <t>11 Robotics &amp; Physical AI / Autonomy platforms &amp; defense</t>
        </is>
      </c>
      <c r="D206" s="33" t="inlineStr">
        <is>
          <t>2026-08-02</t>
        </is>
      </c>
      <c r="E206" s="33" t="n">
        <v>16.935778</v>
      </c>
      <c r="F206" s="33" t="n">
        <v>-22.394</v>
      </c>
      <c r="G206" s="33" t="n">
        <v>5.9</v>
      </c>
      <c r="H206" s="33" t="n">
        <v>3.26</v>
      </c>
      <c r="I206" s="33">
        <f>IF(OR(E206="",R206="",R206&lt;=0,E206&lt;0),"",E206/R206)</f>
        <v/>
      </c>
      <c r="J206" s="33" t="n">
        <v>75.5</v>
      </c>
      <c r="K206" s="33" t="n">
        <v>-3.65</v>
      </c>
      <c r="L206" s="33" t="n">
        <v>47.37</v>
      </c>
      <c r="M206" s="33" t="n">
        <v>19.25</v>
      </c>
      <c r="O206" s="33" t="n">
        <v>66.09999999999999</v>
      </c>
      <c r="P206" s="33" t="n">
        <v>0.44</v>
      </c>
      <c r="Q206" s="33" t="n">
        <v>0.4</v>
      </c>
      <c r="S206" s="33">
        <f>IFERROR(AVERAGE(IFERROR(IF(P206="","",IF(P206&gt;=40,100,IF(P206&gt;=30,90,IF(P206&gt;=20,75,IF(P206&gt;=15,60,IF(P206&gt;=10,45,IF(P206&gt;=5,30,15))))))),""),IFERROR(IF(Q206="","",IF(Q206&gt;=40,100,IF(Q206&gt;=30,90,IF(Q206&gt;=20,75,IF(Q206&gt;=10,60,IF(Q206&gt;=5,45,IF(Q206&gt;=0,30,15))))))),""),IFERROR(IF(R206="","",IF(R206&gt;=40,100,IF(R206&gt;=30,90,IF(R206&gt;=20,75,IF(R206&gt;=10,60,IF(R206&gt;=0,45,IF(R206&gt;=-10,30,15))))))),"")),"")</f>
        <v/>
      </c>
      <c r="T206" s="33" t="n">
        <v>5</v>
      </c>
      <c r="U206" s="33" t="n">
        <v>3</v>
      </c>
      <c r="V206" s="33" t="n">
        <v>3</v>
      </c>
      <c r="W206" s="33" t="n">
        <v>3</v>
      </c>
      <c r="X206" s="33" t="n">
        <v>4</v>
      </c>
      <c r="Y206" s="33">
        <f>IFERROR((AVERAGE(T206,U206,V206,W206,X206)-1)*25,"")</f>
        <v/>
      </c>
      <c r="Z206" s="33" t="n">
        <v>4</v>
      </c>
      <c r="AA206" s="33" t="n">
        <v>1</v>
      </c>
      <c r="AB206" s="33" t="n">
        <v>3</v>
      </c>
      <c r="AC206" s="33" t="n">
        <v>45</v>
      </c>
      <c r="AD206" s="33">
        <f>IFERROR(AVERAGE(IFERROR(IF(Z206="","",Z206*20),""),IFERROR(IF(AA206="","",AA206*20),""),IFERROR(IF(AB206="","",AB206*20),""),IFERROR(IF(AC206="","",IF(AC206&gt;=85,100,IF(AC206&gt;=70,90,IF(AC206&gt;=55,75,IF(AC206&gt;=40,60,IF(AC206&gt;=25,40,20)))))),"")),"")</f>
        <v/>
      </c>
      <c r="AE206" s="33" t="n">
        <v>3</v>
      </c>
      <c r="AF206" s="33" t="n">
        <v>2</v>
      </c>
      <c r="AG206" s="33" t="n">
        <v>5</v>
      </c>
      <c r="AH206" s="33" t="n">
        <v>3</v>
      </c>
      <c r="AI206" s="33">
        <f>IFERROR((AVERAGE(AE206,AF206,AG206,AH206,AL206)-1)*25,"")</f>
        <v/>
      </c>
      <c r="AJ206" s="33">
        <f>IFERROR(J206*Weights!$B$4 + O206*Weights!$B$5 + S206*Weights!$B$6 + Y206*Weights!$B$7 + AD206*Weights!$B$8 + AI206*Weights!$B$9,"")</f>
        <v/>
      </c>
      <c r="AK206" s="33">
        <f>IF(AJ206="","",IF(AJ206&gt;=85,"✓✓✓",IF(AJ206&gt;=70,"✓✓",IF(AJ206&gt;=55,"✓",IF(AJ206&gt;=40,"?","✗")))))</f>
        <v/>
      </c>
      <c r="AL206" s="33" t="n">
        <v>5</v>
      </c>
    </row>
    <row r="207">
      <c r="A207" s="33" t="inlineStr">
        <is>
          <t>KTOS</t>
        </is>
      </c>
      <c r="B207" s="33" t="inlineStr">
        <is>
          <t>Kratos Defense &amp; Security Solutions, Inc.</t>
        </is>
      </c>
      <c r="C207" s="33" t="inlineStr">
        <is>
          <t>11 Robotics &amp; Physical AI / Autonomy platforms &amp; defense</t>
        </is>
      </c>
      <c r="D207" s="33" t="inlineStr">
        <is>
          <t>2026-08-02</t>
        </is>
      </c>
      <c r="E207" s="33" t="n">
        <v>42.70684</v>
      </c>
      <c r="F207" s="33" t="n">
        <v>91.866</v>
      </c>
      <c r="G207" s="33" t="n">
        <v>-1.52</v>
      </c>
      <c r="H207" s="33" t="n">
        <v>6.174697</v>
      </c>
      <c r="I207" s="33">
        <f>IF(OR(E207="",R207="",R207&lt;=0,E207&lt;0),"",E207/R207)</f>
        <v/>
      </c>
      <c r="J207" s="33" t="n">
        <v>40.4</v>
      </c>
      <c r="K207" s="33" t="n">
        <v>0.48</v>
      </c>
      <c r="L207" s="33" t="n">
        <v>22.89</v>
      </c>
      <c r="M207" s="33" t="n">
        <v>-9.390000000000001</v>
      </c>
      <c r="N207" s="33" t="n">
        <v>-15.75</v>
      </c>
      <c r="O207" s="33" t="n">
        <v>48.3</v>
      </c>
      <c r="P207" s="33" t="n">
        <v>14.45</v>
      </c>
      <c r="Q207" s="33" t="n">
        <v>22.6</v>
      </c>
      <c r="R207" s="33" t="n">
        <v>164.4</v>
      </c>
      <c r="S207" s="33">
        <f>IFERROR(AVERAGE(IFERROR(IF(P207="","",IF(P207&gt;=40,100,IF(P207&gt;=30,90,IF(P207&gt;=20,75,IF(P207&gt;=15,60,IF(P207&gt;=10,45,IF(P207&gt;=5,30,15))))))),""),IFERROR(IF(Q207="","",IF(Q207&gt;=40,100,IF(Q207&gt;=30,90,IF(Q207&gt;=20,75,IF(Q207&gt;=10,60,IF(Q207&gt;=5,45,IF(Q207&gt;=0,30,15))))))),""),IFERROR(IF(R207="","",IF(R207&gt;=40,100,IF(R207&gt;=30,90,IF(R207&gt;=20,75,IF(R207&gt;=10,60,IF(R207&gt;=0,45,IF(R207&gt;=-10,30,15))))))),"")),"")</f>
        <v/>
      </c>
      <c r="T207" s="33" t="n">
        <v>4</v>
      </c>
      <c r="U207" s="33" t="n">
        <v>4</v>
      </c>
      <c r="V207" s="33" t="n">
        <v>4</v>
      </c>
      <c r="W207" s="33" t="n">
        <v>5</v>
      </c>
      <c r="X207" s="33" t="n">
        <v>4</v>
      </c>
      <c r="Y207" s="33">
        <f>IFERROR((AVERAGE(T207,U207,V207,W207,X207)-1)*25,"")</f>
        <v/>
      </c>
      <c r="Z207" s="33" t="n">
        <v>4</v>
      </c>
      <c r="AA207" s="33" t="n">
        <v>1</v>
      </c>
      <c r="AB207" s="33" t="n">
        <v>2</v>
      </c>
      <c r="AC207" s="33" t="n">
        <v>13.3</v>
      </c>
      <c r="AD207" s="33">
        <f>IFERROR(AVERAGE(IFERROR(IF(Z207="","",Z207*20),""),IFERROR(IF(AA207="","",AA207*20),""),IFERROR(IF(AB207="","",AB207*20),""),IFERROR(IF(AC207="","",IF(AC207&gt;=85,100,IF(AC207&gt;=70,90,IF(AC207&gt;=55,75,IF(AC207&gt;=40,60,IF(AC207&gt;=25,40,20)))))),"")),"")</f>
        <v/>
      </c>
      <c r="AE207" s="33" t="n">
        <v>2</v>
      </c>
      <c r="AF207" s="33" t="n">
        <v>5</v>
      </c>
      <c r="AG207" s="33" t="n">
        <v>5</v>
      </c>
      <c r="AH207" s="33" t="n">
        <v>4</v>
      </c>
      <c r="AI207" s="33">
        <f>IFERROR((AVERAGE(AE207,AF207,AG207,AH207,AL207)-1)*25,"")</f>
        <v/>
      </c>
      <c r="AJ207" s="33">
        <f>IFERROR(J207*Weights!$B$4 + O207*Weights!$B$5 + S207*Weights!$B$6 + Y207*Weights!$B$7 + AD207*Weights!$B$8 + AI207*Weights!$B$9,"")</f>
        <v/>
      </c>
      <c r="AK207" s="33">
        <f>IF(AJ207="","",IF(AJ207&gt;=85,"✓✓✓",IF(AJ207&gt;=70,"✓✓",IF(AJ207&gt;=55,"✓",IF(AJ207&gt;=40,"?","✗")))))</f>
        <v/>
      </c>
      <c r="AL207" s="33" t="n">
        <v>5</v>
      </c>
    </row>
    <row r="208">
      <c r="A208" s="33" t="inlineStr">
        <is>
          <t>AVAV</t>
        </is>
      </c>
      <c r="B208" s="33" t="inlineStr">
        <is>
          <t>AeroVironment, Inc.</t>
        </is>
      </c>
      <c r="C208" s="33" t="inlineStr">
        <is>
          <t>11 Robotics &amp; Physical AI / Autonomy platforms &amp; defense</t>
        </is>
      </c>
      <c r="D208" s="33" t="inlineStr">
        <is>
          <t>2026-09-18</t>
        </is>
      </c>
      <c r="E208" s="33" t="n">
        <v>35.78652</v>
      </c>
      <c r="F208" s="33" t="n">
        <v>39.042</v>
      </c>
      <c r="G208" s="33" t="n">
        <v>-0.55</v>
      </c>
      <c r="H208" s="33" t="n">
        <v>4.0589895</v>
      </c>
      <c r="I208" s="33">
        <f>IF(OR(E208="",R208="",R208&lt;=0,E208&lt;0),"",E208/R208)</f>
        <v/>
      </c>
      <c r="J208" s="33" t="n">
        <v>36.2</v>
      </c>
      <c r="K208" s="33" t="n">
        <v>-0.18</v>
      </c>
      <c r="L208" s="33" t="n">
        <v>26.47</v>
      </c>
      <c r="M208" s="33" t="n">
        <v>-2.24</v>
      </c>
      <c r="N208" s="33" t="n">
        <v>1.24</v>
      </c>
      <c r="O208" s="33" t="n">
        <v>44.3</v>
      </c>
      <c r="P208" s="33" t="n">
        <v>54.07</v>
      </c>
      <c r="Q208" s="33" t="n">
        <v>5.7</v>
      </c>
      <c r="S208" s="33">
        <f>IFERROR(AVERAGE(IFERROR(IF(P208="","",IF(P208&gt;=40,100,IF(P208&gt;=30,90,IF(P208&gt;=20,75,IF(P208&gt;=15,60,IF(P208&gt;=10,45,IF(P208&gt;=5,30,15))))))),""),IFERROR(IF(Q208="","",IF(Q208&gt;=40,100,IF(Q208&gt;=30,90,IF(Q208&gt;=20,75,IF(Q208&gt;=10,60,IF(Q208&gt;=5,45,IF(Q208&gt;=0,30,15))))))),""),IFERROR(IF(R208="","",IF(R208&gt;=40,100,IF(R208&gt;=30,90,IF(R208&gt;=20,75,IF(R208&gt;=10,60,IF(R208&gt;=0,45,IF(R208&gt;=-10,30,15))))))),"")),"")</f>
        <v/>
      </c>
      <c r="T208" s="33" t="n">
        <v>5</v>
      </c>
      <c r="U208" s="33" t="n">
        <v>4</v>
      </c>
      <c r="V208" s="33" t="n">
        <v>4</v>
      </c>
      <c r="W208" s="33" t="n">
        <v>5</v>
      </c>
      <c r="X208" s="33" t="n">
        <v>4</v>
      </c>
      <c r="Y208" s="33">
        <f>IFERROR((AVERAGE(T208,U208,V208,W208,X208)-1)*25,"")</f>
        <v/>
      </c>
      <c r="Z208" s="33" t="n">
        <v>2</v>
      </c>
      <c r="AA208" s="33" t="n">
        <v>1</v>
      </c>
      <c r="AB208" s="33" t="n">
        <v>3</v>
      </c>
      <c r="AC208" s="33" t="n">
        <v>19.2</v>
      </c>
      <c r="AD208" s="33">
        <f>IFERROR(AVERAGE(IFERROR(IF(Z208="","",Z208*20),""),IFERROR(IF(AA208="","",AA208*20),""),IFERROR(IF(AB208="","",AB208*20),""),IFERROR(IF(AC208="","",IF(AC208&gt;=85,100,IF(AC208&gt;=70,90,IF(AC208&gt;=55,75,IF(AC208&gt;=40,60,IF(AC208&gt;=25,40,20)))))),"")),"")</f>
        <v/>
      </c>
      <c r="AE208" s="33" t="n">
        <v>1</v>
      </c>
      <c r="AF208" s="33" t="n">
        <v>4</v>
      </c>
      <c r="AG208" s="33" t="n">
        <v>4</v>
      </c>
      <c r="AH208" s="33" t="n">
        <v>2</v>
      </c>
      <c r="AI208" s="33">
        <f>IFERROR((AVERAGE(AE208,AF208,AG208,AH208,AL208)-1)*25,"")</f>
        <v/>
      </c>
      <c r="AJ208" s="33">
        <f>IFERROR(J208*Weights!$B$4 + O208*Weights!$B$5 + S208*Weights!$B$6 + Y208*Weights!$B$7 + AD208*Weights!$B$8 + AI208*Weights!$B$9,"")</f>
        <v/>
      </c>
      <c r="AK208" s="33">
        <f>IF(AJ208="","",IF(AJ208&gt;=85,"✓✓✓",IF(AJ208&gt;=70,"✓✓",IF(AJ208&gt;=55,"✓",IF(AJ208&gt;=40,"?","✗")))))</f>
        <v/>
      </c>
      <c r="AL208" s="33" t="n">
        <v>5</v>
      </c>
    </row>
    <row r="209">
      <c r="A209" s="33" t="inlineStr">
        <is>
          <t>RCAT</t>
        </is>
      </c>
      <c r="B209" s="33" t="inlineStr">
        <is>
          <t>Red Cat Holdings, Inc.</t>
        </is>
      </c>
      <c r="C209" s="33" t="inlineStr">
        <is>
          <t>11 Robotics &amp; Physical AI / Autonomy platforms &amp; defense</t>
        </is>
      </c>
      <c r="D209" s="33" t="inlineStr">
        <is>
          <t>2026-08-02</t>
        </is>
      </c>
      <c r="E209" s="33" t="n">
        <v>-20.916666</v>
      </c>
      <c r="F209" s="33" t="n">
        <v>-10.213</v>
      </c>
      <c r="G209" s="33" t="n">
        <v>-10.33</v>
      </c>
      <c r="H209" s="33" t="n">
        <v>21.000692</v>
      </c>
      <c r="I209" s="33">
        <f>IF(OR(E209="",R209="",R209&lt;=0,E209&lt;0),"",E209/R209)</f>
        <v/>
      </c>
      <c r="J209" s="33" t="n">
        <v>28.1</v>
      </c>
      <c r="K209" s="33" t="n">
        <v>-17.01</v>
      </c>
      <c r="L209" s="33" t="n">
        <v>7.49</v>
      </c>
      <c r="M209" s="33" t="n">
        <v>-216.84</v>
      </c>
      <c r="O209" s="33" t="n">
        <v>12.2</v>
      </c>
      <c r="P209" s="33" t="n">
        <v>85.04000000000001</v>
      </c>
      <c r="Q209" s="33" t="n">
        <v>849.1</v>
      </c>
      <c r="S209" s="33">
        <f>IFERROR(AVERAGE(IFERROR(IF(P209="","",IF(P209&gt;=40,100,IF(P209&gt;=30,90,IF(P209&gt;=20,75,IF(P209&gt;=15,60,IF(P209&gt;=10,45,IF(P209&gt;=5,30,15))))))),""),IFERROR(IF(Q209="","",IF(Q209&gt;=40,100,IF(Q209&gt;=30,90,IF(Q209&gt;=20,75,IF(Q209&gt;=10,60,IF(Q209&gt;=5,45,IF(Q209&gt;=0,30,15))))))),""),IFERROR(IF(R209="","",IF(R209&gt;=40,100,IF(R209&gt;=30,90,IF(R209&gt;=20,75,IF(R209&gt;=10,60,IF(R209&gt;=0,45,IF(R209&gt;=-10,30,15))))))),"")),"")</f>
        <v/>
      </c>
      <c r="T209" s="33" t="n">
        <v>5</v>
      </c>
      <c r="U209" s="33" t="n">
        <v>3</v>
      </c>
      <c r="V209" s="33" t="n">
        <v>3</v>
      </c>
      <c r="W209" s="33" t="n">
        <v>4</v>
      </c>
      <c r="X209" s="33" t="n">
        <v>5</v>
      </c>
      <c r="Y209" s="33">
        <f>IFERROR((AVERAGE(T209,U209,V209,W209,X209)-1)*25,"")</f>
        <v/>
      </c>
      <c r="Z209" s="33" t="n">
        <v>3</v>
      </c>
      <c r="AA209" s="33" t="n">
        <v>1</v>
      </c>
      <c r="AB209" s="33" t="n">
        <v>1</v>
      </c>
      <c r="AC209" s="33" t="n">
        <v>19.2</v>
      </c>
      <c r="AD209" s="33">
        <f>IFERROR(AVERAGE(IFERROR(IF(Z209="","",Z209*20),""),IFERROR(IF(AA209="","",AA209*20),""),IFERROR(IF(AB209="","",AB209*20),""),IFERROR(IF(AC209="","",IF(AC209&gt;=85,100,IF(AC209&gt;=70,90,IF(AC209&gt;=55,75,IF(AC209&gt;=40,60,IF(AC209&gt;=25,40,20)))))),"")),"")</f>
        <v/>
      </c>
      <c r="AE209" s="33" t="n">
        <v>1</v>
      </c>
      <c r="AF209" s="33" t="n">
        <v>5</v>
      </c>
      <c r="AG209" s="33" t="n">
        <v>2</v>
      </c>
      <c r="AH209" s="33" t="n">
        <v>2</v>
      </c>
      <c r="AI209" s="33">
        <f>IFERROR((AVERAGE(AE209,AF209,AG209,AH209,AL209)-1)*25,"")</f>
        <v/>
      </c>
      <c r="AJ209" s="33">
        <f>IFERROR(J209*Weights!$B$4 + O209*Weights!$B$5 + S209*Weights!$B$6 + Y209*Weights!$B$7 + AD209*Weights!$B$8 + AI209*Weights!$B$9,"")</f>
        <v/>
      </c>
      <c r="AK209" s="33">
        <f>IF(AJ209="","",IF(AJ209&gt;=85,"✓✓✓",IF(AJ209&gt;=70,"✓✓",IF(AJ209&gt;=55,"✓",IF(AJ209&gt;=40,"?","✗")))))</f>
        <v/>
      </c>
      <c r="AL209" s="33" t="n">
        <v>5</v>
      </c>
    </row>
    <row r="210">
      <c r="A210" s="33" t="inlineStr">
        <is>
          <t>ONDS</t>
        </is>
      </c>
      <c r="B210" s="33" t="inlineStr">
        <is>
          <t>Ondas Inc.</t>
        </is>
      </c>
      <c r="C210" s="33" t="inlineStr">
        <is>
          <t>11 Robotics &amp; Physical AI / Autonomy platforms &amp; defense</t>
        </is>
      </c>
      <c r="D210" s="33" t="inlineStr">
        <is>
          <t>2026-08-02</t>
        </is>
      </c>
      <c r="E210" s="33" t="n">
        <v>-249.66667</v>
      </c>
      <c r="F210" s="33" t="n">
        <v>-30.313</v>
      </c>
      <c r="G210" s="33" t="n">
        <v>-2.03</v>
      </c>
      <c r="H210" s="33" t="n">
        <v>44.180847</v>
      </c>
      <c r="I210" s="33">
        <f>IF(OR(E210="",R210="",R210&lt;=0,E210&lt;0),"",E210/R210)</f>
        <v/>
      </c>
      <c r="J210" s="33" t="n">
        <v>33.8</v>
      </c>
      <c r="K210" s="33" t="n">
        <v>-7.96</v>
      </c>
      <c r="L210" s="33" t="n">
        <v>44.85</v>
      </c>
      <c r="M210" s="33" t="n">
        <v>-89.73</v>
      </c>
      <c r="O210" s="33" t="n">
        <v>39.1</v>
      </c>
      <c r="P210" s="33" t="n">
        <v>187.9</v>
      </c>
      <c r="Q210" s="33" t="n">
        <v>1079.9</v>
      </c>
      <c r="S210" s="33">
        <f>IFERROR(AVERAGE(IFERROR(IF(P210="","",IF(P210&gt;=40,100,IF(P210&gt;=30,90,IF(P210&gt;=20,75,IF(P210&gt;=15,60,IF(P210&gt;=10,45,IF(P210&gt;=5,30,15))))))),""),IFERROR(IF(Q210="","",IF(Q210&gt;=40,100,IF(Q210&gt;=30,90,IF(Q210&gt;=20,75,IF(Q210&gt;=10,60,IF(Q210&gt;=5,45,IF(Q210&gt;=0,30,15))))))),""),IFERROR(IF(R210="","",IF(R210&gt;=40,100,IF(R210&gt;=30,90,IF(R210&gt;=20,75,IF(R210&gt;=10,60,IF(R210&gt;=0,45,IF(R210&gt;=-10,30,15))))))),"")),"")</f>
        <v/>
      </c>
      <c r="T210" s="33" t="n">
        <v>5</v>
      </c>
      <c r="U210" s="33" t="n">
        <v>3</v>
      </c>
      <c r="V210" s="33" t="n">
        <v>2</v>
      </c>
      <c r="W210" s="33" t="n">
        <v>5</v>
      </c>
      <c r="X210" s="33" t="n">
        <v>3</v>
      </c>
      <c r="Y210" s="33">
        <f>IFERROR((AVERAGE(T210,U210,V210,W210,X210)-1)*25,"")</f>
        <v/>
      </c>
      <c r="Z210" s="33" t="n">
        <v>5</v>
      </c>
      <c r="AA210" s="33" t="n">
        <v>2</v>
      </c>
      <c r="AB210" s="33" t="n">
        <v>3</v>
      </c>
      <c r="AC210" s="33" t="n">
        <v>32.5</v>
      </c>
      <c r="AD210" s="33">
        <f>IFERROR(AVERAGE(IFERROR(IF(Z210="","",Z210*20),""),IFERROR(IF(AA210="","",AA210*20),""),IFERROR(IF(AB210="","",AB210*20),""),IFERROR(IF(AC210="","",IF(AC210&gt;=85,100,IF(AC210&gt;=70,90,IF(AC210&gt;=55,75,IF(AC210&gt;=40,60,IF(AC210&gt;=25,40,20)))))),"")),"")</f>
        <v/>
      </c>
      <c r="AE210" s="33" t="n">
        <v>3</v>
      </c>
      <c r="AF210" s="33" t="n">
        <v>4</v>
      </c>
      <c r="AG210" s="33" t="n">
        <v>2</v>
      </c>
      <c r="AH210" s="33" t="n">
        <v>4</v>
      </c>
      <c r="AI210" s="33">
        <f>IFERROR((AVERAGE(AE210,AF210,AG210,AH210,AL210)-1)*25,"")</f>
        <v/>
      </c>
      <c r="AJ210" s="33">
        <f>IFERROR(J210*Weights!$B$4 + O210*Weights!$B$5 + S210*Weights!$B$6 + Y210*Weights!$B$7 + AD210*Weights!$B$8 + AI210*Weights!$B$9,"")</f>
        <v/>
      </c>
      <c r="AK210" s="33">
        <f>IF(AJ210="","",IF(AJ210&gt;=85,"✓✓✓",IF(AJ210&gt;=70,"✓✓",IF(AJ210&gt;=55,"✓",IF(AJ210&gt;=40,"?","✗")))))</f>
        <v/>
      </c>
      <c r="AL210" s="33" t="n">
        <v>5</v>
      </c>
    </row>
    <row r="211">
      <c r="A211" s="33" t="inlineStr">
        <is>
          <t>UMAC</t>
        </is>
      </c>
      <c r="B211" s="33" t="inlineStr">
        <is>
          <t>Unusual Machines, Inc.</t>
        </is>
      </c>
      <c r="C211" s="33" t="inlineStr">
        <is>
          <t>11 Robotics &amp; Physical AI / Autonomy platforms &amp; defense</t>
        </is>
      </c>
      <c r="D211" s="33" t="inlineStr">
        <is>
          <t>2026-08-02</t>
        </is>
      </c>
      <c r="E211" s="33" t="n">
        <v>-105.799995</v>
      </c>
      <c r="F211" s="33" t="n">
        <v>-25.245</v>
      </c>
      <c r="G211" s="33" t="n">
        <v>-3.13</v>
      </c>
      <c r="H211" s="33" t="n">
        <v>58.617863</v>
      </c>
      <c r="I211" s="33">
        <f>IF(OR(E211="",R211="",R211&lt;=0,E211&lt;0),"",E211/R211)</f>
        <v/>
      </c>
      <c r="J211" s="33" t="n">
        <v>28.7</v>
      </c>
      <c r="K211" s="33" t="n">
        <v>-6.02</v>
      </c>
      <c r="L211" s="33" t="n">
        <v>35.15</v>
      </c>
      <c r="M211" s="33" t="n">
        <v>-183.58</v>
      </c>
      <c r="O211" s="33" t="n">
        <v>31.8</v>
      </c>
      <c r="Q211" s="33" t="n">
        <v>296.4</v>
      </c>
      <c r="S211" s="33">
        <f>IFERROR(AVERAGE(IFERROR(IF(P211="","",IF(P211&gt;=40,100,IF(P211&gt;=30,90,IF(P211&gt;=20,75,IF(P211&gt;=15,60,IF(P211&gt;=10,45,IF(P211&gt;=5,30,15))))))),""),IFERROR(IF(Q211="","",IF(Q211&gt;=40,100,IF(Q211&gt;=30,90,IF(Q211&gt;=20,75,IF(Q211&gt;=10,60,IF(Q211&gt;=5,45,IF(Q211&gt;=0,30,15))))))),""),IFERROR(IF(R211="","",IF(R211&gt;=40,100,IF(R211&gt;=30,90,IF(R211&gt;=20,75,IF(R211&gt;=10,60,IF(R211&gt;=0,45,IF(R211&gt;=-10,30,15))))))),"")),"")</f>
        <v/>
      </c>
      <c r="T211" s="33" t="n">
        <v>5</v>
      </c>
      <c r="U211" s="33" t="n">
        <v>4</v>
      </c>
      <c r="V211" s="33" t="n">
        <v>3</v>
      </c>
      <c r="W211" s="33" t="n">
        <v>5</v>
      </c>
      <c r="X211" s="33" t="n">
        <v>4</v>
      </c>
      <c r="Y211" s="33">
        <f>IFERROR((AVERAGE(T211,U211,V211,W211,X211)-1)*25,"")</f>
        <v/>
      </c>
      <c r="Z211" s="33" t="n">
        <v>4</v>
      </c>
      <c r="AA211" s="33" t="n">
        <v>5</v>
      </c>
      <c r="AB211" s="33" t="n">
        <v>1</v>
      </c>
      <c r="AC211" s="33" t="n">
        <v>55.8</v>
      </c>
      <c r="AD211" s="33">
        <f>IFERROR(AVERAGE(IFERROR(IF(Z211="","",Z211*20),""),IFERROR(IF(AA211="","",AA211*20),""),IFERROR(IF(AB211="","",AB211*20),""),IFERROR(IF(AC211="","",IF(AC211&gt;=85,100,IF(AC211&gt;=70,90,IF(AC211&gt;=55,75,IF(AC211&gt;=40,60,IF(AC211&gt;=25,40,20)))))),"")),"")</f>
        <v/>
      </c>
      <c r="AE211" s="33" t="n">
        <v>4</v>
      </c>
      <c r="AF211" s="33" t="n">
        <v>5</v>
      </c>
      <c r="AG211" s="33" t="n">
        <v>5</v>
      </c>
      <c r="AH211" s="33" t="n">
        <v>4</v>
      </c>
      <c r="AI211" s="33">
        <f>IFERROR((AVERAGE(AE211,AF211,AG211,AH211,AL211)-1)*25,"")</f>
        <v/>
      </c>
      <c r="AJ211" s="33">
        <f>IFERROR(J211*Weights!$B$4 + O211*Weights!$B$5 + S211*Weights!$B$6 + Y211*Weights!$B$7 + AD211*Weights!$B$8 + AI211*Weights!$B$9,"")</f>
        <v/>
      </c>
      <c r="AK211" s="33">
        <f>IF(AJ211="","",IF(AJ211&gt;=85,"✓✓✓",IF(AJ211&gt;=70,"✓✓",IF(AJ211&gt;=55,"✓",IF(AJ211&gt;=40,"?","✗")))))</f>
        <v/>
      </c>
      <c r="AL211" s="33" t="n">
        <v>5</v>
      </c>
    </row>
    <row r="212">
      <c r="A212" s="33" t="inlineStr">
        <is>
          <t>DRO.AX</t>
        </is>
      </c>
      <c r="B212" s="33" t="inlineStr">
        <is>
          <t>DroneShield Limited</t>
        </is>
      </c>
      <c r="C212" s="33" t="inlineStr">
        <is>
          <t>11 Robotics &amp; Physical AI / Autonomy platforms &amp; defense</t>
        </is>
      </c>
      <c r="D212" s="33" t="inlineStr">
        <is>
          <t>2026-08-02</t>
        </is>
      </c>
      <c r="E212" s="33" t="n">
        <v>27.163464</v>
      </c>
      <c r="F212" s="33" t="n">
        <v>563.519</v>
      </c>
      <c r="G212" s="33" t="n">
        <v>0.05</v>
      </c>
      <c r="H212" s="33" t="n">
        <v>7.224387</v>
      </c>
      <c r="I212" s="33">
        <f>IF(OR(E212="",R212="",R212&lt;=0,E212&lt;0),"",E212/R212)</f>
        <v/>
      </c>
      <c r="J212" s="33" t="n">
        <v>32.4</v>
      </c>
      <c r="L212" s="33" t="n">
        <v>60.93</v>
      </c>
      <c r="M212" s="33" t="n">
        <v>0.35</v>
      </c>
      <c r="N212" s="33" t="n">
        <v>-81.31</v>
      </c>
      <c r="O212" s="33" t="n">
        <v>75.8</v>
      </c>
      <c r="P212" s="33" t="n">
        <v>134.44</v>
      </c>
      <c r="Q212" s="33" t="n">
        <v>316.8</v>
      </c>
      <c r="R212" s="33" t="n">
        <v>-59.9</v>
      </c>
      <c r="S212" s="33">
        <f>IFERROR(AVERAGE(IFERROR(IF(P212="","",IF(P212&gt;=40,100,IF(P212&gt;=30,90,IF(P212&gt;=20,75,IF(P212&gt;=15,60,IF(P212&gt;=10,45,IF(P212&gt;=5,30,15))))))),""),IFERROR(IF(Q212="","",IF(Q212&gt;=40,100,IF(Q212&gt;=30,90,IF(Q212&gt;=20,75,IF(Q212&gt;=10,60,IF(Q212&gt;=5,45,IF(Q212&gt;=0,30,15))))))),""),IFERROR(IF(R212="","",IF(R212&gt;=40,100,IF(R212&gt;=30,90,IF(R212&gt;=20,75,IF(R212&gt;=10,60,IF(R212&gt;=0,45,IF(R212&gt;=-10,30,15))))))),"")),"")</f>
        <v/>
      </c>
      <c r="T212" s="33" t="n">
        <v>5</v>
      </c>
      <c r="U212" s="33" t="n">
        <v>3</v>
      </c>
      <c r="V212" s="33" t="n">
        <v>3</v>
      </c>
      <c r="W212" s="33" t="n">
        <v>4</v>
      </c>
      <c r="X212" s="33" t="n">
        <v>3</v>
      </c>
      <c r="Y212" s="33">
        <f>IFERROR((AVERAGE(T212,U212,V212,W212,X212)-1)*25,"")</f>
        <v/>
      </c>
      <c r="Z212" s="33" t="n">
        <v>2</v>
      </c>
      <c r="AA212" s="33" t="n">
        <v>1</v>
      </c>
      <c r="AB212" s="33" t="n">
        <v>1</v>
      </c>
      <c r="AC212" s="33" t="n">
        <v>9.199999999999999</v>
      </c>
      <c r="AD212" s="33">
        <f>IFERROR(AVERAGE(IFERROR(IF(Z212="","",Z212*20),""),IFERROR(IF(AA212="","",AA212*20),""),IFERROR(IF(AB212="","",AB212*20),""),IFERROR(IF(AC212="","",IF(AC212&gt;=85,100,IF(AC212&gt;=70,90,IF(AC212&gt;=55,75,IF(AC212&gt;=40,60,IF(AC212&gt;=25,40,20)))))),"")),"")</f>
        <v/>
      </c>
      <c r="AE212" s="33" t="n">
        <v>3</v>
      </c>
      <c r="AF212" s="33" t="n">
        <v>4</v>
      </c>
      <c r="AG212" s="33" t="n">
        <v>4</v>
      </c>
      <c r="AH212" s="33" t="n">
        <v>2</v>
      </c>
      <c r="AI212" s="33">
        <f>IFERROR((AVERAGE(AE212,AF212,AG212,AH212,AL212)-1)*25,"")</f>
        <v/>
      </c>
      <c r="AJ212" s="33">
        <f>IFERROR(J212*Weights!$B$4 + O212*Weights!$B$5 + S212*Weights!$B$6 + Y212*Weights!$B$7 + AD212*Weights!$B$8 + AI212*Weights!$B$9,"")</f>
        <v/>
      </c>
      <c r="AK212" s="33">
        <f>IF(AJ212="","",IF(AJ212&gt;=85,"✓✓✓",IF(AJ212&gt;=70,"✓✓",IF(AJ212&gt;=55,"✓",IF(AJ212&gt;=40,"?","✗")))))</f>
        <v/>
      </c>
      <c r="AL212" s="33" t="n">
        <v>5</v>
      </c>
    </row>
    <row r="213">
      <c r="A213" s="33" t="inlineStr">
        <is>
          <t>PDYN</t>
        </is>
      </c>
      <c r="B213" s="33" t="inlineStr">
        <is>
          <t>Palladyne AI Corp.</t>
        </is>
      </c>
      <c r="C213" s="33" t="inlineStr">
        <is>
          <t>11 Robotics &amp; Physical AI / Autonomy platforms &amp; defense</t>
        </is>
      </c>
      <c r="D213" s="33" t="inlineStr">
        <is>
          <t>2026-08-02</t>
        </is>
      </c>
      <c r="E213" s="33" t="n">
        <v>-7.3661976</v>
      </c>
      <c r="F213" s="33" t="n">
        <v>-5.974</v>
      </c>
      <c r="G213" s="33" t="n">
        <v>-12.59</v>
      </c>
      <c r="H213" s="33" t="n">
        <v>34.928936</v>
      </c>
      <c r="I213" s="33">
        <f>IF(OR(E213="",R213="",R213&lt;=0,E213&lt;0),"",E213/R213)</f>
        <v/>
      </c>
      <c r="J213" s="33" t="n">
        <v>23.8</v>
      </c>
      <c r="K213" s="33" t="n">
        <v>-39.17</v>
      </c>
      <c r="L213" s="33" t="n">
        <v>32.01</v>
      </c>
      <c r="M213" s="33" t="n">
        <v>-439.64</v>
      </c>
      <c r="O213" s="33" t="n">
        <v>17.7</v>
      </c>
      <c r="P213" s="33" t="n">
        <v>-28.86</v>
      </c>
      <c r="Q213" s="33" t="n">
        <v>106.9</v>
      </c>
      <c r="S213" s="33">
        <f>IFERROR(AVERAGE(IFERROR(IF(P213="","",IF(P213&gt;=40,100,IF(P213&gt;=30,90,IF(P213&gt;=20,75,IF(P213&gt;=15,60,IF(P213&gt;=10,45,IF(P213&gt;=5,30,15))))))),""),IFERROR(IF(Q213="","",IF(Q213&gt;=40,100,IF(Q213&gt;=30,90,IF(Q213&gt;=20,75,IF(Q213&gt;=10,60,IF(Q213&gt;=5,45,IF(Q213&gt;=0,30,15))))))),""),IFERROR(IF(R213="","",IF(R213&gt;=40,100,IF(R213&gt;=30,90,IF(R213&gt;=20,75,IF(R213&gt;=10,60,IF(R213&gt;=0,45,IF(R213&gt;=-10,30,15))))))),"")),"")</f>
        <v/>
      </c>
      <c r="T213" s="33" t="n">
        <v>4</v>
      </c>
      <c r="U213" s="33" t="n">
        <v>2</v>
      </c>
      <c r="V213" s="33" t="n">
        <v>2</v>
      </c>
      <c r="W213" s="33" t="n">
        <v>4</v>
      </c>
      <c r="X213" s="33" t="n">
        <v>4</v>
      </c>
      <c r="Y213" s="33">
        <f>IFERROR((AVERAGE(T213,U213,V213,W213,X213)-1)*25,"")</f>
        <v/>
      </c>
      <c r="Z213" s="33" t="n">
        <v>3</v>
      </c>
      <c r="AA213" s="33" t="n">
        <v>1</v>
      </c>
      <c r="AB213" s="33" t="n">
        <v>5</v>
      </c>
      <c r="AC213" s="33" t="n">
        <v>35</v>
      </c>
      <c r="AD213" s="33">
        <f>IFERROR(AVERAGE(IFERROR(IF(Z213="","",Z213*20),""),IFERROR(IF(AA213="","",AA213*20),""),IFERROR(IF(AB213="","",AB213*20),""),IFERROR(IF(AC213="","",IF(AC213&gt;=85,100,IF(AC213&gt;=70,90,IF(AC213&gt;=55,75,IF(AC213&gt;=40,60,IF(AC213&gt;=25,40,20)))))),"")),"")</f>
        <v/>
      </c>
      <c r="AE213" s="33" t="n">
        <v>2</v>
      </c>
      <c r="AF213" s="33" t="n">
        <v>5</v>
      </c>
      <c r="AG213" s="33" t="n">
        <v>3</v>
      </c>
      <c r="AH213" s="33" t="n">
        <v>4</v>
      </c>
      <c r="AI213" s="33">
        <f>IFERROR((AVERAGE(AE213,AF213,AG213,AH213,AL213)-1)*25,"")</f>
        <v/>
      </c>
      <c r="AJ213" s="33">
        <f>IFERROR(J213*Weights!$B$4 + O213*Weights!$B$5 + S213*Weights!$B$6 + Y213*Weights!$B$7 + AD213*Weights!$B$8 + AI213*Weights!$B$9,"")</f>
        <v/>
      </c>
      <c r="AK213" s="33">
        <f>IF(AJ213="","",IF(AJ213&gt;=85,"✓✓✓",IF(AJ213&gt;=70,"✓✓",IF(AJ213&gt;=55,"✓",IF(AJ213&gt;=40,"?","✗")))))</f>
        <v/>
      </c>
      <c r="AL213" s="33" t="n">
        <v>5</v>
      </c>
    </row>
    <row r="214">
      <c r="A214" s="33" t="inlineStr">
        <is>
          <t>ALGM</t>
        </is>
      </c>
      <c r="B214" s="33" t="inlineStr">
        <is>
          <t>Allegro MicroSystems, Inc.</t>
        </is>
      </c>
      <c r="C214" s="33" t="inlineStr">
        <is>
          <t>06 AI Compute Silicon / Magnetic &amp; position sensing (robotics)</t>
        </is>
      </c>
      <c r="D214" s="33" t="inlineStr">
        <is>
          <t>2026-08-02</t>
        </is>
      </c>
      <c r="E214" s="33" t="n">
        <v>27.680138</v>
      </c>
      <c r="F214" s="33" t="n">
        <v>58.419</v>
      </c>
      <c r="G214" s="33" t="n">
        <v>1.62</v>
      </c>
      <c r="H214" s="33" t="n">
        <v>8.173747000000001</v>
      </c>
      <c r="I214" s="33">
        <f>IF(OR(E214="",R214="",R214&lt;=0,E214&lt;0),"",E214/R214)</f>
        <v/>
      </c>
      <c r="J214" s="33" t="n">
        <v>37</v>
      </c>
      <c r="K214" s="33" t="n">
        <v>4.18</v>
      </c>
      <c r="L214" s="33" t="n">
        <v>47.38</v>
      </c>
      <c r="M214" s="33" t="n">
        <v>13.2</v>
      </c>
      <c r="N214" s="33" t="n">
        <v>1.05</v>
      </c>
      <c r="O214" s="33" t="n">
        <v>34.3</v>
      </c>
      <c r="P214" s="33" t="n">
        <v>-2.95</v>
      </c>
      <c r="Q214" s="33" t="n">
        <v>27.5</v>
      </c>
      <c r="S214" s="33">
        <f>IFERROR(AVERAGE(IFERROR(IF(P214="","",IF(P214&gt;=40,100,IF(P214&gt;=30,90,IF(P214&gt;=20,75,IF(P214&gt;=15,60,IF(P214&gt;=10,45,IF(P214&gt;=5,30,15))))))),""),IFERROR(IF(Q214="","",IF(Q214&gt;=40,100,IF(Q214&gt;=30,90,IF(Q214&gt;=20,75,IF(Q214&gt;=10,60,IF(Q214&gt;=5,45,IF(Q214&gt;=0,30,15))))))),""),IFERROR(IF(R214="","",IF(R214&gt;=40,100,IF(R214&gt;=30,90,IF(R214&gt;=20,75,IF(R214&gt;=10,60,IF(R214&gt;=0,45,IF(R214&gt;=-10,30,15))))))),"")),"")</f>
        <v/>
      </c>
      <c r="T214" s="33" t="n">
        <v>3</v>
      </c>
      <c r="U214" s="33" t="n">
        <v>4</v>
      </c>
      <c r="V214" s="33" t="n">
        <v>4</v>
      </c>
      <c r="W214" s="33" t="n">
        <v>3</v>
      </c>
      <c r="X214" s="33" t="n">
        <v>3</v>
      </c>
      <c r="Y214" s="33">
        <f>IFERROR((AVERAGE(T214,U214,V214,W214,X214)-1)*25,"")</f>
        <v/>
      </c>
      <c r="Z214" s="33" t="n">
        <v>4</v>
      </c>
      <c r="AA214" s="33" t="n">
        <v>1</v>
      </c>
      <c r="AB214" s="33" t="n">
        <v>2</v>
      </c>
      <c r="AC214" s="33" t="n">
        <v>55</v>
      </c>
      <c r="AD214" s="33">
        <f>IFERROR(AVERAGE(IFERROR(IF(Z214="","",Z214*20),""),IFERROR(IF(AA214="","",AA214*20),""),IFERROR(IF(AB214="","",AB214*20),""),IFERROR(IF(AC214="","",IF(AC214&gt;=85,100,IF(AC214&gt;=70,90,IF(AC214&gt;=55,75,IF(AC214&gt;=40,60,IF(AC214&gt;=25,40,20)))))),"")),"")</f>
        <v/>
      </c>
      <c r="AE214" s="33" t="n">
        <v>5</v>
      </c>
      <c r="AF214" s="33" t="n">
        <v>3</v>
      </c>
      <c r="AG214" s="33" t="n">
        <v>4</v>
      </c>
      <c r="AH214" s="33" t="n">
        <v>4</v>
      </c>
      <c r="AI214" s="33">
        <f>IFERROR((AVERAGE(AE214,AF214,AG214,AH214,AL214)-1)*25,"")</f>
        <v/>
      </c>
      <c r="AJ214" s="33">
        <f>IFERROR(J214*Weights!$B$4 + O214*Weights!$B$5 + S214*Weights!$B$6 + Y214*Weights!$B$7 + AD214*Weights!$B$8 + AI214*Weights!$B$9,"")</f>
        <v/>
      </c>
      <c r="AK214" s="33">
        <f>IF(AJ214="","",IF(AJ214&gt;=85,"✓✓✓",IF(AJ214&gt;=70,"✓✓",IF(AJ214&gt;=55,"✓",IF(AJ214&gt;=40,"?","✗")))))</f>
        <v/>
      </c>
      <c r="AL214" s="33" t="n">
        <v>5</v>
      </c>
    </row>
    <row r="215">
      <c r="A215" s="33" t="inlineStr">
        <is>
          <t>MELE.BR</t>
        </is>
      </c>
      <c r="B215" s="33" t="inlineStr">
        <is>
          <t>Melexis NV</t>
        </is>
      </c>
      <c r="C215" s="33" t="inlineStr">
        <is>
          <t>06 AI Compute Silicon / Magnetic &amp; position sensing (robotics)</t>
        </is>
      </c>
      <c r="D215" s="33" t="inlineStr">
        <is>
          <t>2026-08-02</t>
        </is>
      </c>
      <c r="E215" s="33" t="n">
        <v>17.86331</v>
      </c>
      <c r="F215" s="33" t="n">
        <v>15.83</v>
      </c>
      <c r="G215" s="33" t="n">
        <v>6.5</v>
      </c>
      <c r="H215" s="33" t="n">
        <v>3.1680555</v>
      </c>
      <c r="I215" s="33">
        <f>IF(OR(E215="",R215="",R215&lt;=0,E215&lt;0),"",E215/R215)</f>
        <v/>
      </c>
      <c r="J215" s="33" t="n">
        <v>74.5</v>
      </c>
      <c r="L215" s="33" t="n">
        <v>39.38</v>
      </c>
      <c r="M215" s="33" t="n">
        <v>20.6</v>
      </c>
      <c r="N215" s="33" t="n">
        <v>1.38</v>
      </c>
      <c r="O215" s="33" t="n">
        <v>40.2</v>
      </c>
      <c r="P215" s="33" t="n">
        <v>0.14</v>
      </c>
      <c r="Q215" s="33" t="n">
        <v>2.6</v>
      </c>
      <c r="R215" s="33" t="n">
        <v>-18.6</v>
      </c>
      <c r="S215" s="33">
        <f>IFERROR(AVERAGE(IFERROR(IF(P215="","",IF(P215&gt;=40,100,IF(P215&gt;=30,90,IF(P215&gt;=20,75,IF(P215&gt;=15,60,IF(P215&gt;=10,45,IF(P215&gt;=5,30,15))))))),""),IFERROR(IF(Q215="","",IF(Q215&gt;=40,100,IF(Q215&gt;=30,90,IF(Q215&gt;=20,75,IF(Q215&gt;=10,60,IF(Q215&gt;=5,45,IF(Q215&gt;=0,30,15))))))),""),IFERROR(IF(R215="","",IF(R215&gt;=40,100,IF(R215&gt;=30,90,IF(R215&gt;=20,75,IF(R215&gt;=10,60,IF(R215&gt;=0,45,IF(R215&gt;=-10,30,15))))))),"")),"")</f>
        <v/>
      </c>
      <c r="T215" s="33" t="n">
        <v>1</v>
      </c>
      <c r="U215" s="33" t="n">
        <v>4</v>
      </c>
      <c r="V215" s="33" t="n">
        <v>4</v>
      </c>
      <c r="W215" s="33" t="n">
        <v>3</v>
      </c>
      <c r="X215" s="33" t="n">
        <v>2</v>
      </c>
      <c r="Y215" s="33">
        <f>IFERROR((AVERAGE(T215,U215,V215,W215,X215)-1)*25,"")</f>
        <v/>
      </c>
      <c r="Z215" s="33" t="n">
        <v>3</v>
      </c>
      <c r="AA215" s="33" t="n">
        <v>1</v>
      </c>
      <c r="AB215" s="33" t="n">
        <v>3</v>
      </c>
      <c r="AC215" s="33" t="n">
        <v>49.2</v>
      </c>
      <c r="AD215" s="33">
        <f>IFERROR(AVERAGE(IFERROR(IF(Z215="","",Z215*20),""),IFERROR(IF(AA215="","",AA215*20),""),IFERROR(IF(AB215="","",AB215*20),""),IFERROR(IF(AC215="","",IF(AC215&gt;=85,100,IF(AC215&gt;=70,90,IF(AC215&gt;=55,75,IF(AC215&gt;=40,60,IF(AC215&gt;=25,40,20)))))),"")),"")</f>
        <v/>
      </c>
      <c r="AE215" s="33" t="n">
        <v>4</v>
      </c>
      <c r="AF215" s="33" t="n">
        <v>3</v>
      </c>
      <c r="AG215" s="33" t="n">
        <v>5</v>
      </c>
      <c r="AH215" s="33" t="n">
        <v>4</v>
      </c>
      <c r="AI215" s="33">
        <f>IFERROR((AVERAGE(AE215,AF215,AG215,AH215,AL215)-1)*25,"")</f>
        <v/>
      </c>
      <c r="AJ215" s="33">
        <f>IFERROR(J215*Weights!$B$4 + O215*Weights!$B$5 + S215*Weights!$B$6 + Y215*Weights!$B$7 + AD215*Weights!$B$8 + AI215*Weights!$B$9,"")</f>
        <v/>
      </c>
      <c r="AK215" s="33">
        <f>IF(AJ215="","",IF(AJ215&gt;=85,"✓✓✓",IF(AJ215&gt;=70,"✓✓",IF(AJ215&gt;=55,"✓",IF(AJ215&gt;=40,"?","✗")))))</f>
        <v/>
      </c>
      <c r="AL215" s="33" t="n">
        <v>5</v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037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  <row r="2245">
      <c r="A2245" s="33" t="inlineStr">
        <is>
          <t>2026-06-20</t>
        </is>
      </c>
      <c r="B2245" s="33" t="inlineStr">
        <is>
          <t>ACLS</t>
        </is>
      </c>
      <c r="C2245" s="33" t="inlineStr">
        <is>
          <t>D1</t>
        </is>
      </c>
      <c r="D2245" s="33" t="n">
        <v>2</v>
      </c>
      <c r="E2245" s="33" t="inlineStr">
        <is>
          <t>No disclosed AI-rev line; AI exposure indirect/minority via DRAM/HBM memory-capacity + nascent SiC datacenter-power; leading-edge logic ~nil; inferentially &lt;25%.</t>
        </is>
      </c>
      <c r="F2245" s="33" t="inlineStr">
        <is>
          <t>Q1 2026 call; 10-K FY2025; context-2026-06-20.md</t>
        </is>
      </c>
      <c r="G2245" s="33" t="inlineStr">
        <is>
          <t>Medium</t>
        </is>
      </c>
      <c r="H2245" s="33" t="inlineStr">
        <is>
          <t>Initial</t>
        </is>
      </c>
    </row>
    <row r="2246">
      <c r="A2246" s="33" t="inlineStr">
        <is>
          <t>2026-06-20</t>
        </is>
      </c>
      <c r="B2246" s="33" t="inlineStr">
        <is>
          <t>ACLS</t>
        </is>
      </c>
      <c r="C2246" s="33" t="inlineStr">
        <is>
          <t>D2</t>
        </is>
      </c>
      <c r="D2246" s="33" t="n">
        <v>4</v>
      </c>
      <c r="E2246" s="33" t="inlineStr">
        <is>
          <t>One of only two serious ion-implant franchises (vs AMAT) with real installed base + pricing discipline (GM ~45%); implant is a smaller/less-bottlenecked step than litho/etch/depo, so not 5.</t>
        </is>
      </c>
      <c r="F2246" s="33" t="inlineStr">
        <is>
          <t>10-K FY2025; context-2026-06-20.md</t>
        </is>
      </c>
      <c r="G2246" s="33" t="inlineStr">
        <is>
          <t>High</t>
        </is>
      </c>
      <c r="H2246" s="33" t="inlineStr">
        <is>
          <t>Initial</t>
        </is>
      </c>
    </row>
    <row r="2247">
      <c r="A2247" s="33" t="inlineStr">
        <is>
          <t>2026-06-20</t>
        </is>
      </c>
      <c r="B2247" s="33" t="inlineStr">
        <is>
          <t>ACLS</t>
        </is>
      </c>
      <c r="C2247" s="33" t="inlineStr">
        <is>
          <t>D3</t>
        </is>
      </c>
      <c r="D2247" s="33" t="n">
        <v>4</v>
      </c>
      <c r="E2247" s="33" t="inlineStr">
        <is>
          <t>Durable process know-how + installed base + switching costs in implant; not multi-dimensional / leading-edge-critical enough for 5.</t>
        </is>
      </c>
      <c r="F2247" s="33" t="inlineStr">
        <is>
          <t>10-K FY2025; context-2026-06-20.md</t>
        </is>
      </c>
      <c r="G2247" s="33" t="inlineStr">
        <is>
          <t>Medium</t>
        </is>
      </c>
      <c r="H2247" s="33" t="inlineStr">
        <is>
          <t>Initial</t>
        </is>
      </c>
    </row>
    <row r="2248">
      <c r="A2248" s="33" t="inlineStr">
        <is>
          <t>2026-06-20</t>
        </is>
      </c>
      <c r="B2248" s="33" t="inlineStr">
        <is>
          <t>ACLS</t>
        </is>
      </c>
      <c r="C2248" s="33" t="inlineStr">
        <is>
          <t>D4</t>
        </is>
      </c>
      <c r="D2248" s="33" t="n">
        <v>3</v>
      </c>
      <c r="E2248" s="33" t="inlineStr">
        <is>
          <t>Asset-light, in a demand trough (capex ~$11M, FY26 guided flat); product/market scope expanding via the Veeco merger. Net steady-state.</t>
        </is>
      </c>
      <c r="F2248" s="33" t="inlineStr">
        <is>
          <t>10-K cash flow; Q1'26 guide; context</t>
        </is>
      </c>
      <c r="G2248" s="33" t="inlineStr">
        <is>
          <t>Medium</t>
        </is>
      </c>
      <c r="H2248" s="33" t="inlineStr">
        <is>
          <t>Initial</t>
        </is>
      </c>
    </row>
    <row r="2249">
      <c r="A2249" s="33" t="inlineStr">
        <is>
          <t>2026-06-20</t>
        </is>
      </c>
      <c r="B2249" s="33" t="inlineStr">
        <is>
          <t>ACLS</t>
        </is>
      </c>
      <c r="C2249" s="33" t="inlineStr">
        <is>
          <t>D5</t>
        </is>
      </c>
      <c r="D2249" s="33" t="n">
        <v>2</v>
      </c>
      <c r="E2249" s="33" t="inlineStr">
        <is>
          <t>Sells to chipmakers, not hyperscalers; only the AI-memory slice is downstream-AI-tied; no hyperscaler customer.</t>
        </is>
      </c>
      <c r="F2249" s="33" t="inlineStr">
        <is>
          <t>10-K customer disclosure; Q1'26 call; context</t>
        </is>
      </c>
      <c r="G2249" s="33" t="inlineStr">
        <is>
          <t>Medium</t>
        </is>
      </c>
      <c r="H2249" s="33" t="inlineStr">
        <is>
          <t>Initial</t>
        </is>
      </c>
    </row>
    <row r="2250">
      <c r="A2250" s="33" t="inlineStr">
        <is>
          <t>2026-06-20</t>
        </is>
      </c>
      <c r="B2250" s="33" t="inlineStr">
        <is>
          <t>ACLS</t>
        </is>
      </c>
      <c r="C2250" s="33" t="inlineStr">
        <is>
          <t>M1</t>
        </is>
      </c>
      <c r="D2250" s="33" t="n">
        <v>3</v>
      </c>
      <c r="E2250" s="33" t="inlineStr">
        <is>
          <t>Mixed: Q2'26 guide above consensus + a B.Riley upgrade, but a standing BofA underperform and FY26 only flat — not a clean beat-and-raise.</t>
        </is>
      </c>
      <c r="F2250" s="33" t="inlineStr">
        <is>
          <t>analyst PT actions; Q1'26 guide; context</t>
        </is>
      </c>
      <c r="G2250" s="33" t="inlineStr">
        <is>
          <t>Low-Med</t>
        </is>
      </c>
      <c r="H2250" s="33" t="inlineStr">
        <is>
          <t>Initial</t>
        </is>
      </c>
    </row>
    <row r="2251">
      <c r="A2251" s="33" t="inlineStr">
        <is>
          <t>2026-06-20</t>
        </is>
      </c>
      <c r="B2251" s="33" t="inlineStr">
        <is>
          <t>ACLS</t>
        </is>
      </c>
      <c r="C2251" s="33" t="inlineStr">
        <is>
          <t>M2</t>
        </is>
      </c>
      <c r="D2251" s="33" t="n">
        <v>5</v>
      </c>
      <c r="E2251" s="33" t="inlineStr">
        <is>
          <t>+109% YTD vs SOXX +89% (&gt;20pp, 6mo). FLAG: merger/sentiment-driven on flat fundamentals (rule-14 crowding).</t>
        </is>
      </c>
      <c r="F2251" s="33" t="inlineStr">
        <is>
          <t>investing.com; public.com; context</t>
        </is>
      </c>
      <c r="G2251" s="33" t="inlineStr">
        <is>
          <t>High</t>
        </is>
      </c>
      <c r="H2251" s="33" t="inlineStr">
        <is>
          <t>Initial</t>
        </is>
      </c>
    </row>
    <row r="2252">
      <c r="A2252" s="33" t="inlineStr">
        <is>
          <t>2026-06-20</t>
        </is>
      </c>
      <c r="B2252" s="33" t="inlineStr">
        <is>
          <t>ACLS</t>
        </is>
      </c>
      <c r="C2252" s="33" t="inlineStr">
        <is>
          <t>M3</t>
        </is>
      </c>
      <c r="D2252" s="33" t="n">
        <v>3</v>
      </c>
      <c r="E2252" s="33" t="inlineStr">
        <is>
          <t>Routine small open-market sells, no open-market buys; per rubric, absence of buying caps at the diversification default of 3.</t>
        </is>
      </c>
      <c r="F2252" s="33" t="inlineStr">
        <is>
          <t>SEC Form 4s 2026; context</t>
        </is>
      </c>
      <c r="G2252" s="33" t="inlineStr">
        <is>
          <t>High</t>
        </is>
      </c>
      <c r="H2252" s="33" t="inlineStr">
        <is>
          <t>Initial</t>
        </is>
      </c>
    </row>
    <row r="2253">
      <c r="A2253" s="33" t="inlineStr">
        <is>
          <t>2026-06-20</t>
        </is>
      </c>
      <c r="B2253" s="33" t="inlineStr">
        <is>
          <t>ACLS</t>
        </is>
      </c>
      <c r="C2253" s="33" t="inlineStr">
        <is>
          <t>R1</t>
        </is>
      </c>
      <c r="D2253" s="33" t="n">
        <v>4</v>
      </c>
      <c r="E2253" s="33" t="inlineStr">
        <is>
          <t>One customer 11.0%, top-10 = 55.2% (FY2025); manageable.</t>
        </is>
      </c>
      <c r="F2253" s="33" t="inlineStr">
        <is>
          <t>10-K FY2025 Item 1A + Note</t>
        </is>
      </c>
      <c r="G2253" s="33" t="inlineStr">
        <is>
          <t>High</t>
        </is>
      </c>
      <c r="H2253" s="33" t="inlineStr">
        <is>
          <t>Initial</t>
        </is>
      </c>
    </row>
    <row r="2254">
      <c r="A2254" s="33" t="inlineStr">
        <is>
          <t>2026-06-20</t>
        </is>
      </c>
      <c r="B2254" s="33" t="inlineStr">
        <is>
          <t>ACLS</t>
        </is>
      </c>
      <c r="C2254" s="33" t="inlineStr">
        <is>
          <t>R2</t>
        </is>
      </c>
      <c r="D2254" s="33" t="n">
        <v>2</v>
      </c>
      <c r="E2254" s="33" t="inlineStr">
        <is>
          <t>~42% China-destination revenue; Dec-2024 BIS rule created an ECCN specifically for 300mm ion implanters (category named); China SAMR is also the single gating approval for the Veeco merger.</t>
        </is>
      </c>
      <c r="F2254" s="33" t="inlineStr">
        <is>
          <t>10-K FY2025 risk factors; Q1'26 call</t>
        </is>
      </c>
      <c r="G2254" s="33" t="inlineStr">
        <is>
          <t>High</t>
        </is>
      </c>
      <c r="H2254" s="33" t="inlineStr">
        <is>
          <t>Initial</t>
        </is>
      </c>
    </row>
    <row r="2255">
      <c r="A2255" s="33" t="inlineStr">
        <is>
          <t>2026-06-20</t>
        </is>
      </c>
      <c r="B2255" s="33" t="inlineStr">
        <is>
          <t>ACLS</t>
        </is>
      </c>
      <c r="C2255" s="33" t="inlineStr">
        <is>
          <t>R3</t>
        </is>
      </c>
      <c r="D2255" s="33" t="n">
        <v>5</v>
      </c>
      <c r="E2255" s="33" t="inlineStr">
        <is>
          <t>Net cash ~$570M, no funded debt, positive FCF.</t>
        </is>
      </c>
      <c r="F2255" s="33" t="inlineStr">
        <is>
          <t>10-K FY2025 balance sheet</t>
        </is>
      </c>
      <c r="G2255" s="33" t="inlineStr">
        <is>
          <t>High</t>
        </is>
      </c>
      <c r="H2255" s="33" t="inlineStr">
        <is>
          <t>Initial</t>
        </is>
      </c>
    </row>
    <row r="2256">
      <c r="A2256" s="33" t="inlineStr">
        <is>
          <t>2026-06-20</t>
        </is>
      </c>
      <c r="B2256" s="33" t="inlineStr">
        <is>
          <t>ACLS</t>
        </is>
      </c>
      <c r="C2256" s="33" t="inlineStr">
        <is>
          <t>R4</t>
        </is>
      </c>
      <c r="D2256" s="33" t="n">
        <v>3</v>
      </c>
      <c r="E2256" s="33" t="inlineStr">
        <is>
          <t>Live items: export-control (in R2) + pending cross-border merger/antitrust (SAMR) + a $5M customer settlement; not clean enough for 4-5.</t>
        </is>
      </c>
      <c r="F2256" s="33" t="inlineStr">
        <is>
          <t>10-K; Q1'26 8-K</t>
        </is>
      </c>
      <c r="G2256" s="33" t="inlineStr">
        <is>
          <t>Medium</t>
        </is>
      </c>
      <c r="H2256" s="33" t="inlineStr">
        <is>
          <t>Initial</t>
        </is>
      </c>
    </row>
    <row r="2257">
      <c r="A2257" s="33" t="inlineStr">
        <is>
          <t>2026-06-20</t>
        </is>
      </c>
      <c r="B2257" s="33" t="inlineStr">
        <is>
          <t>ACLS</t>
        </is>
      </c>
      <c r="C2257" s="33" t="inlineStr">
        <is>
          <t>R5</t>
        </is>
      </c>
      <c r="D2257" s="33" t="n">
        <v>5</v>
      </c>
      <c r="E2257" s="33" t="inlineStr">
        <is>
          <t>Non-Layer-10 physical process-equipment maker; ion implant is a durable, irreplaceable doping step; rule-16 default.</t>
        </is>
      </c>
      <c r="F2257" s="33" t="inlineStr">
        <is>
          <t>CLAUDE.md rule 16</t>
        </is>
      </c>
      <c r="G2257" s="33" t="inlineStr">
        <is>
          <t>High</t>
        </is>
      </c>
      <c r="H2257" s="33" t="inlineStr">
        <is>
          <t>Initial</t>
        </is>
      </c>
    </row>
    <row r="2258">
      <c r="A2258" s="33" t="inlineStr">
        <is>
          <t>2026-06-20</t>
        </is>
      </c>
      <c r="B2258" s="33" t="inlineStr">
        <is>
          <t>COHU</t>
        </is>
      </c>
      <c r="C2258" s="33" t="inlineStr">
        <is>
          <t>D1</t>
        </is>
      </c>
      <c r="D2258" s="33" t="n">
        <v>3</v>
      </c>
      <c r="E2258" s="33" t="inlineStr">
        <is>
          <t>HPC/AI ~$80-100M of FY26 rev (~15-19%), trending up; plus HBM inspection in the pipeline. Company gives no single "AI revenue" line.</t>
        </is>
      </c>
      <c r="F2258" s="33" t="inlineStr">
        <is>
          <t>Q1'26 call (HPC guide); 10-K; context</t>
        </is>
      </c>
      <c r="G2258" s="33" t="inlineStr">
        <is>
          <t>Medium</t>
        </is>
      </c>
      <c r="H2258" s="33" t="inlineStr">
        <is>
          <t>Initial</t>
        </is>
      </c>
    </row>
    <row r="2259">
      <c r="A2259" s="33" t="inlineStr">
        <is>
          <t>2026-06-20</t>
        </is>
      </c>
      <c r="B2259" s="33" t="inlineStr">
        <is>
          <t>COHU</t>
        </is>
      </c>
      <c r="C2259" s="33" t="inlineStr">
        <is>
          <t>D2</t>
        </is>
      </c>
      <c r="D2259" s="33" t="n">
        <v>3</v>
      </c>
      <c r="E2259" s="33" t="inlineStr">
        <is>
          <t>Differentiated back-end breadth (handler+ATE+contactor+thermal+inspection) + large consumables installed base, but a #3-ish player behind Advantest/Teradyne facing Asia price competition.</t>
        </is>
      </c>
      <c r="F2259" s="33" t="inlineStr">
        <is>
          <t>10-K Item 1/1A; context</t>
        </is>
      </c>
      <c r="G2259" s="33" t="inlineStr">
        <is>
          <t>Med-High</t>
        </is>
      </c>
      <c r="H2259" s="33" t="inlineStr">
        <is>
          <t>Initial</t>
        </is>
      </c>
    </row>
    <row r="2260">
      <c r="A2260" s="33" t="inlineStr">
        <is>
          <t>2026-06-20</t>
        </is>
      </c>
      <c r="B2260" s="33" t="inlineStr">
        <is>
          <t>COHU</t>
        </is>
      </c>
      <c r="C2260" s="33" t="inlineStr">
        <is>
          <t>D3</t>
        </is>
      </c>
      <c r="D2260" s="33" t="n">
        <v>3</v>
      </c>
      <c r="E2260" s="33" t="inlineStr">
        <is>
          <t>Recurring/consumables installed base (&gt;25,000 systems; device-specific interface products) + IP give a modest real moat; share contested, pricing competitive.</t>
        </is>
      </c>
      <c r="F2260" s="33" t="inlineStr">
        <is>
          <t>10-K Item 1; context</t>
        </is>
      </c>
      <c r="G2260" s="33" t="inlineStr">
        <is>
          <t>Medium</t>
        </is>
      </c>
      <c r="H2260" s="33" t="inlineStr">
        <is>
          <t>Initial</t>
        </is>
      </c>
    </row>
    <row r="2261">
      <c r="A2261" s="33" t="inlineStr">
        <is>
          <t>2026-06-20</t>
        </is>
      </c>
      <c r="B2261" s="33" t="inlineStr">
        <is>
          <t>COHU</t>
        </is>
      </c>
      <c r="C2261" s="33" t="inlineStr">
        <is>
          <t>D4</t>
        </is>
      </c>
      <c r="D2261" s="33" t="n">
        <v>4</v>
      </c>
      <c r="E2261" s="33" t="inlineStr">
        <is>
          <t>Actively ramping Eclipse production capacity to meet HPC demand (absorbing initial ramp costs through 2026).</t>
        </is>
      </c>
      <c r="F2261" s="33" t="inlineStr">
        <is>
          <t>Q1'26 call; context</t>
        </is>
      </c>
      <c r="G2261" s="33" t="inlineStr">
        <is>
          <t>Med-High</t>
        </is>
      </c>
      <c r="H2261" s="33" t="inlineStr">
        <is>
          <t>Initial</t>
        </is>
      </c>
    </row>
    <row r="2262">
      <c r="A2262" s="33" t="inlineStr">
        <is>
          <t>2026-06-20</t>
        </is>
      </c>
      <c r="B2262" s="33" t="inlineStr">
        <is>
          <t>COHU</t>
        </is>
      </c>
      <c r="C2262" s="33" t="inlineStr">
        <is>
          <t>D5</t>
        </is>
      </c>
      <c r="D2262" s="33" t="n">
        <v>2</v>
      </c>
      <c r="E2262" s="33" t="inlineStr">
        <is>
          <t>Indirect exposure — sells to IDMs/OSATs/foundries serving the AI buildout; no hyperscaler customer; none &gt;10%.</t>
        </is>
      </c>
      <c r="F2262" s="33" t="inlineStr">
        <is>
          <t>10-K Item 1; 10-Q; context</t>
        </is>
      </c>
      <c r="G2262" s="33" t="inlineStr">
        <is>
          <t>Med-High</t>
        </is>
      </c>
      <c r="H2262" s="33" t="inlineStr">
        <is>
          <t>Initial</t>
        </is>
      </c>
    </row>
    <row r="2263">
      <c r="A2263" s="33" t="inlineStr">
        <is>
          <t>2026-06-20</t>
        </is>
      </c>
      <c r="B2263" s="33" t="inlineStr">
        <is>
          <t>COHU</t>
        </is>
      </c>
      <c r="C2263" s="33" t="inlineStr">
        <is>
          <t>M1</t>
        </is>
      </c>
      <c r="D2263" s="33" t="n">
        <v>5</v>
      </c>
      <c r="E2263" s="33" t="inlineStr">
        <is>
          <t>Beat-and-raise; multiple PT hikes (TD Cowen $60-&gt;$80; B.Riley $35-&gt;$53) and a raised FY26 guide.</t>
        </is>
      </c>
      <c r="F2263" s="33" t="inlineStr">
        <is>
          <t>analyst notes; Q1'26 call; context</t>
        </is>
      </c>
      <c r="G2263" s="33" t="inlineStr">
        <is>
          <t>High</t>
        </is>
      </c>
      <c r="H2263" s="33" t="inlineStr">
        <is>
          <t>Initial</t>
        </is>
      </c>
    </row>
    <row r="2264">
      <c r="A2264" s="33" t="inlineStr">
        <is>
          <t>2026-06-20</t>
        </is>
      </c>
      <c r="B2264" s="33" t="inlineStr">
        <is>
          <t>COHU</t>
        </is>
      </c>
      <c r="C2264" s="33" t="inlineStr">
        <is>
          <t>M2</t>
        </is>
      </c>
      <c r="D2264" s="33" t="n">
        <v>3</v>
      </c>
      <c r="E2264" s="33" t="inlineStr">
        <is>
          <t>+280% 1yr / +85-92% YTD but ~in line with SOXX ~+99% YTD; on a relative-to-sector basis not a clear &gt;20% outperformer (could argue 4).</t>
        </is>
      </c>
      <c r="F2264" s="33" t="inlineStr">
        <is>
          <t>Investing.com; SOXX YTD; context</t>
        </is>
      </c>
      <c r="G2264" s="33" t="inlineStr">
        <is>
          <t>Medium</t>
        </is>
      </c>
      <c r="H2264" s="33" t="inlineStr">
        <is>
          <t>Initial</t>
        </is>
      </c>
    </row>
    <row r="2265">
      <c r="A2265" s="33" t="inlineStr">
        <is>
          <t>2026-06-20</t>
        </is>
      </c>
      <c r="B2265" s="33" t="inlineStr">
        <is>
          <t>COHU</t>
        </is>
      </c>
      <c r="C2265" s="33" t="inlineStr">
        <is>
          <t>M3</t>
        </is>
      </c>
      <c r="D2265" s="33" t="n">
        <v>3</v>
      </c>
      <c r="E2265" s="33" t="inlineStr">
        <is>
          <t>0 buys / 9 open-market sells in 6mo, all small (&lt;5%) into a +280% run = routine post-rally diversification; no buying caps at 3.</t>
        </is>
      </c>
      <c r="F2265" s="33" t="inlineStr">
        <is>
          <t>Quiver/StockTitan Form 4; context</t>
        </is>
      </c>
      <c r="G2265" s="33" t="inlineStr">
        <is>
          <t>Medium</t>
        </is>
      </c>
      <c r="H2265" s="33" t="inlineStr">
        <is>
          <t>Initial</t>
        </is>
      </c>
    </row>
    <row r="2266">
      <c r="A2266" s="33" t="inlineStr">
        <is>
          <t>2026-06-20</t>
        </is>
      </c>
      <c r="B2266" s="33" t="inlineStr">
        <is>
          <t>COHU</t>
        </is>
      </c>
      <c r="C2266" s="33" t="inlineStr">
        <is>
          <t>R1</t>
        </is>
      </c>
      <c r="D2266" s="33" t="n">
        <v>4</v>
      </c>
      <c r="E2266" s="33" t="inlineStr">
        <is>
          <t>Top-10 = 60%, no customer &gt;10% (FY25).</t>
        </is>
      </c>
      <c r="F2266" s="33" t="inlineStr">
        <is>
          <t>10-K Item 1A; 10-Q</t>
        </is>
      </c>
      <c r="G2266" s="33" t="inlineStr">
        <is>
          <t>High</t>
        </is>
      </c>
      <c r="H2266" s="33" t="inlineStr">
        <is>
          <t>Initial</t>
        </is>
      </c>
    </row>
    <row r="2267">
      <c r="A2267" s="33" t="inlineStr">
        <is>
          <t>2026-06-20</t>
        </is>
      </c>
      <c r="B2267" s="33" t="inlineStr">
        <is>
          <t>COHU</t>
        </is>
      </c>
      <c r="C2267" s="33" t="inlineStr">
        <is>
          <t>R2</t>
        </is>
      </c>
      <c r="D2267" s="33" t="n">
        <v>3</v>
      </c>
      <c r="E2267" s="33" t="inlineStr">
        <is>
          <t>Asia test/assembly hub concentration + China ~11% policy overhang; 90% international; impact limited/absorbed.</t>
        </is>
      </c>
      <c r="F2267" s="33" t="inlineStr">
        <is>
          <t>10-Q geographic; 10-K</t>
        </is>
      </c>
      <c r="G2267" s="33" t="inlineStr">
        <is>
          <t>Medium</t>
        </is>
      </c>
      <c r="H2267" s="33" t="inlineStr">
        <is>
          <t>Initial</t>
        </is>
      </c>
    </row>
    <row r="2268">
      <c r="A2268" s="33" t="inlineStr">
        <is>
          <t>2026-06-20</t>
        </is>
      </c>
      <c r="B2268" s="33" t="inlineStr">
        <is>
          <t>COHU</t>
        </is>
      </c>
      <c r="C2268" s="33" t="inlineStr">
        <is>
          <t>R3</t>
        </is>
      </c>
      <c r="D2268" s="33" t="n">
        <v>4</v>
      </c>
      <c r="E2268" s="33" t="inlineStr">
        <is>
          <t>Net cash ~+$184M, $489M cash+investments, positive FCF even in trough; modest offsetting $287.5M convertible due 2031 (capped-call).</t>
        </is>
      </c>
      <c r="F2268" s="33" t="inlineStr">
        <is>
          <t>10-Q; 10-K Borrowings</t>
        </is>
      </c>
      <c r="G2268" s="33" t="inlineStr">
        <is>
          <t>High</t>
        </is>
      </c>
      <c r="H2268" s="33" t="inlineStr">
        <is>
          <t>Initial</t>
        </is>
      </c>
    </row>
    <row r="2269">
      <c r="A2269" s="33" t="inlineStr">
        <is>
          <t>2026-06-20</t>
        </is>
      </c>
      <c r="B2269" s="33" t="inlineStr">
        <is>
          <t>COHU</t>
        </is>
      </c>
      <c r="C2269" s="33" t="inlineStr">
        <is>
          <t>R4</t>
        </is>
      </c>
      <c r="D2269" s="33" t="n">
        <v>4</v>
      </c>
      <c r="E2269" s="33" t="inlineStr">
        <is>
          <t>Clean; 10-K states trade-compliance costs immaterial, no material proceedings flagged.</t>
        </is>
      </c>
      <c r="F2269" s="33" t="inlineStr">
        <is>
          <t>10-K</t>
        </is>
      </c>
      <c r="G2269" s="33" t="inlineStr">
        <is>
          <t>Med-High</t>
        </is>
      </c>
      <c r="H2269" s="33" t="inlineStr">
        <is>
          <t>Initial</t>
        </is>
      </c>
    </row>
    <row r="2270">
      <c r="A2270" s="33" t="inlineStr">
        <is>
          <t>2026-06-20</t>
        </is>
      </c>
      <c r="B2270" s="33" t="inlineStr">
        <is>
          <t>COHU</t>
        </is>
      </c>
      <c r="C2270" s="33" t="inlineStr">
        <is>
          <t>R5</t>
        </is>
      </c>
      <c r="D2270" s="33" t="n">
        <v>5</v>
      </c>
      <c r="E2270" s="33" t="inlineStr">
        <is>
          <t>Back-end semi-test equipment / physical infra; not Layer 10; rule-16 default.</t>
        </is>
      </c>
      <c r="F2270" s="33" t="inlineStr">
        <is>
          <t>CLAUDE.md rule 16</t>
        </is>
      </c>
      <c r="G2270" s="33" t="inlineStr">
        <is>
          <t>High</t>
        </is>
      </c>
      <c r="H2270" s="33" t="inlineStr">
        <is>
          <t>Initial</t>
        </is>
      </c>
    </row>
    <row r="2271">
      <c r="A2271" s="33" t="inlineStr">
        <is>
          <t>2026-06-20</t>
        </is>
      </c>
      <c r="B2271" s="33" t="inlineStr">
        <is>
          <t>AMKR</t>
        </is>
      </c>
      <c r="C2271" s="33" t="inlineStr">
        <is>
          <t>D1</t>
        </is>
      </c>
      <c r="D2271" s="33" t="n">
        <v>3</v>
      </c>
      <c r="E2271" s="33" t="inlineStr">
        <is>
          <t>Advanced products 81-83% of sales, but advanced packaging != AI revenue (Comms/mobile 44-46%); genuinely AI-infra-tied ~10-25% and rising. No disclosed "AI revenue".</t>
        </is>
      </c>
      <c r="F2271" s="33" t="inlineStr">
        <is>
          <t>10-K FY2025 product/end-market; Q1'26 10-Q; context</t>
        </is>
      </c>
      <c r="G2271" s="33" t="inlineStr">
        <is>
          <t>Medium</t>
        </is>
      </c>
      <c r="H2271" s="33" t="inlineStr">
        <is>
          <t>Initial</t>
        </is>
      </c>
    </row>
    <row r="2272">
      <c r="A2272" s="33" t="inlineStr">
        <is>
          <t>2026-06-20</t>
        </is>
      </c>
      <c r="B2272" s="33" t="inlineStr">
        <is>
          <t>AMKR</t>
        </is>
      </c>
      <c r="C2272" s="33" t="inlineStr">
        <is>
          <t>D2</t>
        </is>
      </c>
      <c r="D2272" s="33" t="n">
        <v>3</v>
      </c>
      <c r="E2272" s="33" t="inlineStr">
        <is>
          <t>#2 OSAT with scale + advanced IP, but mid-chain service provider — thin ~14% GM, materials pass-through, customer leverage (Apple/Qualcomm), foundry in-housing threat.</t>
        </is>
      </c>
      <c r="F2272" s="33" t="inlineStr">
        <is>
          <t>10-K FY2025; OSAT share data; context</t>
        </is>
      </c>
      <c r="G2272" s="33" t="inlineStr">
        <is>
          <t>High</t>
        </is>
      </c>
      <c r="H2272" s="33" t="inlineStr">
        <is>
          <t>Initial</t>
        </is>
      </c>
    </row>
    <row r="2273">
      <c r="A2273" s="33" t="inlineStr">
        <is>
          <t>2026-06-20</t>
        </is>
      </c>
      <c r="B2273" s="33" t="inlineStr">
        <is>
          <t>AMKR</t>
        </is>
      </c>
      <c r="C2273" s="33" t="inlineStr">
        <is>
          <t>D3</t>
        </is>
      </c>
      <c r="D2273" s="33" t="n">
        <v>3</v>
      </c>
      <c r="E2273" s="33" t="inlineStr">
        <is>
          <t>HDFO/2.5D process know-how + customer entanglement give some defensibility, but TSMC 3DFabric + Chinese OSATs erode the high end; limited pricing power.</t>
        </is>
      </c>
      <c r="F2273" s="33" t="inlineStr">
        <is>
          <t>trade press; 10-K competition; context</t>
        </is>
      </c>
      <c r="G2273" s="33" t="inlineStr">
        <is>
          <t>Medium</t>
        </is>
      </c>
      <c r="H2273" s="33" t="inlineStr">
        <is>
          <t>Initial</t>
        </is>
      </c>
    </row>
    <row r="2274">
      <c r="A2274" s="33" t="inlineStr">
        <is>
          <t>2026-06-20</t>
        </is>
      </c>
      <c r="B2274" s="33" t="inlineStr">
        <is>
          <t>AMKR</t>
        </is>
      </c>
      <c r="C2274" s="33" t="inlineStr">
        <is>
          <t>D4</t>
        </is>
      </c>
      <c r="D2274" s="33" t="n">
        <v>5</v>
      </c>
      <c r="E2274" s="33" t="inlineStr">
        <is>
          <t>$7B Arizona buildout (broken ground, Apple-anchored, CHIPS-supported) + advanced-packaging capacity tripling in 2026; funded and underway.</t>
        </is>
      </c>
      <c r="F2274" s="33" t="inlineStr">
        <is>
          <t>10-K FY2025; ir.amkor.com 2025-10-06; context</t>
        </is>
      </c>
      <c r="G2274" s="33" t="inlineStr">
        <is>
          <t>High</t>
        </is>
      </c>
      <c r="H2274" s="33" t="inlineStr">
        <is>
          <t>Initial</t>
        </is>
      </c>
    </row>
    <row r="2275">
      <c r="A2275" s="33" t="inlineStr">
        <is>
          <t>2026-06-20</t>
        </is>
      </c>
      <c r="B2275" s="33" t="inlineStr">
        <is>
          <t>AMKR</t>
        </is>
      </c>
      <c r="C2275" s="33" t="inlineStr">
        <is>
          <t>D5</t>
        </is>
      </c>
      <c r="D2275" s="33" t="n">
        <v>2</v>
      </c>
      <c r="E2275" s="33" t="inlineStr">
        <is>
          <t>Named large customers are Apple/Qualcomm, not hyperscalers; AI exposure indirect via merchant accelerator/CPU vendors and Apple silicon.</t>
        </is>
      </c>
      <c r="F2275" s="33" t="inlineStr">
        <is>
          <t>10-K FY2025 customers; context</t>
        </is>
      </c>
      <c r="G2275" s="33" t="inlineStr">
        <is>
          <t>Medium</t>
        </is>
      </c>
      <c r="H2275" s="33" t="inlineStr">
        <is>
          <t>Initial</t>
        </is>
      </c>
    </row>
    <row r="2276">
      <c r="A2276" s="33" t="inlineStr">
        <is>
          <t>2026-06-20</t>
        </is>
      </c>
      <c r="B2276" s="33" t="inlineStr">
        <is>
          <t>AMKR</t>
        </is>
      </c>
      <c r="C2276" s="33" t="inlineStr">
        <is>
          <t>M1</t>
        </is>
      </c>
      <c r="D2276" s="33" t="n">
        <v>5</v>
      </c>
      <c r="E2276" s="33" t="inlineStr">
        <is>
          <t>Beat-and-raise; Needham $65-&gt;$90, MS $45-&gt;$69; FY26 EPS consensus $1.74-&gt;$2.11.</t>
        </is>
      </c>
      <c r="F2276" s="33" t="inlineStr">
        <is>
          <t>analyst notes Jun 2026; context</t>
        </is>
      </c>
      <c r="G2276" s="33" t="inlineStr">
        <is>
          <t>High</t>
        </is>
      </c>
      <c r="H2276" s="33" t="inlineStr">
        <is>
          <t>Initial</t>
        </is>
      </c>
    </row>
    <row r="2277">
      <c r="A2277" s="33" t="inlineStr">
        <is>
          <t>2026-06-20</t>
        </is>
      </c>
      <c r="B2277" s="33" t="inlineStr">
        <is>
          <t>AMKR</t>
        </is>
      </c>
      <c r="C2277" s="33" t="inlineStr">
        <is>
          <t>M2</t>
        </is>
      </c>
      <c r="D2277" s="33" t="n">
        <v>5</v>
      </c>
      <c r="E2277" s="33" t="inlineStr">
        <is>
          <t>All-time highs, large outperformance, +8.25% single day (Jun 12). Note: also rule-14 crowding risk.</t>
        </is>
      </c>
      <c r="F2277" s="33" t="inlineStr">
        <is>
          <t>market data; expectations_flag; context</t>
        </is>
      </c>
      <c r="G2277" s="33" t="inlineStr">
        <is>
          <t>High</t>
        </is>
      </c>
      <c r="H2277" s="33" t="inlineStr">
        <is>
          <t>Initial</t>
        </is>
      </c>
    </row>
    <row r="2278">
      <c r="A2278" s="33" t="inlineStr">
        <is>
          <t>2026-06-20</t>
        </is>
      </c>
      <c r="B2278" s="33" t="inlineStr">
        <is>
          <t>AMKR</t>
        </is>
      </c>
      <c r="C2278" s="33" t="inlineStr">
        <is>
          <t>M3</t>
        </is>
      </c>
      <c r="D2278" s="33" t="n">
        <v>3</v>
      </c>
      <c r="E2278" s="33" t="inlineStr">
        <is>
          <t>Ex-CEO routine post-retirement trim (~9% of holdings); no open-market buying; Kim-family secondary is a diversification-flavored overhang. Default post-rally baseline.</t>
        </is>
      </c>
      <c r="F2278" s="33" t="inlineStr">
        <is>
          <t>stocktitan Form 4; 13D/A; context</t>
        </is>
      </c>
      <c r="G2278" s="33" t="inlineStr">
        <is>
          <t>Medium</t>
        </is>
      </c>
      <c r="H2278" s="33" t="inlineStr">
        <is>
          <t>Initial</t>
        </is>
      </c>
    </row>
    <row r="2279">
      <c r="A2279" s="33" t="inlineStr">
        <is>
          <t>2026-06-20</t>
        </is>
      </c>
      <c r="B2279" s="33" t="inlineStr">
        <is>
          <t>AMKR</t>
        </is>
      </c>
      <c r="C2279" s="33" t="inlineStr">
        <is>
          <t>R1</t>
        </is>
      </c>
      <c r="D2279" s="33" t="n">
        <v>3</v>
      </c>
      <c r="E2279" s="33" t="inlineStr">
        <is>
          <t>Apple 29.8% (band 3: top customer 25-40%); top-10 = 72%. Real, not existential.</t>
        </is>
      </c>
      <c r="F2279" s="33" t="inlineStr">
        <is>
          <t>10-K FY2025</t>
        </is>
      </c>
      <c r="G2279" s="33" t="inlineStr">
        <is>
          <t>High</t>
        </is>
      </c>
      <c r="H2279" s="33" t="inlineStr">
        <is>
          <t>Initial</t>
        </is>
      </c>
    </row>
    <row r="2280">
      <c r="A2280" s="33" t="inlineStr">
        <is>
          <t>2026-06-20</t>
        </is>
      </c>
      <c r="B2280" s="33" t="inlineStr">
        <is>
          <t>AMKR</t>
        </is>
      </c>
      <c r="C2280" s="33" t="inlineStr">
        <is>
          <t>R2</t>
        </is>
      </c>
      <c r="D2280" s="33" t="n">
        <v>2</v>
      </c>
      <c r="E2280" s="33" t="inlineStr">
        <is>
          <t>Worst plausible shock: Taiwan-strait/China conflict impairing Asian production assets (Korea, China 1.4M sq ft, Taiwan); point-of-billing "US 65.6%" is misleading.</t>
        </is>
      </c>
      <c r="F2280" s="33" t="inlineStr">
        <is>
          <t>10-K FY2025 Item 2 + geographic note</t>
        </is>
      </c>
      <c r="G2280" s="33" t="inlineStr">
        <is>
          <t>Medium</t>
        </is>
      </c>
      <c r="H2280" s="33" t="inlineStr">
        <is>
          <t>Initial</t>
        </is>
      </c>
    </row>
    <row r="2281">
      <c r="A2281" s="33" t="inlineStr">
        <is>
          <t>2026-06-20</t>
        </is>
      </c>
      <c r="B2281" s="33" t="inlineStr">
        <is>
          <t>AMKR</t>
        </is>
      </c>
      <c r="C2281" s="33" t="inlineStr">
        <is>
          <t>R3</t>
        </is>
      </c>
      <c r="D2281" s="33" t="n">
        <v>4</v>
      </c>
      <c r="E2281" s="33" t="inlineStr">
        <is>
          <t>Net cash (cash+STI ~$1.99B vs debt ~$1.46B; ND/EBITDA ~-0.2x), but the $7B Arizona capex is a real forward call on FCF (so not 5).</t>
        </is>
      </c>
      <c r="F2281" s="33" t="inlineStr">
        <is>
          <t>10-K FY2025 balance sheet</t>
        </is>
      </c>
      <c r="G2281" s="33" t="inlineStr">
        <is>
          <t>High</t>
        </is>
      </c>
      <c r="H2281" s="33" t="inlineStr">
        <is>
          <t>Initial</t>
        </is>
      </c>
    </row>
    <row r="2282">
      <c r="A2282" s="33" t="inlineStr">
        <is>
          <t>2026-06-20</t>
        </is>
      </c>
      <c r="B2282" s="33" t="inlineStr">
        <is>
          <t>AMKR</t>
        </is>
      </c>
      <c r="C2282" s="33" t="inlineStr">
        <is>
          <t>R4</t>
        </is>
      </c>
      <c r="D2282" s="33" t="n">
        <v>4</v>
      </c>
      <c r="E2282" s="33" t="inlineStr">
        <is>
          <t>No major disclosed litigation; watch items = CHIPS-incentive clawback conditions + export-control overhang.</t>
        </is>
      </c>
      <c r="F2282" s="33" t="inlineStr">
        <is>
          <t>10-K FY2025 legal/risk</t>
        </is>
      </c>
      <c r="G2282" s="33" t="inlineStr">
        <is>
          <t>Medium</t>
        </is>
      </c>
      <c r="H2282" s="33" t="inlineStr">
        <is>
          <t>Initial</t>
        </is>
      </c>
    </row>
    <row r="2283">
      <c r="A2283" s="33" t="inlineStr">
        <is>
          <t>2026-06-20</t>
        </is>
      </c>
      <c r="B2283" s="33" t="inlineStr">
        <is>
          <t>AMKR</t>
        </is>
      </c>
      <c r="C2283" s="33" t="inlineStr">
        <is>
          <t>R5</t>
        </is>
      </c>
      <c r="D2283" s="33" t="n">
        <v>5</v>
      </c>
      <c r="E2283" s="33" t="inlineStr">
        <is>
          <t>Physical back-end manufacturing; non-Layer-10 default; AI is a tailwind (TSMC in-housing is a D2/D3 issue, not R5 obsolescence).</t>
        </is>
      </c>
      <c r="F2283" s="33" t="inlineStr">
        <is>
          <t>CLAUDE.md rule 16</t>
        </is>
      </c>
      <c r="G2283" s="33" t="inlineStr">
        <is>
          <t>High</t>
        </is>
      </c>
      <c r="H2283" s="33" t="inlineStr">
        <is>
          <t>Initial</t>
        </is>
      </c>
    </row>
    <row r="2284">
      <c r="A2284" s="33" t="inlineStr">
        <is>
          <t>2026-06-20</t>
        </is>
      </c>
      <c r="B2284" s="33" t="inlineStr">
        <is>
          <t>ASX</t>
        </is>
      </c>
      <c r="C2284" s="33" t="inlineStr">
        <is>
          <t>D1</t>
        </is>
      </c>
      <c r="D2284" s="33" t="n">
        <v>3</v>
      </c>
      <c r="E2284" s="33" t="inlineStr">
        <is>
          <t>AI is the explicit driver but not yet majority; LEAP &gt;$3.5B (2026E) on ~$20B rev ~= high-teens % directly AI-tied, plus AI-test/peripherals; EMS+wirebond dilute.</t>
        </is>
      </c>
      <c r="F2284" s="33" t="inlineStr">
        <is>
          <t>20-F AI risk factor; Q1'26 call (LEAP); context</t>
        </is>
      </c>
      <c r="G2284" s="33" t="inlineStr">
        <is>
          <t>Medium</t>
        </is>
      </c>
      <c r="H2284" s="33" t="inlineStr">
        <is>
          <t>Initial</t>
        </is>
      </c>
    </row>
    <row r="2285">
      <c r="A2285" s="33" t="inlineStr">
        <is>
          <t>2026-06-20</t>
        </is>
      </c>
      <c r="B2285" s="33" t="inlineStr">
        <is>
          <t>ASX</t>
        </is>
      </c>
      <c r="C2285" s="33" t="inlineStr">
        <is>
          <t>D2</t>
        </is>
      </c>
      <c r="D2285" s="33" t="n">
        <v>4</v>
      </c>
      <c r="E2285" s="33" t="inlineStr">
        <is>
          <t>#1 OSAT globally; upstream-of-finished-chip with limited peers (Amkor, JCET); widening lead times. Not 5 — complement to TSMC in CoWoS.</t>
        </is>
      </c>
      <c r="F2285" s="33" t="inlineStr">
        <is>
          <t>20-F; rubric anchors; context</t>
        </is>
      </c>
      <c r="G2285" s="33" t="inlineStr">
        <is>
          <t>High</t>
        </is>
      </c>
      <c r="H2285" s="33" t="inlineStr">
        <is>
          <t>Initial</t>
        </is>
      </c>
    </row>
    <row r="2286">
      <c r="A2286" s="33" t="inlineStr">
        <is>
          <t>2026-06-20</t>
        </is>
      </c>
      <c r="B2286" s="33" t="inlineStr">
        <is>
          <t>ASX</t>
        </is>
      </c>
      <c r="C2286" s="33" t="inlineStr">
        <is>
          <t>D3</t>
        </is>
      </c>
      <c r="D2286" s="33" t="n">
        <v>3</v>
      </c>
      <c r="E2286" s="33" t="inlineStr">
        <is>
          <t>Scale + capital intensity + qualification switching costs, but contestable (TSMC forward-integration, substrate dependence). Took 3 of a 3-4 range (ruthless).</t>
        </is>
      </c>
      <c r="F2286" s="33" t="inlineStr">
        <is>
          <t>20-F Customers/Qualification; context</t>
        </is>
      </c>
      <c r="G2286" s="33" t="inlineStr">
        <is>
          <t>Medium</t>
        </is>
      </c>
      <c r="H2286" s="33" t="inlineStr">
        <is>
          <t>Initial</t>
        </is>
      </c>
    </row>
    <row r="2287">
      <c r="A2287" s="33" t="inlineStr">
        <is>
          <t>2026-06-20</t>
        </is>
      </c>
      <c r="B2287" s="33" t="inlineStr">
        <is>
          <t>ASX</t>
        </is>
      </c>
      <c r="C2287" s="33" t="inlineStr">
        <is>
          <t>D4</t>
        </is>
      </c>
      <c r="D2287" s="33" t="n">
        <v>5</v>
      </c>
      <c r="E2287" s="33" t="inlineStr">
        <is>
          <t>Multi-year funded customer-backed buildout; capex raised twice to US$8.5B; new test hub.</t>
        </is>
      </c>
      <c r="F2287" s="33" t="inlineStr">
        <is>
          <t>Q1'26 PR; trade press; context</t>
        </is>
      </c>
      <c r="G2287" s="33" t="inlineStr">
        <is>
          <t>High</t>
        </is>
      </c>
      <c r="H2287" s="33" t="inlineStr">
        <is>
          <t>Initial</t>
        </is>
      </c>
    </row>
    <row r="2288">
      <c r="A2288" s="33" t="inlineStr">
        <is>
          <t>2026-06-20</t>
        </is>
      </c>
      <c r="B2288" s="33" t="inlineStr">
        <is>
          <t>ASX</t>
        </is>
      </c>
      <c r="C2288" s="33" t="inlineStr">
        <is>
          <t>D5</t>
        </is>
      </c>
      <c r="D2288" s="33" t="n">
        <v>3</v>
      </c>
      <c r="E2288" s="33" t="inlineStr">
        <is>
          <t>Packages/tests AI accelerators for the fabless/hyperscaler-silicon ecosystem, but named &gt;10% customer is Apple (consumer); much exposure one step removed.</t>
        </is>
      </c>
      <c r="F2288" s="33" t="inlineStr">
        <is>
          <t>20-F major-customer note; context</t>
        </is>
      </c>
      <c r="G2288" s="33" t="inlineStr">
        <is>
          <t>Medium</t>
        </is>
      </c>
      <c r="H2288" s="33" t="inlineStr">
        <is>
          <t>Initial</t>
        </is>
      </c>
    </row>
    <row r="2289">
      <c r="A2289" s="33" t="inlineStr">
        <is>
          <t>2026-06-20</t>
        </is>
      </c>
      <c r="B2289" s="33" t="inlineStr">
        <is>
          <t>ASX</t>
        </is>
      </c>
      <c r="C2289" s="33" t="inlineStr">
        <is>
          <t>M1</t>
        </is>
      </c>
      <c r="D2289" s="33" t="n">
        <v>3</v>
      </c>
      <c r="E2289" s="33" t="inlineStr">
        <is>
          <t>Net-positive: Q1'26 beat ~15%, targets nudged up; not a violent beat-and-raise. Took 3 of a 3-4 range.</t>
        </is>
      </c>
      <c r="F2289" s="33" t="inlineStr">
        <is>
          <t>WallStreetZen; TradingView 3711; context</t>
        </is>
      </c>
      <c r="G2289" s="33" t="inlineStr">
        <is>
          <t>Medium</t>
        </is>
      </c>
      <c r="H2289" s="33" t="inlineStr">
        <is>
          <t>Initial</t>
        </is>
      </c>
    </row>
    <row r="2290">
      <c r="A2290" s="33" t="inlineStr">
        <is>
          <t>2026-06-20</t>
        </is>
      </c>
      <c r="B2290" s="33" t="inlineStr">
        <is>
          <t>ASX</t>
        </is>
      </c>
      <c r="C2290" s="33" t="inlineStr">
        <is>
          <t>M2</t>
        </is>
      </c>
      <c r="D2290" s="33" t="n">
        <v>4</v>
      </c>
      <c r="E2290" s="33" t="inlineStr">
        <is>
          <t>Strong outperformer vs SOXX (6-12mo). LOW CONFIDENCE — circulating "+257%" is TWSE 3711, likely overstated for the ADR; verify on ADR series. Took 4 of a 4-5 range.</t>
        </is>
      </c>
      <c r="F2290" s="33" t="inlineStr">
        <is>
          <t>U.S. News SOXX YTD; context</t>
        </is>
      </c>
      <c r="G2290" s="33" t="inlineStr">
        <is>
          <t>Low</t>
        </is>
      </c>
      <c r="H2290" s="33" t="inlineStr">
        <is>
          <t>Initial</t>
        </is>
      </c>
    </row>
    <row r="2291">
      <c r="A2291" s="33" t="inlineStr">
        <is>
          <t>2026-06-20</t>
        </is>
      </c>
      <c r="B2291" s="33" t="inlineStr">
        <is>
          <t>ASX</t>
        </is>
      </c>
      <c r="C2291" s="33" t="inlineStr">
        <is>
          <t>M3</t>
        </is>
      </c>
      <c r="D2291" s="33" t="n">
        <v>3</v>
      </c>
      <c r="E2291" s="33" t="inlineStr">
        <is>
          <t>DATA GAP — no Form-4/Section-16 for a foreign filer; rubric default for no-visible-activity = 3 (here it is absence of data, not a read).</t>
        </is>
      </c>
      <c r="F2291" s="33" t="inlineStr">
        <is>
          <t>yfinance heldPctInsiders 0.0; context</t>
        </is>
      </c>
      <c r="G2291" s="33" t="inlineStr">
        <is>
          <t>Low</t>
        </is>
      </c>
      <c r="H2291" s="33" t="inlineStr">
        <is>
          <t>Initial</t>
        </is>
      </c>
    </row>
    <row r="2292">
      <c r="A2292" s="33" t="inlineStr">
        <is>
          <t>2026-06-20</t>
        </is>
      </c>
      <c r="B2292" s="33" t="inlineStr">
        <is>
          <t>ASX</t>
        </is>
      </c>
      <c r="C2292" s="33" t="inlineStr">
        <is>
          <t>R1</t>
        </is>
      </c>
      <c r="D2292" s="33" t="n">
        <v>3</v>
      </c>
      <c r="E2292" s="33" t="inlineStr">
        <is>
          <t>One customer ~25%, top-5 = 46.5% -&gt; real dependence, not existential.</t>
        </is>
      </c>
      <c r="F2292" s="33" t="inlineStr">
        <is>
          <t>20-F major-customer note</t>
        </is>
      </c>
      <c r="G2292" s="33" t="inlineStr">
        <is>
          <t>High</t>
        </is>
      </c>
      <c r="H2292" s="33" t="inlineStr">
        <is>
          <t>Initial</t>
        </is>
      </c>
    </row>
    <row r="2293">
      <c r="A2293" s="33" t="inlineStr">
        <is>
          <t>2026-06-20</t>
        </is>
      </c>
      <c r="B2293" s="33" t="inlineStr">
        <is>
          <t>ASX</t>
        </is>
      </c>
      <c r="C2293" s="33" t="inlineStr">
        <is>
          <t>R2</t>
        </is>
      </c>
      <c r="D2293" s="33" t="n">
        <v>2</v>
      </c>
      <c r="E2293" s="33" t="inlineStr">
        <is>
          <t>Asset leg dominant — ~58.9% of revenue produced in Taiwan (non-substitutable) + a standalone power-disruption risk; worst shock = Taiwan Strait/seismic/grid. Same logic as TSM=2.</t>
        </is>
      </c>
      <c r="F2293" s="33" t="inlineStr">
        <is>
          <t>20-F Taiwan risk factors</t>
        </is>
      </c>
      <c r="G2293" s="33" t="inlineStr">
        <is>
          <t>High</t>
        </is>
      </c>
      <c r="H2293" s="33" t="inlineStr">
        <is>
          <t>Initial</t>
        </is>
      </c>
    </row>
    <row r="2294">
      <c r="A2294" s="33" t="inlineStr">
        <is>
          <t>2026-06-20</t>
        </is>
      </c>
      <c r="B2294" s="33" t="inlineStr">
        <is>
          <t>ASX</t>
        </is>
      </c>
      <c r="C2294" s="33" t="inlineStr">
        <is>
          <t>R3</t>
        </is>
      </c>
      <c r="D2294" s="33" t="n">
        <v>3</v>
      </c>
      <c r="E2294" s="33" t="inlineStr">
        <is>
          <t>ND/equity 0.40, ND/EBITDA ~2x, strong OCF, large unused credit lines; FCF negative on the capex ramp. Took 3 of a 3-4 range.</t>
        </is>
      </c>
      <c r="F2294" s="33" t="inlineStr">
        <is>
          <t>Q1'26 PR balance sheet; context</t>
        </is>
      </c>
      <c r="G2294" s="33" t="inlineStr">
        <is>
          <t>Medium</t>
        </is>
      </c>
      <c r="H2294" s="33" t="inlineStr">
        <is>
          <t>Initial</t>
        </is>
      </c>
    </row>
    <row r="2295">
      <c r="A2295" s="33" t="inlineStr">
        <is>
          <t>2026-06-20</t>
        </is>
      </c>
      <c r="B2295" s="33" t="inlineStr">
        <is>
          <t>ASX</t>
        </is>
      </c>
      <c r="C2295" s="33" t="inlineStr">
        <is>
          <t>R4</t>
        </is>
      </c>
      <c r="D2295" s="33" t="n">
        <v>4</v>
      </c>
      <c r="E2295" s="33" t="inlineStr">
        <is>
          <t>No major disclosed regulatory threat surfaced; routine matters. Preliminary — full Legal Proceedings not fully extracted from the 20-F.</t>
        </is>
      </c>
      <c r="F2295" s="33" t="inlineStr">
        <is>
          <t>20-F (partial); context</t>
        </is>
      </c>
      <c r="G2295" s="33" t="inlineStr">
        <is>
          <t>Low</t>
        </is>
      </c>
      <c r="H2295" s="33" t="inlineStr">
        <is>
          <t>Initial</t>
        </is>
      </c>
    </row>
    <row r="2296">
      <c r="A2296" s="33" t="inlineStr">
        <is>
          <t>2026-06-20</t>
        </is>
      </c>
      <c r="B2296" s="33" t="inlineStr">
        <is>
          <t>ASX</t>
        </is>
      </c>
      <c r="C2296" s="33" t="inlineStr">
        <is>
          <t>R5</t>
        </is>
      </c>
      <c r="D2296" s="33" t="n">
        <v>5</v>
      </c>
      <c r="E2296" s="33" t="inlineStr">
        <is>
          <t>Physical back-end manufacturing; advanced packaging becoming more essential as value shifts to the package; non-Layer-10 default; AI tailwind.</t>
        </is>
      </c>
      <c r="F2296" s="33" t="inlineStr">
        <is>
          <t>CLAUDE.md rule 16</t>
        </is>
      </c>
      <c r="G2296" s="33" t="inlineStr">
        <is>
          <t>High</t>
        </is>
      </c>
      <c r="H2296" s="33" t="inlineStr">
        <is>
          <t>Initial</t>
        </is>
      </c>
    </row>
    <row r="2297">
      <c r="A2297" s="33" t="inlineStr">
        <is>
          <t>2026-06-22</t>
        </is>
      </c>
      <c r="B2297" s="33" t="inlineStr">
        <is>
          <t>(methodology)</t>
        </is>
      </c>
      <c r="C2297" s="33" t="inlineStr">
        <is>
          <t>Layer 11 reverted</t>
        </is>
      </c>
      <c r="D2297" s="33" t="inlineStr">
        <is>
          <t>—</t>
        </is>
      </c>
      <c r="E2297" s="33" t="inlineStr">
        <is>
          <t>Layer-11 AI-Adopters experiment + rule-17 materiality gate REVERTED same day (over-engineered for yield). RDDT re-homed to Layer 10/AI advertising under standard rubric; JPM/NU/LMND/MA/PERI/RXRX/HOOD dropped.</t>
        </is>
      </c>
      <c r="F2297" s="33" t="inlineStr">
        <is>
          <t>Dom 2026-06-22</t>
        </is>
      </c>
      <c r="G2297" s="33" t="inlineStr">
        <is>
          <t>High</t>
        </is>
      </c>
      <c r="H2297" s="33" t="inlineStr">
        <is>
          <t>Reverted</t>
        </is>
      </c>
    </row>
    <row r="2298">
      <c r="A2298" s="33" t="inlineStr">
        <is>
          <t>2026-06-22</t>
        </is>
      </c>
      <c r="B2298" s="33" t="inlineStr">
        <is>
          <t>RDDT</t>
        </is>
      </c>
      <c r="C2298" s="33" t="inlineStr">
        <is>
          <t>D1-AIrev%</t>
        </is>
      </c>
      <c r="D2298" s="33" t="n">
        <v>3</v>
      </c>
      <c r="E2298" s="33" t="inlineStr">
        <is>
          <t>Data-licensing to OpenAI/Google ~10% of rev (AI-tied) + ML-driven ad monetization; not an AI-native engine like APP</t>
        </is>
      </c>
      <c r="F2298" s="33" t="inlineStr">
        <is>
          <t>Q3 2025 letter; licensing disclosures</t>
        </is>
      </c>
      <c r="G2298" s="33" t="inlineStr">
        <is>
          <t>Med</t>
        </is>
      </c>
      <c r="H2298" s="33" t="inlineStr">
        <is>
          <t>Initial</t>
        </is>
      </c>
    </row>
    <row r="2299">
      <c r="A2299" s="33" t="inlineStr">
        <is>
          <t>2026-06-22</t>
        </is>
      </c>
      <c r="B2299" s="33" t="inlineStr">
        <is>
          <t>RDDT</t>
        </is>
      </c>
      <c r="C2299" s="33" t="inlineStr">
        <is>
          <t>D2-Position</t>
        </is>
      </c>
      <c r="D2299" s="33" t="n">
        <v>3</v>
      </c>
      <c r="E2299" s="33" t="inlineStr">
        <is>
          <t>Scarce first-party human-conversation corpus gives real position; but sub-scale ad platform vs Meta/Google</t>
        </is>
      </c>
      <c r="F2299" s="33" t="inlineStr">
        <is>
          <t>standard rubric</t>
        </is>
      </c>
      <c r="G2299" s="33" t="inlineStr">
        <is>
          <t>Med</t>
        </is>
      </c>
    </row>
    <row r="2300">
      <c r="A2300" s="33" t="inlineStr">
        <is>
          <t>2026-06-22</t>
        </is>
      </c>
      <c r="B2300" s="33" t="inlineStr">
        <is>
          <t>RDDT</t>
        </is>
      </c>
      <c r="C2300" s="33" t="inlineStr">
        <is>
          <t>D3-Moat</t>
        </is>
      </c>
      <c r="D2300" s="33" t="n">
        <v>3</v>
      </c>
      <c r="E2300" s="33" t="inlineStr">
        <is>
          <t>Irreplaceable corpus + most-cited AI source, but monetization moat fragile (Google-referral dependent)</t>
        </is>
      </c>
      <c r="F2300" s="33" t="inlineStr">
        <is>
          <t>GoodFirms citation data</t>
        </is>
      </c>
      <c r="G2300" s="33" t="inlineStr">
        <is>
          <t>Med</t>
        </is>
      </c>
    </row>
    <row r="2301">
      <c r="A2301" s="33" t="inlineStr">
        <is>
          <t>2026-06-22</t>
        </is>
      </c>
      <c r="B2301" s="33" t="inlineStr">
        <is>
          <t>RDDT</t>
        </is>
      </c>
      <c r="C2301" s="33" t="inlineStr">
        <is>
          <t>D4-Capacity</t>
        </is>
      </c>
      <c r="D2301" s="33" t="n">
        <v>3</v>
      </c>
      <c r="E2301" s="33" t="inlineStr">
        <is>
          <t>Cohort-calibrated (APP=4, DDOG=3); low confidence on app-layer meaning</t>
        </is>
      </c>
      <c r="F2301" s="33" t="inlineStr">
        <is>
          <t>Layer-10 anchors</t>
        </is>
      </c>
      <c r="G2301" s="33" t="inlineStr">
        <is>
          <t>Low</t>
        </is>
      </c>
    </row>
    <row r="2302">
      <c r="A2302" s="33" t="inlineStr">
        <is>
          <t>2026-06-22</t>
        </is>
      </c>
      <c r="B2302" s="33" t="inlineStr">
        <is>
          <t>RDDT</t>
        </is>
      </c>
      <c r="C2302" s="33" t="inlineStr">
        <is>
          <t>D5-Hyperscaler</t>
        </is>
      </c>
      <c r="D2302" s="33" t="n">
        <v>2</v>
      </c>
      <c r="E2302" s="33" t="inlineStr">
        <is>
          <t>Runs on hyperscalers as customer; licenses data TO them — limited beneficiary status (APP=2)</t>
        </is>
      </c>
      <c r="F2302" s="33" t="inlineStr">
        <is>
          <t>Layer-10 anchors</t>
        </is>
      </c>
      <c r="G2302" s="33" t="inlineStr">
        <is>
          <t>Med</t>
        </is>
      </c>
    </row>
    <row r="2303">
      <c r="A2303" s="33" t="inlineStr">
        <is>
          <t>2026-06-22</t>
        </is>
      </c>
      <c r="B2303" s="33" t="inlineStr">
        <is>
          <t>RDDT</t>
        </is>
      </c>
      <c r="C2303" s="33" t="inlineStr">
        <is>
          <t>EPSrev</t>
        </is>
      </c>
      <c r="D2303" s="33" t="n">
        <v>5</v>
      </c>
      <c r="E2303" s="33" t="inlineStr">
        <is>
          <t>Beat-and-raise; 7th straight qtr &gt;60% rev growth</t>
        </is>
      </c>
      <c r="F2303" s="33" t="inlineStr">
        <is>
          <t>Q1 2026</t>
        </is>
      </c>
      <c r="G2303" s="33" t="inlineStr">
        <is>
          <t>Med</t>
        </is>
      </c>
    </row>
    <row r="2304">
      <c r="A2304" s="33" t="inlineStr">
        <is>
          <t>2026-06-22</t>
        </is>
      </c>
      <c r="B2304" s="33" t="inlineStr">
        <is>
          <t>RDDT</t>
        </is>
      </c>
      <c r="C2304" s="33" t="inlineStr">
        <is>
          <t>RelStr</t>
        </is>
      </c>
      <c r="D2304" s="33" t="n">
        <v>3</v>
      </c>
      <c r="E2304" s="33" t="inlineStr">
        <is>
          <t>High-beta two-way; 50DMA% 50.8 sideways</t>
        </is>
      </c>
      <c r="F2304" s="33" t="inlineStr">
        <is>
          <t>momentum</t>
        </is>
      </c>
      <c r="G2304" s="33" t="inlineStr">
        <is>
          <t>Low</t>
        </is>
      </c>
    </row>
    <row r="2305">
      <c r="A2305" s="33" t="inlineStr">
        <is>
          <t>2026-06-22</t>
        </is>
      </c>
      <c r="B2305" s="33" t="inlineStr">
        <is>
          <t>RDDT</t>
        </is>
      </c>
      <c r="C2305" s="33" t="inlineStr">
        <is>
          <t>Insider</t>
        </is>
      </c>
      <c r="D2305" s="33" t="n">
        <v>3</v>
      </c>
      <c r="E2305" s="33" t="inlineStr">
        <is>
          <t>Post-IPO diversification baseline</t>
        </is>
      </c>
      <c r="F2305" s="33" t="inlineStr">
        <is>
          <t>rubric</t>
        </is>
      </c>
      <c r="G2305" s="33" t="inlineStr">
        <is>
          <t>Low</t>
        </is>
      </c>
    </row>
    <row r="2306">
      <c r="A2306" s="33" t="inlineStr">
        <is>
          <t>2026-06-22</t>
        </is>
      </c>
      <c r="B2306" s="33" t="inlineStr">
        <is>
          <t>RDDT</t>
        </is>
      </c>
      <c r="C2306" s="33" t="inlineStr">
        <is>
          <t>R1-CustConc</t>
        </is>
      </c>
      <c r="D2306" s="33" t="n">
        <v>5</v>
      </c>
      <c r="E2306" s="33" t="inlineStr">
        <is>
          <t>Ad revenue diversified, none &gt;15%</t>
        </is>
      </c>
      <c r="F2306" s="33" t="inlineStr">
        <is>
          <t>Q1 2026</t>
        </is>
      </c>
      <c r="G2306" s="33" t="inlineStr">
        <is>
          <t>Med</t>
        </is>
      </c>
    </row>
    <row r="2307">
      <c r="A2307" s="33" t="inlineStr">
        <is>
          <t>2026-06-22</t>
        </is>
      </c>
      <c r="B2307" s="33" t="inlineStr">
        <is>
          <t>RDDT</t>
        </is>
      </c>
      <c r="C2307" s="33" t="inlineStr">
        <is>
          <t>R2-Geo</t>
        </is>
      </c>
      <c r="D2307" s="33" t="n">
        <v>5</v>
      </c>
      <c r="E2307" s="33" t="inlineStr">
        <is>
          <t>Predominantly US revenue</t>
        </is>
      </c>
      <c r="F2307" s="33" t="inlineStr">
        <is>
          <t>10-Q</t>
        </is>
      </c>
      <c r="G2307" s="33" t="inlineStr">
        <is>
          <t>Med</t>
        </is>
      </c>
    </row>
    <row r="2308">
      <c r="A2308" s="33" t="inlineStr">
        <is>
          <t>2026-06-22</t>
        </is>
      </c>
      <c r="B2308" s="33" t="inlineStr">
        <is>
          <t>RDDT</t>
        </is>
      </c>
      <c r="C2308" s="33" t="inlineStr">
        <is>
          <t>R3-BS</t>
        </is>
      </c>
      <c r="D2308" s="33" t="n">
        <v>5</v>
      </c>
      <c r="E2308" s="33" t="inlineStr">
        <is>
          <t>Net cash, no debt, GAAP-profitable, 40% EBITDA mgn</t>
        </is>
      </c>
      <c r="F2308" s="33" t="inlineStr">
        <is>
          <t>Q1 2026</t>
        </is>
      </c>
      <c r="G2308" s="33" t="inlineStr">
        <is>
          <t>High</t>
        </is>
      </c>
    </row>
    <row r="2309">
      <c r="A2309" s="33" t="inlineStr">
        <is>
          <t>2026-06-22</t>
        </is>
      </c>
      <c r="B2309" s="33" t="inlineStr">
        <is>
          <t>RDDT</t>
        </is>
      </c>
      <c r="C2309" s="33" t="inlineStr">
        <is>
          <t>R4-Reg</t>
        </is>
      </c>
      <c r="D2309" s="33" t="n">
        <v>4</v>
      </c>
      <c r="E2309" s="33" t="inlineStr">
        <is>
          <t>Latent data-licensing/moderation, nothing active</t>
        </is>
      </c>
      <c r="F2309" s="33" t="inlineStr">
        <is>
          <t>—</t>
        </is>
      </c>
      <c r="G2309" s="33" t="inlineStr">
        <is>
          <t>Med</t>
        </is>
      </c>
    </row>
    <row r="2310">
      <c r="A2310" s="33" t="inlineStr">
        <is>
          <t>2026-06-22</t>
        </is>
      </c>
      <c r="B2310" s="33" t="inlineStr">
        <is>
          <t>RDDT</t>
        </is>
      </c>
      <c r="C2310" s="33" t="inlineStr">
        <is>
          <t>R5-Disrupt</t>
        </is>
      </c>
      <c r="D2310" s="33" t="n">
        <v>2</v>
      </c>
      <c r="E2310" s="33" t="inlineStr">
        <is>
          <t>Ad funnel ~40-50% Google-referral; AI-Overviews/zero-click active compression</t>
        </is>
      </c>
      <c r="F2310" s="33" t="inlineStr">
        <is>
          <t>referral/AIO</t>
        </is>
      </c>
      <c r="G2310" s="33" t="inlineStr">
        <is>
          <t>Med</t>
        </is>
      </c>
    </row>
    <row r="2311">
      <c r="A2311" s="33" t="inlineStr">
        <is>
          <t>2026-06-24</t>
        </is>
      </c>
      <c r="B2311" s="33" t="inlineStr">
        <is>
          <t>MU</t>
        </is>
      </c>
      <c r="C2311" s="33" t="inlineStr">
        <is>
          <t>Growth: EPS YoY (rule 15)</t>
        </is>
      </c>
      <c r="D2311" s="33" t="n">
        <v>770.8</v>
      </c>
      <c r="E2311" s="33" t="inlineStr">
        <is>
          <t>Memory super-cycle: rev tripled to $23.86B, gross profit $2,963M→$17,755M, op income $1,773M→$16,135M; ~15% tax (Pillar Two), no VA release/one-off</t>
        </is>
      </c>
      <c r="F2311" s="33" t="inlineStr">
        <is>
          <t>10-Q FQ2 q/e 2026-02-26, Stmts of Ops + Income Taxes note</t>
        </is>
      </c>
      <c r="G2311" s="33" t="inlineStr">
        <is>
          <t>High</t>
        </is>
      </c>
      <c r="H2311" s="33" t="inlineStr">
        <is>
          <t>objective</t>
        </is>
      </c>
    </row>
    <row r="2312">
      <c r="A2312" s="33" t="inlineStr">
        <is>
          <t>2026-06-24</t>
        </is>
      </c>
      <c r="B2312" s="33" t="inlineStr">
        <is>
          <t>RDDT</t>
        </is>
      </c>
      <c r="C2312" s="33" t="inlineStr">
        <is>
          <t>Growth: EPS YoY (rule 15)</t>
        </is>
      </c>
      <c r="D2312" s="33" t="n">
        <v>679.8</v>
      </c>
      <c r="E2312" s="33" t="inlineStr">
        <is>
          <t>Operational: rev +69% $392M→$663M, op income $3.9M→$182.9M; FULL valuation allowance still in place (~1% tax is the VA, not a release)</t>
        </is>
      </c>
      <c r="F2312" s="33" t="inlineStr">
        <is>
          <t>10-Q q/e 2026-03-31, Income Taxes note</t>
        </is>
      </c>
      <c r="G2312" s="33" t="inlineStr">
        <is>
          <t>High</t>
        </is>
      </c>
      <c r="H2312" s="33" t="inlineStr">
        <is>
          <t>objective</t>
        </is>
      </c>
    </row>
    <row r="2313">
      <c r="A2313" s="33" t="inlineStr">
        <is>
          <t>2026-06-24</t>
        </is>
      </c>
      <c r="B2313" s="33" t="inlineStr">
        <is>
          <t>CRDO</t>
        </is>
      </c>
      <c r="C2313" s="33" t="inlineStr">
        <is>
          <t>Growth: EPS YoY (rule 15)</t>
        </is>
      </c>
      <c r="D2313" s="33" t="n">
        <v>362.2</v>
      </c>
      <c r="E2313" s="33" t="inlineStr">
        <is>
          <t>Operational: FY rev 3x $436.8M→$1,335.1M, op income $37.1M→$445.0M; VA INCREASED $93.4M (no release), $3.2M tax expense. yfinance qtrly +362% is approx (fiscal-yr label); growth verified</t>
        </is>
      </c>
      <c r="F2313" s="33" t="inlineStr">
        <is>
          <t>10-K FY q/e 2026-05-02, Stmts of Ops + Note 13 Income Taxes</t>
        </is>
      </c>
      <c r="G2313" s="33" t="inlineStr">
        <is>
          <t>High</t>
        </is>
      </c>
      <c r="H2313" s="33" t="inlineStr">
        <is>
          <t>objective</t>
        </is>
      </c>
    </row>
    <row r="2314">
      <c r="A2314" s="33" t="inlineStr">
        <is>
          <t>2026-06-24</t>
        </is>
      </c>
      <c r="B2314" s="33" t="inlineStr">
        <is>
          <t>PLTR</t>
        </is>
      </c>
      <c r="C2314" s="33" t="inlineStr">
        <is>
          <t>Growth: EPS YoY (rule 15)</t>
        </is>
      </c>
      <c r="D2314" s="33" t="n">
        <v>306.7</v>
      </c>
      <c r="E2314" s="33" t="inlineStr">
        <is>
          <t>Operational: op income $176.0M→$754.0M (+328%); full VA maintained, ~1.4% rate is ongoing structural (not a one-time release)</t>
        </is>
      </c>
      <c r="F2314" s="33" t="inlineStr">
        <is>
          <t>10-Q q/e 2026-03-31, Income Taxes note</t>
        </is>
      </c>
      <c r="G2314" s="33" t="inlineStr">
        <is>
          <t>High</t>
        </is>
      </c>
      <c r="H2314" s="33" t="inlineStr">
        <is>
          <t>objective</t>
        </is>
      </c>
    </row>
    <row r="2315">
      <c r="A2315" s="33" t="inlineStr">
        <is>
          <t>2026-06-24</t>
        </is>
      </c>
      <c r="B2315" s="33" t="inlineStr">
        <is>
          <t>TER</t>
        </is>
      </c>
      <c r="C2315" s="33" t="inlineStr">
        <is>
          <t>Growth: EPS YoY (rule 15)</t>
        </is>
      </c>
      <c r="D2315" s="33" t="n">
        <v>303.4</v>
      </c>
      <c r="E2315" s="33" t="inlineStr">
        <is>
          <t>Operational: op income $120.8M→$473.0M on AI-compute test demand; tax 12.2%→13.3% (no discrete benefit)</t>
        </is>
      </c>
      <c r="F2315" s="33" t="inlineStr">
        <is>
          <t>10-Q q/e 2026-03-29, Stmts of Ops + Note S</t>
        </is>
      </c>
      <c r="G2315" s="33" t="inlineStr">
        <is>
          <t>High</t>
        </is>
      </c>
      <c r="H2315" s="33" t="inlineStr">
        <is>
          <t>objective</t>
        </is>
      </c>
    </row>
    <row r="2316">
      <c r="A2316" s="33" t="inlineStr">
        <is>
          <t>2026-06-24</t>
        </is>
      </c>
      <c r="B2316" s="33" t="inlineStr">
        <is>
          <t>SMCI</t>
        </is>
      </c>
      <c r="C2316" s="33" t="inlineStr">
        <is>
          <t>Growth: EPS YoY (rule 15)</t>
        </is>
      </c>
      <c r="D2316" s="33" t="n">
        <v>344.4</v>
      </c>
      <c r="E2316" s="33" t="inlineStr">
        <is>
          <t>Operational AI-server ramp: op income $146.8M→$625.9M; tax NORMALIZED 5.1%→20.8% (works against the jump, not for it)</t>
        </is>
      </c>
      <c r="F2316" s="33" t="inlineStr">
        <is>
          <t>10-Q FQ3 q/e 2026-03-31, Stmts of Ops + tax note</t>
        </is>
      </c>
      <c r="G2316" s="33" t="inlineStr">
        <is>
          <t>High</t>
        </is>
      </c>
      <c r="H2316" s="33" t="inlineStr">
        <is>
          <t>objective</t>
        </is>
      </c>
    </row>
    <row r="2317">
      <c r="A2317" s="33" t="inlineStr">
        <is>
          <t>2026-06-24</t>
        </is>
      </c>
      <c r="B2317" s="33" t="inlineStr">
        <is>
          <t>MTZ</t>
        </is>
      </c>
      <c r="C2317" s="33" t="inlineStr">
        <is>
          <t>Growth: EPS YoY (rule 15)</t>
        </is>
      </c>
      <c r="D2317" s="33" t="n">
        <v>514.4</v>
      </c>
      <c r="E2317" s="33" t="inlineStr">
        <is>
          <t>Operational off seasonally weak Q1: op income $36.2M→$141.8M (+292%), rev +34.5%; absorbed $7.9M impairment + lost prior-yr tax benefit (headwinds)</t>
        </is>
      </c>
      <c r="F2317" s="33" t="inlineStr">
        <is>
          <t>10-Q q/e 2026-03-31, Stmts of Ops</t>
        </is>
      </c>
      <c r="G2317" s="33" t="inlineStr">
        <is>
          <t>High</t>
        </is>
      </c>
      <c r="H2317" s="33" t="inlineStr">
        <is>
          <t>objective</t>
        </is>
      </c>
    </row>
    <row r="2318">
      <c r="A2318" s="33" t="inlineStr">
        <is>
          <t>2026-06-24</t>
        </is>
      </c>
      <c r="B2318" s="33" t="inlineStr">
        <is>
          <t>LSCC</t>
        </is>
      </c>
      <c r="C2318" s="33" t="inlineStr">
        <is>
          <t>Growth: EPS YoY (rule 15)</t>
        </is>
      </c>
      <c r="D2318" s="33" t="n">
        <v>334.4</v>
      </c>
      <c r="E2318" s="33" t="inlineStr">
        <is>
          <t>Operational FPGA recovery: rev $120.2M→$170.9M (+42%), op income $7.0M→$26.1M; tax 37.1%→20.0% ordinary</t>
        </is>
      </c>
      <c r="F2318" s="33" t="inlineStr">
        <is>
          <t>10-Q q/e 2026-04-04, Stmts of Ops + Income Taxes note</t>
        </is>
      </c>
      <c r="G2318" s="33" t="inlineStr">
        <is>
          <t>High</t>
        </is>
      </c>
      <c r="H2318" s="33" t="inlineStr">
        <is>
          <t>objective</t>
        </is>
      </c>
    </row>
    <row r="2319">
      <c r="A2319" s="33" t="inlineStr">
        <is>
          <t>2026-06-24</t>
        </is>
      </c>
      <c r="B2319" s="33" t="inlineStr">
        <is>
          <t>SEI</t>
        </is>
      </c>
      <c r="C2319" s="33" t="inlineStr">
        <is>
          <t>Growth: EPS YoY (rule 15)</t>
        </is>
      </c>
      <c r="D2319" s="33" t="n">
        <v>303</v>
      </c>
      <c r="E2319" s="33" t="inlineStr">
        <is>
          <t>Solaris Energy Infrastructure (CIK 1697500): power-gen fleet ramp, rev $126.3M→$196.2M (+55%), op income $22.1M→$50.6M; NCI structural (Up-C), no one-off</t>
        </is>
      </c>
      <c r="F2319" s="33" t="inlineStr">
        <is>
          <t>10-Q q/e 2026-03-31, Stmts of Ops + EPS note</t>
        </is>
      </c>
      <c r="G2319" s="33" t="inlineStr">
        <is>
          <t>High</t>
        </is>
      </c>
      <c r="H2319" s="33" t="inlineStr">
        <is>
          <t>objective</t>
        </is>
      </c>
    </row>
    <row r="2320">
      <c r="A2320" s="33" t="inlineStr">
        <is>
          <t>2026-06-24</t>
        </is>
      </c>
      <c r="B2320" s="33" t="inlineStr">
        <is>
          <t>EQT</t>
        </is>
      </c>
      <c r="C2320" s="33" t="inlineStr">
        <is>
          <t>Growth: EPS YoY (rule 15)</t>
        </is>
      </c>
      <c r="D2320" s="33" t="n">
        <v>514.2</v>
      </c>
      <c r="E2320" s="33" t="inlineStr">
        <is>
          <t>Operational: higher realized gas prices, op income $496.3M→$2,036.0M; the '-$666M unusual' was RECURRING MTM derivative loss (not one-time); year-ago a real price trough</t>
        </is>
      </c>
      <c r="F2320" s="33" t="inlineStr">
        <is>
          <t>10-Q q/e 2026-03-31, Stmts of Ops + MD&amp;A/derivatives</t>
        </is>
      </c>
      <c r="G2320" s="33" t="inlineStr">
        <is>
          <t>High</t>
        </is>
      </c>
      <c r="H2320" s="33" t="inlineStr">
        <is>
          <t>objective</t>
        </is>
      </c>
    </row>
    <row r="2321">
      <c r="A2321" s="33" t="inlineStr">
        <is>
          <t>2026-06-24</t>
        </is>
      </c>
      <c r="B2321" s="33" t="inlineStr">
        <is>
          <t>IRM</t>
        </is>
      </c>
      <c r="C2321" s="33" t="inlineStr">
        <is>
          <t>Growth: EPS YoY (rule 15)</t>
        </is>
      </c>
      <c r="D2321" s="33" t="n">
        <v>800.6</v>
      </c>
      <c r="E2321" s="33" t="inlineStr">
        <is>
          <t>Operational: rev +21.6%, op income $254.3M→$395.2M (+55%); year-ago 'unusual' was recurring FX + small base, no one-time charge; tax rate artifact on tiny base</t>
        </is>
      </c>
      <c r="F2321" s="33" t="inlineStr">
        <is>
          <t>10-Q q/e 2026-03-31, Stmts of Ops + Notes H/I</t>
        </is>
      </c>
      <c r="G2321" s="33" t="inlineStr">
        <is>
          <t>High</t>
        </is>
      </c>
      <c r="H2321" s="33" t="inlineStr">
        <is>
          <t>objective</t>
        </is>
      </c>
    </row>
    <row r="2322">
      <c r="A2322" s="33" t="inlineStr">
        <is>
          <t>2026-06-24</t>
        </is>
      </c>
      <c r="B2322" s="33" t="inlineStr">
        <is>
          <t>CIEN</t>
        </is>
      </c>
      <c r="C2322" s="33" t="inlineStr">
        <is>
          <t>Growth: EPS YoY (rule 15)</t>
        </is>
      </c>
      <c r="D2322" s="33" t="n">
        <v>2333</v>
      </c>
      <c r="E2322" s="33" t="inlineStr">
        <is>
          <t>Operational: rev +39.5%, gross margin 40.2%→44.0%, op income $32.8M→$237.9M; low tax is RECURRING SBC benefit (~12x even at normal tax)</t>
        </is>
      </c>
      <c r="F2322" s="33" t="inlineStr">
        <is>
          <t>10-Q FQ2 q/e 2026-05-02, Stmts of Ops + tax MD&amp;A</t>
        </is>
      </c>
      <c r="G2322" s="33" t="inlineStr">
        <is>
          <t>High</t>
        </is>
      </c>
      <c r="H2322" s="33" t="inlineStr">
        <is>
          <t>objective</t>
        </is>
      </c>
    </row>
    <row r="2323">
      <c r="A2323" s="33" t="inlineStr">
        <is>
          <t>2026-06-24</t>
        </is>
      </c>
      <c r="B2323" s="33" t="inlineStr">
        <is>
          <t>CEG</t>
        </is>
      </c>
      <c r="C2323" s="33" t="inlineStr">
        <is>
          <t>Growth: EPS YoY (rule 15)</t>
        </is>
      </c>
      <c r="D2323" s="33" t="inlineStr">
        <is>
          <t>blank</t>
        </is>
      </c>
      <c r="E2323" s="33" t="inlineStr">
        <is>
          <t>Non-operating: net pretax UNREALIZED commodity-derivative gains +$1,059M vs -$324M = $1,383M favorable swing (~70% of pretax increase); excluded from CEG adjusted earnings; Calpine acq a structural break</t>
        </is>
      </c>
      <c r="F2323" s="33" t="inlineStr">
        <is>
          <t>10-Q q/e 2026-03-31, Derivatives note + CF stmt</t>
        </is>
      </c>
      <c r="G2323" s="33" t="inlineStr">
        <is>
          <t>High</t>
        </is>
      </c>
      <c r="H2323" s="33" t="inlineStr">
        <is>
          <t>objective</t>
        </is>
      </c>
    </row>
    <row r="2324">
      <c r="A2324" s="33" t="inlineStr">
        <is>
          <t>2026-06-24</t>
        </is>
      </c>
      <c r="B2324" s="33" t="inlineStr">
        <is>
          <t>TEL</t>
        </is>
      </c>
      <c r="C2324" s="33" t="inlineStr">
        <is>
          <t>Growth: EPS YoY (rule 15)</t>
        </is>
      </c>
      <c r="D2324" s="33" t="inlineStr">
        <is>
          <t>blank</t>
        </is>
      </c>
      <c r="E2324" s="33" t="inlineStr">
        <is>
          <t>Depressed-base artifact: year-ago FQ2-2025 tax included $574M one-time charge (VA increase on Swiss-sub DTAs) crushing NI to $13M; current also carries $114M one-time tax benefit</t>
        </is>
      </c>
      <c r="F2324" s="33" t="inlineStr">
        <is>
          <t>10-Q FQ2 q/e 2026-03-27, Note 12 Income Taxes</t>
        </is>
      </c>
      <c r="G2324" s="33" t="inlineStr">
        <is>
          <t>High</t>
        </is>
      </c>
      <c r="H2324" s="33" t="inlineStr">
        <is>
          <t>objective</t>
        </is>
      </c>
    </row>
    <row r="2325">
      <c r="A2325" s="33" t="inlineStr">
        <is>
          <t>2026-07-02</t>
        </is>
      </c>
      <c r="B2325" s="33" t="inlineStr">
        <is>
          <t>NTAP</t>
        </is>
      </c>
      <c r="C2325" s="33" t="inlineStr">
        <is>
          <t>D1</t>
        </is>
      </c>
      <c r="D2325" s="33" t="n">
        <v>2</v>
      </c>
      <c r="E2325" s="33" t="inlineStr">
        <is>
          <t>No AI revenue disclosed; mgmt does not break it out; AI shows as deal-win count (1,100+ FY26), est &lt;10% of $6.9B base</t>
        </is>
      </c>
      <c r="F2325" s="33" t="inlineStr">
        <is>
          <t>Q4 FY26 call transcript; 10-K FY26</t>
        </is>
      </c>
      <c r="G2325" s="33" t="inlineStr">
        <is>
          <t>High</t>
        </is>
      </c>
      <c r="H2325" s="33" t="inlineStr">
        <is>
          <t>Initial</t>
        </is>
      </c>
    </row>
    <row r="2326">
      <c r="A2326" s="33" t="inlineStr">
        <is>
          <t>2026-07-02</t>
        </is>
      </c>
      <c r="B2326" s="33" t="inlineStr">
        <is>
          <t>NTAP</t>
        </is>
      </c>
      <c r="C2326" s="33" t="inlineStr">
        <is>
          <t>D2</t>
        </is>
      </c>
      <c r="D2326" s="33" t="n">
        <v>3</v>
      </c>
      <c r="E2326" s="33" t="inlineStr">
        <is>
          <t>Mid-chain multi-competitor storage (Dell/Pure/HPE); differentiates on ONTAP + native-cloud but not an upstream bottleneck</t>
        </is>
      </c>
      <c r="F2326" s="33" t="inlineStr">
        <is>
          <t>10-K FY26 Item 1</t>
        </is>
      </c>
      <c r="G2326" s="33" t="inlineStr">
        <is>
          <t>Medium</t>
        </is>
      </c>
      <c r="H2326" s="33" t="inlineStr">
        <is>
          <t>Initial</t>
        </is>
      </c>
    </row>
    <row r="2327">
      <c r="A2327" s="33" t="inlineStr">
        <is>
          <t>2026-07-02</t>
        </is>
      </c>
      <c r="B2327" s="33" t="inlineStr">
        <is>
          <t>NTAP</t>
        </is>
      </c>
      <c r="C2327" s="33" t="inlineStr">
        <is>
          <t>D3</t>
        </is>
      </c>
      <c r="D2327" s="33" t="n">
        <v>3</v>
      </c>
      <c r="E2327" s="33" t="inlineStr">
        <is>
          <t>Real switching costs (ONTAP + $4.8B deferred-rev annuity + first-party cloud) but Pure taking share, pricing competitive (halo-check: hold at 3, not 4)</t>
        </is>
      </c>
      <c r="F2327" s="33" t="inlineStr">
        <is>
          <t>10-K FY26 Note 14</t>
        </is>
      </c>
      <c r="G2327" s="33" t="inlineStr">
        <is>
          <t>Medium</t>
        </is>
      </c>
      <c r="H2327" s="33" t="inlineStr">
        <is>
          <t>Initial</t>
        </is>
      </c>
    </row>
    <row r="2328">
      <c r="A2328" s="33" t="inlineStr">
        <is>
          <t>2026-07-02</t>
        </is>
      </c>
      <c r="B2328" s="33" t="inlineStr">
        <is>
          <t>NTAP</t>
        </is>
      </c>
      <c r="C2328" s="33" t="inlineStr">
        <is>
          <t>D4</t>
        </is>
      </c>
      <c r="D2328" s="33" t="n">
        <v>3</v>
      </c>
      <c r="E2328" s="33" t="inlineStr">
        <is>
          <t>Funded, active AFX/AIDE product cycle but asset-light (capex 2.9% of rev) — steady-state, not fab-scale buildout</t>
        </is>
      </c>
      <c r="F2328" s="33" t="inlineStr">
        <is>
          <t>8-K Ex-99.1 cash-flow 2026-05-28</t>
        </is>
      </c>
      <c r="G2328" s="33" t="inlineStr">
        <is>
          <t>Medium</t>
        </is>
      </c>
      <c r="H2328" s="33" t="inlineStr">
        <is>
          <t>Initial</t>
        </is>
      </c>
    </row>
    <row r="2329">
      <c r="A2329" s="33" t="inlineStr">
        <is>
          <t>2026-07-02</t>
        </is>
      </c>
      <c r="B2329" s="33" t="inlineStr">
        <is>
          <t>NTAP</t>
        </is>
      </c>
      <c r="C2329" s="33" t="inlineStr">
        <is>
          <t>D5</t>
        </is>
      </c>
      <c r="D2329" s="33" t="n">
        <v>2</v>
      </c>
      <c r="E2329" s="33" t="inlineStr">
        <is>
          <t>&gt;10% customers are distributors not hyperscalers; hyperscaler tie is ISV-in-marketplace (~$0.5-0.7B first-party), no disclosed hyperscaler concentration</t>
        </is>
      </c>
      <c r="F2329" s="33" t="inlineStr">
        <is>
          <t>10-K FY26 Note 14; Q4 transcript</t>
        </is>
      </c>
      <c r="G2329" s="33" t="inlineStr">
        <is>
          <t>Medium</t>
        </is>
      </c>
      <c r="H2329" s="33" t="inlineStr">
        <is>
          <t>Initial</t>
        </is>
      </c>
    </row>
    <row r="2330">
      <c r="A2330" s="33" t="inlineStr">
        <is>
          <t>2026-07-02</t>
        </is>
      </c>
      <c r="B2330" s="33" t="inlineStr">
        <is>
          <t>NTAP</t>
        </is>
      </c>
      <c r="C2330" s="33" t="inlineStr">
        <is>
          <t>M1</t>
        </is>
      </c>
      <c r="D2330" s="33" t="n">
        <v>5</v>
      </c>
      <c r="E2330" s="33" t="inlineStr">
        <is>
          <t>Q4 beat-and-raise + wall of upward PT hikes (GS $127-&gt;$200, UBS $113-&gt;$160, Susq $110-&gt;$185)</t>
        </is>
      </c>
      <c r="F2330" s="33" t="inlineStr">
        <is>
          <t>stockanalysis / theglobeandmail 2026-05/06</t>
        </is>
      </c>
      <c r="G2330" s="33" t="inlineStr">
        <is>
          <t>High</t>
        </is>
      </c>
      <c r="H2330" s="33" t="inlineStr">
        <is>
          <t>Initial</t>
        </is>
      </c>
    </row>
    <row r="2331">
      <c r="A2331" s="33" t="inlineStr">
        <is>
          <t>2026-07-02</t>
        </is>
      </c>
      <c r="B2331" s="33" t="inlineStr">
        <is>
          <t>NTAP</t>
        </is>
      </c>
      <c r="C2331" s="33" t="inlineStr">
        <is>
          <t>M2</t>
        </is>
      </c>
      <c r="D2331" s="33" t="n">
        <v>5</v>
      </c>
      <c r="E2331" s="33" t="inlineStr">
        <is>
          <t>Benchmark IGV down ~17% 1Y; NTAP +33% to an all-time high -&gt; &gt;40pt outperformance</t>
        </is>
      </c>
      <c r="F2331" s="33" t="inlineStr">
        <is>
          <t>stockanalysis.com/stocks/ntap</t>
        </is>
      </c>
      <c r="G2331" s="33" t="inlineStr">
        <is>
          <t>High</t>
        </is>
      </c>
      <c r="H2331" s="33" t="inlineStr">
        <is>
          <t>Initial</t>
        </is>
      </c>
    </row>
    <row r="2332">
      <c r="A2332" s="33" t="inlineStr">
        <is>
          <t>2026-07-02</t>
        </is>
      </c>
      <c r="B2332" s="33" t="inlineStr">
        <is>
          <t>NTAP</t>
        </is>
      </c>
      <c r="C2332" s="33" t="inlineStr">
        <is>
          <t>M3</t>
        </is>
      </c>
      <c r="D2332" s="33" t="n">
        <v>3</v>
      </c>
      <c r="E2332" s="33" t="inlineStr">
        <is>
          <t>Zero code-P open-market buys; sells are RSU/tax/10b5-1 (Cernuda plan adopted 2026-03-24 -&gt; routine per rubric Step 2)</t>
        </is>
      </c>
      <c r="F2332" s="33" t="inlineStr">
        <is>
          <t>EDGAR Form 4 0001193125-26-282862 et al.</t>
        </is>
      </c>
      <c r="G2332" s="33" t="inlineStr">
        <is>
          <t>High</t>
        </is>
      </c>
      <c r="H2332" s="33" t="inlineStr">
        <is>
          <t>Initial</t>
        </is>
      </c>
    </row>
    <row r="2333">
      <c r="A2333" s="33" t="inlineStr">
        <is>
          <t>2026-07-02</t>
        </is>
      </c>
      <c r="B2333" s="33" t="inlineStr">
        <is>
          <t>NTAP</t>
        </is>
      </c>
      <c r="C2333" s="33" t="inlineStr">
        <is>
          <t>R1</t>
        </is>
      </c>
      <c r="D2333" s="33" t="n">
        <v>4</v>
      </c>
      <c r="E2333" s="33" t="inlineStr">
        <is>
          <t>Top customer 22%, two &gt;10% = 43% combined -&gt; literal band 4; both are distributors fronting diffuse demand (economic risk closer to 5 - flagged)</t>
        </is>
      </c>
      <c r="F2333" s="33" t="inlineStr">
        <is>
          <t>10-K FY26 Item 1 + Note 14</t>
        </is>
      </c>
      <c r="G2333" s="33" t="inlineStr">
        <is>
          <t>High</t>
        </is>
      </c>
      <c r="H2333" s="33" t="inlineStr">
        <is>
          <t>Initial</t>
        </is>
      </c>
    </row>
    <row r="2334">
      <c r="A2334" s="33" t="inlineStr">
        <is>
          <t>2026-07-02</t>
        </is>
      </c>
      <c r="B2334" s="33" t="inlineStr">
        <is>
          <t>NTAP</t>
        </is>
      </c>
      <c r="C2334" s="33" t="inlineStr">
        <is>
          <t>R2</t>
        </is>
      </c>
      <c r="D2334" s="33" t="n">
        <v>5</v>
      </c>
      <c r="E2334" s="33" t="inlineStr">
        <is>
          <t>Worst single-geo shock = US Public Sector ~10% (diffuse); no China concentration, no conflict-zone assets; 51/34/15 Amer/EMEA/APAC</t>
        </is>
      </c>
      <c r="F2334" s="33" t="inlineStr">
        <is>
          <t>10-K FY26 Note 14 + MD&amp;A</t>
        </is>
      </c>
      <c r="G2334" s="33" t="inlineStr">
        <is>
          <t>High</t>
        </is>
      </c>
      <c r="H2334" s="33" t="inlineStr">
        <is>
          <t>Initial</t>
        </is>
      </c>
    </row>
    <row r="2335">
      <c r="A2335" s="33" t="inlineStr">
        <is>
          <t>2026-07-02</t>
        </is>
      </c>
      <c r="B2335" s="33" t="inlineStr">
        <is>
          <t>NTAP</t>
        </is>
      </c>
      <c r="C2335" s="33" t="inlineStr">
        <is>
          <t>R3</t>
        </is>
      </c>
      <c r="D2335" s="33" t="n">
        <v>5</v>
      </c>
      <c r="E2335" s="33" t="inlineStr">
        <is>
          <t>Net cash +$1.1B; repaid $750M current debt; FY26 FCF $1.87B; new $1B buyback</t>
        </is>
      </c>
      <c r="F2335" s="33" t="inlineStr">
        <is>
          <t>8-K Ex-99.1 balance sheet 2026-05-28</t>
        </is>
      </c>
      <c r="G2335" s="33" t="inlineStr">
        <is>
          <t>High</t>
        </is>
      </c>
      <c r="H2335" s="33" t="inlineStr">
        <is>
          <t>Initial</t>
        </is>
      </c>
    </row>
    <row r="2336">
      <c r="A2336" s="33" t="inlineStr">
        <is>
          <t>2026-07-02</t>
        </is>
      </c>
      <c r="B2336" s="33" t="inlineStr">
        <is>
          <t>NTAP</t>
        </is>
      </c>
      <c r="C2336" s="33" t="inlineStr">
        <is>
          <t>R4</t>
        </is>
      </c>
      <c r="D2336" s="33" t="n">
        <v>4</v>
      </c>
      <c r="E2336" s="33" t="inlineStr">
        <is>
          <t>Only routine NPE patent litigation; no material investigation/antitrust (perennial NPE suits -&gt; 4 not 5)</t>
        </is>
      </c>
      <c r="F2336" s="33" t="inlineStr">
        <is>
          <t>10-K FY26 Item 3 / Note 16</t>
        </is>
      </c>
      <c r="G2336" s="33" t="inlineStr">
        <is>
          <t>High</t>
        </is>
      </c>
      <c r="H2336" s="33" t="inlineStr">
        <is>
          <t>Initial</t>
        </is>
      </c>
    </row>
    <row r="2337">
      <c r="A2337" s="33" t="inlineStr">
        <is>
          <t>2026-07-02</t>
        </is>
      </c>
      <c r="B2337" s="33" t="inlineStr">
        <is>
          <t>NTAP</t>
        </is>
      </c>
      <c r="C2337" s="33" t="inlineStr">
        <is>
          <t>R5</t>
        </is>
      </c>
      <c r="D2337" s="33" t="n">
        <v>5</v>
      </c>
      <c r="E2337" s="33" t="inlineStr">
        <is>
          <t>Non-Layer-10 default (rule 16); enterprise storage/data-infra durability, AI net-tailwind, no active erosion</t>
        </is>
      </c>
      <c r="F2337" s="33" t="inlineStr">
        <is>
          <t>CLAUDE.md rule 16</t>
        </is>
      </c>
      <c r="G2337" s="33" t="inlineStr">
        <is>
          <t>High</t>
        </is>
      </c>
      <c r="H2337" s="33" t="inlineStr">
        <is>
          <t>Initial</t>
        </is>
      </c>
    </row>
    <row r="2338">
      <c r="A2338" s="33" t="inlineStr">
        <is>
          <t>2026-07-02</t>
        </is>
      </c>
      <c r="B2338" s="33" t="inlineStr">
        <is>
          <t>SKYT</t>
        </is>
      </c>
      <c r="C2338" s="33" t="inlineStr">
        <is>
          <t>—</t>
        </is>
      </c>
      <c r="D2338" s="33" t="inlineStr">
        <is>
          <t>—</t>
        </is>
      </c>
      <c r="E2338" s="33" t="inlineStr">
        <is>
          <t>Removed from Watchlist: pending IonQ acquisition ($35/sh cash-and-stock, signed 2026-01-25, stockholder-approved 2026-05-08, pending FTC) pins its market ratios to the deal price (arb-distorted, not fundamental) and it will likely delist; thin AI thesis (defense/quantum niche, ~87% of growth inorganic). Merger-arb, not an AI-infra conviction name. Swapped for SMIC in the Fabs cohort.</t>
        </is>
      </c>
      <c r="F2338" s="33" t="inlineStr">
        <is>
          <t>SkyWater 8-K 2026-01-26 (Merger Agreement w/ IonQ); Q1 10-Q Note 5</t>
        </is>
      </c>
      <c r="G2338" s="33" t="inlineStr">
        <is>
          <t>High</t>
        </is>
      </c>
      <c r="H2338" s="33" t="inlineStr">
        <is>
          <t>Removed</t>
        </is>
      </c>
    </row>
    <row r="2339">
      <c r="A2339" s="33" t="inlineStr">
        <is>
          <t>2026-07-06</t>
        </is>
      </c>
      <c r="B2339" s="33" t="inlineStr">
        <is>
          <t>KEEL</t>
        </is>
      </c>
      <c r="C2339" s="33" t="inlineStr">
        <is>
          <t>R3</t>
        </is>
      </c>
      <c r="D2339" s="33" t="n">
        <v>2</v>
      </c>
      <c r="E2339" s="33" t="inlineStr">
        <is>
          <t>Downgrade 3-&gt;2. Adj. EBITDA turned NEGATIVE -$17M/-45% of rev in Q1 2026 (from +$7M/+14% YoY), so band-3 "ND/EBITDA 2-4x" no longer fits; added a 2nd convertible ($458M 1.25% due 2032) on top of the 1.375% due 2031, on a cash-burning loss-maker (rev -22% YoY, pivot pre-revenue until 2027). Not a 1: raised $458M (liquidity ~$533M as of May 8), converts mature 2031/32 (no near-term wall), capped calls limit dilution, no going-concern language.</t>
        </is>
      </c>
      <c r="F2339" s="33" t="inlineStr">
        <is>
          <t>Q1 2026 10-Q filed 2026-05-11; 8-K 2026-06-10 ($458M convert); per-stock/KEEL/context-2026-07-06.md</t>
        </is>
      </c>
      <c r="G2339" s="33" t="inlineStr">
        <is>
          <t>Medium-High</t>
        </is>
      </c>
      <c r="H2339" s="33" t="inlineStr">
        <is>
          <t>Change</t>
        </is>
      </c>
    </row>
    <row r="2340">
      <c r="A2340" s="33" t="inlineStr">
        <is>
          <t>2026-07-06</t>
        </is>
      </c>
      <c r="B2340" s="33" t="inlineStr">
        <is>
          <t>NVTS</t>
        </is>
      </c>
      <c r="C2340" s="33" t="inlineStr">
        <is>
          <t>R3</t>
        </is>
      </c>
      <c r="D2340" s="33" t="n">
        <v>3</v>
      </c>
      <c r="E2340" s="33" t="inlineStr">
        <is>
          <t>Reaffirm 3 (reviewed on dilution trigger). Genuinely net cash (~$221M, no debt, no maturity wall) argues 4, but holistic R3 also weighs heavy cash burn (FCF margin -117%) and a freshly-doubled dilution authorization ($500M shelf + $500M ATM, S-3ASR 2026-06-08, acquisition-earmarked). Net = 3: not 2 (no leverage, no maturity wall, &gt;5yr liquidity runway), not 4 (burn + dilution overhang too live).</t>
        </is>
      </c>
      <c r="F2340" s="33" t="inlineStr">
        <is>
          <t>S-3ASR filed 2026-06-08; Q1 2026 10-Q 2026-05-05; per-stock/NVTS/context-2026-07-06.md</t>
        </is>
      </c>
      <c r="G2340" s="33" t="inlineStr">
        <is>
          <t>Medium</t>
        </is>
      </c>
      <c r="H2340" s="33" t="inlineStr">
        <is>
          <t>Reaffirm</t>
        </is>
      </c>
    </row>
    <row r="2341">
      <c r="A2341" s="33" t="inlineStr">
        <is>
          <t>2026-07-08</t>
        </is>
      </c>
      <c r="B2341" s="33" t="inlineStr">
        <is>
          <t>HOOD</t>
        </is>
      </c>
      <c r="C2341" s="33" t="inlineStr">
        <is>
          <t>D1</t>
        </is>
      </c>
      <c r="D2341" s="33" t="n">
        <v>1</v>
      </c>
      <c r="E2341" s="33" t="inlineStr">
        <is>
          <t>No AI revenue line; Cortex funds Gold subscriptions, agentic trading beta/unmonetized-as-AI. Marketing claims AI, financials don't show it.</t>
        </is>
      </c>
      <c r="F2341" s="33" t="inlineStr">
        <is>
          <t>10-Q Q1 FY26; context-2026-07-08.md §3b</t>
        </is>
      </c>
      <c r="G2341" s="33" t="inlineStr">
        <is>
          <t>High</t>
        </is>
      </c>
      <c r="H2341" s="33" t="inlineStr">
        <is>
          <t>Initial</t>
        </is>
      </c>
    </row>
    <row r="2342">
      <c r="A2342" s="33" t="inlineStr">
        <is>
          <t>2026-07-08</t>
        </is>
      </c>
      <c r="B2342" s="33" t="inlineStr">
        <is>
          <t>HOOD</t>
        </is>
      </c>
      <c r="C2342" s="33" t="inlineStr">
        <is>
          <t>D2</t>
        </is>
      </c>
      <c r="D2342" s="33" t="n">
        <v>2</v>
      </c>
      <c r="E2342" s="33" t="inlineStr">
        <is>
          <t>Downstream demand-side application; retail can switch to Schwab/Fidelity/Coinbase (Gold/tax-lot friction only); not an AI-chain bottleneck.</t>
        </is>
      </c>
      <c r="F2342" s="33" t="inlineStr">
        <is>
          <t>context-2026-07-08.md §2</t>
        </is>
      </c>
      <c r="G2342" s="33" t="inlineStr">
        <is>
          <t>Medium</t>
        </is>
      </c>
      <c r="H2342" s="33" t="inlineStr">
        <is>
          <t>Initial</t>
        </is>
      </c>
    </row>
    <row r="2343">
      <c r="A2343" s="33" t="inlineStr">
        <is>
          <t>2026-07-08</t>
        </is>
      </c>
      <c r="B2343" s="33" t="inlineStr">
        <is>
          <t>HOOD</t>
        </is>
      </c>
      <c r="C2343" s="33" t="inlineStr">
        <is>
          <t>D3</t>
        </is>
      </c>
      <c r="D2343" s="33" t="n">
        <v>3</v>
      </c>
      <c r="E2343" s="33" t="inlineStr">
        <is>
          <t>Real brand + Gold ecosystem (5x AUC) + product velocity, but commission-free = no price moat; not fortress-durable.</t>
        </is>
      </c>
      <c r="F2343" s="33" t="inlineStr">
        <is>
          <t>context-2026-07-08.md §2-3</t>
        </is>
      </c>
      <c r="G2343" s="33" t="inlineStr">
        <is>
          <t>Medium</t>
        </is>
      </c>
      <c r="H2343" s="33" t="inlineStr">
        <is>
          <t>Initial</t>
        </is>
      </c>
    </row>
    <row r="2344">
      <c r="A2344" s="33" t="inlineStr">
        <is>
          <t>2026-07-08</t>
        </is>
      </c>
      <c r="B2344" s="33" t="inlineStr">
        <is>
          <t>HOOD</t>
        </is>
      </c>
      <c r="C2344" s="33" t="inlineStr">
        <is>
          <t>D4</t>
        </is>
      </c>
      <c r="D2344" s="33" t="n">
        <v>4</v>
      </c>
      <c r="E2344" s="33" t="inlineStr">
        <is>
          <t>Aggressive FCF-funded expansion: prediction markets, tokenization, agentic, credit card, EU/UK, MIAXdx JV. Loose-fit dim for asset-light name.</t>
        </is>
      </c>
      <c r="F2344" s="33" t="inlineStr">
        <is>
          <t>context-2026-07-08.md §3; RH newsroom</t>
        </is>
      </c>
      <c r="G2344" s="33" t="inlineStr">
        <is>
          <t>Low-Medium</t>
        </is>
      </c>
      <c r="H2344" s="33" t="inlineStr">
        <is>
          <t>Initial</t>
        </is>
      </c>
    </row>
    <row r="2345">
      <c r="A2345" s="33" t="inlineStr">
        <is>
          <t>2026-07-08</t>
        </is>
      </c>
      <c r="B2345" s="33" t="inlineStr">
        <is>
          <t>HOOD</t>
        </is>
      </c>
      <c r="C2345" s="33" t="inlineStr">
        <is>
          <t>D5</t>
        </is>
      </c>
      <c r="D2345" s="33" t="n">
        <v>2</v>
      </c>
      <c r="E2345" s="33" t="inlineStr">
        <is>
          <t>Adopter not supplier/hyperscaler; agentic-finance MCP rails give only a thin AI-infra tie. Matches RDDT/AAPL=2.</t>
        </is>
      </c>
      <c r="F2345" s="33" t="inlineStr">
        <is>
          <t>context-2026-07-08.md §3b</t>
        </is>
      </c>
      <c r="G2345" s="33" t="inlineStr">
        <is>
          <t>Medium</t>
        </is>
      </c>
      <c r="H2345" s="33" t="inlineStr">
        <is>
          <t>Initial</t>
        </is>
      </c>
    </row>
    <row r="2346">
      <c r="A2346" s="33" t="inlineStr">
        <is>
          <t>2026-07-08</t>
        </is>
      </c>
      <c r="B2346" s="33" t="inlineStr">
        <is>
          <t>HOOD</t>
        </is>
      </c>
      <c r="C2346" s="33" t="inlineStr">
        <is>
          <t>M1</t>
        </is>
      </c>
      <c r="D2346" s="33" t="n">
        <v>4</v>
      </c>
      <c r="E2346" s="33" t="inlineStr">
        <is>
          <t>Analyst ratings drifted bullish over 90d (buy 15-&gt;18, strongSell 1-&gt;0) despite Q1 miss; inferred from rating/PT migration, not a direct EPS-revision feed.</t>
        </is>
      </c>
      <c r="F2346" s="33" t="inlineStr">
        <is>
          <t>yfinance recommendations 2026-07-08</t>
        </is>
      </c>
      <c r="G2346" s="33" t="inlineStr">
        <is>
          <t>Medium</t>
        </is>
      </c>
      <c r="H2346" s="33" t="inlineStr">
        <is>
          <t>Initial</t>
        </is>
      </c>
    </row>
    <row r="2347">
      <c r="A2347" s="33" t="inlineStr">
        <is>
          <t>2026-07-08</t>
        </is>
      </c>
      <c r="B2347" s="33" t="inlineStr">
        <is>
          <t>HOOD</t>
        </is>
      </c>
      <c r="C2347" s="33" t="inlineStr">
        <is>
          <t>M2</t>
        </is>
      </c>
      <c r="D2347" s="33" t="n">
        <v>5</v>
      </c>
      <c r="E2347" s="33" t="inlineStr">
        <is>
          <t>+58.1% (3mo) vs IGV +16.1% = +42% relative; clear sector leader. (6mo relative only +10%.)</t>
        </is>
      </c>
      <c r="F2347" s="33" t="inlineStr">
        <is>
          <t>yfinance prices 2026-07-08</t>
        </is>
      </c>
      <c r="G2347" s="33" t="inlineStr">
        <is>
          <t>Medium-High</t>
        </is>
      </c>
      <c r="H2347" s="33" t="inlineStr">
        <is>
          <t>Initial</t>
        </is>
      </c>
    </row>
    <row r="2348">
      <c r="A2348" s="33" t="inlineStr">
        <is>
          <t>2026-07-08</t>
        </is>
      </c>
      <c r="B2348" s="33" t="inlineStr">
        <is>
          <t>HOOD</t>
        </is>
      </c>
      <c r="C2348" s="33" t="inlineStr">
        <is>
          <t>M3</t>
        </is>
      </c>
      <c r="D2348" s="33" t="n">
        <v>3</v>
      </c>
      <c r="E2348" s="33" t="inlineStr">
        <is>
          <t>All recent sales 10b5-1 routine; director equity grants; zero open-market buys -&gt; post-rally diversification default.</t>
        </is>
      </c>
      <c r="F2348" s="33" t="inlineStr">
        <is>
          <t>SEC Form 4 x12 (2026-06 to 07)</t>
        </is>
      </c>
      <c r="G2348" s="33" t="inlineStr">
        <is>
          <t>Medium-High</t>
        </is>
      </c>
      <c r="H2348" s="33" t="inlineStr">
        <is>
          <t>Initial</t>
        </is>
      </c>
    </row>
    <row r="2349">
      <c r="A2349" s="33" t="inlineStr">
        <is>
          <t>2026-07-08</t>
        </is>
      </c>
      <c r="B2349" s="33" t="inlineStr">
        <is>
          <t>HOOD</t>
        </is>
      </c>
      <c r="C2349" s="33" t="inlineStr">
        <is>
          <t>R1</t>
        </is>
      </c>
      <c r="D2349" s="33" t="n">
        <v>5</v>
      </c>
      <c r="E2349" s="33" t="inlineStr">
        <is>
          <t>27.4M funded retail accounts; no customer &gt;15% of revenue.</t>
        </is>
      </c>
      <c r="F2349" s="33" t="inlineStr">
        <is>
          <t>Q1 FY26 earnings release</t>
        </is>
      </c>
      <c r="G2349" s="33" t="inlineStr">
        <is>
          <t>High</t>
        </is>
      </c>
      <c r="H2349" s="33" t="inlineStr">
        <is>
          <t>Initial</t>
        </is>
      </c>
    </row>
    <row r="2350">
      <c r="A2350" s="33" t="inlineStr">
        <is>
          <t>2026-07-08</t>
        </is>
      </c>
      <c r="B2350" s="33" t="inlineStr">
        <is>
          <t>HOOD</t>
        </is>
      </c>
      <c r="C2350" s="33" t="inlineStr">
        <is>
          <t>R2</t>
        </is>
      </c>
      <c r="D2350" s="33" t="n">
        <v>5</v>
      </c>
      <c r="E2350" s="33" t="inlineStr">
        <is>
          <t>US-domestic retail broker; worst plausible geo shock impairs &lt;10% of rev (intl UK/EU nascent); no China/fabs.</t>
        </is>
      </c>
      <c r="F2350" s="33" t="inlineStr">
        <is>
          <t>10-Q Q1 FY26 geography</t>
        </is>
      </c>
      <c r="G2350" s="33" t="inlineStr">
        <is>
          <t>High</t>
        </is>
      </c>
      <c r="H2350" s="33" t="inlineStr">
        <is>
          <t>Initial</t>
        </is>
      </c>
    </row>
    <row r="2351">
      <c r="A2351" s="33" t="inlineStr">
        <is>
          <t>2026-07-08</t>
        </is>
      </c>
      <c r="B2351" s="33" t="inlineStr">
        <is>
          <t>HOOD</t>
        </is>
      </c>
      <c r="C2351" s="33" t="inlineStr">
        <is>
          <t>R3</t>
        </is>
      </c>
      <c r="D2351" s="33" t="n">
        <v>5</v>
      </c>
      <c r="E2351" s="33" t="inlineStr">
        <is>
          <t>Net cash, FCF margin ~64%, no leverage concern.</t>
        </is>
      </c>
      <c r="F2351" s="33" t="inlineStr">
        <is>
          <t>financials.xlsx / 10-Q Q1 FY26</t>
        </is>
      </c>
      <c r="G2351" s="33" t="inlineStr">
        <is>
          <t>Medium-High</t>
        </is>
      </c>
      <c r="H2351" s="33" t="inlineStr">
        <is>
          <t>Initial</t>
        </is>
      </c>
    </row>
    <row r="2352">
      <c r="A2352" s="33" t="inlineStr">
        <is>
          <t>2026-07-08</t>
        </is>
      </c>
      <c r="B2352" s="33" t="inlineStr">
        <is>
          <t>HOOD</t>
        </is>
      </c>
      <c r="C2352" s="33" t="inlineStr">
        <is>
          <t>R4</t>
        </is>
      </c>
      <c r="D2352" s="33" t="n">
        <v>2</v>
      </c>
      <c r="E2352" s="33" t="inlineStr">
        <is>
          <t>Prediction-markets class action (unlicensed-gambling) + multi-state C&amp;D on the top growth driver; prior $45M SEC penalty; material active litigation.</t>
        </is>
      </c>
      <c r="F2352" s="33" t="inlineStr">
        <is>
          <t>context-2026-07-08.md §3</t>
        </is>
      </c>
      <c r="G2352" s="33" t="inlineStr">
        <is>
          <t>Medium-High</t>
        </is>
      </c>
      <c r="H2352" s="33" t="inlineStr">
        <is>
          <t>Initial</t>
        </is>
      </c>
    </row>
    <row r="2353">
      <c r="A2353" s="33" t="inlineStr">
        <is>
          <t>2026-07-08</t>
        </is>
      </c>
      <c r="B2353" s="33" t="inlineStr">
        <is>
          <t>HOOD</t>
        </is>
      </c>
      <c r="C2353" s="33" t="inlineStr">
        <is>
          <t>R5</t>
        </is>
      </c>
      <c r="D2353" s="33" t="n">
        <v>4</v>
      </c>
      <c r="E2353" s="33" t="inlineStr">
        <is>
          <t>Brokerage core (regulated execution/custody/margin) durable; HOOD is embracing agentic as a tailwind, not being eroded. Matches TSLA=4.</t>
        </is>
      </c>
      <c r="F2353" s="33" t="inlineStr">
        <is>
          <t>context-2026-07-08.md §6</t>
        </is>
      </c>
      <c r="G2353" s="33" t="inlineStr">
        <is>
          <t>Medium</t>
        </is>
      </c>
      <c r="H2353" s="33" t="inlineStr">
        <is>
          <t>Initial</t>
        </is>
      </c>
    </row>
    <row r="2354">
      <c r="A2354" s="33" t="inlineStr">
        <is>
          <t>2026-07-16</t>
        </is>
      </c>
      <c r="B2354" s="33" t="inlineStr">
        <is>
          <t>MU</t>
        </is>
      </c>
      <c r="C2354" s="33" t="inlineStr">
        <is>
          <t>Growth: EPS YoY (rule 15)</t>
        </is>
      </c>
      <c r="D2354" s="33" t="n">
        <v>1398.3</v>
      </c>
      <c r="E2354" s="33" t="inlineStr">
        <is>
          <t>Operational memory super-cycle: rev $9,301M→$41,456M (+346%), GM 37.7%→84.6%, op income $2,169M→$33,318M (+1,436%); tax rate ROSE 11.1%→15.0% (Pillar Two); only one-off is −$323M debt-extinguishment loss (a drag). Verified FQ3; supersedes 2026-06-24 FQ2 entry (770.8).</t>
        </is>
      </c>
      <c r="F2354" s="33" t="inlineStr">
        <is>
          <t>10-Q FQ3 q/e 2026-05-28, Stmts of Ops + Income Taxes note (filed 2026-06-25, acc 0000723125-26-000015)</t>
        </is>
      </c>
      <c r="G2354" s="33" t="inlineStr">
        <is>
          <t>High</t>
        </is>
      </c>
      <c r="H2354" s="33" t="inlineStr">
        <is>
          <t>objective</t>
        </is>
      </c>
    </row>
    <row r="2355">
      <c r="A2355" s="33" t="inlineStr">
        <is>
          <t>2026-07-16</t>
        </is>
      </c>
      <c r="B2355" s="33" t="inlineStr">
        <is>
          <t>HHUSF</t>
        </is>
      </c>
      <c r="C2355" s="33" t="inlineStr">
        <is>
          <t>Growth: EPS YoY (rule 15)</t>
        </is>
      </c>
      <c r="D2355" s="33" t="n">
        <v>458.1</v>
      </c>
      <c r="E2355" s="33" t="inlineStr">
        <is>
          <t>Operational: gross profit +72% ($50.0M→$86.1M, GM 9.2%→13.0% on ASP + shipments +18%); subsidies DOWN YoY (−$5.6M); caveats flagged: small $3.75M base, +$21.3M group FX swing largely offset within other-loss-net and NCI (Wuxi ramp losses borne by minorities). Rule-15 small-base-operational stays.</t>
        </is>
      </c>
      <c r="F2355" s="33" t="inlineStr">
        <is>
          <t>Hua Hong Q1 2026 results announcement 2026-05-14, HKEX (2026051400506.pdf), Condensed Consolidated P&amp;L p.13 + Other Income analysis p.10</t>
        </is>
      </c>
      <c r="G2355" s="33" t="inlineStr">
        <is>
          <t>High</t>
        </is>
      </c>
      <c r="H2355" s="33" t="inlineStr">
        <is>
          <t>objective</t>
        </is>
      </c>
    </row>
    <row r="2356">
      <c r="A2356" s="33" t="inlineStr">
        <is>
          <t>2026-07-16</t>
        </is>
      </c>
      <c r="B2356" s="33" t="inlineStr">
        <is>
          <t>CLSK</t>
        </is>
      </c>
      <c r="C2356" s="33" t="inlineStr">
        <is>
          <t>D1 AI Rev %</t>
        </is>
      </c>
      <c r="D2356" s="33" t="n">
        <v>1</v>
      </c>
      <c r="E2356" s="33" t="inlineStr">
        <is>
          <t>(was 2) Rubric-strict: AI revenue exactly 0% of mix until Sandersville deliveries start Q4 2027 (100% BTC mining revenue, fiscal Q2 10-Q). Signed lease is backlog, not revenue — carried in D2/D4/D5.</t>
        </is>
      </c>
      <c r="F2356" s="33" t="inlineStr">
        <is>
          <t>8-K acc 0001193125-26-302448 + 10-Q period 2026-03-31; per-stock/CLSK/context-2026-07-16.md</t>
        </is>
      </c>
      <c r="G2356" s="33" t="inlineStr">
        <is>
          <t>High</t>
        </is>
      </c>
      <c r="H2356" s="33" t="inlineStr">
        <is>
          <t>Update</t>
        </is>
      </c>
    </row>
    <row r="2357">
      <c r="A2357" s="33" t="inlineStr">
        <is>
          <t>2026-07-16</t>
        </is>
      </c>
      <c r="B2357" s="33" t="inlineStr">
        <is>
          <t>CLSK</t>
        </is>
      </c>
      <c r="C2357" s="33" t="inlineStr">
        <is>
          <t>D2 Position</t>
        </is>
      </c>
      <c r="D2357" s="33" t="n">
        <v>3</v>
      </c>
      <c r="E2357" s="33" t="inlineStr">
        <is>
          <t>(was 2) First signed AI lease demonstrates pricing power for secured power: ~$330M avg annual NOI at ~100% NOI margin on ~$1.75-2.1B build, plus tenant exclusivity LOI over entire TX portfolio. Majority of 1.8 GW still unconverted BTC capacity.</t>
        </is>
      </c>
      <c r="F2357" s="33" t="inlineStr">
        <is>
          <t>8-K acc 0001193125-26-302448 Ex-99.1; per-stock/CLSK/context-2026-07-16.md</t>
        </is>
      </c>
      <c r="G2357" s="33" t="inlineStr">
        <is>
          <t>Medium</t>
        </is>
      </c>
      <c r="H2357" s="33" t="inlineStr">
        <is>
          <t>Update</t>
        </is>
      </c>
    </row>
    <row r="2358">
      <c r="A2358" s="33" t="inlineStr">
        <is>
          <t>2026-07-16</t>
        </is>
      </c>
      <c r="B2358" s="33" t="inlineStr">
        <is>
          <t>CLSK</t>
        </is>
      </c>
      <c r="C2358" s="33" t="inlineStr">
        <is>
          <t>D4 Capacity</t>
        </is>
      </c>
      <c r="D2358" s="33" t="n">
        <v>4</v>
      </c>
      <c r="E2358" s="33" t="inlineStr">
        <is>
          <t>(was 3) Active expansion with customer commitment backing it (20-yr NNN lease, deliveries Q4 2027; TX sites acquired). NOT 5: the ~$2B build is unfunded — no lender/amount/draw schedule disclosed; rubric failure-mode 'announced != committed != deployable'.</t>
        </is>
      </c>
      <c r="F2358" s="33" t="inlineStr">
        <is>
          <t>8-K acc 0001193125-26-302448; per-stock/CLSK/context-2026-07-16.md</t>
        </is>
      </c>
      <c r="G2358" s="33" t="inlineStr">
        <is>
          <t>High</t>
        </is>
      </c>
      <c r="H2358" s="33" t="inlineStr">
        <is>
          <t>Update</t>
        </is>
      </c>
    </row>
    <row r="2359">
      <c r="A2359" s="33" t="inlineStr">
        <is>
          <t>2026-07-16</t>
        </is>
      </c>
      <c r="B2359" s="33" t="inlineStr">
        <is>
          <t>CLSK</t>
        </is>
      </c>
      <c r="C2359" s="33" t="inlineStr">
        <is>
          <t>D5 Hypersc./AI tie</t>
        </is>
      </c>
      <c r="D2359" s="33" t="n">
        <v>3</v>
      </c>
      <c r="E2359" s="33" t="inlineStr">
        <is>
          <t>(was 1) AI-buildout tie now contractual: 20-yr lease with 'high investment grade, leading global technology company' (175 MW IT, ~$6.6B) + exclusivity LOI over TX 885 MW. Single confidential tenant, pre-construction, zero revenue until Q4 2027 — not 4-5 yet.</t>
        </is>
      </c>
      <c r="F2359" s="33" t="inlineStr">
        <is>
          <t>8-K acc 0001193125-26-302448; per-stock/CLSK/context-2026-07-16.md</t>
        </is>
      </c>
      <c r="G2359" s="33" t="inlineStr">
        <is>
          <t>Medium</t>
        </is>
      </c>
      <c r="H2359" s="33" t="inlineStr">
        <is>
          <t>Update</t>
        </is>
      </c>
    </row>
    <row r="2360">
      <c r="A2360" s="33" t="inlineStr">
        <is>
          <t>2026-07-16</t>
        </is>
      </c>
      <c r="B2360" s="33" t="inlineStr">
        <is>
          <t>CLSK</t>
        </is>
      </c>
      <c r="C2360" s="33" t="inlineStr">
        <is>
          <t>M1 EPS Rev</t>
        </is>
      </c>
      <c r="D2360" s="33" t="n">
        <v>4</v>
      </c>
      <c r="E2360" s="33" t="inlineStr">
        <is>
          <t>(was 2) Post-lease upgrade cluster: Needham $18-&gt;$23, Cantor $17-&gt;$26 OW, Citizens init Outperform $27, Chardan $16-&gt;$19; consensus ~Strong Buy. PT-based (EPS-estimate granularity limited for pre-AI-revenue miner) — net positive, not full beat-and-raise.</t>
        </is>
      </c>
      <c r="F2360" s="33" t="inlineStr">
        <is>
          <t>analyst coverage 2026-07-10..16; per-stock/CLSK/context-2026-07-16.md</t>
        </is>
      </c>
      <c r="G2360" s="33" t="inlineStr">
        <is>
          <t>Medium</t>
        </is>
      </c>
      <c r="H2360" s="33" t="inlineStr">
        <is>
          <t>Update</t>
        </is>
      </c>
    </row>
    <row r="2361">
      <c r="A2361" s="33" t="inlineStr">
        <is>
          <t>2026-07-16</t>
        </is>
      </c>
      <c r="B2361" s="33" t="inlineStr">
        <is>
          <t>CLSK</t>
        </is>
      </c>
      <c r="C2361" s="33" t="inlineStr">
        <is>
          <t>M2 Rel Str</t>
        </is>
      </c>
      <c r="D2361" s="33" t="n">
        <v>2</v>
      </c>
      <c r="E2361" s="33" t="inlineStr">
        <is>
          <t>(was 1) 6m +2.8% vs SMH +45.3% (-42pp, band 1) but 3m gap narrowed to -11pp (band 2) and top-half of miner cohort 1m/3m. Blend -&gt; 2.</t>
        </is>
      </c>
      <c r="F2361" s="33" t="inlineStr">
        <is>
          <t>yfinance perf through 2026-07-16; per-stock/CLSK/context-2026-07-16.md</t>
        </is>
      </c>
      <c r="G2361" s="33" t="inlineStr">
        <is>
          <t>Medium</t>
        </is>
      </c>
      <c r="H2361" s="33" t="inlineStr">
        <is>
          <t>Update</t>
        </is>
      </c>
    </row>
    <row r="2362">
      <c r="A2362" s="33" t="inlineStr">
        <is>
          <t>2026-07-16</t>
        </is>
      </c>
      <c r="B2362" s="33" t="inlineStr">
        <is>
          <t>CLSK</t>
        </is>
      </c>
      <c r="C2362" s="33" t="inlineStr">
        <is>
          <t>R3 BS Risk</t>
        </is>
      </c>
      <c r="D2362" s="33" t="n">
        <v>2</v>
      </c>
      <c r="E2362" s="33" t="inlineStr">
        <is>
          <t>(was 3) ~$2B build obligation with lease TERMINATION/abatement on missed financing milestones; $260M cash, LT debt ~$1.8B, BTC treasury funding engine -22% in 3m; 'significant additional indebtedness' pre-announced (Morgan Stanley advising, no committed facility).</t>
        </is>
      </c>
      <c r="F2362" s="33" t="inlineStr">
        <is>
          <t>8-K acc 0001193125-26-302448 Ex-99.1 + June 2026 op update; per-stock/CLSK/context-2026-07-16.md</t>
        </is>
      </c>
      <c r="G2362" s="33" t="inlineStr">
        <is>
          <t>High</t>
        </is>
      </c>
      <c r="H2362" s="33" t="inlineStr">
        <is>
          <t>Update</t>
        </is>
      </c>
    </row>
    <row r="2363">
      <c r="A2363" s="33" t="inlineStr">
        <is>
          <t>2026-07-16</t>
        </is>
      </c>
      <c r="B2363" s="33" t="inlineStr">
        <is>
          <t>WULF</t>
        </is>
      </c>
      <c r="C2363" s="33" t="inlineStr">
        <is>
          <t>D1 AI Rev %</t>
        </is>
      </c>
      <c r="D2363" s="33" t="n">
        <v>5</v>
      </c>
      <c r="E2363" s="33" t="inlineStr">
        <is>
          <t>(was 4) HPC lease revenue $21.0M of ~$34M total (~62%) in Q1 2026, +117% q/q; mining shrinking by design (two buildings repurposed). &gt;50% band met on actuals, not projection.</t>
        </is>
      </c>
      <c r="F2363" s="33" t="inlineStr">
        <is>
          <t>Q1 2026 10-Q + context-2026-06-22; per-stock/WULF/context-2026-07-16.md</t>
        </is>
      </c>
      <c r="G2363" s="33" t="inlineStr">
        <is>
          <t>High</t>
        </is>
      </c>
      <c r="H2363" s="33" t="inlineStr">
        <is>
          <t>Update</t>
        </is>
      </c>
    </row>
    <row r="2364">
      <c r="A2364" s="33" t="inlineStr">
        <is>
          <t>2026-07-16</t>
        </is>
      </c>
      <c r="B2364" s="33" t="inlineStr">
        <is>
          <t>WULF</t>
        </is>
      </c>
      <c r="C2364" s="33" t="inlineStr">
        <is>
          <t>D2 Position</t>
        </is>
      </c>
      <c r="D2364" s="33" t="n">
        <v>4</v>
      </c>
      <c r="E2364" s="33" t="inlineStr">
        <is>
          <t>(was 3) Demonstrated pricing power: Anthropic lease ~$2.37M/IT-MW-yr (~$19B/401MW/20yr), ~18.3% trended yield-on-cost (KBW); three marquee counterparties (Google-backstopped Fluidstack, Core42/G42, Anthropic) competing for scarce zero-carbon NE capacity.</t>
        </is>
      </c>
      <c r="F2364" s="33" t="inlineStr">
        <is>
          <t>8-K acc 0001104659-26-080583; per-stock/WULF/context-2026-07-16.md</t>
        </is>
      </c>
      <c r="G2364" s="33" t="inlineStr">
        <is>
          <t>Medium</t>
        </is>
      </c>
      <c r="H2364" s="33" t="inlineStr">
        <is>
          <t>Update</t>
        </is>
      </c>
    </row>
    <row r="2365">
      <c r="A2365" s="33" t="inlineStr">
        <is>
          <t>2026-07-16</t>
        </is>
      </c>
      <c r="B2365" s="33" t="inlineStr">
        <is>
          <t>WULF</t>
        </is>
      </c>
      <c r="C2365" s="33" t="inlineStr">
        <is>
          <t>D4 Capacity</t>
        </is>
      </c>
      <c r="D2365" s="33" t="n">
        <v>5</v>
      </c>
      <c r="E2365" s="33" t="inlineStr">
        <is>
          <t>(was 4) Multi-campus buildout underway with customer commitments backing it: CB-4 (Q3) / CB-5 (Q4) on schedule, Justified 401 MW leased pre-construction; $3.1B cash + $530M staged Abernathy proceeds. Caveat: ~$3.5B Justified financing is press-reported (Morgan Stanley mandate), not yet filed.</t>
        </is>
      </c>
      <c r="F2365" s="33" t="inlineStr">
        <is>
          <t>8-K acc 0001104659-26-080583 + press; per-stock/WULF/context-2026-07-16.md</t>
        </is>
      </c>
      <c r="G2365" s="33" t="inlineStr">
        <is>
          <t>Medium</t>
        </is>
      </c>
      <c r="H2365" s="33" t="inlineStr">
        <is>
          <t>Update</t>
        </is>
      </c>
    </row>
    <row r="2366">
      <c r="A2366" s="33" t="inlineStr">
        <is>
          <t>2026-07-16</t>
        </is>
      </c>
      <c r="B2366" s="33" t="inlineStr">
        <is>
          <t>WULF</t>
        </is>
      </c>
      <c r="C2366" s="33" t="inlineStr">
        <is>
          <t>D5 Hypersc./AI tie</t>
        </is>
      </c>
      <c r="D2366" s="33" t="n">
        <v>5</v>
      </c>
      <c r="E2366" s="33" t="inlineStr">
        <is>
          <t>(was 4) Three anchor AI counterparties: Fluidstack (Google ~$3.1B lease backstop), Core42/G42 (sovereign), Anthropic (20-yr, ~$19B). HPC already 62% of revenue and 100% of contracted growth. Maximally AI-tied for a capacity provider.</t>
        </is>
      </c>
      <c r="F2366" s="33" t="inlineStr">
        <is>
          <t>8-K acc 0001104659-26-080583; per-stock/WULF/context-2026-07-16.md</t>
        </is>
      </c>
      <c r="G2366" s="33" t="inlineStr">
        <is>
          <t>High</t>
        </is>
      </c>
      <c r="H2366" s="33" t="inlineStr">
        <is>
          <t>Update</t>
        </is>
      </c>
    </row>
    <row r="2367">
      <c r="A2367" s="33" t="inlineStr">
        <is>
          <t>2026-07-16</t>
        </is>
      </c>
      <c r="B2367" s="33" t="inlineStr">
        <is>
          <t>WULF</t>
        </is>
      </c>
      <c r="C2367" s="33" t="inlineStr">
        <is>
          <t>M1 EPS Rev</t>
        </is>
      </c>
      <c r="D2367" s="33" t="n">
        <v>5</v>
      </c>
      <c r="E2367" s="33" t="inlineStr">
        <is>
          <t>(was 4) Five PT raises within a week of the Anthropic announcement (KBW $33, Rosenblatt $30, Needham $33, Morgan Stanley $72, ATB $51); 19 Buy / 0 Hold / 0 Sell.</t>
        </is>
      </c>
      <c r="F2367" s="33" t="inlineStr">
        <is>
          <t>analyst coverage 2026-07-06..16; per-stock/WULF/context-2026-07-16.md</t>
        </is>
      </c>
      <c r="G2367" s="33" t="inlineStr">
        <is>
          <t>High</t>
        </is>
      </c>
      <c r="H2367" s="33" t="inlineStr">
        <is>
          <t>Update</t>
        </is>
      </c>
    </row>
    <row r="2368">
      <c r="A2368" s="33" t="inlineStr">
        <is>
          <t>2026-07-16</t>
        </is>
      </c>
      <c r="B2368" s="33" t="inlineStr">
        <is>
          <t>WULF</t>
        </is>
      </c>
      <c r="C2368" s="33" t="inlineStr">
        <is>
          <t>M2 Rel Str</t>
        </is>
      </c>
      <c r="D2368" s="33" t="n">
        <v>2</v>
      </c>
      <c r="E2368" s="33" t="inlineStr">
        <is>
          <t>(was 5) Anthropic pop fully round-tripped: -36.2% 1m; 3m -8.6% vs SMH +25.6% (-34pp); 6m +27.2% vs +45.3% (-18pp, band 2). Momentum input reads the tape, not the thesis (rubric bias check).</t>
        </is>
      </c>
      <c r="F2368" s="33" t="inlineStr">
        <is>
          <t>yfinance perf through 2026-07-16; per-stock/WULF/context-2026-07-16.md</t>
        </is>
      </c>
      <c r="G2368" s="33" t="inlineStr">
        <is>
          <t>High</t>
        </is>
      </c>
      <c r="H2368" s="33" t="inlineStr">
        <is>
          <t>Update</t>
        </is>
      </c>
    </row>
    <row r="2369">
      <c r="A2369" s="33" t="inlineStr">
        <is>
          <t>2026-07-16</t>
        </is>
      </c>
      <c r="B2369" s="33" t="inlineStr">
        <is>
          <t>WULF</t>
        </is>
      </c>
      <c r="C2369" s="33" t="inlineStr">
        <is>
          <t>M3 Insider</t>
        </is>
      </c>
      <c r="D2369" s="33" t="n">
        <v>4</v>
      </c>
      <c r="E2369" s="33" t="inlineStr">
        <is>
          <t>(was 3) Rubric decision procedure step 1: exactly one insider (director Bucella) with open-market discretionary buys (10 purchases, 17,272 sh / ~$251K, Dec 2025-Mar 2026) -&gt; 4, dollar size does not downgrade. Flag: CEO Prager ~$21.1M sells Mar-Jul incl ~$4.5M batch not 10b5-1-flagged, last 7/1 @ $26.60 (vs $17.98 now); CFO $9.7M. Debatable vs band text 'selling &lt;5% of holdings' — %-of-holdings not computable from Form 4s parsed.</t>
        </is>
      </c>
      <c r="F2369" s="33" t="inlineStr">
        <is>
          <t>EDGAR Form 4s (73 parsed, 12mo); per-stock/WULF/context-2026-07-16.md</t>
        </is>
      </c>
      <c r="G2369" s="33" t="inlineStr">
        <is>
          <t>Medium</t>
        </is>
      </c>
      <c r="H2369" s="33" t="inlineStr">
        <is>
          <t>Update</t>
        </is>
      </c>
    </row>
    <row r="2370">
      <c r="A2370" s="33" t="inlineStr">
        <is>
          <t>2026-07-16</t>
        </is>
      </c>
      <c r="B2370" s="33" t="inlineStr">
        <is>
          <t>WULF</t>
        </is>
      </c>
      <c r="C2370" s="33" t="inlineStr">
        <is>
          <t>R1 Cust Conc</t>
        </is>
      </c>
      <c r="D2370" s="33" t="n">
        <v>2</v>
      </c>
      <c r="E2370" s="33" t="inlineStr">
        <is>
          <t>(was 3) Anthropic = 53% of contracted IT MW (401/755); near-term revenue two-dominated (Core42 + Fluidstack) for ~18 months; Abernathy sale removes a Fluidstack stream. Top counterparty &gt;40% on both current and contracted views. Mitigants (Google backstop, unnamed Anthropic IG support) are credit quality, not diversification.</t>
        </is>
      </c>
      <c r="F2370" s="33" t="inlineStr">
        <is>
          <t>8-K acc 0001104659-26-080583; per-stock/WULF/context-2026-07-16.md</t>
        </is>
      </c>
      <c r="G2370" s="33" t="inlineStr">
        <is>
          <t>High</t>
        </is>
      </c>
      <c r="H2370" s="33" t="inlineStr">
        <is>
          <t>Update</t>
        </is>
      </c>
    </row>
    <row r="2371">
      <c r="A2371" s="33" t="inlineStr">
        <is>
          <t>2026-07-27</t>
        </is>
      </c>
      <c r="B2371" s="33" t="inlineStr">
        <is>
          <t>GOOGL</t>
        </is>
      </c>
      <c r="C2371" s="33" t="inlineStr">
        <is>
          <t>EPS YoY (objective)</t>
        </is>
      </c>
      <c r="E2371" s="33" t="inlineStr">
        <is>
          <t>Rule-15 blank: Q2 2026 EPS YoY +294% dominated by $98.0B non-operating net gain in Other income ("primarily the result of net unrealized gains on our equity securities" — press release exhibit 99.1). Growth averages the revenue metrics.</t>
        </is>
      </c>
      <c r="F2371" s="33" t="inlineStr">
        <is>
          <t>https://www.sec.gov/Archives/edgar/data/0001652044/000165204426000066/googexhibit991q22026.htm</t>
        </is>
      </c>
      <c r="G2371" s="33" t="inlineStr">
        <is>
          <t>High</t>
        </is>
      </c>
      <c r="H2371" s="33" t="inlineStr">
        <is>
          <t>Objective refresh</t>
        </is>
      </c>
    </row>
    <row r="2372">
      <c r="A2372" s="33" t="inlineStr">
        <is>
          <t>2026-07-27</t>
        </is>
      </c>
      <c r="B2372" s="33" t="inlineStr">
        <is>
          <t>FIX</t>
        </is>
      </c>
      <c r="C2372" s="33" t="inlineStr">
        <is>
          <t>Rev YoY / EPS YoY (objective)</t>
        </is>
      </c>
      <c r="E2372" s="33" t="inlineStr">
        <is>
          <t>Manual statement-based override: yfinance info fields stale post-Q2-2026 (revenueGrowth 1%, earningsQuarterlyGrowth 38.2%). Written from quarterly statements: Rev +50.3% ($3.266B vs $2.173B), diluted EPS +91.9% ($12.53 vs $6.53) — matches Q2 2026 press release (+50.3% rev). Operational, not one-off — rule-15 carve-out.</t>
        </is>
      </c>
      <c r="F2372" s="33" t="inlineStr">
        <is>
          <t>yfinance quarterly_income_stmt 2026-06-30 vs 2025-06-30; https://www.stocktitan.net/news/FIX/comfort-systems-usa-reports-second-quarter-2026-6pc4g0cg8jje.html</t>
        </is>
      </c>
      <c r="G2372" s="33" t="inlineStr">
        <is>
          <t>High</t>
        </is>
      </c>
      <c r="H2372" s="33" t="inlineStr">
        <is>
          <t>Objective refresh</t>
        </is>
      </c>
    </row>
    <row r="2373">
      <c r="A2373" s="33" t="inlineStr">
        <is>
          <t>2026-07-20</t>
        </is>
      </c>
      <c r="B2373" s="33" t="inlineStr">
        <is>
          <t>CLSK</t>
        </is>
      </c>
      <c r="C2373" s="33" t="inlineStr">
        <is>
          <t>D2</t>
        </is>
      </c>
      <c r="D2373" s="33" t="n">
        <v>3</v>
      </c>
      <c r="E2373" s="33" t="inlineStr">
        <is>
          <t>Upgraded from 2: signed 20-yr NNN lease (175MW, $6.6-11.6B contracted) at Sandersville + Texas 885MW LOI/exclusivity with a high-investment-grade global tech tenant (unconfirmed, speculated Meta) shifts CLSK from generic commodity BTC-mining capacity toward a landlord with a long-dated anchor-tenant lock-in. Held at 3 not 4: single deal, undisclosed counterparty, no demonstrated pricing power yet, and peers (IREN, CORZ, CIFR, HUT) are pursuing the identical pivot -- still commoditized vs. true bottleneck suppliers.</t>
        </is>
      </c>
      <c r="F2373" s="33" t="inlineStr">
        <is>
          <t>context-2026-07-20.md §2-3 (8-K filed 2026-07-14, acc 000119312526302448, cross-sourced via press coverage -- direct SEC fetch blocked this session)</t>
        </is>
      </c>
      <c r="G2373" s="33" t="inlineStr">
        <is>
          <t>Medium</t>
        </is>
      </c>
      <c r="H2373" s="33" t="inlineStr">
        <is>
          <t>Update</t>
        </is>
      </c>
    </row>
    <row r="2374">
      <c r="A2374" s="33" t="inlineStr">
        <is>
          <t>2026-07-20</t>
        </is>
      </c>
      <c r="B2374" s="33" t="inlineStr">
        <is>
          <t>CLSK</t>
        </is>
      </c>
      <c r="C2374" s="33" t="inlineStr">
        <is>
          <t>D4</t>
        </is>
      </c>
      <c r="D2374" s="33" t="n">
        <v>4</v>
      </c>
      <c r="E2374" s="33" t="inlineStr">
        <is>
          <t>Upgraded from 3: active expansion now backed by a REAL signed customer commitment (vs. prior "no signed AI customer"), first delivery Q4 2027. Held at 4 not 5: the rubric's 5-band requires the buildout be "funded and underway" -- the lease itself discloses NO lender, financing terms, sponsor equity, or draw schedule for the ~$1.75-2.1B Sandersville capex, so "funded" is not yet true.</t>
        </is>
      </c>
      <c r="F2374" s="33" t="inlineStr">
        <is>
          <t>context-2026-07-20.md §2, §6 (8-K 2026-07-14; ts2.tech/CryptoSlate financing-gap analysis)</t>
        </is>
      </c>
      <c r="G2374" s="33" t="inlineStr">
        <is>
          <t>Medium</t>
        </is>
      </c>
      <c r="H2374" s="33" t="inlineStr">
        <is>
          <t>Update</t>
        </is>
      </c>
    </row>
    <row r="2375">
      <c r="A2375" s="33" t="inlineStr">
        <is>
          <t>2026-07-20</t>
        </is>
      </c>
      <c r="B2375" s="33" t="inlineStr">
        <is>
          <t>CLSK</t>
        </is>
      </c>
      <c r="C2375" s="33" t="inlineStr">
        <is>
          <t>R3</t>
        </is>
      </c>
      <c r="D2375" s="33" t="n">
        <v>2</v>
      </c>
      <c r="E2375" s="33" t="inlineStr">
        <is>
          <t>Downgraded from 3: the signed lease carries financing/construction/delivery MILESTONES with rent-abatement/termination risk if missed, and requires ~$1.75-2.1B of capex with no financing plan disclosed as of the 8-K -- a new, concrete near-term execution/dilution risk stacked on existing ~$1.8B LT debt (Q2 FY26 10-Q) and negative FCF (FCF Yield -32.4%, FCF Mgn -144.9% per current sheet). Not dropped to 1: no breach has occurred yet, this is a forward-looking contingent risk, not a going-concern flag.</t>
        </is>
      </c>
      <c r="F2375" s="33" t="inlineStr">
        <is>
          <t>context-2026-07-20.md §2, §6 (8-K 2026-07-14; ts2.tech "$2.1 Billion Financing Test"; prior context-2026-06-22.md LT debt figure)</t>
        </is>
      </c>
      <c r="G2375" s="33" t="inlineStr">
        <is>
          <t>Medium</t>
        </is>
      </c>
      <c r="H2375" s="33" t="inlineStr">
        <is>
          <t>Update</t>
        </is>
      </c>
    </row>
    <row r="2376">
      <c r="A2376" s="33" t="inlineStr">
        <is>
          <t>2026-08-02</t>
        </is>
      </c>
      <c r="B2376" s="33" t="inlineStr">
        <is>
          <t>AMZN</t>
        </is>
      </c>
      <c r="C2376" s="33" t="inlineStr">
        <is>
          <t>EPS YoY (objective)</t>
        </is>
      </c>
      <c r="E2376" s="33" t="inlineStr">
        <is>
          <t>Rule-15 blank: Q2 2026 EPS YoY +244.9% (GAAP $5.75 vs $1.68) dominated by $53.4B non-operating pre-tax other income "primarily from our investments in Anthropic" (press release exhibit 99.1); ex-gain EPS ~flat YoY. Growth averages the revenue metrics. Same treatment as GOOGL 2026-07-27 ($98.0B equity-securities gain).</t>
        </is>
      </c>
      <c r="F2376" s="33" t="inlineStr">
        <is>
          <t>https://www.sec.gov/Archives/edgar/data/1018724/000101872426000024/amzn-20260630xex991.htm</t>
        </is>
      </c>
      <c r="G2376" s="33" t="inlineStr">
        <is>
          <t>High</t>
        </is>
      </c>
      <c r="H2376" s="33" t="inlineStr">
        <is>
          <t>Objective refresh</t>
        </is>
      </c>
    </row>
    <row r="2377">
      <c r="A2377" s="33" t="inlineStr">
        <is>
          <t>2026-08-02</t>
        </is>
      </c>
      <c r="B2377" s="33" t="inlineStr">
        <is>
          <t>META</t>
        </is>
      </c>
      <c r="C2377" s="33" t="inlineStr">
        <is>
          <t>EPS YoY (objective)</t>
        </is>
      </c>
      <c r="E2377" s="33" t="inlineStr">
        <is>
          <t>Rule-15 evaluated, NOT blanked: Q2 2026 EPS YoY -13.6% ($6.18 vs $7.14) includes $2.40B legal-proceedings charges + $1.18B severance — both inside operating costs and expenses (exhibit 99.1), not rule-15's non-operating class (divestiture gains / fair-value swings / tax one-offs). Op-margin compression 43%-&gt;31% on infra depreciation + AI comp is the genuine operating story; mechanical value kept.</t>
        </is>
      </c>
      <c r="F2377" s="33" t="inlineStr">
        <is>
          <t>https://www.sec.gov/Archives/edgar/data/1326801/000162828026050596/meta-06302026xexhibit991.htm</t>
        </is>
      </c>
      <c r="G2377" s="33" t="inlineStr">
        <is>
          <t>High</t>
        </is>
      </c>
      <c r="H2377" s="33" t="inlineStr">
        <is>
          <t>Objective refresh</t>
        </is>
      </c>
    </row>
    <row r="2378">
      <c r="A2378" s="33" t="inlineStr">
        <is>
          <t>2026-08-02</t>
        </is>
      </c>
      <c r="B2378" s="33" t="inlineStr">
        <is>
          <t>6481.T</t>
        </is>
      </c>
      <c r="C2378" s="33" t="inlineStr">
        <is>
          <t>Rev YoY + EPS YoY (objective)</t>
        </is>
      </c>
      <c r="E2378" s="33" t="inlineStr">
        <is>
          <t>Blanked both: THK fiscal-year-transition stub (FY-end moved; yfinance prints -18.7% rev / +1307.8% EPS on a short-period base) — not business reality. FY-Dec-2026 guidance is ¥260B sales / ¥26B OP. Same garbage-input family as rule 15.</t>
        </is>
      </c>
      <c r="F2378" s="33" t="inlineStr">
        <is>
          <t>11-robotics/research/2026-08-02-components-vision-sensing.md</t>
        </is>
      </c>
      <c r="G2378" s="33" t="inlineStr">
        <is>
          <t>High</t>
        </is>
      </c>
      <c r="H2378" s="33" t="inlineStr">
        <is>
          <t>Objective refresh</t>
        </is>
      </c>
    </row>
    <row r="2379">
      <c r="A2379" s="33" t="inlineStr">
        <is>
          <t>2026-08-02</t>
        </is>
      </c>
      <c r="B2379" s="33" t="inlineStr">
        <is>
          <t>HSAI</t>
        </is>
      </c>
      <c r="C2379" s="33" t="inlineStr">
        <is>
          <t>P/S (objective)</t>
        </is>
      </c>
      <c r="E2379" s="33" t="inlineStr">
        <is>
          <t>Corrected 45.06 -&gt; 5.7: yfinance ADR market cap corrupt ($21.2B vs verified ~$2.64B, stockanalysis 2026-07-31; cross-check P/E 38 x $68M TTM NI ~ $2.6B). Rule-19 known ADR-cap corruption class.</t>
        </is>
      </c>
      <c r="F2379" s="33" t="inlineStr">
        <is>
          <t>https://stockanalysis.com/stocks/hsai/</t>
        </is>
      </c>
      <c r="G2379" s="33" t="inlineStr">
        <is>
          <t>High</t>
        </is>
      </c>
      <c r="H2379" s="33" t="inlineStr">
        <is>
          <t>Objective refresh</t>
        </is>
      </c>
    </row>
    <row r="2380">
      <c r="A2380" s="33" t="inlineStr">
        <is>
          <t>2026-08-02</t>
        </is>
      </c>
      <c r="B2380" s="33" t="inlineStr">
        <is>
          <t>MBLY</t>
        </is>
      </c>
      <c r="C2380" s="33" t="inlineStr">
        <is>
          <t>P/S + FCF Yield (objective)</t>
        </is>
      </c>
      <c r="E2380" s="33" t="inlineStr">
        <is>
          <t>Corrected P/S 0.99 -&gt; 3.26 and FCFY 19.36% -&gt; 5.9%: yfinance counts Class A shares only (~$2.05B cap); true cap ~$6.75B incl. Intel Class B (~850M sh x $7.94). Dual-class share-count trap, same family as rule-19 ADR-cap corruption.</t>
        </is>
      </c>
      <c r="F2380" s="33" t="inlineStr">
        <is>
          <t>11-robotics/research/2026-08-02-defense-autonomy-perception.md</t>
        </is>
      </c>
      <c r="G2380" s="33" t="inlineStr">
        <is>
          <t>High</t>
        </is>
      </c>
      <c r="H2380" s="33" t="inlineStr">
        <is>
          <t>Objective refresh</t>
        </is>
      </c>
    </row>
    <row r="2381">
      <c r="A2381" s="33" t="inlineStr">
        <is>
          <t>2026-08-02</t>
        </is>
      </c>
      <c r="B2381" s="33" t="inlineStr">
        <is>
          <t>2590.HK</t>
        </is>
      </c>
      <c r="C2381" s="33" t="inlineStr">
        <is>
          <t>FCF Yield + FCF Mgn (objective)</t>
        </is>
      </c>
      <c r="E2381" s="33" t="inlineStr">
        <is>
          <t>Blanked both: yfinance levered-FCF fallback implies ~-CNY7B TTM FCF for a company that raised HK$2.71B in total and reported first profitability FY2025 (adj EBITDA positive) — demonstrably impossible. CLAUDE.md data-source note: info.freeCashflow fallback must be flagged; here it is discarded.</t>
        </is>
      </c>
      <c r="F2381" s="33" t="inlineStr">
        <is>
          <t>https://www.geekplus.com/resources/news/geekplus-hits-profitability-milestone-with-31.6-yoy-revenue-growth-fueled-by-embodied-intelligence-driven-tech-innovation</t>
        </is>
      </c>
      <c r="G2381" s="33" t="inlineStr">
        <is>
          <t>High</t>
        </is>
      </c>
      <c r="H2381" s="33" t="inlineStr">
        <is>
          <t>Objective refresh</t>
        </is>
      </c>
    </row>
    <row r="2382">
      <c r="A2382" s="33" t="inlineStr">
        <is>
          <t>2026-08-02</t>
        </is>
      </c>
      <c r="B2382" s="33" t="inlineStr">
        <is>
          <t>SYM</t>
        </is>
      </c>
      <c r="C2382" s="33" t="inlineStr">
        <is>
          <t>Reverse-DCF EV/FCF (objective)</t>
        </is>
      </c>
      <c r="E2382" s="33" t="inlineStr">
        <is>
          <t>Nulled reverse-dcf.json entry (was 5.12): contradicts the sheet's own FCF Yield 2.88% (implies ~33x) — 5.12 would require ~$4.9B FCF on $2.5B revenue. Likely Class-A-only EV in the umbrella structure. Term drops out of Value per rule 21.</t>
        </is>
      </c>
      <c r="F2382" s="33" t="inlineStr">
        <is>
          <t>tracking/batch-score-2026-08-02.md</t>
        </is>
      </c>
      <c r="G2382" s="33" t="inlineStr">
        <is>
          <t>High</t>
        </is>
      </c>
      <c r="H2382" s="33" t="inlineStr">
        <is>
          <t>Objective refresh</t>
        </is>
      </c>
    </row>
    <row r="2383">
      <c r="A2383" s="33" t="inlineStr">
        <is>
          <t>2026-08-02</t>
        </is>
      </c>
      <c r="B2383" s="33" t="inlineStr">
        <is>
          <t>AUTO.OL</t>
        </is>
      </c>
      <c r="C2383" s="33" t="inlineStr">
        <is>
          <t>Reverse-DCF EV/FCF (objective)</t>
        </is>
      </c>
      <c r="E2383" s="33" t="inlineStr">
        <is>
          <t>Nulled reverse-dcf.json entry (was 156.6): magnitude consistent with NOK-denominated EV over USD FCF (currency mix). Term drops out of Value per rule 21.</t>
        </is>
      </c>
      <c r="F2383" s="33" t="inlineStr">
        <is>
          <t>tracking/batch-score-2026-08-02.md</t>
        </is>
      </c>
      <c r="G2383" s="33" t="inlineStr">
        <is>
          <t>High</t>
        </is>
      </c>
      <c r="H2383" s="33" t="inlineStr">
        <is>
          <t>Objective refresh</t>
        </is>
      </c>
    </row>
    <row r="2384">
      <c r="A2384" s="33" t="inlineStr">
        <is>
          <t>2026-08-02</t>
        </is>
      </c>
      <c r="B2384" s="33" t="inlineStr">
        <is>
          <t>9880.HK</t>
        </is>
      </c>
      <c r="C2384" s="33" t="inlineStr">
        <is>
          <t>D1</t>
        </is>
      </c>
      <c r="D2384" s="33" t="n">
        <v>5</v>
      </c>
      <c r="E2384" s="33" t="inlineStr">
        <is>
          <t>Initial L11-batch rating per agent1 proposal (rationale+source in 11-robotics/research/rating-proposals-2026-08-02/); briefing per-stock/9880.HK/context-2026-08-02.md</t>
        </is>
      </c>
      <c r="F2384" s="33" t="inlineStr">
        <is>
          <t>per-stock/9880.HK/context-2026-08-02.md</t>
        </is>
      </c>
      <c r="G2384" s="33" t="inlineStr">
        <is>
          <t>Medium</t>
        </is>
      </c>
      <c r="H2384" s="33" t="inlineStr">
        <is>
          <t>Initial</t>
        </is>
      </c>
    </row>
    <row r="2385">
      <c r="A2385" s="33" t="inlineStr">
        <is>
          <t>2026-08-02</t>
        </is>
      </c>
      <c r="B2385" s="33" t="inlineStr">
        <is>
          <t>9880.HK</t>
        </is>
      </c>
      <c r="C2385" s="33" t="inlineStr">
        <is>
          <t>D2</t>
        </is>
      </c>
      <c r="D2385" s="33" t="n">
        <v>2</v>
      </c>
      <c r="E2385" s="33" t="inlineStr">
        <is>
          <t>Initial L11-batch rating per agent1 proposal (rationale+source in 11-robotics/research/rating-proposals-2026-08-02/); briefing per-stock/9880.HK/context-2026-08-02.md</t>
        </is>
      </c>
      <c r="F2385" s="33" t="inlineStr">
        <is>
          <t>per-stock/9880.HK/context-2026-08-02.md</t>
        </is>
      </c>
      <c r="G2385" s="33" t="inlineStr">
        <is>
          <t>Medium</t>
        </is>
      </c>
      <c r="H2385" s="33" t="inlineStr">
        <is>
          <t>Initial</t>
        </is>
      </c>
    </row>
    <row r="2386">
      <c r="A2386" s="33" t="inlineStr">
        <is>
          <t>2026-08-02</t>
        </is>
      </c>
      <c r="B2386" s="33" t="inlineStr">
        <is>
          <t>9880.HK</t>
        </is>
      </c>
      <c r="C2386" s="33" t="inlineStr">
        <is>
          <t>D3</t>
        </is>
      </c>
      <c r="D2386" s="33" t="n">
        <v>2</v>
      </c>
      <c r="E2386" s="33" t="inlineStr">
        <is>
          <t>Initial L11-batch rating per agent1 proposal (rationale+source in 11-robotics/research/rating-proposals-2026-08-02/); briefing per-stock/9880.HK/context-2026-08-02.md</t>
        </is>
      </c>
      <c r="F2386" s="33" t="inlineStr">
        <is>
          <t>per-stock/9880.HK/context-2026-08-02.md</t>
        </is>
      </c>
      <c r="G2386" s="33" t="inlineStr">
        <is>
          <t>Medium</t>
        </is>
      </c>
      <c r="H2386" s="33" t="inlineStr">
        <is>
          <t>Initial</t>
        </is>
      </c>
    </row>
    <row r="2387">
      <c r="A2387" s="33" t="inlineStr">
        <is>
          <t>2026-08-02</t>
        </is>
      </c>
      <c r="B2387" s="33" t="inlineStr">
        <is>
          <t>9880.HK</t>
        </is>
      </c>
      <c r="C2387" s="33" t="inlineStr">
        <is>
          <t>D4</t>
        </is>
      </c>
      <c r="D2387" s="33" t="n">
        <v>5</v>
      </c>
      <c r="E2387" s="33" t="inlineStr">
        <is>
          <t>Initial L11-batch rating per agent1 proposal (rationale+source in 11-robotics/research/rating-proposals-2026-08-02/); briefing per-stock/9880.HK/context-2026-08-02.md</t>
        </is>
      </c>
      <c r="F2387" s="33" t="inlineStr">
        <is>
          <t>per-stock/9880.HK/context-2026-08-02.md</t>
        </is>
      </c>
      <c r="G2387" s="33" t="inlineStr">
        <is>
          <t>Medium</t>
        </is>
      </c>
      <c r="H2387" s="33" t="inlineStr">
        <is>
          <t>Initial</t>
        </is>
      </c>
    </row>
    <row r="2388">
      <c r="A2388" s="33" t="inlineStr">
        <is>
          <t>2026-08-02</t>
        </is>
      </c>
      <c r="B2388" s="33" t="inlineStr">
        <is>
          <t>9880.HK</t>
        </is>
      </c>
      <c r="C2388" s="33" t="inlineStr">
        <is>
          <t>D5</t>
        </is>
      </c>
      <c r="D2388" s="33" t="n">
        <v>5</v>
      </c>
      <c r="E2388" s="33" t="inlineStr">
        <is>
          <t>Initial L11-batch rating per agent1 proposal (rationale+source in 11-robotics/research/rating-proposals-2026-08-02/); briefing per-stock/9880.HK/context-2026-08-02.md</t>
        </is>
      </c>
      <c r="F2388" s="33" t="inlineStr">
        <is>
          <t>per-stock/9880.HK/context-2026-08-02.md</t>
        </is>
      </c>
      <c r="G2388" s="33" t="inlineStr">
        <is>
          <t>Medium</t>
        </is>
      </c>
      <c r="H2388" s="33" t="inlineStr">
        <is>
          <t>Initial</t>
        </is>
      </c>
    </row>
    <row r="2389">
      <c r="A2389" s="33" t="inlineStr">
        <is>
          <t>2026-08-02</t>
        </is>
      </c>
      <c r="B2389" s="33" t="inlineStr">
        <is>
          <t>9880.HK</t>
        </is>
      </c>
      <c r="C2389" s="33" t="inlineStr">
        <is>
          <t>M1</t>
        </is>
      </c>
      <c r="D2389" s="33" t="n">
        <v>4</v>
      </c>
      <c r="E2389" s="33" t="inlineStr">
        <is>
          <t>Initial L11-batch rating per agent1 proposal (rationale+source in 11-robotics/research/rating-proposals-2026-08-02/); briefing per-stock/9880.HK/context-2026-08-02.md</t>
        </is>
      </c>
      <c r="F2389" s="33" t="inlineStr">
        <is>
          <t>per-stock/9880.HK/context-2026-08-02.md</t>
        </is>
      </c>
      <c r="G2389" s="33" t="inlineStr">
        <is>
          <t>Medium</t>
        </is>
      </c>
      <c r="H2389" s="33" t="inlineStr">
        <is>
          <t>Initial</t>
        </is>
      </c>
    </row>
    <row r="2390">
      <c r="A2390" s="33" t="inlineStr">
        <is>
          <t>2026-08-02</t>
        </is>
      </c>
      <c r="B2390" s="33" t="inlineStr">
        <is>
          <t>9880.HK</t>
        </is>
      </c>
      <c r="C2390" s="33" t="inlineStr">
        <is>
          <t>M2</t>
        </is>
      </c>
      <c r="D2390" s="33" t="n">
        <v>1</v>
      </c>
      <c r="E2390" s="33" t="inlineStr">
        <is>
          <t>Initial L11-batch rating per agent1 proposal (rationale+source in 11-robotics/research/rating-proposals-2026-08-02/); briefing per-stock/9880.HK/context-2026-08-02.md</t>
        </is>
      </c>
      <c r="F2390" s="33" t="inlineStr">
        <is>
          <t>per-stock/9880.HK/context-2026-08-02.md</t>
        </is>
      </c>
      <c r="G2390" s="33" t="inlineStr">
        <is>
          <t>Medium</t>
        </is>
      </c>
      <c r="H2390" s="33" t="inlineStr">
        <is>
          <t>Initial</t>
        </is>
      </c>
    </row>
    <row r="2391">
      <c r="A2391" s="33" t="inlineStr">
        <is>
          <t>2026-08-02</t>
        </is>
      </c>
      <c r="B2391" s="33" t="inlineStr">
        <is>
          <t>9880.HK</t>
        </is>
      </c>
      <c r="C2391" s="33" t="inlineStr">
        <is>
          <t>M3</t>
        </is>
      </c>
      <c r="D2391" s="33" t="n">
        <v>3</v>
      </c>
      <c r="E2391" s="33" t="inlineStr">
        <is>
          <t>Initial L11-batch rating per agent1 proposal (rationale+source in 11-robotics/research/rating-proposals-2026-08-02/); briefing per-stock/9880.HK/context-2026-08-02.md</t>
        </is>
      </c>
      <c r="F2391" s="33" t="inlineStr">
        <is>
          <t>per-stock/9880.HK/context-2026-08-02.md</t>
        </is>
      </c>
      <c r="G2391" s="33" t="inlineStr">
        <is>
          <t>Medium</t>
        </is>
      </c>
      <c r="H2391" s="33" t="inlineStr">
        <is>
          <t>Initial</t>
        </is>
      </c>
    </row>
    <row r="2392">
      <c r="A2392" s="33" t="inlineStr">
        <is>
          <t>2026-08-02</t>
        </is>
      </c>
      <c r="B2392" s="33" t="inlineStr">
        <is>
          <t>9880.HK</t>
        </is>
      </c>
      <c r="C2392" s="33" t="inlineStr">
        <is>
          <t>R1</t>
        </is>
      </c>
      <c r="D2392" s="33" t="n">
        <v>3</v>
      </c>
      <c r="E2392" s="33" t="inlineStr">
        <is>
          <t>Initial L11-batch rating per agent1 proposal (rationale+source in 11-robotics/research/rating-proposals-2026-08-02/); briefing per-stock/9880.HK/context-2026-08-02.md</t>
        </is>
      </c>
      <c r="F2392" s="33" t="inlineStr">
        <is>
          <t>per-stock/9880.HK/context-2026-08-02.md</t>
        </is>
      </c>
      <c r="G2392" s="33" t="inlineStr">
        <is>
          <t>Medium</t>
        </is>
      </c>
      <c r="H2392" s="33" t="inlineStr">
        <is>
          <t>Initial</t>
        </is>
      </c>
    </row>
    <row r="2393">
      <c r="A2393" s="33" t="inlineStr">
        <is>
          <t>2026-08-02</t>
        </is>
      </c>
      <c r="B2393" s="33" t="inlineStr">
        <is>
          <t>9880.HK</t>
        </is>
      </c>
      <c r="C2393" s="33" t="inlineStr">
        <is>
          <t>R2</t>
        </is>
      </c>
      <c r="D2393" s="33" t="n">
        <v>2</v>
      </c>
      <c r="E2393" s="33" t="inlineStr">
        <is>
          <t>FCC Covered List ban forecloses US market permanently + all-China asset/revenue base; band 2 not 1 (US immaterial today).</t>
        </is>
      </c>
      <c r="F2393" s="33" t="inlineStr">
        <is>
          <t>per-stock/9880.HK/context-2026-08-02.md</t>
        </is>
      </c>
      <c r="G2393" s="33" t="inlineStr">
        <is>
          <t>Medium</t>
        </is>
      </c>
      <c r="H2393" s="33" t="inlineStr">
        <is>
          <t>Initial</t>
        </is>
      </c>
    </row>
    <row r="2394">
      <c r="A2394" s="33" t="inlineStr">
        <is>
          <t>2026-08-02</t>
        </is>
      </c>
      <c r="B2394" s="33" t="inlineStr">
        <is>
          <t>9880.HK</t>
        </is>
      </c>
      <c r="C2394" s="33" t="inlineStr">
        <is>
          <t>R3</t>
        </is>
      </c>
      <c r="D2394" s="33" t="n">
        <v>3</v>
      </c>
      <c r="E2394" s="33" t="inlineStr">
        <is>
          <t>Initial L11-batch rating per agent1 proposal (rationale+source in 11-robotics/research/rating-proposals-2026-08-02/); briefing per-stock/9880.HK/context-2026-08-02.md</t>
        </is>
      </c>
      <c r="F2394" s="33" t="inlineStr">
        <is>
          <t>per-stock/9880.HK/context-2026-08-02.md</t>
        </is>
      </c>
      <c r="G2394" s="33" t="inlineStr">
        <is>
          <t>Medium</t>
        </is>
      </c>
      <c r="H2394" s="33" t="inlineStr">
        <is>
          <t>Initial</t>
        </is>
      </c>
    </row>
    <row r="2395">
      <c r="A2395" s="33" t="inlineStr">
        <is>
          <t>2026-08-02</t>
        </is>
      </c>
      <c r="B2395" s="33" t="inlineStr">
        <is>
          <t>9880.HK</t>
        </is>
      </c>
      <c r="C2395" s="33" t="inlineStr">
        <is>
          <t>R4</t>
        </is>
      </c>
      <c r="D2395" s="33" t="n">
        <v>2</v>
      </c>
      <c r="E2395" s="33" t="inlineStr">
        <is>
          <t>FCC Covered List addition 2026-07-28 (foreign-made humanoids/AMRs) - active regulatory action against the product category; US was not yet material revenue.</t>
        </is>
      </c>
      <c r="F2395" s="33" t="inlineStr">
        <is>
          <t>per-stock/9880.HK/context-2026-08-02.md</t>
        </is>
      </c>
      <c r="G2395" s="33" t="inlineStr">
        <is>
          <t>Medium</t>
        </is>
      </c>
      <c r="H2395" s="33" t="inlineStr">
        <is>
          <t>Initial</t>
        </is>
      </c>
    </row>
    <row r="2396">
      <c r="A2396" s="33" t="inlineStr">
        <is>
          <t>2026-08-02</t>
        </is>
      </c>
      <c r="B2396" s="33" t="inlineStr">
        <is>
          <t>9880.HK</t>
        </is>
      </c>
      <c r="C2396" s="33" t="inlineStr">
        <is>
          <t>R5</t>
        </is>
      </c>
      <c r="D2396" s="33" t="n">
        <v>5</v>
      </c>
      <c r="E2396" s="33" t="inlineStr">
        <is>
          <t>Initial L11-batch rating per agent1 proposal (rationale+source in 11-robotics/research/rating-proposals-2026-08-02/); briefing per-stock/9880.HK/context-2026-08-02.md</t>
        </is>
      </c>
      <c r="F2396" s="33" t="inlineStr">
        <is>
          <t>per-stock/9880.HK/context-2026-08-02.md</t>
        </is>
      </c>
      <c r="G2396" s="33" t="inlineStr">
        <is>
          <t>Medium</t>
        </is>
      </c>
      <c r="H2396" s="33" t="inlineStr">
        <is>
          <t>Initial</t>
        </is>
      </c>
    </row>
    <row r="2397">
      <c r="A2397" s="33" t="inlineStr">
        <is>
          <t>2026-08-02</t>
        </is>
      </c>
      <c r="B2397" s="33" t="inlineStr">
        <is>
          <t>SERV</t>
        </is>
      </c>
      <c r="C2397" s="33" t="inlineStr">
        <is>
          <t>D1</t>
        </is>
      </c>
      <c r="D2397" s="33" t="n">
        <v>5</v>
      </c>
      <c r="E2397" s="33" t="inlineStr">
        <is>
          <t>Initial L11-batch rating per agent1 proposal (rationale+source in 11-robotics/research/rating-proposals-2026-08-02/); briefing per-stock/SERV/context-2026-08-02.md</t>
        </is>
      </c>
      <c r="F2397" s="33" t="inlineStr">
        <is>
          <t>per-stock/SERV/context-2026-08-02.md</t>
        </is>
      </c>
      <c r="G2397" s="33" t="inlineStr">
        <is>
          <t>Medium</t>
        </is>
      </c>
      <c r="H2397" s="33" t="inlineStr">
        <is>
          <t>Initial</t>
        </is>
      </c>
    </row>
    <row r="2398">
      <c r="A2398" s="33" t="inlineStr">
        <is>
          <t>2026-08-02</t>
        </is>
      </c>
      <c r="B2398" s="33" t="inlineStr">
        <is>
          <t>SERV</t>
        </is>
      </c>
      <c r="C2398" s="33" t="inlineStr">
        <is>
          <t>D2</t>
        </is>
      </c>
      <c r="D2398" s="33" t="n">
        <v>2</v>
      </c>
      <c r="E2398" s="33" t="inlineStr">
        <is>
          <t>Initial L11-batch rating per agent1 proposal (rationale+source in 11-robotics/research/rating-proposals-2026-08-02/); briefing per-stock/SERV/context-2026-08-02.md</t>
        </is>
      </c>
      <c r="F2398" s="33" t="inlineStr">
        <is>
          <t>per-stock/SERV/context-2026-08-02.md</t>
        </is>
      </c>
      <c r="G2398" s="33" t="inlineStr">
        <is>
          <t>Medium</t>
        </is>
      </c>
      <c r="H2398" s="33" t="inlineStr">
        <is>
          <t>Initial</t>
        </is>
      </c>
    </row>
    <row r="2399">
      <c r="A2399" s="33" t="inlineStr">
        <is>
          <t>2026-08-02</t>
        </is>
      </c>
      <c r="B2399" s="33" t="inlineStr">
        <is>
          <t>SERV</t>
        </is>
      </c>
      <c r="C2399" s="33" t="inlineStr">
        <is>
          <t>D3</t>
        </is>
      </c>
      <c r="D2399" s="33" t="n">
        <v>2</v>
      </c>
      <c r="E2399" s="33" t="inlineStr">
        <is>
          <t>Initial L11-batch rating per agent1 proposal (rationale+source in 11-robotics/research/rating-proposals-2026-08-02/); briefing per-stock/SERV/context-2026-08-02.md</t>
        </is>
      </c>
      <c r="F2399" s="33" t="inlineStr">
        <is>
          <t>per-stock/SERV/context-2026-08-02.md</t>
        </is>
      </c>
      <c r="G2399" s="33" t="inlineStr">
        <is>
          <t>Medium</t>
        </is>
      </c>
      <c r="H2399" s="33" t="inlineStr">
        <is>
          <t>Initial</t>
        </is>
      </c>
    </row>
    <row r="2400">
      <c r="A2400" s="33" t="inlineStr">
        <is>
          <t>2026-08-02</t>
        </is>
      </c>
      <c r="B2400" s="33" t="inlineStr">
        <is>
          <t>SERV</t>
        </is>
      </c>
      <c r="C2400" s="33" t="inlineStr">
        <is>
          <t>D4</t>
        </is>
      </c>
      <c r="D2400" s="33" t="n">
        <v>4</v>
      </c>
      <c r="E2400" s="33" t="inlineStr">
        <is>
          <t>Initial L11-batch rating per agent1 proposal (rationale+source in 11-robotics/research/rating-proposals-2026-08-02/); briefing per-stock/SERV/context-2026-08-02.md</t>
        </is>
      </c>
      <c r="F2400" s="33" t="inlineStr">
        <is>
          <t>per-stock/SERV/context-2026-08-02.md</t>
        </is>
      </c>
      <c r="G2400" s="33" t="inlineStr">
        <is>
          <t>Medium</t>
        </is>
      </c>
      <c r="H2400" s="33" t="inlineStr">
        <is>
          <t>Initial</t>
        </is>
      </c>
    </row>
    <row r="2401">
      <c r="A2401" s="33" t="inlineStr">
        <is>
          <t>2026-08-02</t>
        </is>
      </c>
      <c r="B2401" s="33" t="inlineStr">
        <is>
          <t>SERV</t>
        </is>
      </c>
      <c r="C2401" s="33" t="inlineStr">
        <is>
          <t>D5</t>
        </is>
      </c>
      <c r="D2401" s="33" t="n">
        <v>4</v>
      </c>
      <c r="E2401" s="33" t="inlineStr">
        <is>
          <t>Initial L11-batch rating per agent1 proposal (rationale+source in 11-robotics/research/rating-proposals-2026-08-02/); briefing per-stock/SERV/context-2026-08-02.md</t>
        </is>
      </c>
      <c r="F2401" s="33" t="inlineStr">
        <is>
          <t>per-stock/SERV/context-2026-08-02.md</t>
        </is>
      </c>
      <c r="G2401" s="33" t="inlineStr">
        <is>
          <t>Medium</t>
        </is>
      </c>
      <c r="H2401" s="33" t="inlineStr">
        <is>
          <t>Initial</t>
        </is>
      </c>
    </row>
    <row r="2402">
      <c r="A2402" s="33" t="inlineStr">
        <is>
          <t>2026-08-02</t>
        </is>
      </c>
      <c r="B2402" s="33" t="inlineStr">
        <is>
          <t>SERV</t>
        </is>
      </c>
      <c r="C2402" s="33" t="inlineStr">
        <is>
          <t>M1</t>
        </is>
      </c>
      <c r="D2402" s="33" t="n">
        <v>2</v>
      </c>
      <c r="E2402" s="33" t="inlineStr">
        <is>
          <t>Initial L11-batch rating per agent1 proposal (rationale+source in 11-robotics/research/rating-proposals-2026-08-02/); briefing per-stock/SERV/context-2026-08-02.md</t>
        </is>
      </c>
      <c r="F2402" s="33" t="inlineStr">
        <is>
          <t>per-stock/SERV/context-2026-08-02.md</t>
        </is>
      </c>
      <c r="G2402" s="33" t="inlineStr">
        <is>
          <t>Medium</t>
        </is>
      </c>
      <c r="H2402" s="33" t="inlineStr">
        <is>
          <t>Initial</t>
        </is>
      </c>
    </row>
    <row r="2403">
      <c r="A2403" s="33" t="inlineStr">
        <is>
          <t>2026-08-02</t>
        </is>
      </c>
      <c r="B2403" s="33" t="inlineStr">
        <is>
          <t>SERV</t>
        </is>
      </c>
      <c r="C2403" s="33" t="inlineStr">
        <is>
          <t>M2</t>
        </is>
      </c>
      <c r="D2403" s="33" t="n">
        <v>1</v>
      </c>
      <c r="E2403" s="33" t="inlineStr">
        <is>
          <t>Initial L11-batch rating per agent1 proposal (rationale+source in 11-robotics/research/rating-proposals-2026-08-02/); briefing per-stock/SERV/context-2026-08-02.md</t>
        </is>
      </c>
      <c r="F2403" s="33" t="inlineStr">
        <is>
          <t>per-stock/SERV/context-2026-08-02.md</t>
        </is>
      </c>
      <c r="G2403" s="33" t="inlineStr">
        <is>
          <t>Medium</t>
        </is>
      </c>
      <c r="H2403" s="33" t="inlineStr">
        <is>
          <t>Initial</t>
        </is>
      </c>
    </row>
    <row r="2404">
      <c r="A2404" s="33" t="inlineStr">
        <is>
          <t>2026-08-02</t>
        </is>
      </c>
      <c r="B2404" s="33" t="inlineStr">
        <is>
          <t>SERV</t>
        </is>
      </c>
      <c r="C2404" s="33" t="inlineStr">
        <is>
          <t>M3</t>
        </is>
      </c>
      <c r="D2404" s="33" t="n">
        <v>3</v>
      </c>
      <c r="E2404" s="33" t="inlineStr">
        <is>
          <t>Initial L11-batch rating per agent1 proposal (rationale+source in 11-robotics/research/rating-proposals-2026-08-02/); briefing per-stock/SERV/context-2026-08-02.md</t>
        </is>
      </c>
      <c r="F2404" s="33" t="inlineStr">
        <is>
          <t>per-stock/SERV/context-2026-08-02.md</t>
        </is>
      </c>
      <c r="G2404" s="33" t="inlineStr">
        <is>
          <t>Medium</t>
        </is>
      </c>
      <c r="H2404" s="33" t="inlineStr">
        <is>
          <t>Initial</t>
        </is>
      </c>
    </row>
    <row r="2405">
      <c r="A2405" s="33" t="inlineStr">
        <is>
          <t>2026-08-02</t>
        </is>
      </c>
      <c r="B2405" s="33" t="inlineStr">
        <is>
          <t>SERV</t>
        </is>
      </c>
      <c r="C2405" s="33" t="inlineStr">
        <is>
          <t>R1</t>
        </is>
      </c>
      <c r="D2405" s="33" t="n">
        <v>4</v>
      </c>
      <c r="E2405" s="33" t="inlineStr">
        <is>
          <t>Initial L11-batch rating per agent1 proposal (rationale+source in 11-robotics/research/rating-proposals-2026-08-02/); briefing per-stock/SERV/context-2026-08-02.md</t>
        </is>
      </c>
      <c r="F2405" s="33" t="inlineStr">
        <is>
          <t>per-stock/SERV/context-2026-08-02.md</t>
        </is>
      </c>
      <c r="G2405" s="33" t="inlineStr">
        <is>
          <t>Medium</t>
        </is>
      </c>
      <c r="H2405" s="33" t="inlineStr">
        <is>
          <t>Initial</t>
        </is>
      </c>
    </row>
    <row r="2406">
      <c r="A2406" s="33" t="inlineStr">
        <is>
          <t>2026-08-02</t>
        </is>
      </c>
      <c r="B2406" s="33" t="inlineStr">
        <is>
          <t>SERV</t>
        </is>
      </c>
      <c r="C2406" s="33" t="inlineStr">
        <is>
          <t>R2</t>
        </is>
      </c>
      <c r="D2406" s="33" t="n">
        <v>5</v>
      </c>
      <c r="E2406" s="33" t="inlineStr">
        <is>
          <t>Initial L11-batch rating per agent1 proposal (rationale+source in 11-robotics/research/rating-proposals-2026-08-02/); briefing per-stock/SERV/context-2026-08-02.md</t>
        </is>
      </c>
      <c r="F2406" s="33" t="inlineStr">
        <is>
          <t>per-stock/SERV/context-2026-08-02.md</t>
        </is>
      </c>
      <c r="G2406" s="33" t="inlineStr">
        <is>
          <t>Medium</t>
        </is>
      </c>
      <c r="H2406" s="33" t="inlineStr">
        <is>
          <t>Initial</t>
        </is>
      </c>
    </row>
    <row r="2407">
      <c r="A2407" s="33" t="inlineStr">
        <is>
          <t>2026-08-02</t>
        </is>
      </c>
      <c r="B2407" s="33" t="inlineStr">
        <is>
          <t>SERV</t>
        </is>
      </c>
      <c r="C2407" s="33" t="inlineStr">
        <is>
          <t>R3</t>
        </is>
      </c>
      <c r="D2407" s="33" t="n">
        <v>3</v>
      </c>
      <c r="E2407" s="33" t="inlineStr">
        <is>
          <t>Initial L11-batch rating per agent1 proposal (rationale+source in 11-robotics/research/rating-proposals-2026-08-02/); briefing per-stock/SERV/context-2026-08-02.md</t>
        </is>
      </c>
      <c r="F2407" s="33" t="inlineStr">
        <is>
          <t>per-stock/SERV/context-2026-08-02.md</t>
        </is>
      </c>
      <c r="G2407" s="33" t="inlineStr">
        <is>
          <t>Medium</t>
        </is>
      </c>
      <c r="H2407" s="33" t="inlineStr">
        <is>
          <t>Initial</t>
        </is>
      </c>
    </row>
    <row r="2408">
      <c r="A2408" s="33" t="inlineStr">
        <is>
          <t>2026-08-02</t>
        </is>
      </c>
      <c r="B2408" s="33" t="inlineStr">
        <is>
          <t>SERV</t>
        </is>
      </c>
      <c r="C2408" s="33" t="inlineStr">
        <is>
          <t>R4</t>
        </is>
      </c>
      <c r="D2408" s="33" t="n">
        <v>3</v>
      </c>
      <c r="E2408" s="33" t="inlineStr">
        <is>
          <t>Initial L11-batch rating per agent1 proposal (rationale+source in 11-robotics/research/rating-proposals-2026-08-02/); briefing per-stock/SERV/context-2026-08-02.md</t>
        </is>
      </c>
      <c r="F2408" s="33" t="inlineStr">
        <is>
          <t>per-stock/SERV/context-2026-08-02.md</t>
        </is>
      </c>
      <c r="G2408" s="33" t="inlineStr">
        <is>
          <t>Medium</t>
        </is>
      </c>
      <c r="H2408" s="33" t="inlineStr">
        <is>
          <t>Initial</t>
        </is>
      </c>
    </row>
    <row r="2409">
      <c r="A2409" s="33" t="inlineStr">
        <is>
          <t>2026-08-02</t>
        </is>
      </c>
      <c r="B2409" s="33" t="inlineStr">
        <is>
          <t>SERV</t>
        </is>
      </c>
      <c r="C2409" s="33" t="inlineStr">
        <is>
          <t>R5</t>
        </is>
      </c>
      <c r="D2409" s="33" t="n">
        <v>5</v>
      </c>
      <c r="E2409" s="33" t="inlineStr">
        <is>
          <t>Initial L11-batch rating per agent1 proposal (rationale+source in 11-robotics/research/rating-proposals-2026-08-02/); briefing per-stock/SERV/context-2026-08-02.md</t>
        </is>
      </c>
      <c r="F2409" s="33" t="inlineStr">
        <is>
          <t>per-stock/SERV/context-2026-08-02.md</t>
        </is>
      </c>
      <c r="G2409" s="33" t="inlineStr">
        <is>
          <t>Medium</t>
        </is>
      </c>
      <c r="H2409" s="33" t="inlineStr">
        <is>
          <t>Initial</t>
        </is>
      </c>
    </row>
    <row r="2410">
      <c r="A2410" s="33" t="inlineStr">
        <is>
          <t>2026-08-02</t>
        </is>
      </c>
      <c r="B2410" s="33" t="inlineStr">
        <is>
          <t>TNC</t>
        </is>
      </c>
      <c r="C2410" s="33" t="inlineStr">
        <is>
          <t>D1</t>
        </is>
      </c>
      <c r="D2410" s="33" t="n">
        <v>2</v>
      </c>
      <c r="E2410" s="33" t="inlineStr">
        <is>
          <t>Initial L11-batch rating per agent1 proposal (rationale+source in 11-robotics/research/rating-proposals-2026-08-02/); briefing per-stock/TNC/context-2026-08-02.md</t>
        </is>
      </c>
      <c r="F2410" s="33" t="inlineStr">
        <is>
          <t>per-stock/TNC/context-2026-08-02.md</t>
        </is>
      </c>
      <c r="G2410" s="33" t="inlineStr">
        <is>
          <t>Medium</t>
        </is>
      </c>
      <c r="H2410" s="33" t="inlineStr">
        <is>
          <t>Initial</t>
        </is>
      </c>
    </row>
    <row r="2411">
      <c r="A2411" s="33" t="inlineStr">
        <is>
          <t>2026-08-02</t>
        </is>
      </c>
      <c r="B2411" s="33" t="inlineStr">
        <is>
          <t>TNC</t>
        </is>
      </c>
      <c r="C2411" s="33" t="inlineStr">
        <is>
          <t>D2</t>
        </is>
      </c>
      <c r="D2411" s="33" t="n">
        <v>3</v>
      </c>
      <c r="E2411" s="33" t="inlineStr">
        <is>
          <t>Initial L11-batch rating per agent1 proposal (rationale+source in 11-robotics/research/rating-proposals-2026-08-02/); briefing per-stock/TNC/context-2026-08-02.md</t>
        </is>
      </c>
      <c r="F2411" s="33" t="inlineStr">
        <is>
          <t>per-stock/TNC/context-2026-08-02.md</t>
        </is>
      </c>
      <c r="G2411" s="33" t="inlineStr">
        <is>
          <t>Medium</t>
        </is>
      </c>
      <c r="H2411" s="33" t="inlineStr">
        <is>
          <t>Initial</t>
        </is>
      </c>
    </row>
    <row r="2412">
      <c r="A2412" s="33" t="inlineStr">
        <is>
          <t>2026-08-02</t>
        </is>
      </c>
      <c r="B2412" s="33" t="inlineStr">
        <is>
          <t>TNC</t>
        </is>
      </c>
      <c r="C2412" s="33" t="inlineStr">
        <is>
          <t>D3</t>
        </is>
      </c>
      <c r="D2412" s="33" t="n">
        <v>3</v>
      </c>
      <c r="E2412" s="33" t="inlineStr">
        <is>
          <t>Initial L11-batch rating per agent1 proposal (rationale+source in 11-robotics/research/rating-proposals-2026-08-02/); briefing per-stock/TNC/context-2026-08-02.md</t>
        </is>
      </c>
      <c r="F2412" s="33" t="inlineStr">
        <is>
          <t>per-stock/TNC/context-2026-08-02.md</t>
        </is>
      </c>
      <c r="G2412" s="33" t="inlineStr">
        <is>
          <t>Medium</t>
        </is>
      </c>
      <c r="H2412" s="33" t="inlineStr">
        <is>
          <t>Initial</t>
        </is>
      </c>
    </row>
    <row r="2413">
      <c r="A2413" s="33" t="inlineStr">
        <is>
          <t>2026-08-02</t>
        </is>
      </c>
      <c r="B2413" s="33" t="inlineStr">
        <is>
          <t>TNC</t>
        </is>
      </c>
      <c r="C2413" s="33" t="inlineStr">
        <is>
          <t>D4</t>
        </is>
      </c>
      <c r="D2413" s="33" t="n">
        <v>3</v>
      </c>
      <c r="E2413" s="33" t="inlineStr">
        <is>
          <t>Initial L11-batch rating per agent1 proposal (rationale+source in 11-robotics/research/rating-proposals-2026-08-02/); briefing per-stock/TNC/context-2026-08-02.md</t>
        </is>
      </c>
      <c r="F2413" s="33" t="inlineStr">
        <is>
          <t>per-stock/TNC/context-2026-08-02.md</t>
        </is>
      </c>
      <c r="G2413" s="33" t="inlineStr">
        <is>
          <t>Medium</t>
        </is>
      </c>
      <c r="H2413" s="33" t="inlineStr">
        <is>
          <t>Initial</t>
        </is>
      </c>
    </row>
    <row r="2414">
      <c r="A2414" s="33" t="inlineStr">
        <is>
          <t>2026-08-02</t>
        </is>
      </c>
      <c r="B2414" s="33" t="inlineStr">
        <is>
          <t>TNC</t>
        </is>
      </c>
      <c r="C2414" s="33" t="inlineStr">
        <is>
          <t>D5</t>
        </is>
      </c>
      <c r="D2414" s="33" t="n">
        <v>3</v>
      </c>
      <c r="E2414" s="33" t="inlineStr">
        <is>
          <t>Initial L11-batch rating per agent1 proposal (rationale+source in 11-robotics/research/rating-proposals-2026-08-02/); briefing per-stock/TNC/context-2026-08-02.md</t>
        </is>
      </c>
      <c r="F2414" s="33" t="inlineStr">
        <is>
          <t>per-stock/TNC/context-2026-08-02.md</t>
        </is>
      </c>
      <c r="G2414" s="33" t="inlineStr">
        <is>
          <t>Medium</t>
        </is>
      </c>
      <c r="H2414" s="33" t="inlineStr">
        <is>
          <t>Initial</t>
        </is>
      </c>
    </row>
    <row r="2415">
      <c r="A2415" s="33" t="inlineStr">
        <is>
          <t>2026-08-02</t>
        </is>
      </c>
      <c r="B2415" s="33" t="inlineStr">
        <is>
          <t>TNC</t>
        </is>
      </c>
      <c r="C2415" s="33" t="inlineStr">
        <is>
          <t>M1</t>
        </is>
      </c>
      <c r="D2415" s="33" t="n">
        <v>3</v>
      </c>
      <c r="E2415" s="33" t="inlineStr">
        <is>
          <t>Initial L11-batch rating per agent1 proposal (rationale+source in 11-robotics/research/rating-proposals-2026-08-02/); briefing per-stock/TNC/context-2026-08-02.md</t>
        </is>
      </c>
      <c r="F2415" s="33" t="inlineStr">
        <is>
          <t>per-stock/TNC/context-2026-08-02.md</t>
        </is>
      </c>
      <c r="G2415" s="33" t="inlineStr">
        <is>
          <t>Medium</t>
        </is>
      </c>
      <c r="H2415" s="33" t="inlineStr">
        <is>
          <t>Initial</t>
        </is>
      </c>
    </row>
    <row r="2416">
      <c r="A2416" s="33" t="inlineStr">
        <is>
          <t>2026-08-02</t>
        </is>
      </c>
      <c r="B2416" s="33" t="inlineStr">
        <is>
          <t>TNC</t>
        </is>
      </c>
      <c r="C2416" s="33" t="inlineStr">
        <is>
          <t>M2</t>
        </is>
      </c>
      <c r="D2416" s="33" t="n">
        <v>2</v>
      </c>
      <c r="E2416" s="33" t="inlineStr">
        <is>
          <t>Initial L11-batch rating per agent1 proposal (rationale+source in 11-robotics/research/rating-proposals-2026-08-02/); briefing per-stock/TNC/context-2026-08-02.md</t>
        </is>
      </c>
      <c r="F2416" s="33" t="inlineStr">
        <is>
          <t>per-stock/TNC/context-2026-08-02.md</t>
        </is>
      </c>
      <c r="G2416" s="33" t="inlineStr">
        <is>
          <t>Medium</t>
        </is>
      </c>
      <c r="H2416" s="33" t="inlineStr">
        <is>
          <t>Initial</t>
        </is>
      </c>
    </row>
    <row r="2417">
      <c r="A2417" s="33" t="inlineStr">
        <is>
          <t>2026-08-02</t>
        </is>
      </c>
      <c r="B2417" s="33" t="inlineStr">
        <is>
          <t>TNC</t>
        </is>
      </c>
      <c r="C2417" s="33" t="inlineStr">
        <is>
          <t>M3</t>
        </is>
      </c>
      <c r="D2417" s="33" t="n">
        <v>5</v>
      </c>
      <c r="E2417" s="33" t="inlineStr">
        <is>
          <t>3 open-market P-code buys post-crash (2 directors ~$500k each + CEO $257k) -&gt; rubric step 1 = 5. Tension logged: securities investigations open + CFO retirement notice 7/27/26; rubric has no netting rule - Dom review.</t>
        </is>
      </c>
      <c r="F2417" s="33" t="inlineStr">
        <is>
          <t>per-stock/TNC/context-2026-08-02.md</t>
        </is>
      </c>
      <c r="G2417" s="33" t="inlineStr">
        <is>
          <t>Medium</t>
        </is>
      </c>
      <c r="H2417" s="33" t="inlineStr">
        <is>
          <t>Initial</t>
        </is>
      </c>
    </row>
    <row r="2418">
      <c r="A2418" s="33" t="inlineStr">
        <is>
          <t>2026-08-02</t>
        </is>
      </c>
      <c r="B2418" s="33" t="inlineStr">
        <is>
          <t>TNC</t>
        </is>
      </c>
      <c r="C2418" s="33" t="inlineStr">
        <is>
          <t>R1</t>
        </is>
      </c>
      <c r="D2418" s="33" t="n">
        <v>5</v>
      </c>
      <c r="E2418" s="33" t="inlineStr">
        <is>
          <t>Initial L11-batch rating per agent1 proposal (rationale+source in 11-robotics/research/rating-proposals-2026-08-02/); briefing per-stock/TNC/context-2026-08-02.md</t>
        </is>
      </c>
      <c r="F2418" s="33" t="inlineStr">
        <is>
          <t>per-stock/TNC/context-2026-08-02.md</t>
        </is>
      </c>
      <c r="G2418" s="33" t="inlineStr">
        <is>
          <t>Medium</t>
        </is>
      </c>
      <c r="H2418" s="33" t="inlineStr">
        <is>
          <t>Initial</t>
        </is>
      </c>
    </row>
    <row r="2419">
      <c r="A2419" s="33" t="inlineStr">
        <is>
          <t>2026-08-02</t>
        </is>
      </c>
      <c r="B2419" s="33" t="inlineStr">
        <is>
          <t>TNC</t>
        </is>
      </c>
      <c r="C2419" s="33" t="inlineStr">
        <is>
          <t>R2</t>
        </is>
      </c>
      <c r="D2419" s="33" t="n">
        <v>5</v>
      </c>
      <c r="E2419" s="33" t="inlineStr">
        <is>
          <t>Initial L11-batch rating per agent1 proposal (rationale+source in 11-robotics/research/rating-proposals-2026-08-02/); briefing per-stock/TNC/context-2026-08-02.md</t>
        </is>
      </c>
      <c r="F2419" s="33" t="inlineStr">
        <is>
          <t>per-stock/TNC/context-2026-08-02.md</t>
        </is>
      </c>
      <c r="G2419" s="33" t="inlineStr">
        <is>
          <t>Medium</t>
        </is>
      </c>
      <c r="H2419" s="33" t="inlineStr">
        <is>
          <t>Initial</t>
        </is>
      </c>
    </row>
    <row r="2420">
      <c r="A2420" s="33" t="inlineStr">
        <is>
          <t>2026-08-02</t>
        </is>
      </c>
      <c r="B2420" s="33" t="inlineStr">
        <is>
          <t>TNC</t>
        </is>
      </c>
      <c r="C2420" s="33" t="inlineStr">
        <is>
          <t>R3</t>
        </is>
      </c>
      <c r="D2420" s="33" t="n">
        <v>4</v>
      </c>
      <c r="E2420" s="33" t="inlineStr">
        <is>
          <t>Initial L11-batch rating per agent1 proposal (rationale+source in 11-robotics/research/rating-proposals-2026-08-02/); briefing per-stock/TNC/context-2026-08-02.md</t>
        </is>
      </c>
      <c r="F2420" s="33" t="inlineStr">
        <is>
          <t>per-stock/TNC/context-2026-08-02.md</t>
        </is>
      </c>
      <c r="G2420" s="33" t="inlineStr">
        <is>
          <t>Medium</t>
        </is>
      </c>
      <c r="H2420" s="33" t="inlineStr">
        <is>
          <t>Initial</t>
        </is>
      </c>
    </row>
    <row r="2421">
      <c r="A2421" s="33" t="inlineStr">
        <is>
          <t>2026-08-02</t>
        </is>
      </c>
      <c r="B2421" s="33" t="inlineStr">
        <is>
          <t>TNC</t>
        </is>
      </c>
      <c r="C2421" s="33" t="inlineStr">
        <is>
          <t>R4</t>
        </is>
      </c>
      <c r="D2421" s="33" t="n">
        <v>2</v>
      </c>
      <c r="E2421" s="33" t="inlineStr">
        <is>
          <t>Federal securities investigations re ERP disclosures (BFA notice 7/15/26) + reported federal probe; CFO retirement notice 7/27/26.</t>
        </is>
      </c>
      <c r="F2421" s="33" t="inlineStr">
        <is>
          <t>per-stock/TNC/context-2026-08-02.md</t>
        </is>
      </c>
      <c r="G2421" s="33" t="inlineStr">
        <is>
          <t>Medium</t>
        </is>
      </c>
      <c r="H2421" s="33" t="inlineStr">
        <is>
          <t>Initial</t>
        </is>
      </c>
    </row>
    <row r="2422">
      <c r="A2422" s="33" t="inlineStr">
        <is>
          <t>2026-08-02</t>
        </is>
      </c>
      <c r="B2422" s="33" t="inlineStr">
        <is>
          <t>TNC</t>
        </is>
      </c>
      <c r="C2422" s="33" t="inlineStr">
        <is>
          <t>R5</t>
        </is>
      </c>
      <c r="D2422" s="33" t="n">
        <v>5</v>
      </c>
      <c r="E2422" s="33" t="inlineStr">
        <is>
          <t>Initial L11-batch rating per agent1 proposal (rationale+source in 11-robotics/research/rating-proposals-2026-08-02/); briefing per-stock/TNC/context-2026-08-02.md</t>
        </is>
      </c>
      <c r="F2422" s="33" t="inlineStr">
        <is>
          <t>per-stock/TNC/context-2026-08-02.md</t>
        </is>
      </c>
      <c r="G2422" s="33" t="inlineStr">
        <is>
          <t>Medium</t>
        </is>
      </c>
      <c r="H2422" s="33" t="inlineStr">
        <is>
          <t>Initial</t>
        </is>
      </c>
    </row>
    <row r="2423">
      <c r="A2423" s="33" t="inlineStr">
        <is>
          <t>2026-08-02</t>
        </is>
      </c>
      <c r="B2423" s="33" t="inlineStr">
        <is>
          <t>6954.T</t>
        </is>
      </c>
      <c r="C2423" s="33" t="inlineStr">
        <is>
          <t>D1</t>
        </is>
      </c>
      <c r="D2423" s="33" t="n">
        <v>4</v>
      </c>
      <c r="E2423" s="33" t="inlineStr">
        <is>
          <t>Initial L11-batch rating per agent1 proposal (rationale+source in 11-robotics/research/rating-proposals-2026-08-02/); briefing per-stock/6954.T/context-2026-08-02.md</t>
        </is>
      </c>
      <c r="F2423" s="33" t="inlineStr">
        <is>
          <t>per-stock/6954.T/context-2026-08-02.md</t>
        </is>
      </c>
      <c r="G2423" s="33" t="inlineStr">
        <is>
          <t>Medium</t>
        </is>
      </c>
      <c r="H2423" s="33" t="inlineStr">
        <is>
          <t>Initial</t>
        </is>
      </c>
    </row>
    <row r="2424">
      <c r="A2424" s="33" t="inlineStr">
        <is>
          <t>2026-08-02</t>
        </is>
      </c>
      <c r="B2424" s="33" t="inlineStr">
        <is>
          <t>6954.T</t>
        </is>
      </c>
      <c r="C2424" s="33" t="inlineStr">
        <is>
          <t>D2</t>
        </is>
      </c>
      <c r="D2424" s="33" t="n">
        <v>4</v>
      </c>
      <c r="E2424" s="33" t="inlineStr">
        <is>
          <t>Initial L11-batch rating per agent1 proposal (rationale+source in 11-robotics/research/rating-proposals-2026-08-02/); briefing per-stock/6954.T/context-2026-08-02.md</t>
        </is>
      </c>
      <c r="F2424" s="33" t="inlineStr">
        <is>
          <t>per-stock/6954.T/context-2026-08-02.md</t>
        </is>
      </c>
      <c r="G2424" s="33" t="inlineStr">
        <is>
          <t>Medium</t>
        </is>
      </c>
      <c r="H2424" s="33" t="inlineStr">
        <is>
          <t>Initial</t>
        </is>
      </c>
    </row>
    <row r="2425">
      <c r="A2425" s="33" t="inlineStr">
        <is>
          <t>2026-08-02</t>
        </is>
      </c>
      <c r="B2425" s="33" t="inlineStr">
        <is>
          <t>6954.T</t>
        </is>
      </c>
      <c r="C2425" s="33" t="inlineStr">
        <is>
          <t>D3</t>
        </is>
      </c>
      <c r="D2425" s="33" t="n">
        <v>4</v>
      </c>
      <c r="E2425" s="33" t="inlineStr">
        <is>
          <t>Initial L11-batch rating per agent1 proposal (rationale+source in 11-robotics/research/rating-proposals-2026-08-02/); briefing per-stock/6954.T/context-2026-08-02.md</t>
        </is>
      </c>
      <c r="F2425" s="33" t="inlineStr">
        <is>
          <t>per-stock/6954.T/context-2026-08-02.md</t>
        </is>
      </c>
      <c r="G2425" s="33" t="inlineStr">
        <is>
          <t>Medium</t>
        </is>
      </c>
      <c r="H2425" s="33" t="inlineStr">
        <is>
          <t>Initial</t>
        </is>
      </c>
    </row>
    <row r="2426">
      <c r="A2426" s="33" t="inlineStr">
        <is>
          <t>2026-08-02</t>
        </is>
      </c>
      <c r="B2426" s="33" t="inlineStr">
        <is>
          <t>6954.T</t>
        </is>
      </c>
      <c r="C2426" s="33" t="inlineStr">
        <is>
          <t>D4</t>
        </is>
      </c>
      <c r="D2426" s="33" t="n">
        <v>3</v>
      </c>
      <c r="E2426" s="33" t="inlineStr">
        <is>
          <t>Initial L11-batch rating per agent1 proposal (rationale+source in 11-robotics/research/rating-proposals-2026-08-02/); briefing per-stock/6954.T/context-2026-08-02.md</t>
        </is>
      </c>
      <c r="F2426" s="33" t="inlineStr">
        <is>
          <t>per-stock/6954.T/context-2026-08-02.md</t>
        </is>
      </c>
      <c r="G2426" s="33" t="inlineStr">
        <is>
          <t>Medium</t>
        </is>
      </c>
      <c r="H2426" s="33" t="inlineStr">
        <is>
          <t>Initial</t>
        </is>
      </c>
    </row>
    <row r="2427">
      <c r="A2427" s="33" t="inlineStr">
        <is>
          <t>2026-08-02</t>
        </is>
      </c>
      <c r="B2427" s="33" t="inlineStr">
        <is>
          <t>6954.T</t>
        </is>
      </c>
      <c r="C2427" s="33" t="inlineStr">
        <is>
          <t>D5</t>
        </is>
      </c>
      <c r="D2427" s="33" t="n">
        <v>4</v>
      </c>
      <c r="E2427" s="33" t="inlineStr">
        <is>
          <t>Initial L11-batch rating per agent1 proposal (rationale+source in 11-robotics/research/rating-proposals-2026-08-02/); briefing per-stock/6954.T/context-2026-08-02.md</t>
        </is>
      </c>
      <c r="F2427" s="33" t="inlineStr">
        <is>
          <t>per-stock/6954.T/context-2026-08-02.md</t>
        </is>
      </c>
      <c r="G2427" s="33" t="inlineStr">
        <is>
          <t>Medium</t>
        </is>
      </c>
      <c r="H2427" s="33" t="inlineStr">
        <is>
          <t>Initial</t>
        </is>
      </c>
    </row>
    <row r="2428">
      <c r="A2428" s="33" t="inlineStr">
        <is>
          <t>2026-08-02</t>
        </is>
      </c>
      <c r="B2428" s="33" t="inlineStr">
        <is>
          <t>6954.T</t>
        </is>
      </c>
      <c r="C2428" s="33" t="inlineStr">
        <is>
          <t>M1</t>
        </is>
      </c>
      <c r="D2428" s="33" t="n">
        <v>5</v>
      </c>
      <c r="E2428" s="33" t="inlineStr">
        <is>
          <t>Initial L11-batch rating per agent1 proposal (rationale+source in 11-robotics/research/rating-proposals-2026-08-02/); briefing per-stock/6954.T/context-2026-08-02.md</t>
        </is>
      </c>
      <c r="F2428" s="33" t="inlineStr">
        <is>
          <t>per-stock/6954.T/context-2026-08-02.md</t>
        </is>
      </c>
      <c r="G2428" s="33" t="inlineStr">
        <is>
          <t>Medium</t>
        </is>
      </c>
      <c r="H2428" s="33" t="inlineStr">
        <is>
          <t>Initial</t>
        </is>
      </c>
    </row>
    <row r="2429">
      <c r="A2429" s="33" t="inlineStr">
        <is>
          <t>2026-08-02</t>
        </is>
      </c>
      <c r="B2429" s="33" t="inlineStr">
        <is>
          <t>6954.T</t>
        </is>
      </c>
      <c r="C2429" s="33" t="inlineStr">
        <is>
          <t>M2</t>
        </is>
      </c>
      <c r="D2429" s="33" t="n">
        <v>5</v>
      </c>
      <c r="E2429" s="33" t="inlineStr">
        <is>
          <t>Initial L11-batch rating per agent1 proposal (rationale+source in 11-robotics/research/rating-proposals-2026-08-02/); briefing per-stock/6954.T/context-2026-08-02.md</t>
        </is>
      </c>
      <c r="F2429" s="33" t="inlineStr">
        <is>
          <t>per-stock/6954.T/context-2026-08-02.md</t>
        </is>
      </c>
      <c r="G2429" s="33" t="inlineStr">
        <is>
          <t>Medium</t>
        </is>
      </c>
      <c r="H2429" s="33" t="inlineStr">
        <is>
          <t>Initial</t>
        </is>
      </c>
    </row>
    <row r="2430">
      <c r="A2430" s="33" t="inlineStr">
        <is>
          <t>2026-08-02</t>
        </is>
      </c>
      <c r="B2430" s="33" t="inlineStr">
        <is>
          <t>6954.T</t>
        </is>
      </c>
      <c r="C2430" s="33" t="inlineStr">
        <is>
          <t>M3</t>
        </is>
      </c>
      <c r="D2430" s="33" t="n">
        <v>3</v>
      </c>
      <c r="E2430" s="33" t="inlineStr">
        <is>
          <t>Initial L11-batch rating per agent1 proposal (rationale+source in 11-robotics/research/rating-proposals-2026-08-02/); briefing per-stock/6954.T/context-2026-08-02.md</t>
        </is>
      </c>
      <c r="F2430" s="33" t="inlineStr">
        <is>
          <t>per-stock/6954.T/context-2026-08-02.md</t>
        </is>
      </c>
      <c r="G2430" s="33" t="inlineStr">
        <is>
          <t>Medium</t>
        </is>
      </c>
      <c r="H2430" s="33" t="inlineStr">
        <is>
          <t>Initial</t>
        </is>
      </c>
    </row>
    <row r="2431">
      <c r="A2431" s="33" t="inlineStr">
        <is>
          <t>2026-08-02</t>
        </is>
      </c>
      <c r="B2431" s="33" t="inlineStr">
        <is>
          <t>6954.T</t>
        </is>
      </c>
      <c r="C2431" s="33" t="inlineStr">
        <is>
          <t>R1</t>
        </is>
      </c>
      <c r="D2431" s="33" t="n">
        <v>5</v>
      </c>
      <c r="E2431" s="33" t="inlineStr">
        <is>
          <t>Initial L11-batch rating per agent1 proposal (rationale+source in 11-robotics/research/rating-proposals-2026-08-02/); briefing per-stock/6954.T/context-2026-08-02.md</t>
        </is>
      </c>
      <c r="F2431" s="33" t="inlineStr">
        <is>
          <t>per-stock/6954.T/context-2026-08-02.md</t>
        </is>
      </c>
      <c r="G2431" s="33" t="inlineStr">
        <is>
          <t>Medium</t>
        </is>
      </c>
      <c r="H2431" s="33" t="inlineStr">
        <is>
          <t>Initial</t>
        </is>
      </c>
    </row>
    <row r="2432">
      <c r="A2432" s="33" t="inlineStr">
        <is>
          <t>2026-08-02</t>
        </is>
      </c>
      <c r="B2432" s="33" t="inlineStr">
        <is>
          <t>6954.T</t>
        </is>
      </c>
      <c r="C2432" s="33" t="inlineStr">
        <is>
          <t>R2</t>
        </is>
      </c>
      <c r="D2432" s="33" t="n">
        <v>3</v>
      </c>
      <c r="E2432" s="33" t="inlineStr">
        <is>
          <t>Initial L11-batch rating per agent1 proposal (rationale+source in 11-robotics/research/rating-proposals-2026-08-02/); briefing per-stock/6954.T/context-2026-08-02.md</t>
        </is>
      </c>
      <c r="F2432" s="33" t="inlineStr">
        <is>
          <t>per-stock/6954.T/context-2026-08-02.md</t>
        </is>
      </c>
      <c r="G2432" s="33" t="inlineStr">
        <is>
          <t>Medium</t>
        </is>
      </c>
      <c r="H2432" s="33" t="inlineStr">
        <is>
          <t>Initial</t>
        </is>
      </c>
    </row>
    <row r="2433">
      <c r="A2433" s="33" t="inlineStr">
        <is>
          <t>2026-08-02</t>
        </is>
      </c>
      <c r="B2433" s="33" t="inlineStr">
        <is>
          <t>6954.T</t>
        </is>
      </c>
      <c r="C2433" s="33" t="inlineStr">
        <is>
          <t>R3</t>
        </is>
      </c>
      <c r="D2433" s="33" t="n">
        <v>5</v>
      </c>
      <c r="E2433" s="33" t="inlineStr">
        <is>
          <t>Initial L11-batch rating per agent1 proposal (rationale+source in 11-robotics/research/rating-proposals-2026-08-02/); briefing per-stock/6954.T/context-2026-08-02.md</t>
        </is>
      </c>
      <c r="F2433" s="33" t="inlineStr">
        <is>
          <t>per-stock/6954.T/context-2026-08-02.md</t>
        </is>
      </c>
      <c r="G2433" s="33" t="inlineStr">
        <is>
          <t>Medium</t>
        </is>
      </c>
      <c r="H2433" s="33" t="inlineStr">
        <is>
          <t>Initial</t>
        </is>
      </c>
    </row>
    <row r="2434">
      <c r="A2434" s="33" t="inlineStr">
        <is>
          <t>2026-08-02</t>
        </is>
      </c>
      <c r="B2434" s="33" t="inlineStr">
        <is>
          <t>6954.T</t>
        </is>
      </c>
      <c r="C2434" s="33" t="inlineStr">
        <is>
          <t>R4</t>
        </is>
      </c>
      <c r="D2434" s="33" t="n">
        <v>4</v>
      </c>
      <c r="E2434" s="33" t="inlineStr">
        <is>
          <t>Initial L11-batch rating per agent1 proposal (rationale+source in 11-robotics/research/rating-proposals-2026-08-02/); briefing per-stock/6954.T/context-2026-08-02.md</t>
        </is>
      </c>
      <c r="F2434" s="33" t="inlineStr">
        <is>
          <t>per-stock/6954.T/context-2026-08-02.md</t>
        </is>
      </c>
      <c r="G2434" s="33" t="inlineStr">
        <is>
          <t>Medium</t>
        </is>
      </c>
      <c r="H2434" s="33" t="inlineStr">
        <is>
          <t>Initial</t>
        </is>
      </c>
    </row>
    <row r="2435">
      <c r="A2435" s="33" t="inlineStr">
        <is>
          <t>2026-08-02</t>
        </is>
      </c>
      <c r="B2435" s="33" t="inlineStr">
        <is>
          <t>6954.T</t>
        </is>
      </c>
      <c r="C2435" s="33" t="inlineStr">
        <is>
          <t>R5</t>
        </is>
      </c>
      <c r="D2435" s="33" t="n">
        <v>5</v>
      </c>
      <c r="E2435" s="33" t="inlineStr">
        <is>
          <t>Initial L11-batch rating per agent1 proposal (rationale+source in 11-robotics/research/rating-proposals-2026-08-02/); briefing per-stock/6954.T/context-2026-08-02.md</t>
        </is>
      </c>
      <c r="F2435" s="33" t="inlineStr">
        <is>
          <t>per-stock/6954.T/context-2026-08-02.md</t>
        </is>
      </c>
      <c r="G2435" s="33" t="inlineStr">
        <is>
          <t>Medium</t>
        </is>
      </c>
      <c r="H2435" s="33" t="inlineStr">
        <is>
          <t>Initial</t>
        </is>
      </c>
    </row>
    <row r="2436">
      <c r="A2436" s="33" t="inlineStr">
        <is>
          <t>2026-08-02</t>
        </is>
      </c>
      <c r="B2436" s="33" t="inlineStr">
        <is>
          <t>6506.T</t>
        </is>
      </c>
      <c r="C2436" s="33" t="inlineStr">
        <is>
          <t>D1</t>
        </is>
      </c>
      <c r="D2436" s="33" t="n">
        <v>4</v>
      </c>
      <c r="E2436" s="33" t="inlineStr">
        <is>
          <t>Initial L11-batch rating per agent1 proposal (rationale+source in 11-robotics/research/rating-proposals-2026-08-02/); briefing per-stock/6506.T/context-2026-08-02.md</t>
        </is>
      </c>
      <c r="F2436" s="33" t="inlineStr">
        <is>
          <t>per-stock/6506.T/context-2026-08-02.md</t>
        </is>
      </c>
      <c r="G2436" s="33" t="inlineStr">
        <is>
          <t>Medium</t>
        </is>
      </c>
      <c r="H2436" s="33" t="inlineStr">
        <is>
          <t>Initial</t>
        </is>
      </c>
    </row>
    <row r="2437">
      <c r="A2437" s="33" t="inlineStr">
        <is>
          <t>2026-08-02</t>
        </is>
      </c>
      <c r="B2437" s="33" t="inlineStr">
        <is>
          <t>6506.T</t>
        </is>
      </c>
      <c r="C2437" s="33" t="inlineStr">
        <is>
          <t>D2</t>
        </is>
      </c>
      <c r="D2437" s="33" t="n">
        <v>4</v>
      </c>
      <c r="E2437" s="33" t="inlineStr">
        <is>
          <t>Initial L11-batch rating per agent1 proposal (rationale+source in 11-robotics/research/rating-proposals-2026-08-02/); briefing per-stock/6506.T/context-2026-08-02.md</t>
        </is>
      </c>
      <c r="F2437" s="33" t="inlineStr">
        <is>
          <t>per-stock/6506.T/context-2026-08-02.md</t>
        </is>
      </c>
      <c r="G2437" s="33" t="inlineStr">
        <is>
          <t>Medium</t>
        </is>
      </c>
      <c r="H2437" s="33" t="inlineStr">
        <is>
          <t>Initial</t>
        </is>
      </c>
    </row>
    <row r="2438">
      <c r="A2438" s="33" t="inlineStr">
        <is>
          <t>2026-08-02</t>
        </is>
      </c>
      <c r="B2438" s="33" t="inlineStr">
        <is>
          <t>6506.T</t>
        </is>
      </c>
      <c r="C2438" s="33" t="inlineStr">
        <is>
          <t>D3</t>
        </is>
      </c>
      <c r="D2438" s="33" t="n">
        <v>3</v>
      </c>
      <c r="E2438" s="33" t="inlineStr">
        <is>
          <t>Initial L11-batch rating per agent1 proposal (rationale+source in 11-robotics/research/rating-proposals-2026-08-02/); briefing per-stock/6506.T/context-2026-08-02.md</t>
        </is>
      </c>
      <c r="F2438" s="33" t="inlineStr">
        <is>
          <t>per-stock/6506.T/context-2026-08-02.md</t>
        </is>
      </c>
      <c r="G2438" s="33" t="inlineStr">
        <is>
          <t>Medium</t>
        </is>
      </c>
      <c r="H2438" s="33" t="inlineStr">
        <is>
          <t>Initial</t>
        </is>
      </c>
    </row>
    <row r="2439">
      <c r="A2439" s="33" t="inlineStr">
        <is>
          <t>2026-08-02</t>
        </is>
      </c>
      <c r="B2439" s="33" t="inlineStr">
        <is>
          <t>6506.T</t>
        </is>
      </c>
      <c r="C2439" s="33" t="inlineStr">
        <is>
          <t>D4</t>
        </is>
      </c>
      <c r="D2439" s="33" t="n">
        <v>3</v>
      </c>
      <c r="E2439" s="33" t="inlineStr">
        <is>
          <t>Initial L11-batch rating per agent1 proposal (rationale+source in 11-robotics/research/rating-proposals-2026-08-02/); briefing per-stock/6506.T/context-2026-08-02.md</t>
        </is>
      </c>
      <c r="F2439" s="33" t="inlineStr">
        <is>
          <t>per-stock/6506.T/context-2026-08-02.md</t>
        </is>
      </c>
      <c r="G2439" s="33" t="inlineStr">
        <is>
          <t>Medium</t>
        </is>
      </c>
      <c r="H2439" s="33" t="inlineStr">
        <is>
          <t>Initial</t>
        </is>
      </c>
    </row>
    <row r="2440">
      <c r="A2440" s="33" t="inlineStr">
        <is>
          <t>2026-08-02</t>
        </is>
      </c>
      <c r="B2440" s="33" t="inlineStr">
        <is>
          <t>6506.T</t>
        </is>
      </c>
      <c r="C2440" s="33" t="inlineStr">
        <is>
          <t>D5</t>
        </is>
      </c>
      <c r="D2440" s="33" t="n">
        <v>4</v>
      </c>
      <c r="E2440" s="33" t="inlineStr">
        <is>
          <t>Initial L11-batch rating per agent1 proposal (rationale+source in 11-robotics/research/rating-proposals-2026-08-02/); briefing per-stock/6506.T/context-2026-08-02.md</t>
        </is>
      </c>
      <c r="F2440" s="33" t="inlineStr">
        <is>
          <t>per-stock/6506.T/context-2026-08-02.md</t>
        </is>
      </c>
      <c r="G2440" s="33" t="inlineStr">
        <is>
          <t>Medium</t>
        </is>
      </c>
      <c r="H2440" s="33" t="inlineStr">
        <is>
          <t>Initial</t>
        </is>
      </c>
    </row>
    <row r="2441">
      <c r="A2441" s="33" t="inlineStr">
        <is>
          <t>2026-08-02</t>
        </is>
      </c>
      <c r="B2441" s="33" t="inlineStr">
        <is>
          <t>6506.T</t>
        </is>
      </c>
      <c r="C2441" s="33" t="inlineStr">
        <is>
          <t>M1</t>
        </is>
      </c>
      <c r="D2441" s="33" t="n">
        <v>3</v>
      </c>
      <c r="E2441" s="33" t="inlineStr">
        <is>
          <t>Initial L11-batch rating per agent1 proposal (rationale+source in 11-robotics/research/rating-proposals-2026-08-02/); briefing per-stock/6506.T/context-2026-08-02.md</t>
        </is>
      </c>
      <c r="F2441" s="33" t="inlineStr">
        <is>
          <t>per-stock/6506.T/context-2026-08-02.md</t>
        </is>
      </c>
      <c r="G2441" s="33" t="inlineStr">
        <is>
          <t>Medium</t>
        </is>
      </c>
      <c r="H2441" s="33" t="inlineStr">
        <is>
          <t>Initial</t>
        </is>
      </c>
    </row>
    <row r="2442">
      <c r="A2442" s="33" t="inlineStr">
        <is>
          <t>2026-08-02</t>
        </is>
      </c>
      <c r="B2442" s="33" t="inlineStr">
        <is>
          <t>6506.T</t>
        </is>
      </c>
      <c r="C2442" s="33" t="inlineStr">
        <is>
          <t>M2</t>
        </is>
      </c>
      <c r="D2442" s="33" t="n">
        <v>2</v>
      </c>
      <c r="E2442" s="33" t="inlineStr">
        <is>
          <t>Initial L11-batch rating per agent1 proposal (rationale+source in 11-robotics/research/rating-proposals-2026-08-02/); briefing per-stock/6506.T/context-2026-08-02.md</t>
        </is>
      </c>
      <c r="F2442" s="33" t="inlineStr">
        <is>
          <t>per-stock/6506.T/context-2026-08-02.md</t>
        </is>
      </c>
      <c r="G2442" s="33" t="inlineStr">
        <is>
          <t>Medium</t>
        </is>
      </c>
      <c r="H2442" s="33" t="inlineStr">
        <is>
          <t>Initial</t>
        </is>
      </c>
    </row>
    <row r="2443">
      <c r="A2443" s="33" t="inlineStr">
        <is>
          <t>2026-08-02</t>
        </is>
      </c>
      <c r="B2443" s="33" t="inlineStr">
        <is>
          <t>6506.T</t>
        </is>
      </c>
      <c r="C2443" s="33" t="inlineStr">
        <is>
          <t>M3</t>
        </is>
      </c>
      <c r="D2443" s="33" t="n">
        <v>3</v>
      </c>
      <c r="E2443" s="33" t="inlineStr">
        <is>
          <t>Initial L11-batch rating per agent1 proposal (rationale+source in 11-robotics/research/rating-proposals-2026-08-02/); briefing per-stock/6506.T/context-2026-08-02.md</t>
        </is>
      </c>
      <c r="F2443" s="33" t="inlineStr">
        <is>
          <t>per-stock/6506.T/context-2026-08-02.md</t>
        </is>
      </c>
      <c r="G2443" s="33" t="inlineStr">
        <is>
          <t>Medium</t>
        </is>
      </c>
      <c r="H2443" s="33" t="inlineStr">
        <is>
          <t>Initial</t>
        </is>
      </c>
    </row>
    <row r="2444">
      <c r="A2444" s="33" t="inlineStr">
        <is>
          <t>2026-08-02</t>
        </is>
      </c>
      <c r="B2444" s="33" t="inlineStr">
        <is>
          <t>6506.T</t>
        </is>
      </c>
      <c r="C2444" s="33" t="inlineStr">
        <is>
          <t>R1</t>
        </is>
      </c>
      <c r="D2444" s="33" t="n">
        <v>5</v>
      </c>
      <c r="E2444" s="33" t="inlineStr">
        <is>
          <t>Initial L11-batch rating per agent1 proposal (rationale+source in 11-robotics/research/rating-proposals-2026-08-02/); briefing per-stock/6506.T/context-2026-08-02.md</t>
        </is>
      </c>
      <c r="F2444" s="33" t="inlineStr">
        <is>
          <t>per-stock/6506.T/context-2026-08-02.md</t>
        </is>
      </c>
      <c r="G2444" s="33" t="inlineStr">
        <is>
          <t>Medium</t>
        </is>
      </c>
      <c r="H2444" s="33" t="inlineStr">
        <is>
          <t>Initial</t>
        </is>
      </c>
    </row>
    <row r="2445">
      <c r="A2445" s="33" t="inlineStr">
        <is>
          <t>2026-08-02</t>
        </is>
      </c>
      <c r="B2445" s="33" t="inlineStr">
        <is>
          <t>6506.T</t>
        </is>
      </c>
      <c r="C2445" s="33" t="inlineStr">
        <is>
          <t>R2</t>
        </is>
      </c>
      <c r="D2445" s="33" t="n">
        <v>3</v>
      </c>
      <c r="E2445" s="33" t="inlineStr">
        <is>
          <t>Initial L11-batch rating per agent1 proposal (rationale+source in 11-robotics/research/rating-proposals-2026-08-02/); briefing per-stock/6506.T/context-2026-08-02.md</t>
        </is>
      </c>
      <c r="F2445" s="33" t="inlineStr">
        <is>
          <t>per-stock/6506.T/context-2026-08-02.md</t>
        </is>
      </c>
      <c r="G2445" s="33" t="inlineStr">
        <is>
          <t>Medium</t>
        </is>
      </c>
      <c r="H2445" s="33" t="inlineStr">
        <is>
          <t>Initial</t>
        </is>
      </c>
    </row>
    <row r="2446">
      <c r="A2446" s="33" t="inlineStr">
        <is>
          <t>2026-08-02</t>
        </is>
      </c>
      <c r="B2446" s="33" t="inlineStr">
        <is>
          <t>6506.T</t>
        </is>
      </c>
      <c r="C2446" s="33" t="inlineStr">
        <is>
          <t>R3</t>
        </is>
      </c>
      <c r="D2446" s="33" t="n">
        <v>4</v>
      </c>
      <c r="E2446" s="33" t="inlineStr">
        <is>
          <t>Initial L11-batch rating per agent1 proposal (rationale+source in 11-robotics/research/rating-proposals-2026-08-02/); briefing per-stock/6506.T/context-2026-08-02.md</t>
        </is>
      </c>
      <c r="F2446" s="33" t="inlineStr">
        <is>
          <t>per-stock/6506.T/context-2026-08-02.md</t>
        </is>
      </c>
      <c r="G2446" s="33" t="inlineStr">
        <is>
          <t>Medium</t>
        </is>
      </c>
      <c r="H2446" s="33" t="inlineStr">
        <is>
          <t>Initial</t>
        </is>
      </c>
    </row>
    <row r="2447">
      <c r="A2447" s="33" t="inlineStr">
        <is>
          <t>2026-08-02</t>
        </is>
      </c>
      <c r="B2447" s="33" t="inlineStr">
        <is>
          <t>6506.T</t>
        </is>
      </c>
      <c r="C2447" s="33" t="inlineStr">
        <is>
          <t>R4</t>
        </is>
      </c>
      <c r="D2447" s="33" t="n">
        <v>4</v>
      </c>
      <c r="E2447" s="33" t="inlineStr">
        <is>
          <t>Initial L11-batch rating per agent1 proposal (rationale+source in 11-robotics/research/rating-proposals-2026-08-02/); briefing per-stock/6506.T/context-2026-08-02.md</t>
        </is>
      </c>
      <c r="F2447" s="33" t="inlineStr">
        <is>
          <t>per-stock/6506.T/context-2026-08-02.md</t>
        </is>
      </c>
      <c r="G2447" s="33" t="inlineStr">
        <is>
          <t>Medium</t>
        </is>
      </c>
      <c r="H2447" s="33" t="inlineStr">
        <is>
          <t>Initial</t>
        </is>
      </c>
    </row>
    <row r="2448">
      <c r="A2448" s="33" t="inlineStr">
        <is>
          <t>2026-08-02</t>
        </is>
      </c>
      <c r="B2448" s="33" t="inlineStr">
        <is>
          <t>6506.T</t>
        </is>
      </c>
      <c r="C2448" s="33" t="inlineStr">
        <is>
          <t>R5</t>
        </is>
      </c>
      <c r="D2448" s="33" t="n">
        <v>5</v>
      </c>
      <c r="E2448" s="33" t="inlineStr">
        <is>
          <t>Initial L11-batch rating per agent1 proposal (rationale+source in 11-robotics/research/rating-proposals-2026-08-02/); briefing per-stock/6506.T/context-2026-08-02.md</t>
        </is>
      </c>
      <c r="F2448" s="33" t="inlineStr">
        <is>
          <t>per-stock/6506.T/context-2026-08-02.md</t>
        </is>
      </c>
      <c r="G2448" s="33" t="inlineStr">
        <is>
          <t>Medium</t>
        </is>
      </c>
      <c r="H2448" s="33" t="inlineStr">
        <is>
          <t>Initial</t>
        </is>
      </c>
    </row>
    <row r="2449">
      <c r="A2449" s="33" t="inlineStr">
        <is>
          <t>2026-08-02</t>
        </is>
      </c>
      <c r="B2449" s="33" t="inlineStr">
        <is>
          <t>SYM</t>
        </is>
      </c>
      <c r="C2449" s="33" t="inlineStr">
        <is>
          <t>D1</t>
        </is>
      </c>
      <c r="D2449" s="33" t="n">
        <v>5</v>
      </c>
      <c r="E2449" s="33" t="inlineStr">
        <is>
          <t>Initial L11-batch rating per agent2 proposal (rationale+source in 11-robotics/research/rating-proposals-2026-08-02/); briefing per-stock/SYM/context-2026-08-02.md</t>
        </is>
      </c>
      <c r="F2449" s="33" t="inlineStr">
        <is>
          <t>per-stock/SYM/context-2026-08-02.md</t>
        </is>
      </c>
      <c r="G2449" s="33" t="inlineStr">
        <is>
          <t>Medium</t>
        </is>
      </c>
      <c r="H2449" s="33" t="inlineStr">
        <is>
          <t>Initial</t>
        </is>
      </c>
    </row>
    <row r="2450">
      <c r="A2450" s="33" t="inlineStr">
        <is>
          <t>2026-08-02</t>
        </is>
      </c>
      <c r="B2450" s="33" t="inlineStr">
        <is>
          <t>SYM</t>
        </is>
      </c>
      <c r="C2450" s="33" t="inlineStr">
        <is>
          <t>D2</t>
        </is>
      </c>
      <c r="D2450" s="33" t="n">
        <v>3</v>
      </c>
      <c r="E2450" s="33" t="inlineStr">
        <is>
          <t>Initial L11-batch rating per agent2 proposal (rationale+source in 11-robotics/research/rating-proposals-2026-08-02/); briefing per-stock/SYM/context-2026-08-02.md</t>
        </is>
      </c>
      <c r="F2450" s="33" t="inlineStr">
        <is>
          <t>per-stock/SYM/context-2026-08-02.md</t>
        </is>
      </c>
      <c r="G2450" s="33" t="inlineStr">
        <is>
          <t>Medium</t>
        </is>
      </c>
      <c r="H2450" s="33" t="inlineStr">
        <is>
          <t>Initial</t>
        </is>
      </c>
    </row>
    <row r="2451">
      <c r="A2451" s="33" t="inlineStr">
        <is>
          <t>2026-08-02</t>
        </is>
      </c>
      <c r="B2451" s="33" t="inlineStr">
        <is>
          <t>SYM</t>
        </is>
      </c>
      <c r="C2451" s="33" t="inlineStr">
        <is>
          <t>D3</t>
        </is>
      </c>
      <c r="D2451" s="33" t="n">
        <v>3</v>
      </c>
      <c r="E2451" s="33" t="inlineStr">
        <is>
          <t>Initial L11-batch rating per agent2 proposal (rationale+source in 11-robotics/research/rating-proposals-2026-08-02/); briefing per-stock/SYM/context-2026-08-02.md</t>
        </is>
      </c>
      <c r="F2451" s="33" t="inlineStr">
        <is>
          <t>per-stock/SYM/context-2026-08-02.md</t>
        </is>
      </c>
      <c r="G2451" s="33" t="inlineStr">
        <is>
          <t>Medium</t>
        </is>
      </c>
      <c r="H2451" s="33" t="inlineStr">
        <is>
          <t>Initial</t>
        </is>
      </c>
    </row>
    <row r="2452">
      <c r="A2452" s="33" t="inlineStr">
        <is>
          <t>2026-08-02</t>
        </is>
      </c>
      <c r="B2452" s="33" t="inlineStr">
        <is>
          <t>SYM</t>
        </is>
      </c>
      <c r="C2452" s="33" t="inlineStr">
        <is>
          <t>D4</t>
        </is>
      </c>
      <c r="D2452" s="33" t="n">
        <v>4</v>
      </c>
      <c r="E2452" s="33" t="inlineStr">
        <is>
          <t>Initial L11-batch rating per agent2 proposal (rationale+source in 11-robotics/research/rating-proposals-2026-08-02/); briefing per-stock/SYM/context-2026-08-02.md</t>
        </is>
      </c>
      <c r="F2452" s="33" t="inlineStr">
        <is>
          <t>per-stock/SYM/context-2026-08-02.md</t>
        </is>
      </c>
      <c r="G2452" s="33" t="inlineStr">
        <is>
          <t>Medium</t>
        </is>
      </c>
      <c r="H2452" s="33" t="inlineStr">
        <is>
          <t>Initial</t>
        </is>
      </c>
    </row>
    <row r="2453">
      <c r="A2453" s="33" t="inlineStr">
        <is>
          <t>2026-08-02</t>
        </is>
      </c>
      <c r="B2453" s="33" t="inlineStr">
        <is>
          <t>SYM</t>
        </is>
      </c>
      <c r="C2453" s="33" t="inlineStr">
        <is>
          <t>D5</t>
        </is>
      </c>
      <c r="D2453" s="33" t="n">
        <v>3</v>
      </c>
      <c r="E2453" s="33" t="inlineStr">
        <is>
          <t>Initial L11-batch rating per agent2 proposal (rationale+source in 11-robotics/research/rating-proposals-2026-08-02/); briefing per-stock/SYM/context-2026-08-02.md</t>
        </is>
      </c>
      <c r="F2453" s="33" t="inlineStr">
        <is>
          <t>per-stock/SYM/context-2026-08-02.md</t>
        </is>
      </c>
      <c r="G2453" s="33" t="inlineStr">
        <is>
          <t>Medium</t>
        </is>
      </c>
      <c r="H2453" s="33" t="inlineStr">
        <is>
          <t>Initial</t>
        </is>
      </c>
    </row>
    <row r="2454">
      <c r="A2454" s="33" t="inlineStr">
        <is>
          <t>2026-08-02</t>
        </is>
      </c>
      <c r="B2454" s="33" t="inlineStr">
        <is>
          <t>SYM</t>
        </is>
      </c>
      <c r="C2454" s="33" t="inlineStr">
        <is>
          <t>M1</t>
        </is>
      </c>
      <c r="D2454" s="33" t="n">
        <v>3</v>
      </c>
      <c r="E2454" s="33" t="inlineStr">
        <is>
          <t>Initial L11-batch rating per agent2 proposal (rationale+source in 11-robotics/research/rating-proposals-2026-08-02/); briefing per-stock/SYM/context-2026-08-02.md</t>
        </is>
      </c>
      <c r="F2454" s="33" t="inlineStr">
        <is>
          <t>per-stock/SYM/context-2026-08-02.md</t>
        </is>
      </c>
      <c r="G2454" s="33" t="inlineStr">
        <is>
          <t>Medium</t>
        </is>
      </c>
      <c r="H2454" s="33" t="inlineStr">
        <is>
          <t>Initial</t>
        </is>
      </c>
    </row>
    <row r="2455">
      <c r="A2455" s="33" t="inlineStr">
        <is>
          <t>2026-08-02</t>
        </is>
      </c>
      <c r="B2455" s="33" t="inlineStr">
        <is>
          <t>SYM</t>
        </is>
      </c>
      <c r="C2455" s="33" t="inlineStr">
        <is>
          <t>M2</t>
        </is>
      </c>
      <c r="D2455" s="33" t="n">
        <v>1</v>
      </c>
      <c r="E2455" s="33" t="inlineStr">
        <is>
          <t>Initial L11-batch rating per agent2 proposal (rationale+source in 11-robotics/research/rating-proposals-2026-08-02/); briefing per-stock/SYM/context-2026-08-02.md</t>
        </is>
      </c>
      <c r="F2455" s="33" t="inlineStr">
        <is>
          <t>per-stock/SYM/context-2026-08-02.md</t>
        </is>
      </c>
      <c r="G2455" s="33" t="inlineStr">
        <is>
          <t>Medium</t>
        </is>
      </c>
      <c r="H2455" s="33" t="inlineStr">
        <is>
          <t>Initial</t>
        </is>
      </c>
    </row>
    <row r="2456">
      <c r="A2456" s="33" t="inlineStr">
        <is>
          <t>2026-08-02</t>
        </is>
      </c>
      <c r="B2456" s="33" t="inlineStr">
        <is>
          <t>SYM</t>
        </is>
      </c>
      <c r="C2456" s="33" t="inlineStr">
        <is>
          <t>M3</t>
        </is>
      </c>
      <c r="D2456" s="33" t="n">
        <v>3</v>
      </c>
      <c r="E2456" s="33" t="inlineStr">
        <is>
          <t>Initial L11-batch rating per agent2 proposal (rationale+source in 11-robotics/research/rating-proposals-2026-08-02/); briefing per-stock/SYM/context-2026-08-02.md</t>
        </is>
      </c>
      <c r="F2456" s="33" t="inlineStr">
        <is>
          <t>per-stock/SYM/context-2026-08-02.md</t>
        </is>
      </c>
      <c r="G2456" s="33" t="inlineStr">
        <is>
          <t>Medium</t>
        </is>
      </c>
      <c r="H2456" s="33" t="inlineStr">
        <is>
          <t>Initial</t>
        </is>
      </c>
    </row>
    <row r="2457">
      <c r="A2457" s="33" t="inlineStr">
        <is>
          <t>2026-08-02</t>
        </is>
      </c>
      <c r="B2457" s="33" t="inlineStr">
        <is>
          <t>SYM</t>
        </is>
      </c>
      <c r="C2457" s="33" t="inlineStr">
        <is>
          <t>R1</t>
        </is>
      </c>
      <c r="D2457" s="33" t="n">
        <v>1</v>
      </c>
      <c r="E2457" s="33" t="inlineStr">
        <is>
          <t>Walmart (Customer A) = 84.5% of Q2 / 85.0% of H1 revenue - mechanical band 1.</t>
        </is>
      </c>
      <c r="F2457" s="33" t="inlineStr">
        <is>
          <t>per-stock/SYM/context-2026-08-02.md</t>
        </is>
      </c>
      <c r="G2457" s="33" t="inlineStr">
        <is>
          <t>Medium</t>
        </is>
      </c>
      <c r="H2457" s="33" t="inlineStr">
        <is>
          <t>Initial</t>
        </is>
      </c>
    </row>
    <row r="2458">
      <c r="A2458" s="33" t="inlineStr">
        <is>
          <t>2026-08-02</t>
        </is>
      </c>
      <c r="B2458" s="33" t="inlineStr">
        <is>
          <t>SYM</t>
        </is>
      </c>
      <c r="C2458" s="33" t="inlineStr">
        <is>
          <t>R2</t>
        </is>
      </c>
      <c r="D2458" s="33" t="n">
        <v>5</v>
      </c>
      <c r="E2458" s="33" t="inlineStr">
        <is>
          <t>Initial L11-batch rating per agent2 proposal (rationale+source in 11-robotics/research/rating-proposals-2026-08-02/); briefing per-stock/SYM/context-2026-08-02.md</t>
        </is>
      </c>
      <c r="F2458" s="33" t="inlineStr">
        <is>
          <t>per-stock/SYM/context-2026-08-02.md</t>
        </is>
      </c>
      <c r="G2458" s="33" t="inlineStr">
        <is>
          <t>Medium</t>
        </is>
      </c>
      <c r="H2458" s="33" t="inlineStr">
        <is>
          <t>Initial</t>
        </is>
      </c>
    </row>
    <row r="2459">
      <c r="A2459" s="33" t="inlineStr">
        <is>
          <t>2026-08-02</t>
        </is>
      </c>
      <c r="B2459" s="33" t="inlineStr">
        <is>
          <t>SYM</t>
        </is>
      </c>
      <c r="C2459" s="33" t="inlineStr">
        <is>
          <t>R3</t>
        </is>
      </c>
      <c r="D2459" s="33" t="n">
        <v>5</v>
      </c>
      <c r="E2459" s="33" t="inlineStr">
        <is>
          <t>Initial L11-batch rating per agent2 proposal (rationale+source in 11-robotics/research/rating-proposals-2026-08-02/); briefing per-stock/SYM/context-2026-08-02.md</t>
        </is>
      </c>
      <c r="F2459" s="33" t="inlineStr">
        <is>
          <t>per-stock/SYM/context-2026-08-02.md</t>
        </is>
      </c>
      <c r="G2459" s="33" t="inlineStr">
        <is>
          <t>Medium</t>
        </is>
      </c>
      <c r="H2459" s="33" t="inlineStr">
        <is>
          <t>Initial</t>
        </is>
      </c>
    </row>
    <row r="2460">
      <c r="A2460" s="33" t="inlineStr">
        <is>
          <t>2026-08-02</t>
        </is>
      </c>
      <c r="B2460" s="33" t="inlineStr">
        <is>
          <t>SYM</t>
        </is>
      </c>
      <c r="C2460" s="33" t="inlineStr">
        <is>
          <t>R4</t>
        </is>
      </c>
      <c r="D2460" s="33" t="n">
        <v>2</v>
      </c>
      <c r="E2460" s="33" t="inlineStr">
        <is>
          <t>Material weakness UNREMEDIATED as of 2026-03-28 (DCPs "not effective"); Decker/Traina MTD argued 12/16/25 undecided; FY25-Q3 subpoena disclosure absent from later filings without stated resolution - not assumed closed.</t>
        </is>
      </c>
      <c r="F2460" s="33" t="inlineStr">
        <is>
          <t>per-stock/SYM/context-2026-08-02.md</t>
        </is>
      </c>
      <c r="G2460" s="33" t="inlineStr">
        <is>
          <t>Medium</t>
        </is>
      </c>
      <c r="H2460" s="33" t="inlineStr">
        <is>
          <t>Initial</t>
        </is>
      </c>
    </row>
    <row r="2461">
      <c r="A2461" s="33" t="inlineStr">
        <is>
          <t>2026-08-02</t>
        </is>
      </c>
      <c r="B2461" s="33" t="inlineStr">
        <is>
          <t>SYM</t>
        </is>
      </c>
      <c r="C2461" s="33" t="inlineStr">
        <is>
          <t>R5</t>
        </is>
      </c>
      <c r="D2461" s="33" t="n">
        <v>5</v>
      </c>
      <c r="E2461" s="33" t="inlineStr">
        <is>
          <t>Initial L11-batch rating per agent2 proposal (rationale+source in 11-robotics/research/rating-proposals-2026-08-02/); briefing per-stock/SYM/context-2026-08-02.md</t>
        </is>
      </c>
      <c r="F2461" s="33" t="inlineStr">
        <is>
          <t>per-stock/SYM/context-2026-08-02.md</t>
        </is>
      </c>
      <c r="G2461" s="33" t="inlineStr">
        <is>
          <t>Medium</t>
        </is>
      </c>
      <c r="H2461" s="33" t="inlineStr">
        <is>
          <t>Initial</t>
        </is>
      </c>
    </row>
    <row r="2462">
      <c r="A2462" s="33" t="inlineStr">
        <is>
          <t>2026-08-02</t>
        </is>
      </c>
      <c r="B2462" s="33" t="inlineStr">
        <is>
          <t>AUTO.OL</t>
        </is>
      </c>
      <c r="C2462" s="33" t="inlineStr">
        <is>
          <t>D1</t>
        </is>
      </c>
      <c r="D2462" s="33" t="n">
        <v>5</v>
      </c>
      <c r="E2462" s="33" t="inlineStr">
        <is>
          <t>Initial L11-batch rating per agent2 proposal (rationale+source in 11-robotics/research/rating-proposals-2026-08-02/); briefing per-stock/AUTO.OL/context-2026-08-02.md</t>
        </is>
      </c>
      <c r="F2462" s="33" t="inlineStr">
        <is>
          <t>per-stock/AUTO.OL/context-2026-08-02.md</t>
        </is>
      </c>
      <c r="G2462" s="33" t="inlineStr">
        <is>
          <t>Medium</t>
        </is>
      </c>
      <c r="H2462" s="33" t="inlineStr">
        <is>
          <t>Initial</t>
        </is>
      </c>
    </row>
    <row r="2463">
      <c r="A2463" s="33" t="inlineStr">
        <is>
          <t>2026-08-02</t>
        </is>
      </c>
      <c r="B2463" s="33" t="inlineStr">
        <is>
          <t>AUTO.OL</t>
        </is>
      </c>
      <c r="C2463" s="33" t="inlineStr">
        <is>
          <t>D2</t>
        </is>
      </c>
      <c r="D2463" s="33" t="n">
        <v>4</v>
      </c>
      <c r="E2463" s="33" t="inlineStr">
        <is>
          <t>Initial L11-batch rating per agent2 proposal (rationale+source in 11-robotics/research/rating-proposals-2026-08-02/); briefing per-stock/AUTO.OL/context-2026-08-02.md</t>
        </is>
      </c>
      <c r="F2463" s="33" t="inlineStr">
        <is>
          <t>per-stock/AUTO.OL/context-2026-08-02.md</t>
        </is>
      </c>
      <c r="G2463" s="33" t="inlineStr">
        <is>
          <t>Medium</t>
        </is>
      </c>
      <c r="H2463" s="33" t="inlineStr">
        <is>
          <t>Initial</t>
        </is>
      </c>
    </row>
    <row r="2464">
      <c r="A2464" s="33" t="inlineStr">
        <is>
          <t>2026-08-02</t>
        </is>
      </c>
      <c r="B2464" s="33" t="inlineStr">
        <is>
          <t>AUTO.OL</t>
        </is>
      </c>
      <c r="C2464" s="33" t="inlineStr">
        <is>
          <t>D3</t>
        </is>
      </c>
      <c r="D2464" s="33" t="n">
        <v>4</v>
      </c>
      <c r="E2464" s="33" t="inlineStr">
        <is>
          <t>Initial L11-batch rating per agent2 proposal (rationale+source in 11-robotics/research/rating-proposals-2026-08-02/); briefing per-stock/AUTO.OL/context-2026-08-02.md</t>
        </is>
      </c>
      <c r="F2464" s="33" t="inlineStr">
        <is>
          <t>per-stock/AUTO.OL/context-2026-08-02.md</t>
        </is>
      </c>
      <c r="G2464" s="33" t="inlineStr">
        <is>
          <t>Medium</t>
        </is>
      </c>
      <c r="H2464" s="33" t="inlineStr">
        <is>
          <t>Initial</t>
        </is>
      </c>
    </row>
    <row r="2465">
      <c r="A2465" s="33" t="inlineStr">
        <is>
          <t>2026-08-02</t>
        </is>
      </c>
      <c r="B2465" s="33" t="inlineStr">
        <is>
          <t>AUTO.OL</t>
        </is>
      </c>
      <c r="C2465" s="33" t="inlineStr">
        <is>
          <t>D4</t>
        </is>
      </c>
      <c r="D2465" s="33" t="n">
        <v>3</v>
      </c>
      <c r="E2465" s="33" t="inlineStr">
        <is>
          <t>Initial L11-batch rating per agent2 proposal (rationale+source in 11-robotics/research/rating-proposals-2026-08-02/); briefing per-stock/AUTO.OL/context-2026-08-02.md</t>
        </is>
      </c>
      <c r="F2465" s="33" t="inlineStr">
        <is>
          <t>per-stock/AUTO.OL/context-2026-08-02.md</t>
        </is>
      </c>
      <c r="G2465" s="33" t="inlineStr">
        <is>
          <t>Medium</t>
        </is>
      </c>
      <c r="H2465" s="33" t="inlineStr">
        <is>
          <t>Initial</t>
        </is>
      </c>
    </row>
    <row r="2466">
      <c r="A2466" s="33" t="inlineStr">
        <is>
          <t>2026-08-02</t>
        </is>
      </c>
      <c r="B2466" s="33" t="inlineStr">
        <is>
          <t>AUTO.OL</t>
        </is>
      </c>
      <c r="C2466" s="33" t="inlineStr">
        <is>
          <t>D5</t>
        </is>
      </c>
      <c r="D2466" s="33" t="n">
        <v>3</v>
      </c>
      <c r="E2466" s="33" t="inlineStr">
        <is>
          <t>Initial L11-batch rating per agent2 proposal (rationale+source in 11-robotics/research/rating-proposals-2026-08-02/); briefing per-stock/AUTO.OL/context-2026-08-02.md</t>
        </is>
      </c>
      <c r="F2466" s="33" t="inlineStr">
        <is>
          <t>per-stock/AUTO.OL/context-2026-08-02.md</t>
        </is>
      </c>
      <c r="G2466" s="33" t="inlineStr">
        <is>
          <t>Medium</t>
        </is>
      </c>
      <c r="H2466" s="33" t="inlineStr">
        <is>
          <t>Initial</t>
        </is>
      </c>
    </row>
    <row r="2467">
      <c r="A2467" s="33" t="inlineStr">
        <is>
          <t>2026-08-02</t>
        </is>
      </c>
      <c r="B2467" s="33" t="inlineStr">
        <is>
          <t>AUTO.OL</t>
        </is>
      </c>
      <c r="C2467" s="33" t="inlineStr">
        <is>
          <t>M1</t>
        </is>
      </c>
      <c r="D2467" s="33" t="n">
        <v>3</v>
      </c>
      <c r="E2467" s="33" t="inlineStr">
        <is>
          <t>Initial L11-batch rating per agent2 proposal (rationale+source in 11-robotics/research/rating-proposals-2026-08-02/); briefing per-stock/AUTO.OL/context-2026-08-02.md</t>
        </is>
      </c>
      <c r="F2467" s="33" t="inlineStr">
        <is>
          <t>per-stock/AUTO.OL/context-2026-08-02.md</t>
        </is>
      </c>
      <c r="G2467" s="33" t="inlineStr">
        <is>
          <t>Medium</t>
        </is>
      </c>
      <c r="H2467" s="33" t="inlineStr">
        <is>
          <t>Initial</t>
        </is>
      </c>
    </row>
    <row r="2468">
      <c r="A2468" s="33" t="inlineStr">
        <is>
          <t>2026-08-02</t>
        </is>
      </c>
      <c r="B2468" s="33" t="inlineStr">
        <is>
          <t>AUTO.OL</t>
        </is>
      </c>
      <c r="C2468" s="33" t="inlineStr">
        <is>
          <t>M2</t>
        </is>
      </c>
      <c r="D2468" s="33" t="n">
        <v>2</v>
      </c>
      <c r="E2468" s="33" t="inlineStr">
        <is>
          <t>Initial L11-batch rating per agent2 proposal (rationale+source in 11-robotics/research/rating-proposals-2026-08-02/); briefing per-stock/AUTO.OL/context-2026-08-02.md</t>
        </is>
      </c>
      <c r="F2468" s="33" t="inlineStr">
        <is>
          <t>per-stock/AUTO.OL/context-2026-08-02.md</t>
        </is>
      </c>
      <c r="G2468" s="33" t="inlineStr">
        <is>
          <t>Medium</t>
        </is>
      </c>
      <c r="H2468" s="33" t="inlineStr">
        <is>
          <t>Initial</t>
        </is>
      </c>
    </row>
    <row r="2469">
      <c r="A2469" s="33" t="inlineStr">
        <is>
          <t>2026-08-02</t>
        </is>
      </c>
      <c r="B2469" s="33" t="inlineStr">
        <is>
          <t>AUTO.OL</t>
        </is>
      </c>
      <c r="C2469" s="33" t="inlineStr">
        <is>
          <t>M3</t>
        </is>
      </c>
      <c r="D2469" s="33" t="n">
        <v>3</v>
      </c>
      <c r="E2469" s="33" t="inlineStr">
        <is>
          <t>Initial L11-batch rating per agent2 proposal (rationale+source in 11-robotics/research/rating-proposals-2026-08-02/); briefing per-stock/AUTO.OL/context-2026-08-02.md</t>
        </is>
      </c>
      <c r="F2469" s="33" t="inlineStr">
        <is>
          <t>per-stock/AUTO.OL/context-2026-08-02.md</t>
        </is>
      </c>
      <c r="G2469" s="33" t="inlineStr">
        <is>
          <t>Medium</t>
        </is>
      </c>
      <c r="H2469" s="33" t="inlineStr">
        <is>
          <t>Initial</t>
        </is>
      </c>
    </row>
    <row r="2470">
      <c r="A2470" s="33" t="inlineStr">
        <is>
          <t>2026-08-02</t>
        </is>
      </c>
      <c r="B2470" s="33" t="inlineStr">
        <is>
          <t>AUTO.OL</t>
        </is>
      </c>
      <c r="C2470" s="33" t="inlineStr">
        <is>
          <t>R1</t>
        </is>
      </c>
      <c r="D2470" s="33" t="n">
        <v>4</v>
      </c>
      <c r="E2470" s="33" t="inlineStr">
        <is>
          <t>Initial L11-batch rating per agent2 proposal (rationale+source in 11-robotics/research/rating-proposals-2026-08-02/); briefing per-stock/AUTO.OL/context-2026-08-02.md</t>
        </is>
      </c>
      <c r="F2470" s="33" t="inlineStr">
        <is>
          <t>per-stock/AUTO.OL/context-2026-08-02.md</t>
        </is>
      </c>
      <c r="G2470" s="33" t="inlineStr">
        <is>
          <t>Medium</t>
        </is>
      </c>
      <c r="H2470" s="33" t="inlineStr">
        <is>
          <t>Initial</t>
        </is>
      </c>
    </row>
    <row r="2471">
      <c r="A2471" s="33" t="inlineStr">
        <is>
          <t>2026-08-02</t>
        </is>
      </c>
      <c r="B2471" s="33" t="inlineStr">
        <is>
          <t>AUTO.OL</t>
        </is>
      </c>
      <c r="C2471" s="33" t="inlineStr">
        <is>
          <t>R2</t>
        </is>
      </c>
      <c r="D2471" s="33" t="n">
        <v>4</v>
      </c>
      <c r="E2471" s="33" t="inlineStr">
        <is>
          <t>Initial L11-batch rating per agent2 proposal (rationale+source in 11-robotics/research/rating-proposals-2026-08-02/); briefing per-stock/AUTO.OL/context-2026-08-02.md</t>
        </is>
      </c>
      <c r="F2471" s="33" t="inlineStr">
        <is>
          <t>per-stock/AUTO.OL/context-2026-08-02.md</t>
        </is>
      </c>
      <c r="G2471" s="33" t="inlineStr">
        <is>
          <t>Medium</t>
        </is>
      </c>
      <c r="H2471" s="33" t="inlineStr">
        <is>
          <t>Initial</t>
        </is>
      </c>
    </row>
    <row r="2472">
      <c r="A2472" s="33" t="inlineStr">
        <is>
          <t>2026-08-02</t>
        </is>
      </c>
      <c r="B2472" s="33" t="inlineStr">
        <is>
          <t>AUTO.OL</t>
        </is>
      </c>
      <c r="C2472" s="33" t="inlineStr">
        <is>
          <t>R3</t>
        </is>
      </c>
      <c r="D2472" s="33" t="n">
        <v>4</v>
      </c>
      <c r="E2472" s="33" t="inlineStr">
        <is>
          <t>Initial L11-batch rating per agent2 proposal (rationale+source in 11-robotics/research/rating-proposals-2026-08-02/); briefing per-stock/AUTO.OL/context-2026-08-02.md</t>
        </is>
      </c>
      <c r="F2472" s="33" t="inlineStr">
        <is>
          <t>per-stock/AUTO.OL/context-2026-08-02.md</t>
        </is>
      </c>
      <c r="G2472" s="33" t="inlineStr">
        <is>
          <t>Medium</t>
        </is>
      </c>
      <c r="H2472" s="33" t="inlineStr">
        <is>
          <t>Initial</t>
        </is>
      </c>
    </row>
    <row r="2473">
      <c r="A2473" s="33" t="inlineStr">
        <is>
          <t>2026-08-02</t>
        </is>
      </c>
      <c r="B2473" s="33" t="inlineStr">
        <is>
          <t>AUTO.OL</t>
        </is>
      </c>
      <c r="C2473" s="33" t="inlineStr">
        <is>
          <t>R4</t>
        </is>
      </c>
      <c r="D2473" s="33" t="n">
        <v>4</v>
      </c>
      <c r="E2473" s="33" t="inlineStr">
        <is>
          <t>Initial L11-batch rating per agent2 proposal (rationale+source in 11-robotics/research/rating-proposals-2026-08-02/); briefing per-stock/AUTO.OL/context-2026-08-02.md</t>
        </is>
      </c>
      <c r="F2473" s="33" t="inlineStr">
        <is>
          <t>per-stock/AUTO.OL/context-2026-08-02.md</t>
        </is>
      </c>
      <c r="G2473" s="33" t="inlineStr">
        <is>
          <t>Medium</t>
        </is>
      </c>
      <c r="H2473" s="33" t="inlineStr">
        <is>
          <t>Initial</t>
        </is>
      </c>
    </row>
    <row r="2474">
      <c r="A2474" s="33" t="inlineStr">
        <is>
          <t>2026-08-02</t>
        </is>
      </c>
      <c r="B2474" s="33" t="inlineStr">
        <is>
          <t>AUTO.OL</t>
        </is>
      </c>
      <c r="C2474" s="33" t="inlineStr">
        <is>
          <t>R5</t>
        </is>
      </c>
      <c r="D2474" s="33" t="n">
        <v>5</v>
      </c>
      <c r="E2474" s="33" t="inlineStr">
        <is>
          <t>Initial L11-batch rating per agent2 proposal (rationale+source in 11-robotics/research/rating-proposals-2026-08-02/); briefing per-stock/AUTO.OL/context-2026-08-02.md</t>
        </is>
      </c>
      <c r="F2474" s="33" t="inlineStr">
        <is>
          <t>per-stock/AUTO.OL/context-2026-08-02.md</t>
        </is>
      </c>
      <c r="G2474" s="33" t="inlineStr">
        <is>
          <t>Medium</t>
        </is>
      </c>
      <c r="H2474" s="33" t="inlineStr">
        <is>
          <t>Initial</t>
        </is>
      </c>
    </row>
    <row r="2475">
      <c r="A2475" s="33" t="inlineStr">
        <is>
          <t>2026-08-02</t>
        </is>
      </c>
      <c r="B2475" s="33" t="inlineStr">
        <is>
          <t>6383.T</t>
        </is>
      </c>
      <c r="C2475" s="33" t="inlineStr">
        <is>
          <t>D1</t>
        </is>
      </c>
      <c r="D2475" s="33" t="n">
        <v>5</v>
      </c>
      <c r="E2475" s="33" t="inlineStr">
        <is>
          <t>Initial L11-batch rating per agent2 proposal (rationale+source in 11-robotics/research/rating-proposals-2026-08-02/); briefing per-stock/6383.T/context-2026-08-02.md</t>
        </is>
      </c>
      <c r="F2475" s="33" t="inlineStr">
        <is>
          <t>per-stock/6383.T/context-2026-08-02.md</t>
        </is>
      </c>
      <c r="G2475" s="33" t="inlineStr">
        <is>
          <t>Medium</t>
        </is>
      </c>
      <c r="H2475" s="33" t="inlineStr">
        <is>
          <t>Initial</t>
        </is>
      </c>
    </row>
    <row r="2476">
      <c r="A2476" s="33" t="inlineStr">
        <is>
          <t>2026-08-02</t>
        </is>
      </c>
      <c r="B2476" s="33" t="inlineStr">
        <is>
          <t>6383.T</t>
        </is>
      </c>
      <c r="C2476" s="33" t="inlineStr">
        <is>
          <t>D2</t>
        </is>
      </c>
      <c r="D2476" s="33" t="n">
        <v>4</v>
      </c>
      <c r="E2476" s="33" t="inlineStr">
        <is>
          <t>Initial L11-batch rating per agent2 proposal (rationale+source in 11-robotics/research/rating-proposals-2026-08-02/); briefing per-stock/6383.T/context-2026-08-02.md</t>
        </is>
      </c>
      <c r="F2476" s="33" t="inlineStr">
        <is>
          <t>per-stock/6383.T/context-2026-08-02.md</t>
        </is>
      </c>
      <c r="G2476" s="33" t="inlineStr">
        <is>
          <t>Medium</t>
        </is>
      </c>
      <c r="H2476" s="33" t="inlineStr">
        <is>
          <t>Initial</t>
        </is>
      </c>
    </row>
    <row r="2477">
      <c r="A2477" s="33" t="inlineStr">
        <is>
          <t>2026-08-02</t>
        </is>
      </c>
      <c r="B2477" s="33" t="inlineStr">
        <is>
          <t>6383.T</t>
        </is>
      </c>
      <c r="C2477" s="33" t="inlineStr">
        <is>
          <t>D3</t>
        </is>
      </c>
      <c r="D2477" s="33" t="n">
        <v>4</v>
      </c>
      <c r="E2477" s="33" t="inlineStr">
        <is>
          <t>Initial L11-batch rating per agent2 proposal (rationale+source in 11-robotics/research/rating-proposals-2026-08-02/); briefing per-stock/6383.T/context-2026-08-02.md</t>
        </is>
      </c>
      <c r="F2477" s="33" t="inlineStr">
        <is>
          <t>per-stock/6383.T/context-2026-08-02.md</t>
        </is>
      </c>
      <c r="G2477" s="33" t="inlineStr">
        <is>
          <t>Medium</t>
        </is>
      </c>
      <c r="H2477" s="33" t="inlineStr">
        <is>
          <t>Initial</t>
        </is>
      </c>
    </row>
    <row r="2478">
      <c r="A2478" s="33" t="inlineStr">
        <is>
          <t>2026-08-02</t>
        </is>
      </c>
      <c r="B2478" s="33" t="inlineStr">
        <is>
          <t>6383.T</t>
        </is>
      </c>
      <c r="C2478" s="33" t="inlineStr">
        <is>
          <t>D4</t>
        </is>
      </c>
      <c r="D2478" s="33" t="n">
        <v>5</v>
      </c>
      <c r="E2478" s="33" t="inlineStr">
        <is>
          <t>Initial L11-batch rating per agent2 proposal (rationale+source in 11-robotics/research/rating-proposals-2026-08-02/); briefing per-stock/6383.T/context-2026-08-02.md</t>
        </is>
      </c>
      <c r="F2478" s="33" t="inlineStr">
        <is>
          <t>per-stock/6383.T/context-2026-08-02.md</t>
        </is>
      </c>
      <c r="G2478" s="33" t="inlineStr">
        <is>
          <t>Medium</t>
        </is>
      </c>
      <c r="H2478" s="33" t="inlineStr">
        <is>
          <t>Initial</t>
        </is>
      </c>
    </row>
    <row r="2479">
      <c r="A2479" s="33" t="inlineStr">
        <is>
          <t>2026-08-02</t>
        </is>
      </c>
      <c r="B2479" s="33" t="inlineStr">
        <is>
          <t>6383.T</t>
        </is>
      </c>
      <c r="C2479" s="33" t="inlineStr">
        <is>
          <t>D5</t>
        </is>
      </c>
      <c r="D2479" s="33" t="n">
        <v>5</v>
      </c>
      <c r="E2479" s="33" t="inlineStr">
        <is>
          <t>Initial L11-batch rating per agent2 proposal (rationale+source in 11-robotics/research/rating-proposals-2026-08-02/); briefing per-stock/6383.T/context-2026-08-02.md</t>
        </is>
      </c>
      <c r="F2479" s="33" t="inlineStr">
        <is>
          <t>per-stock/6383.T/context-2026-08-02.md</t>
        </is>
      </c>
      <c r="G2479" s="33" t="inlineStr">
        <is>
          <t>Medium</t>
        </is>
      </c>
      <c r="H2479" s="33" t="inlineStr">
        <is>
          <t>Initial</t>
        </is>
      </c>
    </row>
    <row r="2480">
      <c r="A2480" s="33" t="inlineStr">
        <is>
          <t>2026-08-02</t>
        </is>
      </c>
      <c r="B2480" s="33" t="inlineStr">
        <is>
          <t>6383.T</t>
        </is>
      </c>
      <c r="C2480" s="33" t="inlineStr">
        <is>
          <t>M1</t>
        </is>
      </c>
      <c r="D2480" s="33" t="n">
        <v>4</v>
      </c>
      <c r="E2480" s="33" t="inlineStr">
        <is>
          <t>Initial L11-batch rating per agent2 proposal (rationale+source in 11-robotics/research/rating-proposals-2026-08-02/); briefing per-stock/6383.T/context-2026-08-02.md</t>
        </is>
      </c>
      <c r="F2480" s="33" t="inlineStr">
        <is>
          <t>per-stock/6383.T/context-2026-08-02.md</t>
        </is>
      </c>
      <c r="G2480" s="33" t="inlineStr">
        <is>
          <t>Medium</t>
        </is>
      </c>
      <c r="H2480" s="33" t="inlineStr">
        <is>
          <t>Initial</t>
        </is>
      </c>
    </row>
    <row r="2481">
      <c r="A2481" s="33" t="inlineStr">
        <is>
          <t>2026-08-02</t>
        </is>
      </c>
      <c r="B2481" s="33" t="inlineStr">
        <is>
          <t>6383.T</t>
        </is>
      </c>
      <c r="C2481" s="33" t="inlineStr">
        <is>
          <t>M2</t>
        </is>
      </c>
      <c r="D2481" s="33" t="n">
        <v>1</v>
      </c>
      <c r="E2481" s="33" t="inlineStr">
        <is>
          <t>Initial L11-batch rating per agent2 proposal (rationale+source in 11-robotics/research/rating-proposals-2026-08-02/); briefing per-stock/6383.T/context-2026-08-02.md</t>
        </is>
      </c>
      <c r="F2481" s="33" t="inlineStr">
        <is>
          <t>per-stock/6383.T/context-2026-08-02.md</t>
        </is>
      </c>
      <c r="G2481" s="33" t="inlineStr">
        <is>
          <t>Medium</t>
        </is>
      </c>
      <c r="H2481" s="33" t="inlineStr">
        <is>
          <t>Initial</t>
        </is>
      </c>
    </row>
    <row r="2482">
      <c r="A2482" s="33" t="inlineStr">
        <is>
          <t>2026-08-02</t>
        </is>
      </c>
      <c r="B2482" s="33" t="inlineStr">
        <is>
          <t>6383.T</t>
        </is>
      </c>
      <c r="C2482" s="33" t="inlineStr">
        <is>
          <t>M3</t>
        </is>
      </c>
      <c r="D2482" s="33" t="n">
        <v>3</v>
      </c>
      <c r="E2482" s="33" t="inlineStr">
        <is>
          <t>Initial L11-batch rating per agent2 proposal (rationale+source in 11-robotics/research/rating-proposals-2026-08-02/); briefing per-stock/6383.T/context-2026-08-02.md</t>
        </is>
      </c>
      <c r="F2482" s="33" t="inlineStr">
        <is>
          <t>per-stock/6383.T/context-2026-08-02.md</t>
        </is>
      </c>
      <c r="G2482" s="33" t="inlineStr">
        <is>
          <t>Medium</t>
        </is>
      </c>
      <c r="H2482" s="33" t="inlineStr">
        <is>
          <t>Initial</t>
        </is>
      </c>
    </row>
    <row r="2483">
      <c r="A2483" s="33" t="inlineStr">
        <is>
          <t>2026-08-02</t>
        </is>
      </c>
      <c r="B2483" s="33" t="inlineStr">
        <is>
          <t>6383.T</t>
        </is>
      </c>
      <c r="C2483" s="33" t="inlineStr">
        <is>
          <t>R1</t>
        </is>
      </c>
      <c r="D2483" s="33" t="n">
        <v>4</v>
      </c>
      <c r="E2483" s="33" t="inlineStr">
        <is>
          <t>Initial L11-batch rating per agent2 proposal (rationale+source in 11-robotics/research/rating-proposals-2026-08-02/); briefing per-stock/6383.T/context-2026-08-02.md</t>
        </is>
      </c>
      <c r="F2483" s="33" t="inlineStr">
        <is>
          <t>per-stock/6383.T/context-2026-08-02.md</t>
        </is>
      </c>
      <c r="G2483" s="33" t="inlineStr">
        <is>
          <t>Medium</t>
        </is>
      </c>
      <c r="H2483" s="33" t="inlineStr">
        <is>
          <t>Initial</t>
        </is>
      </c>
    </row>
    <row r="2484">
      <c r="A2484" s="33" t="inlineStr">
        <is>
          <t>2026-08-02</t>
        </is>
      </c>
      <c r="B2484" s="33" t="inlineStr">
        <is>
          <t>6383.T</t>
        </is>
      </c>
      <c r="C2484" s="33" t="inlineStr">
        <is>
          <t>R2</t>
        </is>
      </c>
      <c r="D2484" s="33" t="n">
        <v>3</v>
      </c>
      <c r="E2484" s="33" t="inlineStr">
        <is>
          <t>Initial L11-batch rating per agent2 proposal (rationale+source in 11-robotics/research/rating-proposals-2026-08-02/); briefing per-stock/6383.T/context-2026-08-02.md</t>
        </is>
      </c>
      <c r="F2484" s="33" t="inlineStr">
        <is>
          <t>per-stock/6383.T/context-2026-08-02.md</t>
        </is>
      </c>
      <c r="G2484" s="33" t="inlineStr">
        <is>
          <t>Medium</t>
        </is>
      </c>
      <c r="H2484" s="33" t="inlineStr">
        <is>
          <t>Initial</t>
        </is>
      </c>
    </row>
    <row r="2485">
      <c r="A2485" s="33" t="inlineStr">
        <is>
          <t>2026-08-02</t>
        </is>
      </c>
      <c r="B2485" s="33" t="inlineStr">
        <is>
          <t>6383.T</t>
        </is>
      </c>
      <c r="C2485" s="33" t="inlineStr">
        <is>
          <t>R3</t>
        </is>
      </c>
      <c r="D2485" s="33" t="n">
        <v>5</v>
      </c>
      <c r="E2485" s="33" t="inlineStr">
        <is>
          <t>Initial L11-batch rating per agent2 proposal (rationale+source in 11-robotics/research/rating-proposals-2026-08-02/); briefing per-stock/6383.T/context-2026-08-02.md</t>
        </is>
      </c>
      <c r="F2485" s="33" t="inlineStr">
        <is>
          <t>per-stock/6383.T/context-2026-08-02.md</t>
        </is>
      </c>
      <c r="G2485" s="33" t="inlineStr">
        <is>
          <t>Medium</t>
        </is>
      </c>
      <c r="H2485" s="33" t="inlineStr">
        <is>
          <t>Initial</t>
        </is>
      </c>
    </row>
    <row r="2486">
      <c r="A2486" s="33" t="inlineStr">
        <is>
          <t>2026-08-02</t>
        </is>
      </c>
      <c r="B2486" s="33" t="inlineStr">
        <is>
          <t>6383.T</t>
        </is>
      </c>
      <c r="C2486" s="33" t="inlineStr">
        <is>
          <t>R4</t>
        </is>
      </c>
      <c r="D2486" s="33" t="n">
        <v>4</v>
      </c>
      <c r="E2486" s="33" t="inlineStr">
        <is>
          <t>Initial L11-batch rating per agent2 proposal (rationale+source in 11-robotics/research/rating-proposals-2026-08-02/); briefing per-stock/6383.T/context-2026-08-02.md</t>
        </is>
      </c>
      <c r="F2486" s="33" t="inlineStr">
        <is>
          <t>per-stock/6383.T/context-2026-08-02.md</t>
        </is>
      </c>
      <c r="G2486" s="33" t="inlineStr">
        <is>
          <t>Medium</t>
        </is>
      </c>
      <c r="H2486" s="33" t="inlineStr">
        <is>
          <t>Initial</t>
        </is>
      </c>
    </row>
    <row r="2487">
      <c r="A2487" s="33" t="inlineStr">
        <is>
          <t>2026-08-02</t>
        </is>
      </c>
      <c r="B2487" s="33" t="inlineStr">
        <is>
          <t>6383.T</t>
        </is>
      </c>
      <c r="C2487" s="33" t="inlineStr">
        <is>
          <t>R5</t>
        </is>
      </c>
      <c r="D2487" s="33" t="n">
        <v>5</v>
      </c>
      <c r="E2487" s="33" t="inlineStr">
        <is>
          <t>Initial L11-batch rating per agent2 proposal (rationale+source in 11-robotics/research/rating-proposals-2026-08-02/); briefing per-stock/6383.T/context-2026-08-02.md</t>
        </is>
      </c>
      <c r="F2487" s="33" t="inlineStr">
        <is>
          <t>per-stock/6383.T/context-2026-08-02.md</t>
        </is>
      </c>
      <c r="G2487" s="33" t="inlineStr">
        <is>
          <t>Medium</t>
        </is>
      </c>
      <c r="H2487" s="33" t="inlineStr">
        <is>
          <t>Initial</t>
        </is>
      </c>
    </row>
    <row r="2488">
      <c r="A2488" s="33" t="inlineStr">
        <is>
          <t>2026-08-02</t>
        </is>
      </c>
      <c r="B2488" s="33" t="inlineStr">
        <is>
          <t>KGX.DE</t>
        </is>
      </c>
      <c r="C2488" s="33" t="inlineStr">
        <is>
          <t>D1</t>
        </is>
      </c>
      <c r="D2488" s="33" t="n">
        <v>4</v>
      </c>
      <c r="E2488" s="33" t="inlineStr">
        <is>
          <t>Initial L11-batch rating per agent2 proposal (rationale+source in 11-robotics/research/rating-proposals-2026-08-02/); briefing per-stock/KGX.DE/context-2026-08-02.md</t>
        </is>
      </c>
      <c r="F2488" s="33" t="inlineStr">
        <is>
          <t>per-stock/KGX.DE/context-2026-08-02.md</t>
        </is>
      </c>
      <c r="G2488" s="33" t="inlineStr">
        <is>
          <t>Medium</t>
        </is>
      </c>
      <c r="H2488" s="33" t="inlineStr">
        <is>
          <t>Initial</t>
        </is>
      </c>
    </row>
    <row r="2489">
      <c r="A2489" s="33" t="inlineStr">
        <is>
          <t>2026-08-02</t>
        </is>
      </c>
      <c r="B2489" s="33" t="inlineStr">
        <is>
          <t>KGX.DE</t>
        </is>
      </c>
      <c r="C2489" s="33" t="inlineStr">
        <is>
          <t>D2</t>
        </is>
      </c>
      <c r="D2489" s="33" t="n">
        <v>3</v>
      </c>
      <c r="E2489" s="33" t="inlineStr">
        <is>
          <t>Initial L11-batch rating per agent2 proposal (rationale+source in 11-robotics/research/rating-proposals-2026-08-02/); briefing per-stock/KGX.DE/context-2026-08-02.md</t>
        </is>
      </c>
      <c r="F2489" s="33" t="inlineStr">
        <is>
          <t>per-stock/KGX.DE/context-2026-08-02.md</t>
        </is>
      </c>
      <c r="G2489" s="33" t="inlineStr">
        <is>
          <t>Medium</t>
        </is>
      </c>
      <c r="H2489" s="33" t="inlineStr">
        <is>
          <t>Initial</t>
        </is>
      </c>
    </row>
    <row r="2490">
      <c r="A2490" s="33" t="inlineStr">
        <is>
          <t>2026-08-02</t>
        </is>
      </c>
      <c r="B2490" s="33" t="inlineStr">
        <is>
          <t>KGX.DE</t>
        </is>
      </c>
      <c r="C2490" s="33" t="inlineStr">
        <is>
          <t>D3</t>
        </is>
      </c>
      <c r="D2490" s="33" t="n">
        <v>3</v>
      </c>
      <c r="E2490" s="33" t="inlineStr">
        <is>
          <t>Initial L11-batch rating per agent2 proposal (rationale+source in 11-robotics/research/rating-proposals-2026-08-02/); briefing per-stock/KGX.DE/context-2026-08-02.md</t>
        </is>
      </c>
      <c r="F2490" s="33" t="inlineStr">
        <is>
          <t>per-stock/KGX.DE/context-2026-08-02.md</t>
        </is>
      </c>
      <c r="G2490" s="33" t="inlineStr">
        <is>
          <t>Medium</t>
        </is>
      </c>
      <c r="H2490" s="33" t="inlineStr">
        <is>
          <t>Initial</t>
        </is>
      </c>
    </row>
    <row r="2491">
      <c r="A2491" s="33" t="inlineStr">
        <is>
          <t>2026-08-02</t>
        </is>
      </c>
      <c r="B2491" s="33" t="inlineStr">
        <is>
          <t>KGX.DE</t>
        </is>
      </c>
      <c r="C2491" s="33" t="inlineStr">
        <is>
          <t>D4</t>
        </is>
      </c>
      <c r="D2491" s="33" t="n">
        <v>2</v>
      </c>
      <c r="E2491" s="33" t="inlineStr">
        <is>
          <t>Initial L11-batch rating per agent2 proposal (rationale+source in 11-robotics/research/rating-proposals-2026-08-02/); briefing per-stock/KGX.DE/context-2026-08-02.md</t>
        </is>
      </c>
      <c r="F2491" s="33" t="inlineStr">
        <is>
          <t>per-stock/KGX.DE/context-2026-08-02.md</t>
        </is>
      </c>
      <c r="G2491" s="33" t="inlineStr">
        <is>
          <t>Medium</t>
        </is>
      </c>
      <c r="H2491" s="33" t="inlineStr">
        <is>
          <t>Initial</t>
        </is>
      </c>
    </row>
    <row r="2492">
      <c r="A2492" s="33" t="inlineStr">
        <is>
          <t>2026-08-02</t>
        </is>
      </c>
      <c r="B2492" s="33" t="inlineStr">
        <is>
          <t>KGX.DE</t>
        </is>
      </c>
      <c r="C2492" s="33" t="inlineStr">
        <is>
          <t>D5</t>
        </is>
      </c>
      <c r="D2492" s="33" t="n">
        <v>3</v>
      </c>
      <c r="E2492" s="33" t="inlineStr">
        <is>
          <t>Initial L11-batch rating per agent2 proposal (rationale+source in 11-robotics/research/rating-proposals-2026-08-02/); briefing per-stock/KGX.DE/context-2026-08-02.md</t>
        </is>
      </c>
      <c r="F2492" s="33" t="inlineStr">
        <is>
          <t>per-stock/KGX.DE/context-2026-08-02.md</t>
        </is>
      </c>
      <c r="G2492" s="33" t="inlineStr">
        <is>
          <t>Medium</t>
        </is>
      </c>
      <c r="H2492" s="33" t="inlineStr">
        <is>
          <t>Initial</t>
        </is>
      </c>
    </row>
    <row r="2493">
      <c r="A2493" s="33" t="inlineStr">
        <is>
          <t>2026-08-02</t>
        </is>
      </c>
      <c r="B2493" s="33" t="inlineStr">
        <is>
          <t>KGX.DE</t>
        </is>
      </c>
      <c r="C2493" s="33" t="inlineStr">
        <is>
          <t>M1</t>
        </is>
      </c>
      <c r="D2493" s="33" t="n">
        <v>2</v>
      </c>
      <c r="E2493" s="33" t="inlineStr">
        <is>
          <t>Initial L11-batch rating per agent2 proposal (rationale+source in 11-robotics/research/rating-proposals-2026-08-02/); briefing per-stock/KGX.DE/context-2026-08-02.md</t>
        </is>
      </c>
      <c r="F2493" s="33" t="inlineStr">
        <is>
          <t>per-stock/KGX.DE/context-2026-08-02.md</t>
        </is>
      </c>
      <c r="G2493" s="33" t="inlineStr">
        <is>
          <t>Medium</t>
        </is>
      </c>
      <c r="H2493" s="33" t="inlineStr">
        <is>
          <t>Initial</t>
        </is>
      </c>
    </row>
    <row r="2494">
      <c r="A2494" s="33" t="inlineStr">
        <is>
          <t>2026-08-02</t>
        </is>
      </c>
      <c r="B2494" s="33" t="inlineStr">
        <is>
          <t>KGX.DE</t>
        </is>
      </c>
      <c r="C2494" s="33" t="inlineStr">
        <is>
          <t>M2</t>
        </is>
      </c>
      <c r="D2494" s="33" t="n">
        <v>1</v>
      </c>
      <c r="E2494" s="33" t="inlineStr">
        <is>
          <t>Initial L11-batch rating per agent2 proposal (rationale+source in 11-robotics/research/rating-proposals-2026-08-02/); briefing per-stock/KGX.DE/context-2026-08-02.md</t>
        </is>
      </c>
      <c r="F2494" s="33" t="inlineStr">
        <is>
          <t>per-stock/KGX.DE/context-2026-08-02.md</t>
        </is>
      </c>
      <c r="G2494" s="33" t="inlineStr">
        <is>
          <t>Medium</t>
        </is>
      </c>
      <c r="H2494" s="33" t="inlineStr">
        <is>
          <t>Initial</t>
        </is>
      </c>
    </row>
    <row r="2495">
      <c r="A2495" s="33" t="inlineStr">
        <is>
          <t>2026-08-02</t>
        </is>
      </c>
      <c r="B2495" s="33" t="inlineStr">
        <is>
          <t>KGX.DE</t>
        </is>
      </c>
      <c r="C2495" s="33" t="inlineStr">
        <is>
          <t>M3</t>
        </is>
      </c>
      <c r="D2495" s="33" t="n">
        <v>3</v>
      </c>
      <c r="E2495" s="33" t="inlineStr">
        <is>
          <t>Initial L11-batch rating per agent2 proposal (rationale+source in 11-robotics/research/rating-proposals-2026-08-02/); briefing per-stock/KGX.DE/context-2026-08-02.md</t>
        </is>
      </c>
      <c r="F2495" s="33" t="inlineStr">
        <is>
          <t>per-stock/KGX.DE/context-2026-08-02.md</t>
        </is>
      </c>
      <c r="G2495" s="33" t="inlineStr">
        <is>
          <t>Medium</t>
        </is>
      </c>
      <c r="H2495" s="33" t="inlineStr">
        <is>
          <t>Initial</t>
        </is>
      </c>
    </row>
    <row r="2496">
      <c r="A2496" s="33" t="inlineStr">
        <is>
          <t>2026-08-02</t>
        </is>
      </c>
      <c r="B2496" s="33" t="inlineStr">
        <is>
          <t>KGX.DE</t>
        </is>
      </c>
      <c r="C2496" s="33" t="inlineStr">
        <is>
          <t>R1</t>
        </is>
      </c>
      <c r="D2496" s="33" t="n">
        <v>5</v>
      </c>
      <c r="E2496" s="33" t="inlineStr">
        <is>
          <t>Initial L11-batch rating per agent2 proposal (rationale+source in 11-robotics/research/rating-proposals-2026-08-02/); briefing per-stock/KGX.DE/context-2026-08-02.md</t>
        </is>
      </c>
      <c r="F2496" s="33" t="inlineStr">
        <is>
          <t>per-stock/KGX.DE/context-2026-08-02.md</t>
        </is>
      </c>
      <c r="G2496" s="33" t="inlineStr">
        <is>
          <t>Medium</t>
        </is>
      </c>
      <c r="H2496" s="33" t="inlineStr">
        <is>
          <t>Initial</t>
        </is>
      </c>
    </row>
    <row r="2497">
      <c r="A2497" s="33" t="inlineStr">
        <is>
          <t>2026-08-02</t>
        </is>
      </c>
      <c r="B2497" s="33" t="inlineStr">
        <is>
          <t>KGX.DE</t>
        </is>
      </c>
      <c r="C2497" s="33" t="inlineStr">
        <is>
          <t>R2</t>
        </is>
      </c>
      <c r="D2497" s="33" t="n">
        <v>4</v>
      </c>
      <c r="E2497" s="33" t="inlineStr">
        <is>
          <t>Initial L11-batch rating per agent2 proposal (rationale+source in 11-robotics/research/rating-proposals-2026-08-02/); briefing per-stock/KGX.DE/context-2026-08-02.md</t>
        </is>
      </c>
      <c r="F2497" s="33" t="inlineStr">
        <is>
          <t>per-stock/KGX.DE/context-2026-08-02.md</t>
        </is>
      </c>
      <c r="G2497" s="33" t="inlineStr">
        <is>
          <t>Medium</t>
        </is>
      </c>
      <c r="H2497" s="33" t="inlineStr">
        <is>
          <t>Initial</t>
        </is>
      </c>
    </row>
    <row r="2498">
      <c r="A2498" s="33" t="inlineStr">
        <is>
          <t>2026-08-02</t>
        </is>
      </c>
      <c r="B2498" s="33" t="inlineStr">
        <is>
          <t>KGX.DE</t>
        </is>
      </c>
      <c r="C2498" s="33" t="inlineStr">
        <is>
          <t>R3</t>
        </is>
      </c>
      <c r="D2498" s="33" t="n">
        <v>4</v>
      </c>
      <c r="E2498" s="33" t="inlineStr">
        <is>
          <t>Initial L11-batch rating per agent2 proposal (rationale+source in 11-robotics/research/rating-proposals-2026-08-02/); briefing per-stock/KGX.DE/context-2026-08-02.md</t>
        </is>
      </c>
      <c r="F2498" s="33" t="inlineStr">
        <is>
          <t>per-stock/KGX.DE/context-2026-08-02.md</t>
        </is>
      </c>
      <c r="G2498" s="33" t="inlineStr">
        <is>
          <t>Medium</t>
        </is>
      </c>
      <c r="H2498" s="33" t="inlineStr">
        <is>
          <t>Initial</t>
        </is>
      </c>
    </row>
    <row r="2499">
      <c r="A2499" s="33" t="inlineStr">
        <is>
          <t>2026-08-02</t>
        </is>
      </c>
      <c r="B2499" s="33" t="inlineStr">
        <is>
          <t>KGX.DE</t>
        </is>
      </c>
      <c r="C2499" s="33" t="inlineStr">
        <is>
          <t>R4</t>
        </is>
      </c>
      <c r="D2499" s="33" t="n">
        <v>4</v>
      </c>
      <c r="E2499" s="33" t="inlineStr">
        <is>
          <t>Initial L11-batch rating per agent2 proposal (rationale+source in 11-robotics/research/rating-proposals-2026-08-02/); briefing per-stock/KGX.DE/context-2026-08-02.md</t>
        </is>
      </c>
      <c r="F2499" s="33" t="inlineStr">
        <is>
          <t>per-stock/KGX.DE/context-2026-08-02.md</t>
        </is>
      </c>
      <c r="G2499" s="33" t="inlineStr">
        <is>
          <t>Medium</t>
        </is>
      </c>
      <c r="H2499" s="33" t="inlineStr">
        <is>
          <t>Initial</t>
        </is>
      </c>
    </row>
    <row r="2500">
      <c r="A2500" s="33" t="inlineStr">
        <is>
          <t>2026-08-02</t>
        </is>
      </c>
      <c r="B2500" s="33" t="inlineStr">
        <is>
          <t>KGX.DE</t>
        </is>
      </c>
      <c r="C2500" s="33" t="inlineStr">
        <is>
          <t>R5</t>
        </is>
      </c>
      <c r="D2500" s="33" t="n">
        <v>5</v>
      </c>
      <c r="E2500" s="33" t="inlineStr">
        <is>
          <t>Initial L11-batch rating per agent2 proposal (rationale+source in 11-robotics/research/rating-proposals-2026-08-02/); briefing per-stock/KGX.DE/context-2026-08-02.md</t>
        </is>
      </c>
      <c r="F2500" s="33" t="inlineStr">
        <is>
          <t>per-stock/KGX.DE/context-2026-08-02.md</t>
        </is>
      </c>
      <c r="G2500" s="33" t="inlineStr">
        <is>
          <t>Medium</t>
        </is>
      </c>
      <c r="H2500" s="33" t="inlineStr">
        <is>
          <t>Initial</t>
        </is>
      </c>
    </row>
    <row r="2501">
      <c r="A2501" s="33" t="inlineStr">
        <is>
          <t>2026-08-02</t>
        </is>
      </c>
      <c r="B2501" s="33" t="inlineStr">
        <is>
          <t>2590.HK</t>
        </is>
      </c>
      <c r="C2501" s="33" t="inlineStr">
        <is>
          <t>D1</t>
        </is>
      </c>
      <c r="D2501" s="33" t="n">
        <v>5</v>
      </c>
      <c r="E2501" s="33" t="inlineStr">
        <is>
          <t>Initial L11-batch rating per agent2 proposal (rationale+source in 11-robotics/research/rating-proposals-2026-08-02/); briefing per-stock/2590.HK/context-2026-08-02.md</t>
        </is>
      </c>
      <c r="F2501" s="33" t="inlineStr">
        <is>
          <t>per-stock/2590.HK/context-2026-08-02.md</t>
        </is>
      </c>
      <c r="G2501" s="33" t="inlineStr">
        <is>
          <t>Medium</t>
        </is>
      </c>
      <c r="H2501" s="33" t="inlineStr">
        <is>
          <t>Initial</t>
        </is>
      </c>
    </row>
    <row r="2502">
      <c r="A2502" s="33" t="inlineStr">
        <is>
          <t>2026-08-02</t>
        </is>
      </c>
      <c r="B2502" s="33" t="inlineStr">
        <is>
          <t>2590.HK</t>
        </is>
      </c>
      <c r="C2502" s="33" t="inlineStr">
        <is>
          <t>D2</t>
        </is>
      </c>
      <c r="D2502" s="33" t="n">
        <v>3</v>
      </c>
      <c r="E2502" s="33" t="inlineStr">
        <is>
          <t>Initial L11-batch rating per agent2 proposal (rationale+source in 11-robotics/research/rating-proposals-2026-08-02/); briefing per-stock/2590.HK/context-2026-08-02.md</t>
        </is>
      </c>
      <c r="F2502" s="33" t="inlineStr">
        <is>
          <t>per-stock/2590.HK/context-2026-08-02.md</t>
        </is>
      </c>
      <c r="G2502" s="33" t="inlineStr">
        <is>
          <t>Medium</t>
        </is>
      </c>
      <c r="H2502" s="33" t="inlineStr">
        <is>
          <t>Initial</t>
        </is>
      </c>
    </row>
    <row r="2503">
      <c r="A2503" s="33" t="inlineStr">
        <is>
          <t>2026-08-02</t>
        </is>
      </c>
      <c r="B2503" s="33" t="inlineStr">
        <is>
          <t>2590.HK</t>
        </is>
      </c>
      <c r="C2503" s="33" t="inlineStr">
        <is>
          <t>D3</t>
        </is>
      </c>
      <c r="D2503" s="33" t="n">
        <v>3</v>
      </c>
      <c r="E2503" s="33" t="inlineStr">
        <is>
          <t>Initial L11-batch rating per agent2 proposal (rationale+source in 11-robotics/research/rating-proposals-2026-08-02/); briefing per-stock/2590.HK/context-2026-08-02.md</t>
        </is>
      </c>
      <c r="F2503" s="33" t="inlineStr">
        <is>
          <t>per-stock/2590.HK/context-2026-08-02.md</t>
        </is>
      </c>
      <c r="G2503" s="33" t="inlineStr">
        <is>
          <t>Medium</t>
        </is>
      </c>
      <c r="H2503" s="33" t="inlineStr">
        <is>
          <t>Initial</t>
        </is>
      </c>
    </row>
    <row r="2504">
      <c r="A2504" s="33" t="inlineStr">
        <is>
          <t>2026-08-02</t>
        </is>
      </c>
      <c r="B2504" s="33" t="inlineStr">
        <is>
          <t>2590.HK</t>
        </is>
      </c>
      <c r="C2504" s="33" t="inlineStr">
        <is>
          <t>D4</t>
        </is>
      </c>
      <c r="D2504" s="33" t="n">
        <v>4</v>
      </c>
      <c r="E2504" s="33" t="inlineStr">
        <is>
          <t>Initial L11-batch rating per agent2 proposal (rationale+source in 11-robotics/research/rating-proposals-2026-08-02/); briefing per-stock/2590.HK/context-2026-08-02.md</t>
        </is>
      </c>
      <c r="F2504" s="33" t="inlineStr">
        <is>
          <t>per-stock/2590.HK/context-2026-08-02.md</t>
        </is>
      </c>
      <c r="G2504" s="33" t="inlineStr">
        <is>
          <t>Medium</t>
        </is>
      </c>
      <c r="H2504" s="33" t="inlineStr">
        <is>
          <t>Initial</t>
        </is>
      </c>
    </row>
    <row r="2505">
      <c r="A2505" s="33" t="inlineStr">
        <is>
          <t>2026-08-02</t>
        </is>
      </c>
      <c r="B2505" s="33" t="inlineStr">
        <is>
          <t>2590.HK</t>
        </is>
      </c>
      <c r="C2505" s="33" t="inlineStr">
        <is>
          <t>D5</t>
        </is>
      </c>
      <c r="D2505" s="33" t="n">
        <v>3</v>
      </c>
      <c r="E2505" s="33" t="inlineStr">
        <is>
          <t>Initial L11-batch rating per agent2 proposal (rationale+source in 11-robotics/research/rating-proposals-2026-08-02/); briefing per-stock/2590.HK/context-2026-08-02.md</t>
        </is>
      </c>
      <c r="F2505" s="33" t="inlineStr">
        <is>
          <t>per-stock/2590.HK/context-2026-08-02.md</t>
        </is>
      </c>
      <c r="G2505" s="33" t="inlineStr">
        <is>
          <t>Medium</t>
        </is>
      </c>
      <c r="H2505" s="33" t="inlineStr">
        <is>
          <t>Initial</t>
        </is>
      </c>
    </row>
    <row r="2506">
      <c r="A2506" s="33" t="inlineStr">
        <is>
          <t>2026-08-02</t>
        </is>
      </c>
      <c r="B2506" s="33" t="inlineStr">
        <is>
          <t>2590.HK</t>
        </is>
      </c>
      <c r="C2506" s="33" t="inlineStr">
        <is>
          <t>M1</t>
        </is>
      </c>
      <c r="D2506" s="33" t="n">
        <v>3</v>
      </c>
      <c r="E2506" s="33" t="inlineStr">
        <is>
          <t>Initial L11-batch rating per agent2 proposal (rationale+source in 11-robotics/research/rating-proposals-2026-08-02/); briefing per-stock/2590.HK/context-2026-08-02.md</t>
        </is>
      </c>
      <c r="F2506" s="33" t="inlineStr">
        <is>
          <t>per-stock/2590.HK/context-2026-08-02.md</t>
        </is>
      </c>
      <c r="G2506" s="33" t="inlineStr">
        <is>
          <t>Medium</t>
        </is>
      </c>
      <c r="H2506" s="33" t="inlineStr">
        <is>
          <t>Initial</t>
        </is>
      </c>
    </row>
    <row r="2507">
      <c r="A2507" s="33" t="inlineStr">
        <is>
          <t>2026-08-02</t>
        </is>
      </c>
      <c r="B2507" s="33" t="inlineStr">
        <is>
          <t>2590.HK</t>
        </is>
      </c>
      <c r="C2507" s="33" t="inlineStr">
        <is>
          <t>M2</t>
        </is>
      </c>
      <c r="D2507" s="33" t="n">
        <v>1</v>
      </c>
      <c r="E2507" s="33" t="inlineStr">
        <is>
          <t>Initial L11-batch rating per agent2 proposal (rationale+source in 11-robotics/research/rating-proposals-2026-08-02/); briefing per-stock/2590.HK/context-2026-08-02.md</t>
        </is>
      </c>
      <c r="F2507" s="33" t="inlineStr">
        <is>
          <t>per-stock/2590.HK/context-2026-08-02.md</t>
        </is>
      </c>
      <c r="G2507" s="33" t="inlineStr">
        <is>
          <t>Medium</t>
        </is>
      </c>
      <c r="H2507" s="33" t="inlineStr">
        <is>
          <t>Initial</t>
        </is>
      </c>
    </row>
    <row r="2508">
      <c r="A2508" s="33" t="inlineStr">
        <is>
          <t>2026-08-02</t>
        </is>
      </c>
      <c r="B2508" s="33" t="inlineStr">
        <is>
          <t>2590.HK</t>
        </is>
      </c>
      <c r="C2508" s="33" t="inlineStr">
        <is>
          <t>M3</t>
        </is>
      </c>
      <c r="D2508" s="33" t="n">
        <v>3</v>
      </c>
      <c r="E2508" s="33" t="inlineStr">
        <is>
          <t>Initial L11-batch rating per agent2 proposal (rationale+source in 11-robotics/research/rating-proposals-2026-08-02/); briefing per-stock/2590.HK/context-2026-08-02.md</t>
        </is>
      </c>
      <c r="F2508" s="33" t="inlineStr">
        <is>
          <t>per-stock/2590.HK/context-2026-08-02.md</t>
        </is>
      </c>
      <c r="G2508" s="33" t="inlineStr">
        <is>
          <t>Medium</t>
        </is>
      </c>
      <c r="H2508" s="33" t="inlineStr">
        <is>
          <t>Initial</t>
        </is>
      </c>
    </row>
    <row r="2509">
      <c r="A2509" s="33" t="inlineStr">
        <is>
          <t>2026-08-02</t>
        </is>
      </c>
      <c r="B2509" s="33" t="inlineStr">
        <is>
          <t>2590.HK</t>
        </is>
      </c>
      <c r="C2509" s="33" t="inlineStr">
        <is>
          <t>R1</t>
        </is>
      </c>
      <c r="D2509" s="33" t="n">
        <v>4</v>
      </c>
      <c r="E2509" s="33" t="inlineStr">
        <is>
          <t>Initial L11-batch rating per agent2 proposal (rationale+source in 11-robotics/research/rating-proposals-2026-08-02/); briefing per-stock/2590.HK/context-2026-08-02.md</t>
        </is>
      </c>
      <c r="F2509" s="33" t="inlineStr">
        <is>
          <t>per-stock/2590.HK/context-2026-08-02.md</t>
        </is>
      </c>
      <c r="G2509" s="33" t="inlineStr">
        <is>
          <t>Medium</t>
        </is>
      </c>
      <c r="H2509" s="33" t="inlineStr">
        <is>
          <t>Initial</t>
        </is>
      </c>
    </row>
    <row r="2510">
      <c r="A2510" s="33" t="inlineStr">
        <is>
          <t>2026-08-02</t>
        </is>
      </c>
      <c r="B2510" s="33" t="inlineStr">
        <is>
          <t>2590.HK</t>
        </is>
      </c>
      <c r="C2510" s="33" t="inlineStr">
        <is>
          <t>R2</t>
        </is>
      </c>
      <c r="D2510" s="33" t="n">
        <v>2</v>
      </c>
      <c r="E2510" s="33" t="inlineStr">
        <is>
          <t>Initial L11-batch rating per agent2 proposal (rationale+source in 11-robotics/research/rating-proposals-2026-08-02/); briefing per-stock/2590.HK/context-2026-08-02.md</t>
        </is>
      </c>
      <c r="F2510" s="33" t="inlineStr">
        <is>
          <t>per-stock/2590.HK/context-2026-08-02.md</t>
        </is>
      </c>
      <c r="G2510" s="33" t="inlineStr">
        <is>
          <t>Medium</t>
        </is>
      </c>
      <c r="H2510" s="33" t="inlineStr">
        <is>
          <t>Initial</t>
        </is>
      </c>
    </row>
    <row r="2511">
      <c r="A2511" s="33" t="inlineStr">
        <is>
          <t>2026-08-02</t>
        </is>
      </c>
      <c r="B2511" s="33" t="inlineStr">
        <is>
          <t>2590.HK</t>
        </is>
      </c>
      <c r="C2511" s="33" t="inlineStr">
        <is>
          <t>R3</t>
        </is>
      </c>
      <c r="D2511" s="33" t="n">
        <v>4</v>
      </c>
      <c r="E2511" s="33" t="inlineStr">
        <is>
          <t>Initial L11-batch rating per agent2 proposal (rationale+source in 11-robotics/research/rating-proposals-2026-08-02/); briefing per-stock/2590.HK/context-2026-08-02.md</t>
        </is>
      </c>
      <c r="F2511" s="33" t="inlineStr">
        <is>
          <t>per-stock/2590.HK/context-2026-08-02.md</t>
        </is>
      </c>
      <c r="G2511" s="33" t="inlineStr">
        <is>
          <t>Medium</t>
        </is>
      </c>
      <c r="H2511" s="33" t="inlineStr">
        <is>
          <t>Initial</t>
        </is>
      </c>
    </row>
    <row r="2512">
      <c r="A2512" s="33" t="inlineStr">
        <is>
          <t>2026-08-02</t>
        </is>
      </c>
      <c r="B2512" s="33" t="inlineStr">
        <is>
          <t>2590.HK</t>
        </is>
      </c>
      <c r="C2512" s="33" t="inlineStr">
        <is>
          <t>R4</t>
        </is>
      </c>
      <c r="D2512" s="33" t="n">
        <v>3</v>
      </c>
      <c r="E2512" s="33" t="inlineStr">
        <is>
          <t>Initial L11-batch rating per agent2 proposal (rationale+source in 11-robotics/research/rating-proposals-2026-08-02/); briefing per-stock/2590.HK/context-2026-08-02.md</t>
        </is>
      </c>
      <c r="F2512" s="33" t="inlineStr">
        <is>
          <t>per-stock/2590.HK/context-2026-08-02.md</t>
        </is>
      </c>
      <c r="G2512" s="33" t="inlineStr">
        <is>
          <t>Medium</t>
        </is>
      </c>
      <c r="H2512" s="33" t="inlineStr">
        <is>
          <t>Initial</t>
        </is>
      </c>
    </row>
    <row r="2513">
      <c r="A2513" s="33" t="inlineStr">
        <is>
          <t>2026-08-02</t>
        </is>
      </c>
      <c r="B2513" s="33" t="inlineStr">
        <is>
          <t>2590.HK</t>
        </is>
      </c>
      <c r="C2513" s="33" t="inlineStr">
        <is>
          <t>R5</t>
        </is>
      </c>
      <c r="D2513" s="33" t="n">
        <v>5</v>
      </c>
      <c r="E2513" s="33" t="inlineStr">
        <is>
          <t>Initial L11-batch rating per agent2 proposal (rationale+source in 11-robotics/research/rating-proposals-2026-08-02/); briefing per-stock/2590.HK/context-2026-08-02.md</t>
        </is>
      </c>
      <c r="F2513" s="33" t="inlineStr">
        <is>
          <t>per-stock/2590.HK/context-2026-08-02.md</t>
        </is>
      </c>
      <c r="G2513" s="33" t="inlineStr">
        <is>
          <t>Medium</t>
        </is>
      </c>
      <c r="H2513" s="33" t="inlineStr">
        <is>
          <t>Initial</t>
        </is>
      </c>
    </row>
    <row r="2514">
      <c r="A2514" s="33" t="inlineStr">
        <is>
          <t>2026-08-02</t>
        </is>
      </c>
      <c r="B2514" s="33" t="inlineStr">
        <is>
          <t>ISRG</t>
        </is>
      </c>
      <c r="C2514" s="33" t="inlineStr">
        <is>
          <t>D1</t>
        </is>
      </c>
      <c r="D2514" s="33" t="n">
        <v>5</v>
      </c>
      <c r="E2514" s="33" t="inlineStr">
        <is>
          <t>Initial L11-batch rating per agent3 proposal (rationale+source in 11-robotics/research/rating-proposals-2026-08-02/); briefing per-stock/ISRG/context-2026-08-02.md</t>
        </is>
      </c>
      <c r="F2514" s="33" t="inlineStr">
        <is>
          <t>per-stock/ISRG/context-2026-08-02.md</t>
        </is>
      </c>
      <c r="G2514" s="33" t="inlineStr">
        <is>
          <t>Medium</t>
        </is>
      </c>
      <c r="H2514" s="33" t="inlineStr">
        <is>
          <t>Initial</t>
        </is>
      </c>
    </row>
    <row r="2515">
      <c r="A2515" s="33" t="inlineStr">
        <is>
          <t>2026-08-02</t>
        </is>
      </c>
      <c r="B2515" s="33" t="inlineStr">
        <is>
          <t>ISRG</t>
        </is>
      </c>
      <c r="C2515" s="33" t="inlineStr">
        <is>
          <t>D2</t>
        </is>
      </c>
      <c r="D2515" s="33" t="n">
        <v>4</v>
      </c>
      <c r="E2515" s="33" t="inlineStr">
        <is>
          <t>Initial L11-batch rating per agent3 proposal (rationale+source in 11-robotics/research/rating-proposals-2026-08-02/); briefing per-stock/ISRG/context-2026-08-02.md</t>
        </is>
      </c>
      <c r="F2515" s="33" t="inlineStr">
        <is>
          <t>per-stock/ISRG/context-2026-08-02.md</t>
        </is>
      </c>
      <c r="G2515" s="33" t="inlineStr">
        <is>
          <t>Medium</t>
        </is>
      </c>
      <c r="H2515" s="33" t="inlineStr">
        <is>
          <t>Initial</t>
        </is>
      </c>
    </row>
    <row r="2516">
      <c r="A2516" s="33" t="inlineStr">
        <is>
          <t>2026-08-02</t>
        </is>
      </c>
      <c r="B2516" s="33" t="inlineStr">
        <is>
          <t>ISRG</t>
        </is>
      </c>
      <c r="C2516" s="33" t="inlineStr">
        <is>
          <t>D3</t>
        </is>
      </c>
      <c r="D2516" s="33" t="n">
        <v>4</v>
      </c>
      <c r="E2516" s="33" t="inlineStr">
        <is>
          <t>Initial L11-batch rating per agent3 proposal (rationale+source in 11-robotics/research/rating-proposals-2026-08-02/); briefing per-stock/ISRG/context-2026-08-02.md</t>
        </is>
      </c>
      <c r="F2516" s="33" t="inlineStr">
        <is>
          <t>per-stock/ISRG/context-2026-08-02.md</t>
        </is>
      </c>
      <c r="G2516" s="33" t="inlineStr">
        <is>
          <t>Medium</t>
        </is>
      </c>
      <c r="H2516" s="33" t="inlineStr">
        <is>
          <t>Initial</t>
        </is>
      </c>
    </row>
    <row r="2517">
      <c r="A2517" s="33" t="inlineStr">
        <is>
          <t>2026-08-02</t>
        </is>
      </c>
      <c r="B2517" s="33" t="inlineStr">
        <is>
          <t>ISRG</t>
        </is>
      </c>
      <c r="C2517" s="33" t="inlineStr">
        <is>
          <t>D4</t>
        </is>
      </c>
      <c r="D2517" s="33" t="n">
        <v>4</v>
      </c>
      <c r="E2517" s="33" t="inlineStr">
        <is>
          <t>Initial L11-batch rating per agent3 proposal (rationale+source in 11-robotics/research/rating-proposals-2026-08-02/); briefing per-stock/ISRG/context-2026-08-02.md</t>
        </is>
      </c>
      <c r="F2517" s="33" t="inlineStr">
        <is>
          <t>per-stock/ISRG/context-2026-08-02.md</t>
        </is>
      </c>
      <c r="G2517" s="33" t="inlineStr">
        <is>
          <t>Medium</t>
        </is>
      </c>
      <c r="H2517" s="33" t="inlineStr">
        <is>
          <t>Initial</t>
        </is>
      </c>
    </row>
    <row r="2518">
      <c r="A2518" s="33" t="inlineStr">
        <is>
          <t>2026-08-02</t>
        </is>
      </c>
      <c r="B2518" s="33" t="inlineStr">
        <is>
          <t>ISRG</t>
        </is>
      </c>
      <c r="C2518" s="33" t="inlineStr">
        <is>
          <t>D5</t>
        </is>
      </c>
      <c r="D2518" s="33" t="n">
        <v>4</v>
      </c>
      <c r="E2518" s="33" t="inlineStr">
        <is>
          <t>Initial L11-batch rating per agent3 proposal (rationale+source in 11-robotics/research/rating-proposals-2026-08-02/); briefing per-stock/ISRG/context-2026-08-02.md</t>
        </is>
      </c>
      <c r="F2518" s="33" t="inlineStr">
        <is>
          <t>per-stock/ISRG/context-2026-08-02.md</t>
        </is>
      </c>
      <c r="G2518" s="33" t="inlineStr">
        <is>
          <t>Medium</t>
        </is>
      </c>
      <c r="H2518" s="33" t="inlineStr">
        <is>
          <t>Initial</t>
        </is>
      </c>
    </row>
    <row r="2519">
      <c r="A2519" s="33" t="inlineStr">
        <is>
          <t>2026-08-02</t>
        </is>
      </c>
      <c r="B2519" s="33" t="inlineStr">
        <is>
          <t>ISRG</t>
        </is>
      </c>
      <c r="C2519" s="33" t="inlineStr">
        <is>
          <t>M1</t>
        </is>
      </c>
      <c r="D2519" s="33" t="n">
        <v>3</v>
      </c>
      <c r="E2519" s="33" t="inlineStr">
        <is>
          <t>Initial L11-batch rating per agent3 proposal (rationale+source in 11-robotics/research/rating-proposals-2026-08-02/); briefing per-stock/ISRG/context-2026-08-02.md</t>
        </is>
      </c>
      <c r="F2519" s="33" t="inlineStr">
        <is>
          <t>per-stock/ISRG/context-2026-08-02.md</t>
        </is>
      </c>
      <c r="G2519" s="33" t="inlineStr">
        <is>
          <t>Medium</t>
        </is>
      </c>
      <c r="H2519" s="33" t="inlineStr">
        <is>
          <t>Initial</t>
        </is>
      </c>
    </row>
    <row r="2520">
      <c r="A2520" s="33" t="inlineStr">
        <is>
          <t>2026-08-02</t>
        </is>
      </c>
      <c r="B2520" s="33" t="inlineStr">
        <is>
          <t>ISRG</t>
        </is>
      </c>
      <c r="C2520" s="33" t="inlineStr">
        <is>
          <t>M2</t>
        </is>
      </c>
      <c r="D2520" s="33" t="n">
        <v>2</v>
      </c>
      <c r="E2520" s="33" t="inlineStr">
        <is>
          <t>Initial L11-batch rating per agent3 proposal (rationale+source in 11-robotics/research/rating-proposals-2026-08-02/); briefing per-stock/ISRG/context-2026-08-02.md</t>
        </is>
      </c>
      <c r="F2520" s="33" t="inlineStr">
        <is>
          <t>per-stock/ISRG/context-2026-08-02.md</t>
        </is>
      </c>
      <c r="G2520" s="33" t="inlineStr">
        <is>
          <t>Medium</t>
        </is>
      </c>
      <c r="H2520" s="33" t="inlineStr">
        <is>
          <t>Initial</t>
        </is>
      </c>
    </row>
    <row r="2521">
      <c r="A2521" s="33" t="inlineStr">
        <is>
          <t>2026-08-02</t>
        </is>
      </c>
      <c r="B2521" s="33" t="inlineStr">
        <is>
          <t>ISRG</t>
        </is>
      </c>
      <c r="C2521" s="33" t="inlineStr">
        <is>
          <t>M3</t>
        </is>
      </c>
      <c r="D2521" s="33" t="n">
        <v>3</v>
      </c>
      <c r="E2521" s="33" t="inlineStr">
        <is>
          <t>Initial L11-batch rating per agent3 proposal (rationale+source in 11-robotics/research/rating-proposals-2026-08-02/); briefing per-stock/ISRG/context-2026-08-02.md</t>
        </is>
      </c>
      <c r="F2521" s="33" t="inlineStr">
        <is>
          <t>per-stock/ISRG/context-2026-08-02.md</t>
        </is>
      </c>
      <c r="G2521" s="33" t="inlineStr">
        <is>
          <t>Medium</t>
        </is>
      </c>
      <c r="H2521" s="33" t="inlineStr">
        <is>
          <t>Initial</t>
        </is>
      </c>
    </row>
    <row r="2522">
      <c r="A2522" s="33" t="inlineStr">
        <is>
          <t>2026-08-02</t>
        </is>
      </c>
      <c r="B2522" s="33" t="inlineStr">
        <is>
          <t>ISRG</t>
        </is>
      </c>
      <c r="C2522" s="33" t="inlineStr">
        <is>
          <t>R1</t>
        </is>
      </c>
      <c r="D2522" s="33" t="n">
        <v>5</v>
      </c>
      <c r="E2522" s="33" t="inlineStr">
        <is>
          <t>Initial L11-batch rating per agent3 proposal (rationale+source in 11-robotics/research/rating-proposals-2026-08-02/); briefing per-stock/ISRG/context-2026-08-02.md</t>
        </is>
      </c>
      <c r="F2522" s="33" t="inlineStr">
        <is>
          <t>per-stock/ISRG/context-2026-08-02.md</t>
        </is>
      </c>
      <c r="G2522" s="33" t="inlineStr">
        <is>
          <t>Medium</t>
        </is>
      </c>
      <c r="H2522" s="33" t="inlineStr">
        <is>
          <t>Initial</t>
        </is>
      </c>
    </row>
    <row r="2523">
      <c r="A2523" s="33" t="inlineStr">
        <is>
          <t>2026-08-02</t>
        </is>
      </c>
      <c r="B2523" s="33" t="inlineStr">
        <is>
          <t>ISRG</t>
        </is>
      </c>
      <c r="C2523" s="33" t="inlineStr">
        <is>
          <t>R2</t>
        </is>
      </c>
      <c r="D2523" s="33" t="n">
        <v>3</v>
      </c>
      <c r="E2523" s="33" t="inlineStr">
        <is>
          <t>Initial L11-batch rating per agent3 proposal (rationale+source in 11-robotics/research/rating-proposals-2026-08-02/); briefing per-stock/ISRG/context-2026-08-02.md</t>
        </is>
      </c>
      <c r="F2523" s="33" t="inlineStr">
        <is>
          <t>per-stock/ISRG/context-2026-08-02.md</t>
        </is>
      </c>
      <c r="G2523" s="33" t="inlineStr">
        <is>
          <t>Medium</t>
        </is>
      </c>
      <c r="H2523" s="33" t="inlineStr">
        <is>
          <t>Initial</t>
        </is>
      </c>
    </row>
    <row r="2524">
      <c r="A2524" s="33" t="inlineStr">
        <is>
          <t>2026-08-02</t>
        </is>
      </c>
      <c r="B2524" s="33" t="inlineStr">
        <is>
          <t>ISRG</t>
        </is>
      </c>
      <c r="C2524" s="33" t="inlineStr">
        <is>
          <t>R3</t>
        </is>
      </c>
      <c r="D2524" s="33" t="n">
        <v>5</v>
      </c>
      <c r="E2524" s="33" t="inlineStr">
        <is>
          <t>Initial L11-batch rating per agent3 proposal (rationale+source in 11-robotics/research/rating-proposals-2026-08-02/); briefing per-stock/ISRG/context-2026-08-02.md</t>
        </is>
      </c>
      <c r="F2524" s="33" t="inlineStr">
        <is>
          <t>per-stock/ISRG/context-2026-08-02.md</t>
        </is>
      </c>
      <c r="G2524" s="33" t="inlineStr">
        <is>
          <t>Medium</t>
        </is>
      </c>
      <c r="H2524" s="33" t="inlineStr">
        <is>
          <t>Initial</t>
        </is>
      </c>
    </row>
    <row r="2525">
      <c r="A2525" s="33" t="inlineStr">
        <is>
          <t>2026-08-02</t>
        </is>
      </c>
      <c r="B2525" s="33" t="inlineStr">
        <is>
          <t>ISRG</t>
        </is>
      </c>
      <c r="C2525" s="33" t="inlineStr">
        <is>
          <t>R4</t>
        </is>
      </c>
      <c r="D2525" s="33" t="n">
        <v>2</v>
      </c>
      <c r="E2525" s="33" t="inlineStr">
        <is>
          <t>Certified antitrust class (da Vinci/EndoWrist), trial 9/14/2027, loss not estimable; court found monopoly power in aftermarket. ISRG has won prior related cases - band 2 on the certified class + trial date.</t>
        </is>
      </c>
      <c r="F2525" s="33" t="inlineStr">
        <is>
          <t>per-stock/ISRG/context-2026-08-02.md</t>
        </is>
      </c>
      <c r="G2525" s="33" t="inlineStr">
        <is>
          <t>Medium</t>
        </is>
      </c>
      <c r="H2525" s="33" t="inlineStr">
        <is>
          <t>Initial</t>
        </is>
      </c>
    </row>
    <row r="2526">
      <c r="A2526" s="33" t="inlineStr">
        <is>
          <t>2026-08-02</t>
        </is>
      </c>
      <c r="B2526" s="33" t="inlineStr">
        <is>
          <t>ISRG</t>
        </is>
      </c>
      <c r="C2526" s="33" t="inlineStr">
        <is>
          <t>R5</t>
        </is>
      </c>
      <c r="D2526" s="33" t="n">
        <v>5</v>
      </c>
      <c r="E2526" s="33" t="inlineStr">
        <is>
          <t>Initial L11-batch rating per agent3 proposal (rationale+source in 11-robotics/research/rating-proposals-2026-08-02/); briefing per-stock/ISRG/context-2026-08-02.md</t>
        </is>
      </c>
      <c r="F2526" s="33" t="inlineStr">
        <is>
          <t>per-stock/ISRG/context-2026-08-02.md</t>
        </is>
      </c>
      <c r="G2526" s="33" t="inlineStr">
        <is>
          <t>Medium</t>
        </is>
      </c>
      <c r="H2526" s="33" t="inlineStr">
        <is>
          <t>Initial</t>
        </is>
      </c>
    </row>
    <row r="2527">
      <c r="A2527" s="33" t="inlineStr">
        <is>
          <t>2026-08-02</t>
        </is>
      </c>
      <c r="B2527" s="33" t="inlineStr">
        <is>
          <t>PRCT</t>
        </is>
      </c>
      <c r="C2527" s="33" t="inlineStr">
        <is>
          <t>D1</t>
        </is>
      </c>
      <c r="D2527" s="33" t="n">
        <v>5</v>
      </c>
      <c r="E2527" s="33" t="inlineStr">
        <is>
          <t>Initial L11-batch rating per agent3 proposal (rationale+source in 11-robotics/research/rating-proposals-2026-08-02/); briefing per-stock/PRCT/context-2026-08-02.md</t>
        </is>
      </c>
      <c r="F2527" s="33" t="inlineStr">
        <is>
          <t>per-stock/PRCT/context-2026-08-02.md</t>
        </is>
      </c>
      <c r="G2527" s="33" t="inlineStr">
        <is>
          <t>Medium</t>
        </is>
      </c>
      <c r="H2527" s="33" t="inlineStr">
        <is>
          <t>Initial</t>
        </is>
      </c>
    </row>
    <row r="2528">
      <c r="A2528" s="33" t="inlineStr">
        <is>
          <t>2026-08-02</t>
        </is>
      </c>
      <c r="B2528" s="33" t="inlineStr">
        <is>
          <t>PRCT</t>
        </is>
      </c>
      <c r="C2528" s="33" t="inlineStr">
        <is>
          <t>D2</t>
        </is>
      </c>
      <c r="D2528" s="33" t="n">
        <v>3</v>
      </c>
      <c r="E2528" s="33" t="inlineStr">
        <is>
          <t>Initial L11-batch rating per agent3 proposal (rationale+source in 11-robotics/research/rating-proposals-2026-08-02/); briefing per-stock/PRCT/context-2026-08-02.md</t>
        </is>
      </c>
      <c r="F2528" s="33" t="inlineStr">
        <is>
          <t>per-stock/PRCT/context-2026-08-02.md</t>
        </is>
      </c>
      <c r="G2528" s="33" t="inlineStr">
        <is>
          <t>Medium</t>
        </is>
      </c>
      <c r="H2528" s="33" t="inlineStr">
        <is>
          <t>Initial</t>
        </is>
      </c>
    </row>
    <row r="2529">
      <c r="A2529" s="33" t="inlineStr">
        <is>
          <t>2026-08-02</t>
        </is>
      </c>
      <c r="B2529" s="33" t="inlineStr">
        <is>
          <t>PRCT</t>
        </is>
      </c>
      <c r="C2529" s="33" t="inlineStr">
        <is>
          <t>D3</t>
        </is>
      </c>
      <c r="D2529" s="33" t="n">
        <v>3</v>
      </c>
      <c r="E2529" s="33" t="inlineStr">
        <is>
          <t>Initial L11-batch rating per agent3 proposal (rationale+source in 11-robotics/research/rating-proposals-2026-08-02/); briefing per-stock/PRCT/context-2026-08-02.md</t>
        </is>
      </c>
      <c r="F2529" s="33" t="inlineStr">
        <is>
          <t>per-stock/PRCT/context-2026-08-02.md</t>
        </is>
      </c>
      <c r="G2529" s="33" t="inlineStr">
        <is>
          <t>Medium</t>
        </is>
      </c>
      <c r="H2529" s="33" t="inlineStr">
        <is>
          <t>Initial</t>
        </is>
      </c>
    </row>
    <row r="2530">
      <c r="A2530" s="33" t="inlineStr">
        <is>
          <t>2026-08-02</t>
        </is>
      </c>
      <c r="B2530" s="33" t="inlineStr">
        <is>
          <t>PRCT</t>
        </is>
      </c>
      <c r="C2530" s="33" t="inlineStr">
        <is>
          <t>D4</t>
        </is>
      </c>
      <c r="D2530" s="33" t="n">
        <v>4</v>
      </c>
      <c r="E2530" s="33" t="inlineStr">
        <is>
          <t>Initial L11-batch rating per agent3 proposal (rationale+source in 11-robotics/research/rating-proposals-2026-08-02/); briefing per-stock/PRCT/context-2026-08-02.md</t>
        </is>
      </c>
      <c r="F2530" s="33" t="inlineStr">
        <is>
          <t>per-stock/PRCT/context-2026-08-02.md</t>
        </is>
      </c>
      <c r="G2530" s="33" t="inlineStr">
        <is>
          <t>Medium</t>
        </is>
      </c>
      <c r="H2530" s="33" t="inlineStr">
        <is>
          <t>Initial</t>
        </is>
      </c>
    </row>
    <row r="2531">
      <c r="A2531" s="33" t="inlineStr">
        <is>
          <t>2026-08-02</t>
        </is>
      </c>
      <c r="B2531" s="33" t="inlineStr">
        <is>
          <t>PRCT</t>
        </is>
      </c>
      <c r="C2531" s="33" t="inlineStr">
        <is>
          <t>D5</t>
        </is>
      </c>
      <c r="D2531" s="33" t="n">
        <v>3</v>
      </c>
      <c r="E2531" s="33" t="inlineStr">
        <is>
          <t>Initial L11-batch rating per agent3 proposal (rationale+source in 11-robotics/research/rating-proposals-2026-08-02/); briefing per-stock/PRCT/context-2026-08-02.md</t>
        </is>
      </c>
      <c r="F2531" s="33" t="inlineStr">
        <is>
          <t>per-stock/PRCT/context-2026-08-02.md</t>
        </is>
      </c>
      <c r="G2531" s="33" t="inlineStr">
        <is>
          <t>Medium</t>
        </is>
      </c>
      <c r="H2531" s="33" t="inlineStr">
        <is>
          <t>Initial</t>
        </is>
      </c>
    </row>
    <row r="2532">
      <c r="A2532" s="33" t="inlineStr">
        <is>
          <t>2026-08-02</t>
        </is>
      </c>
      <c r="B2532" s="33" t="inlineStr">
        <is>
          <t>PRCT</t>
        </is>
      </c>
      <c r="C2532" s="33" t="inlineStr">
        <is>
          <t>M1</t>
        </is>
      </c>
      <c r="D2532" s="33" t="n">
        <v>3</v>
      </c>
      <c r="E2532" s="33" t="inlineStr">
        <is>
          <t>Initial L11-batch rating per agent3 proposal (rationale+source in 11-robotics/research/rating-proposals-2026-08-02/); briefing per-stock/PRCT/context-2026-08-02.md</t>
        </is>
      </c>
      <c r="F2532" s="33" t="inlineStr">
        <is>
          <t>per-stock/PRCT/context-2026-08-02.md</t>
        </is>
      </c>
      <c r="G2532" s="33" t="inlineStr">
        <is>
          <t>Medium</t>
        </is>
      </c>
      <c r="H2532" s="33" t="inlineStr">
        <is>
          <t>Initial</t>
        </is>
      </c>
    </row>
    <row r="2533">
      <c r="A2533" s="33" t="inlineStr">
        <is>
          <t>2026-08-02</t>
        </is>
      </c>
      <c r="B2533" s="33" t="inlineStr">
        <is>
          <t>PRCT</t>
        </is>
      </c>
      <c r="C2533" s="33" t="inlineStr">
        <is>
          <t>M2</t>
        </is>
      </c>
      <c r="D2533" s="33" t="n">
        <v>1</v>
      </c>
      <c r="E2533" s="33" t="inlineStr">
        <is>
          <t>Initial L11-batch rating per agent3 proposal (rationale+source in 11-robotics/research/rating-proposals-2026-08-02/); briefing per-stock/PRCT/context-2026-08-02.md</t>
        </is>
      </c>
      <c r="F2533" s="33" t="inlineStr">
        <is>
          <t>per-stock/PRCT/context-2026-08-02.md</t>
        </is>
      </c>
      <c r="G2533" s="33" t="inlineStr">
        <is>
          <t>Medium</t>
        </is>
      </c>
      <c r="H2533" s="33" t="inlineStr">
        <is>
          <t>Initial</t>
        </is>
      </c>
    </row>
    <row r="2534">
      <c r="A2534" s="33" t="inlineStr">
        <is>
          <t>2026-08-02</t>
        </is>
      </c>
      <c r="B2534" s="33" t="inlineStr">
        <is>
          <t>PRCT</t>
        </is>
      </c>
      <c r="C2534" s="33" t="inlineStr">
        <is>
          <t>M3</t>
        </is>
      </c>
      <c r="D2534" s="33" t="n">
        <v>5</v>
      </c>
      <c r="E2534" s="33" t="inlineStr">
        <is>
          <t>Initial L11-batch rating per agent3 proposal (rationale+source in 11-robotics/research/rating-proposals-2026-08-02/); briefing per-stock/PRCT/context-2026-08-02.md</t>
        </is>
      </c>
      <c r="F2534" s="33" t="inlineStr">
        <is>
          <t>per-stock/PRCT/context-2026-08-02.md</t>
        </is>
      </c>
      <c r="G2534" s="33" t="inlineStr">
        <is>
          <t>Medium</t>
        </is>
      </c>
      <c r="H2534" s="33" t="inlineStr">
        <is>
          <t>Initial</t>
        </is>
      </c>
    </row>
    <row r="2535">
      <c r="A2535" s="33" t="inlineStr">
        <is>
          <t>2026-08-02</t>
        </is>
      </c>
      <c r="B2535" s="33" t="inlineStr">
        <is>
          <t>PRCT</t>
        </is>
      </c>
      <c r="C2535" s="33" t="inlineStr">
        <is>
          <t>R1</t>
        </is>
      </c>
      <c r="D2535" s="33" t="n">
        <v>5</v>
      </c>
      <c r="E2535" s="33" t="inlineStr">
        <is>
          <t>Initial L11-batch rating per agent3 proposal (rationale+source in 11-robotics/research/rating-proposals-2026-08-02/); briefing per-stock/PRCT/context-2026-08-02.md</t>
        </is>
      </c>
      <c r="F2535" s="33" t="inlineStr">
        <is>
          <t>per-stock/PRCT/context-2026-08-02.md</t>
        </is>
      </c>
      <c r="G2535" s="33" t="inlineStr">
        <is>
          <t>Medium</t>
        </is>
      </c>
      <c r="H2535" s="33" t="inlineStr">
        <is>
          <t>Initial</t>
        </is>
      </c>
    </row>
    <row r="2536">
      <c r="A2536" s="33" t="inlineStr">
        <is>
          <t>2026-08-02</t>
        </is>
      </c>
      <c r="B2536" s="33" t="inlineStr">
        <is>
          <t>PRCT</t>
        </is>
      </c>
      <c r="C2536" s="33" t="inlineStr">
        <is>
          <t>R2</t>
        </is>
      </c>
      <c r="D2536" s="33" t="n">
        <v>5</v>
      </c>
      <c r="E2536" s="33" t="inlineStr">
        <is>
          <t>Initial L11-batch rating per agent3 proposal (rationale+source in 11-robotics/research/rating-proposals-2026-08-02/); briefing per-stock/PRCT/context-2026-08-02.md</t>
        </is>
      </c>
      <c r="F2536" s="33" t="inlineStr">
        <is>
          <t>per-stock/PRCT/context-2026-08-02.md</t>
        </is>
      </c>
      <c r="G2536" s="33" t="inlineStr">
        <is>
          <t>Medium</t>
        </is>
      </c>
      <c r="H2536" s="33" t="inlineStr">
        <is>
          <t>Initial</t>
        </is>
      </c>
    </row>
    <row r="2537">
      <c r="A2537" s="33" t="inlineStr">
        <is>
          <t>2026-08-02</t>
        </is>
      </c>
      <c r="B2537" s="33" t="inlineStr">
        <is>
          <t>PRCT</t>
        </is>
      </c>
      <c r="C2537" s="33" t="inlineStr">
        <is>
          <t>R3</t>
        </is>
      </c>
      <c r="D2537" s="33" t="n">
        <v>4</v>
      </c>
      <c r="E2537" s="33" t="inlineStr">
        <is>
          <t>Initial L11-batch rating per agent3 proposal (rationale+source in 11-robotics/research/rating-proposals-2026-08-02/); briefing per-stock/PRCT/context-2026-08-02.md</t>
        </is>
      </c>
      <c r="F2537" s="33" t="inlineStr">
        <is>
          <t>per-stock/PRCT/context-2026-08-02.md</t>
        </is>
      </c>
      <c r="G2537" s="33" t="inlineStr">
        <is>
          <t>Medium</t>
        </is>
      </c>
      <c r="H2537" s="33" t="inlineStr">
        <is>
          <t>Initial</t>
        </is>
      </c>
    </row>
    <row r="2538">
      <c r="A2538" s="33" t="inlineStr">
        <is>
          <t>2026-08-02</t>
        </is>
      </c>
      <c r="B2538" s="33" t="inlineStr">
        <is>
          <t>PRCT</t>
        </is>
      </c>
      <c r="C2538" s="33" t="inlineStr">
        <is>
          <t>R4</t>
        </is>
      </c>
      <c r="D2538" s="33" t="n">
        <v>2</v>
      </c>
      <c r="E2538" s="33" t="inlineStr">
        <is>
          <t>Securities class action filed (N.D. Cal. 26-cv-07691, class period 2/28/24-2/25/26); sourced from law-firm releases not docket - verify at Q2 10-Q.</t>
        </is>
      </c>
      <c r="F2538" s="33" t="inlineStr">
        <is>
          <t>per-stock/PRCT/context-2026-08-02.md</t>
        </is>
      </c>
      <c r="G2538" s="33" t="inlineStr">
        <is>
          <t>Medium</t>
        </is>
      </c>
      <c r="H2538" s="33" t="inlineStr">
        <is>
          <t>Initial</t>
        </is>
      </c>
    </row>
    <row r="2539">
      <c r="A2539" s="33" t="inlineStr">
        <is>
          <t>2026-08-02</t>
        </is>
      </c>
      <c r="B2539" s="33" t="inlineStr">
        <is>
          <t>PRCT</t>
        </is>
      </c>
      <c r="C2539" s="33" t="inlineStr">
        <is>
          <t>R5</t>
        </is>
      </c>
      <c r="D2539" s="33" t="n">
        <v>5</v>
      </c>
      <c r="E2539" s="33" t="inlineStr">
        <is>
          <t>Initial L11-batch rating per agent3 proposal (rationale+source in 11-robotics/research/rating-proposals-2026-08-02/); briefing per-stock/PRCT/context-2026-08-02.md</t>
        </is>
      </c>
      <c r="F2539" s="33" t="inlineStr">
        <is>
          <t>per-stock/PRCT/context-2026-08-02.md</t>
        </is>
      </c>
      <c r="G2539" s="33" t="inlineStr">
        <is>
          <t>Medium</t>
        </is>
      </c>
      <c r="H2539" s="33" t="inlineStr">
        <is>
          <t>Initial</t>
        </is>
      </c>
    </row>
    <row r="2540">
      <c r="A2540" s="33" t="inlineStr">
        <is>
          <t>2026-08-02</t>
        </is>
      </c>
      <c r="B2540" s="33" t="inlineStr">
        <is>
          <t>GMED</t>
        </is>
      </c>
      <c r="C2540" s="33" t="inlineStr">
        <is>
          <t>D1</t>
        </is>
      </c>
      <c r="D2540" s="33" t="n">
        <v>2</v>
      </c>
      <c r="E2540" s="33" t="inlineStr">
        <is>
          <t>Disclosed Enabling Tech = 3.5% of revenue (10-Q; roster said 10-15% - corrected). Band 2 not 1 on leasing-deferral + undisclosed robot-attached implant pull-through. GMED is the weakest L11 membership case - Dom review.</t>
        </is>
      </c>
      <c r="F2540" s="33" t="inlineStr">
        <is>
          <t>per-stock/GMED/context-2026-08-02.md</t>
        </is>
      </c>
      <c r="G2540" s="33" t="inlineStr">
        <is>
          <t>Medium</t>
        </is>
      </c>
      <c r="H2540" s="33" t="inlineStr">
        <is>
          <t>Initial</t>
        </is>
      </c>
    </row>
    <row r="2541">
      <c r="A2541" s="33" t="inlineStr">
        <is>
          <t>2026-08-02</t>
        </is>
      </c>
      <c r="B2541" s="33" t="inlineStr">
        <is>
          <t>GMED</t>
        </is>
      </c>
      <c r="C2541" s="33" t="inlineStr">
        <is>
          <t>D2</t>
        </is>
      </c>
      <c r="D2541" s="33" t="n">
        <v>2</v>
      </c>
      <c r="E2541" s="33" t="inlineStr">
        <is>
          <t>Initial L11-batch rating per agent3 proposal (rationale+source in 11-robotics/research/rating-proposals-2026-08-02/); briefing per-stock/GMED/context-2026-08-02.md</t>
        </is>
      </c>
      <c r="F2541" s="33" t="inlineStr">
        <is>
          <t>per-stock/GMED/context-2026-08-02.md</t>
        </is>
      </c>
      <c r="G2541" s="33" t="inlineStr">
        <is>
          <t>Medium</t>
        </is>
      </c>
      <c r="H2541" s="33" t="inlineStr">
        <is>
          <t>Initial</t>
        </is>
      </c>
    </row>
    <row r="2542">
      <c r="A2542" s="33" t="inlineStr">
        <is>
          <t>2026-08-02</t>
        </is>
      </c>
      <c r="B2542" s="33" t="inlineStr">
        <is>
          <t>GMED</t>
        </is>
      </c>
      <c r="C2542" s="33" t="inlineStr">
        <is>
          <t>D3</t>
        </is>
      </c>
      <c r="D2542" s="33" t="n">
        <v>3</v>
      </c>
      <c r="E2542" s="33" t="inlineStr">
        <is>
          <t>Initial L11-batch rating per agent3 proposal (rationale+source in 11-robotics/research/rating-proposals-2026-08-02/); briefing per-stock/GMED/context-2026-08-02.md</t>
        </is>
      </c>
      <c r="F2542" s="33" t="inlineStr">
        <is>
          <t>per-stock/GMED/context-2026-08-02.md</t>
        </is>
      </c>
      <c r="G2542" s="33" t="inlineStr">
        <is>
          <t>Medium</t>
        </is>
      </c>
      <c r="H2542" s="33" t="inlineStr">
        <is>
          <t>Initial</t>
        </is>
      </c>
    </row>
    <row r="2543">
      <c r="A2543" s="33" t="inlineStr">
        <is>
          <t>2026-08-02</t>
        </is>
      </c>
      <c r="B2543" s="33" t="inlineStr">
        <is>
          <t>GMED</t>
        </is>
      </c>
      <c r="C2543" s="33" t="inlineStr">
        <is>
          <t>D4</t>
        </is>
      </c>
      <c r="D2543" s="33" t="n">
        <v>4</v>
      </c>
      <c r="E2543" s="33" t="inlineStr">
        <is>
          <t>Initial L11-batch rating per agent3 proposal (rationale+source in 11-robotics/research/rating-proposals-2026-08-02/); briefing per-stock/GMED/context-2026-08-02.md</t>
        </is>
      </c>
      <c r="F2543" s="33" t="inlineStr">
        <is>
          <t>per-stock/GMED/context-2026-08-02.md</t>
        </is>
      </c>
      <c r="G2543" s="33" t="inlineStr">
        <is>
          <t>Medium</t>
        </is>
      </c>
      <c r="H2543" s="33" t="inlineStr">
        <is>
          <t>Initial</t>
        </is>
      </c>
    </row>
    <row r="2544">
      <c r="A2544" s="33" t="inlineStr">
        <is>
          <t>2026-08-02</t>
        </is>
      </c>
      <c r="B2544" s="33" t="inlineStr">
        <is>
          <t>GMED</t>
        </is>
      </c>
      <c r="C2544" s="33" t="inlineStr">
        <is>
          <t>D5</t>
        </is>
      </c>
      <c r="D2544" s="33" t="n">
        <v>2</v>
      </c>
      <c r="E2544" s="33" t="inlineStr">
        <is>
          <t>Initial L11-batch rating per agent3 proposal (rationale+source in 11-robotics/research/rating-proposals-2026-08-02/); briefing per-stock/GMED/context-2026-08-02.md</t>
        </is>
      </c>
      <c r="F2544" s="33" t="inlineStr">
        <is>
          <t>per-stock/GMED/context-2026-08-02.md</t>
        </is>
      </c>
      <c r="G2544" s="33" t="inlineStr">
        <is>
          <t>Medium</t>
        </is>
      </c>
      <c r="H2544" s="33" t="inlineStr">
        <is>
          <t>Initial</t>
        </is>
      </c>
    </row>
    <row r="2545">
      <c r="A2545" s="33" t="inlineStr">
        <is>
          <t>2026-08-02</t>
        </is>
      </c>
      <c r="B2545" s="33" t="inlineStr">
        <is>
          <t>GMED</t>
        </is>
      </c>
      <c r="C2545" s="33" t="inlineStr">
        <is>
          <t>M1</t>
        </is>
      </c>
      <c r="D2545" s="33" t="n">
        <v>4</v>
      </c>
      <c r="E2545" s="33" t="inlineStr">
        <is>
          <t>Initial L11-batch rating per agent3 proposal (rationale+source in 11-robotics/research/rating-proposals-2026-08-02/); briefing per-stock/GMED/context-2026-08-02.md</t>
        </is>
      </c>
      <c r="F2545" s="33" t="inlineStr">
        <is>
          <t>per-stock/GMED/context-2026-08-02.md</t>
        </is>
      </c>
      <c r="G2545" s="33" t="inlineStr">
        <is>
          <t>Medium</t>
        </is>
      </c>
      <c r="H2545" s="33" t="inlineStr">
        <is>
          <t>Initial</t>
        </is>
      </c>
    </row>
    <row r="2546">
      <c r="A2546" s="33" t="inlineStr">
        <is>
          <t>2026-08-02</t>
        </is>
      </c>
      <c r="B2546" s="33" t="inlineStr">
        <is>
          <t>GMED</t>
        </is>
      </c>
      <c r="C2546" s="33" t="inlineStr">
        <is>
          <t>M2</t>
        </is>
      </c>
      <c r="D2546" s="33" t="n">
        <v>3</v>
      </c>
      <c r="E2546" s="33" t="inlineStr">
        <is>
          <t>MAIN-LOOP OVERRIDE 5-&gt;3: agent used 12-mo window (+47% vs IHI); rubric 3-6mo window shows ~-20%, below 50/200DMA. Overridden for cross-cohort consistency (Yaskawa/Daifuku rated on rubric window).</t>
        </is>
      </c>
      <c r="F2546" s="33" t="inlineStr">
        <is>
          <t>per-stock/GMED/context-2026-08-02.md</t>
        </is>
      </c>
      <c r="G2546" s="33" t="inlineStr">
        <is>
          <t>Medium</t>
        </is>
      </c>
      <c r="H2546" s="33" t="inlineStr">
        <is>
          <t>Initial</t>
        </is>
      </c>
    </row>
    <row r="2547">
      <c r="A2547" s="33" t="inlineStr">
        <is>
          <t>2026-08-02</t>
        </is>
      </c>
      <c r="B2547" s="33" t="inlineStr">
        <is>
          <t>GMED</t>
        </is>
      </c>
      <c r="C2547" s="33" t="inlineStr">
        <is>
          <t>M3</t>
        </is>
      </c>
      <c r="D2547" s="33" t="n">
        <v>3</v>
      </c>
      <c r="E2547" s="33" t="inlineStr">
        <is>
          <t>Initial L11-batch rating per agent3 proposal (rationale+source in 11-robotics/research/rating-proposals-2026-08-02/); briefing per-stock/GMED/context-2026-08-02.md</t>
        </is>
      </c>
      <c r="F2547" s="33" t="inlineStr">
        <is>
          <t>per-stock/GMED/context-2026-08-02.md</t>
        </is>
      </c>
      <c r="G2547" s="33" t="inlineStr">
        <is>
          <t>Medium</t>
        </is>
      </c>
      <c r="H2547" s="33" t="inlineStr">
        <is>
          <t>Initial</t>
        </is>
      </c>
    </row>
    <row r="2548">
      <c r="A2548" s="33" t="inlineStr">
        <is>
          <t>2026-08-02</t>
        </is>
      </c>
      <c r="B2548" s="33" t="inlineStr">
        <is>
          <t>GMED</t>
        </is>
      </c>
      <c r="C2548" s="33" t="inlineStr">
        <is>
          <t>R1</t>
        </is>
      </c>
      <c r="D2548" s="33" t="n">
        <v>5</v>
      </c>
      <c r="E2548" s="33" t="inlineStr">
        <is>
          <t>Initial L11-batch rating per agent3 proposal (rationale+source in 11-robotics/research/rating-proposals-2026-08-02/); briefing per-stock/GMED/context-2026-08-02.md</t>
        </is>
      </c>
      <c r="F2548" s="33" t="inlineStr">
        <is>
          <t>per-stock/GMED/context-2026-08-02.md</t>
        </is>
      </c>
      <c r="G2548" s="33" t="inlineStr">
        <is>
          <t>Medium</t>
        </is>
      </c>
      <c r="H2548" s="33" t="inlineStr">
        <is>
          <t>Initial</t>
        </is>
      </c>
    </row>
    <row r="2549">
      <c r="A2549" s="33" t="inlineStr">
        <is>
          <t>2026-08-02</t>
        </is>
      </c>
      <c r="B2549" s="33" t="inlineStr">
        <is>
          <t>GMED</t>
        </is>
      </c>
      <c r="C2549" s="33" t="inlineStr">
        <is>
          <t>R2</t>
        </is>
      </c>
      <c r="D2549" s="33" t="n">
        <v>5</v>
      </c>
      <c r="E2549" s="33" t="inlineStr">
        <is>
          <t>Initial L11-batch rating per agent3 proposal (rationale+source in 11-robotics/research/rating-proposals-2026-08-02/); briefing per-stock/GMED/context-2026-08-02.md</t>
        </is>
      </c>
      <c r="F2549" s="33" t="inlineStr">
        <is>
          <t>per-stock/GMED/context-2026-08-02.md</t>
        </is>
      </c>
      <c r="G2549" s="33" t="inlineStr">
        <is>
          <t>Medium</t>
        </is>
      </c>
      <c r="H2549" s="33" t="inlineStr">
        <is>
          <t>Initial</t>
        </is>
      </c>
    </row>
    <row r="2550">
      <c r="A2550" s="33" t="inlineStr">
        <is>
          <t>2026-08-02</t>
        </is>
      </c>
      <c r="B2550" s="33" t="inlineStr">
        <is>
          <t>GMED</t>
        </is>
      </c>
      <c r="C2550" s="33" t="inlineStr">
        <is>
          <t>R3</t>
        </is>
      </c>
      <c r="D2550" s="33" t="n">
        <v>5</v>
      </c>
      <c r="E2550" s="33" t="inlineStr">
        <is>
          <t>Initial L11-batch rating per agent3 proposal (rationale+source in 11-robotics/research/rating-proposals-2026-08-02/); briefing per-stock/GMED/context-2026-08-02.md</t>
        </is>
      </c>
      <c r="F2550" s="33" t="inlineStr">
        <is>
          <t>per-stock/GMED/context-2026-08-02.md</t>
        </is>
      </c>
      <c r="G2550" s="33" t="inlineStr">
        <is>
          <t>Medium</t>
        </is>
      </c>
      <c r="H2550" s="33" t="inlineStr">
        <is>
          <t>Initial</t>
        </is>
      </c>
    </row>
    <row r="2551">
      <c r="A2551" s="33" t="inlineStr">
        <is>
          <t>2026-08-02</t>
        </is>
      </c>
      <c r="B2551" s="33" t="inlineStr">
        <is>
          <t>GMED</t>
        </is>
      </c>
      <c r="C2551" s="33" t="inlineStr">
        <is>
          <t>R4</t>
        </is>
      </c>
      <c r="D2551" s="33" t="n">
        <v>3</v>
      </c>
      <c r="E2551" s="33" t="inlineStr">
        <is>
          <t>Initial L11-batch rating per agent3 proposal (rationale+source in 11-robotics/research/rating-proposals-2026-08-02/); briefing per-stock/GMED/context-2026-08-02.md</t>
        </is>
      </c>
      <c r="F2551" s="33" t="inlineStr">
        <is>
          <t>per-stock/GMED/context-2026-08-02.md</t>
        </is>
      </c>
      <c r="G2551" s="33" t="inlineStr">
        <is>
          <t>Medium</t>
        </is>
      </c>
      <c r="H2551" s="33" t="inlineStr">
        <is>
          <t>Initial</t>
        </is>
      </c>
    </row>
    <row r="2552">
      <c r="A2552" s="33" t="inlineStr">
        <is>
          <t>2026-08-02</t>
        </is>
      </c>
      <c r="B2552" s="33" t="inlineStr">
        <is>
          <t>GMED</t>
        </is>
      </c>
      <c r="C2552" s="33" t="inlineStr">
        <is>
          <t>R5</t>
        </is>
      </c>
      <c r="D2552" s="33" t="n">
        <v>5</v>
      </c>
      <c r="E2552" s="33" t="inlineStr">
        <is>
          <t>Initial L11-batch rating per agent3 proposal (rationale+source in 11-robotics/research/rating-proposals-2026-08-02/); briefing per-stock/GMED/context-2026-08-02.md</t>
        </is>
      </c>
      <c r="F2552" s="33" t="inlineStr">
        <is>
          <t>per-stock/GMED/context-2026-08-02.md</t>
        </is>
      </c>
      <c r="G2552" s="33" t="inlineStr">
        <is>
          <t>Medium</t>
        </is>
      </c>
      <c r="H2552" s="33" t="inlineStr">
        <is>
          <t>Initial</t>
        </is>
      </c>
    </row>
    <row r="2553">
      <c r="A2553" s="33" t="inlineStr">
        <is>
          <t>2026-08-02</t>
        </is>
      </c>
      <c r="B2553" s="33" t="inlineStr">
        <is>
          <t>SSII</t>
        </is>
      </c>
      <c r="C2553" s="33" t="inlineStr">
        <is>
          <t>D1</t>
        </is>
      </c>
      <c r="D2553" s="33" t="n">
        <v>5</v>
      </c>
      <c r="E2553" s="33" t="inlineStr">
        <is>
          <t>Initial L11-batch rating per agent3 proposal (rationale+source in 11-robotics/research/rating-proposals-2026-08-02/); briefing per-stock/SSII/context-2026-08-02.md</t>
        </is>
      </c>
      <c r="F2553" s="33" t="inlineStr">
        <is>
          <t>per-stock/SSII/context-2026-08-02.md</t>
        </is>
      </c>
      <c r="G2553" s="33" t="inlineStr">
        <is>
          <t>Medium</t>
        </is>
      </c>
      <c r="H2553" s="33" t="inlineStr">
        <is>
          <t>Initial</t>
        </is>
      </c>
    </row>
    <row r="2554">
      <c r="A2554" s="33" t="inlineStr">
        <is>
          <t>2026-08-02</t>
        </is>
      </c>
      <c r="B2554" s="33" t="inlineStr">
        <is>
          <t>SSII</t>
        </is>
      </c>
      <c r="C2554" s="33" t="inlineStr">
        <is>
          <t>D2</t>
        </is>
      </c>
      <c r="D2554" s="33" t="n">
        <v>2</v>
      </c>
      <c r="E2554" s="33" t="inlineStr">
        <is>
          <t>Initial L11-batch rating per agent3 proposal (rationale+source in 11-robotics/research/rating-proposals-2026-08-02/); briefing per-stock/SSII/context-2026-08-02.md</t>
        </is>
      </c>
      <c r="F2554" s="33" t="inlineStr">
        <is>
          <t>per-stock/SSII/context-2026-08-02.md</t>
        </is>
      </c>
      <c r="G2554" s="33" t="inlineStr">
        <is>
          <t>Medium</t>
        </is>
      </c>
      <c r="H2554" s="33" t="inlineStr">
        <is>
          <t>Initial</t>
        </is>
      </c>
    </row>
    <row r="2555">
      <c r="A2555" s="33" t="inlineStr">
        <is>
          <t>2026-08-02</t>
        </is>
      </c>
      <c r="B2555" s="33" t="inlineStr">
        <is>
          <t>SSII</t>
        </is>
      </c>
      <c r="C2555" s="33" t="inlineStr">
        <is>
          <t>D3</t>
        </is>
      </c>
      <c r="D2555" s="33" t="n">
        <v>2</v>
      </c>
      <c r="E2555" s="33" t="inlineStr">
        <is>
          <t>Initial L11-batch rating per agent3 proposal (rationale+source in 11-robotics/research/rating-proposals-2026-08-02/); briefing per-stock/SSII/context-2026-08-02.md</t>
        </is>
      </c>
      <c r="F2555" s="33" t="inlineStr">
        <is>
          <t>per-stock/SSII/context-2026-08-02.md</t>
        </is>
      </c>
      <c r="G2555" s="33" t="inlineStr">
        <is>
          <t>Medium</t>
        </is>
      </c>
      <c r="H2555" s="33" t="inlineStr">
        <is>
          <t>Initial</t>
        </is>
      </c>
    </row>
    <row r="2556">
      <c r="A2556" s="33" t="inlineStr">
        <is>
          <t>2026-08-02</t>
        </is>
      </c>
      <c r="B2556" s="33" t="inlineStr">
        <is>
          <t>SSII</t>
        </is>
      </c>
      <c r="C2556" s="33" t="inlineStr">
        <is>
          <t>D4</t>
        </is>
      </c>
      <c r="D2556" s="33" t="n">
        <v>4</v>
      </c>
      <c r="E2556" s="33" t="inlineStr">
        <is>
          <t>Initial L11-batch rating per agent3 proposal (rationale+source in 11-robotics/research/rating-proposals-2026-08-02/); briefing per-stock/SSII/context-2026-08-02.md</t>
        </is>
      </c>
      <c r="F2556" s="33" t="inlineStr">
        <is>
          <t>per-stock/SSII/context-2026-08-02.md</t>
        </is>
      </c>
      <c r="G2556" s="33" t="inlineStr">
        <is>
          <t>Medium</t>
        </is>
      </c>
      <c r="H2556" s="33" t="inlineStr">
        <is>
          <t>Initial</t>
        </is>
      </c>
    </row>
    <row r="2557">
      <c r="A2557" s="33" t="inlineStr">
        <is>
          <t>2026-08-02</t>
        </is>
      </c>
      <c r="B2557" s="33" t="inlineStr">
        <is>
          <t>SSII</t>
        </is>
      </c>
      <c r="C2557" s="33" t="inlineStr">
        <is>
          <t>D5</t>
        </is>
      </c>
      <c r="D2557" s="33" t="n">
        <v>2</v>
      </c>
      <c r="E2557" s="33" t="inlineStr">
        <is>
          <t>Initial L11-batch rating per agent3 proposal (rationale+source in 11-robotics/research/rating-proposals-2026-08-02/); briefing per-stock/SSII/context-2026-08-02.md</t>
        </is>
      </c>
      <c r="F2557" s="33" t="inlineStr">
        <is>
          <t>per-stock/SSII/context-2026-08-02.md</t>
        </is>
      </c>
      <c r="G2557" s="33" t="inlineStr">
        <is>
          <t>Medium</t>
        </is>
      </c>
      <c r="H2557" s="33" t="inlineStr">
        <is>
          <t>Initial</t>
        </is>
      </c>
    </row>
    <row r="2558">
      <c r="A2558" s="33" t="inlineStr">
        <is>
          <t>2026-08-02</t>
        </is>
      </c>
      <c r="B2558" s="33" t="inlineStr">
        <is>
          <t>SSII</t>
        </is>
      </c>
      <c r="C2558" s="33" t="inlineStr">
        <is>
          <t>M1</t>
        </is>
      </c>
      <c r="D2558" s="33" t="n">
        <v>3</v>
      </c>
      <c r="E2558" s="33" t="inlineStr">
        <is>
          <t>Initial L11-batch rating per agent3 proposal (rationale+source in 11-robotics/research/rating-proposals-2026-08-02/); briefing per-stock/SSII/context-2026-08-02.md</t>
        </is>
      </c>
      <c r="F2558" s="33" t="inlineStr">
        <is>
          <t>per-stock/SSII/context-2026-08-02.md</t>
        </is>
      </c>
      <c r="G2558" s="33" t="inlineStr">
        <is>
          <t>Medium</t>
        </is>
      </c>
      <c r="H2558" s="33" t="inlineStr">
        <is>
          <t>Initial</t>
        </is>
      </c>
    </row>
    <row r="2559">
      <c r="A2559" s="33" t="inlineStr">
        <is>
          <t>2026-08-02</t>
        </is>
      </c>
      <c r="B2559" s="33" t="inlineStr">
        <is>
          <t>SSII</t>
        </is>
      </c>
      <c r="C2559" s="33" t="inlineStr">
        <is>
          <t>M2</t>
        </is>
      </c>
      <c r="D2559" s="33" t="n">
        <v>1</v>
      </c>
      <c r="E2559" s="33" t="inlineStr">
        <is>
          <t>Initial L11-batch rating per agent3 proposal (rationale+source in 11-robotics/research/rating-proposals-2026-08-02/); briefing per-stock/SSII/context-2026-08-02.md</t>
        </is>
      </c>
      <c r="F2559" s="33" t="inlineStr">
        <is>
          <t>per-stock/SSII/context-2026-08-02.md</t>
        </is>
      </c>
      <c r="G2559" s="33" t="inlineStr">
        <is>
          <t>Medium</t>
        </is>
      </c>
      <c r="H2559" s="33" t="inlineStr">
        <is>
          <t>Initial</t>
        </is>
      </c>
    </row>
    <row r="2560">
      <c r="A2560" s="33" t="inlineStr">
        <is>
          <t>2026-08-02</t>
        </is>
      </c>
      <c r="B2560" s="33" t="inlineStr">
        <is>
          <t>SSII</t>
        </is>
      </c>
      <c r="C2560" s="33" t="inlineStr">
        <is>
          <t>M3</t>
        </is>
      </c>
      <c r="D2560" s="33" t="n">
        <v>4</v>
      </c>
      <c r="E2560" s="33" t="inlineStr">
        <is>
          <t>EDGE CASE: 3 insiders bought $5.2M in a 3/6/26 PLACEMENT at ~33% premium to outside investors (incl. Fred Moll $2.0M). Not open-market so step-1 five not literal; 4 splits placement-vs-open-market. Dom review. NOTE: SSII DOES file Form 4s (roster corrected).</t>
        </is>
      </c>
      <c r="F2560" s="33" t="inlineStr">
        <is>
          <t>per-stock/SSII/context-2026-08-02.md</t>
        </is>
      </c>
      <c r="G2560" s="33" t="inlineStr">
        <is>
          <t>Medium</t>
        </is>
      </c>
      <c r="H2560" s="33" t="inlineStr">
        <is>
          <t>Initial</t>
        </is>
      </c>
    </row>
    <row r="2561">
      <c r="A2561" s="33" t="inlineStr">
        <is>
          <t>2026-08-02</t>
        </is>
      </c>
      <c r="B2561" s="33" t="inlineStr">
        <is>
          <t>SSII</t>
        </is>
      </c>
      <c r="C2561" s="33" t="inlineStr">
        <is>
          <t>R1</t>
        </is>
      </c>
      <c r="D2561" s="33" t="n">
        <v>4</v>
      </c>
      <c r="E2561" s="33" t="inlineStr">
        <is>
          <t>Initial L11-batch rating per agent3 proposal (rationale+source in 11-robotics/research/rating-proposals-2026-08-02/); briefing per-stock/SSII/context-2026-08-02.md</t>
        </is>
      </c>
      <c r="F2561" s="33" t="inlineStr">
        <is>
          <t>per-stock/SSII/context-2026-08-02.md</t>
        </is>
      </c>
      <c r="G2561" s="33" t="inlineStr">
        <is>
          <t>Medium</t>
        </is>
      </c>
      <c r="H2561" s="33" t="inlineStr">
        <is>
          <t>Initial</t>
        </is>
      </c>
    </row>
    <row r="2562">
      <c r="A2562" s="33" t="inlineStr">
        <is>
          <t>2026-08-02</t>
        </is>
      </c>
      <c r="B2562" s="33" t="inlineStr">
        <is>
          <t>SSII</t>
        </is>
      </c>
      <c r="C2562" s="33" t="inlineStr">
        <is>
          <t>R2</t>
        </is>
      </c>
      <c r="D2562" s="33" t="n">
        <v>2</v>
      </c>
      <c r="E2562" s="33" t="inlineStr">
        <is>
          <t>Initial L11-batch rating per agent3 proposal (rationale+source in 11-robotics/research/rating-proposals-2026-08-02/); briefing per-stock/SSII/context-2026-08-02.md</t>
        </is>
      </c>
      <c r="F2562" s="33" t="inlineStr">
        <is>
          <t>per-stock/SSII/context-2026-08-02.md</t>
        </is>
      </c>
      <c r="G2562" s="33" t="inlineStr">
        <is>
          <t>Medium</t>
        </is>
      </c>
      <c r="H2562" s="33" t="inlineStr">
        <is>
          <t>Initial</t>
        </is>
      </c>
    </row>
    <row r="2563">
      <c r="A2563" s="33" t="inlineStr">
        <is>
          <t>2026-08-02</t>
        </is>
      </c>
      <c r="B2563" s="33" t="inlineStr">
        <is>
          <t>SSII</t>
        </is>
      </c>
      <c r="C2563" s="33" t="inlineStr">
        <is>
          <t>R3</t>
        </is>
      </c>
      <c r="D2563" s="33" t="n">
        <v>1</v>
      </c>
      <c r="E2563" s="33" t="inlineStr">
        <is>
          <t>Band 1: explicit substantial-doubt going-concern language; dependent on related parties; $28M affiliate convert struck $1.38 vs $3.98 price; $50M ATM opened 6/18/26.</t>
        </is>
      </c>
      <c r="F2563" s="33" t="inlineStr">
        <is>
          <t>per-stock/SSII/context-2026-08-02.md</t>
        </is>
      </c>
      <c r="G2563" s="33" t="inlineStr">
        <is>
          <t>Medium</t>
        </is>
      </c>
      <c r="H2563" s="33" t="inlineStr">
        <is>
          <t>Initial</t>
        </is>
      </c>
    </row>
    <row r="2564">
      <c r="A2564" s="33" t="inlineStr">
        <is>
          <t>2026-08-02</t>
        </is>
      </c>
      <c r="B2564" s="33" t="inlineStr">
        <is>
          <t>SSII</t>
        </is>
      </c>
      <c r="C2564" s="33" t="inlineStr">
        <is>
          <t>R4</t>
        </is>
      </c>
      <c r="D2564" s="33" t="n">
        <v>3</v>
      </c>
      <c r="E2564" s="33" t="inlineStr">
        <is>
          <t>Initial L11-batch rating per agent3 proposal (rationale+source in 11-robotics/research/rating-proposals-2026-08-02/); briefing per-stock/SSII/context-2026-08-02.md</t>
        </is>
      </c>
      <c r="F2564" s="33" t="inlineStr">
        <is>
          <t>per-stock/SSII/context-2026-08-02.md</t>
        </is>
      </c>
      <c r="G2564" s="33" t="inlineStr">
        <is>
          <t>Medium</t>
        </is>
      </c>
      <c r="H2564" s="33" t="inlineStr">
        <is>
          <t>Initial</t>
        </is>
      </c>
    </row>
    <row r="2565">
      <c r="A2565" s="33" t="inlineStr">
        <is>
          <t>2026-08-02</t>
        </is>
      </c>
      <c r="B2565" s="33" t="inlineStr">
        <is>
          <t>SSII</t>
        </is>
      </c>
      <c r="C2565" s="33" t="inlineStr">
        <is>
          <t>R5</t>
        </is>
      </c>
      <c r="D2565" s="33" t="n">
        <v>5</v>
      </c>
      <c r="E2565" s="33" t="inlineStr">
        <is>
          <t>Initial L11-batch rating per agent3 proposal (rationale+source in 11-robotics/research/rating-proposals-2026-08-02/); briefing per-stock/SSII/context-2026-08-02.md</t>
        </is>
      </c>
      <c r="F2565" s="33" t="inlineStr">
        <is>
          <t>per-stock/SSII/context-2026-08-02.md</t>
        </is>
      </c>
      <c r="G2565" s="33" t="inlineStr">
        <is>
          <t>Medium</t>
        </is>
      </c>
      <c r="H2565" s="33" t="inlineStr">
        <is>
          <t>Initial</t>
        </is>
      </c>
    </row>
    <row r="2566">
      <c r="A2566" s="33" t="inlineStr">
        <is>
          <t>2026-08-02</t>
        </is>
      </c>
      <c r="B2566" s="33" t="inlineStr">
        <is>
          <t>2252.HK</t>
        </is>
      </c>
      <c r="C2566" s="33" t="inlineStr">
        <is>
          <t>D1</t>
        </is>
      </c>
      <c r="D2566" s="33" t="n">
        <v>5</v>
      </c>
      <c r="E2566" s="33" t="inlineStr">
        <is>
          <t>Initial L11-batch rating per agent3 proposal (rationale+source in 11-robotics/research/rating-proposals-2026-08-02/); briefing per-stock/2252.HK/context-2026-08-02.md</t>
        </is>
      </c>
      <c r="F2566" s="33" t="inlineStr">
        <is>
          <t>per-stock/2252.HK/context-2026-08-02.md</t>
        </is>
      </c>
      <c r="G2566" s="33" t="inlineStr">
        <is>
          <t>Medium</t>
        </is>
      </c>
      <c r="H2566" s="33" t="inlineStr">
        <is>
          <t>Initial</t>
        </is>
      </c>
    </row>
    <row r="2567">
      <c r="A2567" s="33" t="inlineStr">
        <is>
          <t>2026-08-02</t>
        </is>
      </c>
      <c r="B2567" s="33" t="inlineStr">
        <is>
          <t>2252.HK</t>
        </is>
      </c>
      <c r="C2567" s="33" t="inlineStr">
        <is>
          <t>D2</t>
        </is>
      </c>
      <c r="D2567" s="33" t="n">
        <v>3</v>
      </c>
      <c r="E2567" s="33" t="inlineStr">
        <is>
          <t>Initial L11-batch rating per agent3 proposal (rationale+source in 11-robotics/research/rating-proposals-2026-08-02/); briefing per-stock/2252.HK/context-2026-08-02.md</t>
        </is>
      </c>
      <c r="F2567" s="33" t="inlineStr">
        <is>
          <t>per-stock/2252.HK/context-2026-08-02.md</t>
        </is>
      </c>
      <c r="G2567" s="33" t="inlineStr">
        <is>
          <t>Medium</t>
        </is>
      </c>
      <c r="H2567" s="33" t="inlineStr">
        <is>
          <t>Initial</t>
        </is>
      </c>
    </row>
    <row r="2568">
      <c r="A2568" s="33" t="inlineStr">
        <is>
          <t>2026-08-02</t>
        </is>
      </c>
      <c r="B2568" s="33" t="inlineStr">
        <is>
          <t>2252.HK</t>
        </is>
      </c>
      <c r="C2568" s="33" t="inlineStr">
        <is>
          <t>D3</t>
        </is>
      </c>
      <c r="D2568" s="33" t="n">
        <v>3</v>
      </c>
      <c r="E2568" s="33" t="inlineStr">
        <is>
          <t>Initial L11-batch rating per agent3 proposal (rationale+source in 11-robotics/research/rating-proposals-2026-08-02/); briefing per-stock/2252.HK/context-2026-08-02.md</t>
        </is>
      </c>
      <c r="F2568" s="33" t="inlineStr">
        <is>
          <t>per-stock/2252.HK/context-2026-08-02.md</t>
        </is>
      </c>
      <c r="G2568" s="33" t="inlineStr">
        <is>
          <t>Medium</t>
        </is>
      </c>
      <c r="H2568" s="33" t="inlineStr">
        <is>
          <t>Initial</t>
        </is>
      </c>
    </row>
    <row r="2569">
      <c r="A2569" s="33" t="inlineStr">
        <is>
          <t>2026-08-02</t>
        </is>
      </c>
      <c r="B2569" s="33" t="inlineStr">
        <is>
          <t>2252.HK</t>
        </is>
      </c>
      <c r="C2569" s="33" t="inlineStr">
        <is>
          <t>D4</t>
        </is>
      </c>
      <c r="D2569" s="33" t="n">
        <v>5</v>
      </c>
      <c r="E2569" s="33" t="inlineStr">
        <is>
          <t>Initial L11-batch rating per agent3 proposal (rationale+source in 11-robotics/research/rating-proposals-2026-08-02/); briefing per-stock/2252.HK/context-2026-08-02.md</t>
        </is>
      </c>
      <c r="F2569" s="33" t="inlineStr">
        <is>
          <t>per-stock/2252.HK/context-2026-08-02.md</t>
        </is>
      </c>
      <c r="G2569" s="33" t="inlineStr">
        <is>
          <t>Medium</t>
        </is>
      </c>
      <c r="H2569" s="33" t="inlineStr">
        <is>
          <t>Initial</t>
        </is>
      </c>
    </row>
    <row r="2570">
      <c r="A2570" s="33" t="inlineStr">
        <is>
          <t>2026-08-02</t>
        </is>
      </c>
      <c r="B2570" s="33" t="inlineStr">
        <is>
          <t>2252.HK</t>
        </is>
      </c>
      <c r="C2570" s="33" t="inlineStr">
        <is>
          <t>D5</t>
        </is>
      </c>
      <c r="D2570" s="33" t="n">
        <v>3</v>
      </c>
      <c r="E2570" s="33" t="inlineStr">
        <is>
          <t>Initial L11-batch rating per agent3 proposal (rationale+source in 11-robotics/research/rating-proposals-2026-08-02/); briefing per-stock/2252.HK/context-2026-08-02.md</t>
        </is>
      </c>
      <c r="F2570" s="33" t="inlineStr">
        <is>
          <t>per-stock/2252.HK/context-2026-08-02.md</t>
        </is>
      </c>
      <c r="G2570" s="33" t="inlineStr">
        <is>
          <t>Medium</t>
        </is>
      </c>
      <c r="H2570" s="33" t="inlineStr">
        <is>
          <t>Initial</t>
        </is>
      </c>
    </row>
    <row r="2571">
      <c r="A2571" s="33" t="inlineStr">
        <is>
          <t>2026-08-02</t>
        </is>
      </c>
      <c r="B2571" s="33" t="inlineStr">
        <is>
          <t>2252.HK</t>
        </is>
      </c>
      <c r="C2571" s="33" t="inlineStr">
        <is>
          <t>M1</t>
        </is>
      </c>
      <c r="D2571" s="33" t="n">
        <v>4</v>
      </c>
      <c r="E2571" s="33" t="inlineStr">
        <is>
          <t>Initial L11-batch rating per agent3 proposal (rationale+source in 11-robotics/research/rating-proposals-2026-08-02/); briefing per-stock/2252.HK/context-2026-08-02.md</t>
        </is>
      </c>
      <c r="F2571" s="33" t="inlineStr">
        <is>
          <t>per-stock/2252.HK/context-2026-08-02.md</t>
        </is>
      </c>
      <c r="G2571" s="33" t="inlineStr">
        <is>
          <t>Medium</t>
        </is>
      </c>
      <c r="H2571" s="33" t="inlineStr">
        <is>
          <t>Initial</t>
        </is>
      </c>
    </row>
    <row r="2572">
      <c r="A2572" s="33" t="inlineStr">
        <is>
          <t>2026-08-02</t>
        </is>
      </c>
      <c r="B2572" s="33" t="inlineStr">
        <is>
          <t>2252.HK</t>
        </is>
      </c>
      <c r="C2572" s="33" t="inlineStr">
        <is>
          <t>M2</t>
        </is>
      </c>
      <c r="D2572" s="33" t="n">
        <v>3</v>
      </c>
      <c r="E2572" s="33" t="inlineStr">
        <is>
          <t>Initial L11-batch rating per agent3 proposal (rationale+source in 11-robotics/research/rating-proposals-2026-08-02/); briefing per-stock/2252.HK/context-2026-08-02.md</t>
        </is>
      </c>
      <c r="F2572" s="33" t="inlineStr">
        <is>
          <t>per-stock/2252.HK/context-2026-08-02.md</t>
        </is>
      </c>
      <c r="G2572" s="33" t="inlineStr">
        <is>
          <t>Medium</t>
        </is>
      </c>
      <c r="H2572" s="33" t="inlineStr">
        <is>
          <t>Initial</t>
        </is>
      </c>
    </row>
    <row r="2573">
      <c r="A2573" s="33" t="inlineStr">
        <is>
          <t>2026-08-02</t>
        </is>
      </c>
      <c r="B2573" s="33" t="inlineStr">
        <is>
          <t>2252.HK</t>
        </is>
      </c>
      <c r="C2573" s="33" t="inlineStr">
        <is>
          <t>M3</t>
        </is>
      </c>
      <c r="D2573" s="33" t="n">
        <v>3</v>
      </c>
      <c r="E2573" s="33" t="inlineStr">
        <is>
          <t>Initial L11-batch rating per agent3 proposal (rationale+source in 11-robotics/research/rating-proposals-2026-08-02/); briefing per-stock/2252.HK/context-2026-08-02.md</t>
        </is>
      </c>
      <c r="F2573" s="33" t="inlineStr">
        <is>
          <t>per-stock/2252.HK/context-2026-08-02.md</t>
        </is>
      </c>
      <c r="G2573" s="33" t="inlineStr">
        <is>
          <t>Medium</t>
        </is>
      </c>
      <c r="H2573" s="33" t="inlineStr">
        <is>
          <t>Initial</t>
        </is>
      </c>
    </row>
    <row r="2574">
      <c r="A2574" s="33" t="inlineStr">
        <is>
          <t>2026-08-02</t>
        </is>
      </c>
      <c r="B2574" s="33" t="inlineStr">
        <is>
          <t>2252.HK</t>
        </is>
      </c>
      <c r="C2574" s="33" t="inlineStr">
        <is>
          <t>R1</t>
        </is>
      </c>
      <c r="D2574" s="33" t="n">
        <v>4</v>
      </c>
      <c r="E2574" s="33" t="inlineStr">
        <is>
          <t>Initial L11-batch rating per agent3 proposal (rationale+source in 11-robotics/research/rating-proposals-2026-08-02/); briefing per-stock/2252.HK/context-2026-08-02.md</t>
        </is>
      </c>
      <c r="F2574" s="33" t="inlineStr">
        <is>
          <t>per-stock/2252.HK/context-2026-08-02.md</t>
        </is>
      </c>
      <c r="G2574" s="33" t="inlineStr">
        <is>
          <t>Medium</t>
        </is>
      </c>
      <c r="H2574" s="33" t="inlineStr">
        <is>
          <t>Initial</t>
        </is>
      </c>
    </row>
    <row r="2575">
      <c r="A2575" s="33" t="inlineStr">
        <is>
          <t>2026-08-02</t>
        </is>
      </c>
      <c r="B2575" s="33" t="inlineStr">
        <is>
          <t>2252.HK</t>
        </is>
      </c>
      <c r="C2575" s="33" t="inlineStr">
        <is>
          <t>R2</t>
        </is>
      </c>
      <c r="D2575" s="33" t="n">
        <v>2</v>
      </c>
      <c r="E2575" s="33" t="inlineStr">
        <is>
          <t>Initial L11-batch rating per agent3 proposal (rationale+source in 11-robotics/research/rating-proposals-2026-08-02/); briefing per-stock/2252.HK/context-2026-08-02.md</t>
        </is>
      </c>
      <c r="F2575" s="33" t="inlineStr">
        <is>
          <t>per-stock/2252.HK/context-2026-08-02.md</t>
        </is>
      </c>
      <c r="G2575" s="33" t="inlineStr">
        <is>
          <t>Medium</t>
        </is>
      </c>
      <c r="H2575" s="33" t="inlineStr">
        <is>
          <t>Initial</t>
        </is>
      </c>
    </row>
    <row r="2576">
      <c r="A2576" s="33" t="inlineStr">
        <is>
          <t>2026-08-02</t>
        </is>
      </c>
      <c r="B2576" s="33" t="inlineStr">
        <is>
          <t>2252.HK</t>
        </is>
      </c>
      <c r="C2576" s="33" t="inlineStr">
        <is>
          <t>R3</t>
        </is>
      </c>
      <c r="D2576" s="33" t="n">
        <v>2</v>
      </c>
      <c r="E2576" s="33" t="inlineStr">
        <is>
          <t>Initial L11-batch rating per agent3 proposal (rationale+source in 11-robotics/research/rating-proposals-2026-08-02/); briefing per-stock/2252.HK/context-2026-08-02.md</t>
        </is>
      </c>
      <c r="F2576" s="33" t="inlineStr">
        <is>
          <t>per-stock/2252.HK/context-2026-08-02.md</t>
        </is>
      </c>
      <c r="G2576" s="33" t="inlineStr">
        <is>
          <t>Medium</t>
        </is>
      </c>
      <c r="H2576" s="33" t="inlineStr">
        <is>
          <t>Initial</t>
        </is>
      </c>
    </row>
    <row r="2577">
      <c r="A2577" s="33" t="inlineStr">
        <is>
          <t>2026-08-02</t>
        </is>
      </c>
      <c r="B2577" s="33" t="inlineStr">
        <is>
          <t>2252.HK</t>
        </is>
      </c>
      <c r="C2577" s="33" t="inlineStr">
        <is>
          <t>R4</t>
        </is>
      </c>
      <c r="D2577" s="33" t="n">
        <v>3</v>
      </c>
      <c r="E2577" s="33" t="inlineStr">
        <is>
          <t>Initial L11-batch rating per agent3 proposal (rationale+source in 11-robotics/research/rating-proposals-2026-08-02/); briefing per-stock/2252.HK/context-2026-08-02.md</t>
        </is>
      </c>
      <c r="F2577" s="33" t="inlineStr">
        <is>
          <t>per-stock/2252.HK/context-2026-08-02.md</t>
        </is>
      </c>
      <c r="G2577" s="33" t="inlineStr">
        <is>
          <t>Medium</t>
        </is>
      </c>
      <c r="H2577" s="33" t="inlineStr">
        <is>
          <t>Initial</t>
        </is>
      </c>
    </row>
    <row r="2578">
      <c r="A2578" s="33" t="inlineStr">
        <is>
          <t>2026-08-02</t>
        </is>
      </c>
      <c r="B2578" s="33" t="inlineStr">
        <is>
          <t>2252.HK</t>
        </is>
      </c>
      <c r="C2578" s="33" t="inlineStr">
        <is>
          <t>R5</t>
        </is>
      </c>
      <c r="D2578" s="33" t="n">
        <v>5</v>
      </c>
      <c r="E2578" s="33" t="inlineStr">
        <is>
          <t>Initial L11-batch rating per agent3 proposal (rationale+source in 11-robotics/research/rating-proposals-2026-08-02/); briefing per-stock/2252.HK/context-2026-08-02.md</t>
        </is>
      </c>
      <c r="F2578" s="33" t="inlineStr">
        <is>
          <t>per-stock/2252.HK/context-2026-08-02.md</t>
        </is>
      </c>
      <c r="G2578" s="33" t="inlineStr">
        <is>
          <t>Medium</t>
        </is>
      </c>
      <c r="H2578" s="33" t="inlineStr">
        <is>
          <t>Initial</t>
        </is>
      </c>
    </row>
    <row r="2579">
      <c r="A2579" s="33" t="inlineStr">
        <is>
          <t>2026-08-02</t>
        </is>
      </c>
      <c r="B2579" s="33" t="inlineStr">
        <is>
          <t>6324.T</t>
        </is>
      </c>
      <c r="C2579" s="33" t="inlineStr">
        <is>
          <t>D1</t>
        </is>
      </c>
      <c r="D2579" s="33" t="n">
        <v>4</v>
      </c>
      <c r="E2579" s="33" t="inlineStr">
        <is>
          <t>Initial L11-batch rating per agent4 proposal (rationale+source in 11-robotics/research/rating-proposals-2026-08-02/); briefing per-stock/6324.T/context-2026-08-02.md</t>
        </is>
      </c>
      <c r="F2579" s="33" t="inlineStr">
        <is>
          <t>per-stock/6324.T/context-2026-08-02.md</t>
        </is>
      </c>
      <c r="G2579" s="33" t="inlineStr">
        <is>
          <t>Medium</t>
        </is>
      </c>
      <c r="H2579" s="33" t="inlineStr">
        <is>
          <t>Initial</t>
        </is>
      </c>
    </row>
    <row r="2580">
      <c r="A2580" s="33" t="inlineStr">
        <is>
          <t>2026-08-02</t>
        </is>
      </c>
      <c r="B2580" s="33" t="inlineStr">
        <is>
          <t>6324.T</t>
        </is>
      </c>
      <c r="C2580" s="33" t="inlineStr">
        <is>
          <t>D2</t>
        </is>
      </c>
      <c r="D2580" s="33" t="n">
        <v>4</v>
      </c>
      <c r="E2580" s="33" t="inlineStr">
        <is>
          <t>Initial L11-batch rating per agent4 proposal (rationale+source in 11-robotics/research/rating-proposals-2026-08-02/); briefing per-stock/6324.T/context-2026-08-02.md</t>
        </is>
      </c>
      <c r="F2580" s="33" t="inlineStr">
        <is>
          <t>per-stock/6324.T/context-2026-08-02.md</t>
        </is>
      </c>
      <c r="G2580" s="33" t="inlineStr">
        <is>
          <t>Medium</t>
        </is>
      </c>
      <c r="H2580" s="33" t="inlineStr">
        <is>
          <t>Initial</t>
        </is>
      </c>
    </row>
    <row r="2581">
      <c r="A2581" s="33" t="inlineStr">
        <is>
          <t>2026-08-02</t>
        </is>
      </c>
      <c r="B2581" s="33" t="inlineStr">
        <is>
          <t>6324.T</t>
        </is>
      </c>
      <c r="C2581" s="33" t="inlineStr">
        <is>
          <t>D3</t>
        </is>
      </c>
      <c r="D2581" s="33" t="n">
        <v>4</v>
      </c>
      <c r="E2581" s="33" t="inlineStr">
        <is>
          <t>Initial L11-batch rating per agent4 proposal (rationale+source in 11-robotics/research/rating-proposals-2026-08-02/); briefing per-stock/6324.T/context-2026-08-02.md</t>
        </is>
      </c>
      <c r="F2581" s="33" t="inlineStr">
        <is>
          <t>per-stock/6324.T/context-2026-08-02.md</t>
        </is>
      </c>
      <c r="G2581" s="33" t="inlineStr">
        <is>
          <t>Medium</t>
        </is>
      </c>
      <c r="H2581" s="33" t="inlineStr">
        <is>
          <t>Initial</t>
        </is>
      </c>
    </row>
    <row r="2582">
      <c r="A2582" s="33" t="inlineStr">
        <is>
          <t>2026-08-02</t>
        </is>
      </c>
      <c r="B2582" s="33" t="inlineStr">
        <is>
          <t>6324.T</t>
        </is>
      </c>
      <c r="C2582" s="33" t="inlineStr">
        <is>
          <t>D4</t>
        </is>
      </c>
      <c r="D2582" s="33" t="n">
        <v>3</v>
      </c>
      <c r="E2582" s="33" t="inlineStr">
        <is>
          <t>Initial L11-batch rating per agent4 proposal (rationale+source in 11-robotics/research/rating-proposals-2026-08-02/); briefing per-stock/6324.T/context-2026-08-02.md</t>
        </is>
      </c>
      <c r="F2582" s="33" t="inlineStr">
        <is>
          <t>per-stock/6324.T/context-2026-08-02.md</t>
        </is>
      </c>
      <c r="G2582" s="33" t="inlineStr">
        <is>
          <t>Medium</t>
        </is>
      </c>
      <c r="H2582" s="33" t="inlineStr">
        <is>
          <t>Initial</t>
        </is>
      </c>
    </row>
    <row r="2583">
      <c r="A2583" s="33" t="inlineStr">
        <is>
          <t>2026-08-02</t>
        </is>
      </c>
      <c r="B2583" s="33" t="inlineStr">
        <is>
          <t>6324.T</t>
        </is>
      </c>
      <c r="C2583" s="33" t="inlineStr">
        <is>
          <t>D5</t>
        </is>
      </c>
      <c r="D2583" s="33" t="n">
        <v>4</v>
      </c>
      <c r="E2583" s="33" t="inlineStr">
        <is>
          <t>Initial L11-batch rating per agent4 proposal (rationale+source in 11-robotics/research/rating-proposals-2026-08-02/); briefing per-stock/6324.T/context-2026-08-02.md</t>
        </is>
      </c>
      <c r="F2583" s="33" t="inlineStr">
        <is>
          <t>per-stock/6324.T/context-2026-08-02.md</t>
        </is>
      </c>
      <c r="G2583" s="33" t="inlineStr">
        <is>
          <t>Medium</t>
        </is>
      </c>
      <c r="H2583" s="33" t="inlineStr">
        <is>
          <t>Initial</t>
        </is>
      </c>
    </row>
    <row r="2584">
      <c r="A2584" s="33" t="inlineStr">
        <is>
          <t>2026-08-02</t>
        </is>
      </c>
      <c r="B2584" s="33" t="inlineStr">
        <is>
          <t>6324.T</t>
        </is>
      </c>
      <c r="C2584" s="33" t="inlineStr">
        <is>
          <t>M1</t>
        </is>
      </c>
      <c r="D2584" s="33" t="n">
        <v>3</v>
      </c>
      <c r="E2584" s="33" t="inlineStr">
        <is>
          <t>Initial L11-batch rating per agent4 proposal (rationale+source in 11-robotics/research/rating-proposals-2026-08-02/); briefing per-stock/6324.T/context-2026-08-02.md</t>
        </is>
      </c>
      <c r="F2584" s="33" t="inlineStr">
        <is>
          <t>per-stock/6324.T/context-2026-08-02.md</t>
        </is>
      </c>
      <c r="G2584" s="33" t="inlineStr">
        <is>
          <t>Medium</t>
        </is>
      </c>
      <c r="H2584" s="33" t="inlineStr">
        <is>
          <t>Initial</t>
        </is>
      </c>
    </row>
    <row r="2585">
      <c r="A2585" s="33" t="inlineStr">
        <is>
          <t>2026-08-02</t>
        </is>
      </c>
      <c r="B2585" s="33" t="inlineStr">
        <is>
          <t>6324.T</t>
        </is>
      </c>
      <c r="C2585" s="33" t="inlineStr">
        <is>
          <t>M2</t>
        </is>
      </c>
      <c r="D2585" s="33" t="n">
        <v>4</v>
      </c>
      <c r="E2585" s="33" t="inlineStr">
        <is>
          <t>Initial L11-batch rating per agent4 proposal (rationale+source in 11-robotics/research/rating-proposals-2026-08-02/); briefing per-stock/6324.T/context-2026-08-02.md</t>
        </is>
      </c>
      <c r="F2585" s="33" t="inlineStr">
        <is>
          <t>per-stock/6324.T/context-2026-08-02.md</t>
        </is>
      </c>
      <c r="G2585" s="33" t="inlineStr">
        <is>
          <t>Medium</t>
        </is>
      </c>
      <c r="H2585" s="33" t="inlineStr">
        <is>
          <t>Initial</t>
        </is>
      </c>
    </row>
    <row r="2586">
      <c r="A2586" s="33" t="inlineStr">
        <is>
          <t>2026-08-02</t>
        </is>
      </c>
      <c r="B2586" s="33" t="inlineStr">
        <is>
          <t>6324.T</t>
        </is>
      </c>
      <c r="C2586" s="33" t="inlineStr">
        <is>
          <t>M3</t>
        </is>
      </c>
      <c r="D2586" s="33" t="n">
        <v>3</v>
      </c>
      <c r="E2586" s="33" t="inlineStr">
        <is>
          <t>Initial L11-batch rating per agent4 proposal (rationale+source in 11-robotics/research/rating-proposals-2026-08-02/); briefing per-stock/6324.T/context-2026-08-02.md</t>
        </is>
      </c>
      <c r="F2586" s="33" t="inlineStr">
        <is>
          <t>per-stock/6324.T/context-2026-08-02.md</t>
        </is>
      </c>
      <c r="G2586" s="33" t="inlineStr">
        <is>
          <t>Medium</t>
        </is>
      </c>
      <c r="H2586" s="33" t="inlineStr">
        <is>
          <t>Initial</t>
        </is>
      </c>
    </row>
    <row r="2587">
      <c r="A2587" s="33" t="inlineStr">
        <is>
          <t>2026-08-02</t>
        </is>
      </c>
      <c r="B2587" s="33" t="inlineStr">
        <is>
          <t>6324.T</t>
        </is>
      </c>
      <c r="C2587" s="33" t="inlineStr">
        <is>
          <t>R1</t>
        </is>
      </c>
      <c r="D2587" s="33" t="n">
        <v>4</v>
      </c>
      <c r="E2587" s="33" t="inlineStr">
        <is>
          <t>Initial L11-batch rating per agent4 proposal (rationale+source in 11-robotics/research/rating-proposals-2026-08-02/); briefing per-stock/6324.T/context-2026-08-02.md</t>
        </is>
      </c>
      <c r="F2587" s="33" t="inlineStr">
        <is>
          <t>per-stock/6324.T/context-2026-08-02.md</t>
        </is>
      </c>
      <c r="G2587" s="33" t="inlineStr">
        <is>
          <t>Medium</t>
        </is>
      </c>
      <c r="H2587" s="33" t="inlineStr">
        <is>
          <t>Initial</t>
        </is>
      </c>
    </row>
    <row r="2588">
      <c r="A2588" s="33" t="inlineStr">
        <is>
          <t>2026-08-02</t>
        </is>
      </c>
      <c r="B2588" s="33" t="inlineStr">
        <is>
          <t>6324.T</t>
        </is>
      </c>
      <c r="C2588" s="33" t="inlineStr">
        <is>
          <t>R2</t>
        </is>
      </c>
      <c r="D2588" s="33" t="n">
        <v>4</v>
      </c>
      <c r="E2588" s="33" t="inlineStr">
        <is>
          <t>Initial L11-batch rating per agent4 proposal (rationale+source in 11-robotics/research/rating-proposals-2026-08-02/); briefing per-stock/6324.T/context-2026-08-02.md</t>
        </is>
      </c>
      <c r="F2588" s="33" t="inlineStr">
        <is>
          <t>per-stock/6324.T/context-2026-08-02.md</t>
        </is>
      </c>
      <c r="G2588" s="33" t="inlineStr">
        <is>
          <t>Medium</t>
        </is>
      </c>
      <c r="H2588" s="33" t="inlineStr">
        <is>
          <t>Initial</t>
        </is>
      </c>
    </row>
    <row r="2589">
      <c r="A2589" s="33" t="inlineStr">
        <is>
          <t>2026-08-02</t>
        </is>
      </c>
      <c r="B2589" s="33" t="inlineStr">
        <is>
          <t>6324.T</t>
        </is>
      </c>
      <c r="C2589" s="33" t="inlineStr">
        <is>
          <t>R3</t>
        </is>
      </c>
      <c r="D2589" s="33" t="n">
        <v>4</v>
      </c>
      <c r="E2589" s="33" t="inlineStr">
        <is>
          <t>Initial L11-batch rating per agent4 proposal (rationale+source in 11-robotics/research/rating-proposals-2026-08-02/); briefing per-stock/6324.T/context-2026-08-02.md</t>
        </is>
      </c>
      <c r="F2589" s="33" t="inlineStr">
        <is>
          <t>per-stock/6324.T/context-2026-08-02.md</t>
        </is>
      </c>
      <c r="G2589" s="33" t="inlineStr">
        <is>
          <t>Medium</t>
        </is>
      </c>
      <c r="H2589" s="33" t="inlineStr">
        <is>
          <t>Initial</t>
        </is>
      </c>
    </row>
    <row r="2590">
      <c r="A2590" s="33" t="inlineStr">
        <is>
          <t>2026-08-02</t>
        </is>
      </c>
      <c r="B2590" s="33" t="inlineStr">
        <is>
          <t>6324.T</t>
        </is>
      </c>
      <c r="C2590" s="33" t="inlineStr">
        <is>
          <t>R4</t>
        </is>
      </c>
      <c r="D2590" s="33" t="n">
        <v>4</v>
      </c>
      <c r="E2590" s="33" t="inlineStr">
        <is>
          <t>Initial L11-batch rating per agent4 proposal (rationale+source in 11-robotics/research/rating-proposals-2026-08-02/); briefing per-stock/6324.T/context-2026-08-02.md</t>
        </is>
      </c>
      <c r="F2590" s="33" t="inlineStr">
        <is>
          <t>per-stock/6324.T/context-2026-08-02.md</t>
        </is>
      </c>
      <c r="G2590" s="33" t="inlineStr">
        <is>
          <t>Medium</t>
        </is>
      </c>
      <c r="H2590" s="33" t="inlineStr">
        <is>
          <t>Initial</t>
        </is>
      </c>
    </row>
    <row r="2591">
      <c r="A2591" s="33" t="inlineStr">
        <is>
          <t>2026-08-02</t>
        </is>
      </c>
      <c r="B2591" s="33" t="inlineStr">
        <is>
          <t>6324.T</t>
        </is>
      </c>
      <c r="C2591" s="33" t="inlineStr">
        <is>
          <t>R5</t>
        </is>
      </c>
      <c r="D2591" s="33" t="n">
        <v>5</v>
      </c>
      <c r="E2591" s="33" t="inlineStr">
        <is>
          <t>Initial L11-batch rating per agent4 proposal (rationale+source in 11-robotics/research/rating-proposals-2026-08-02/); briefing per-stock/6324.T/context-2026-08-02.md</t>
        </is>
      </c>
      <c r="F2591" s="33" t="inlineStr">
        <is>
          <t>per-stock/6324.T/context-2026-08-02.md</t>
        </is>
      </c>
      <c r="G2591" s="33" t="inlineStr">
        <is>
          <t>Medium</t>
        </is>
      </c>
      <c r="H2591" s="33" t="inlineStr">
        <is>
          <t>Initial</t>
        </is>
      </c>
    </row>
    <row r="2592">
      <c r="A2592" s="33" t="inlineStr">
        <is>
          <t>2026-08-02</t>
        </is>
      </c>
      <c r="B2592" s="33" t="inlineStr">
        <is>
          <t>6268.T</t>
        </is>
      </c>
      <c r="C2592" s="33" t="inlineStr">
        <is>
          <t>D1</t>
        </is>
      </c>
      <c r="D2592" s="33" t="n">
        <v>4</v>
      </c>
      <c r="E2592" s="33" t="inlineStr">
        <is>
          <t>Initial L11-batch rating per agent4 proposal (rationale+source in 11-robotics/research/rating-proposals-2026-08-02/); briefing per-stock/6268.T/context-2026-08-02.md</t>
        </is>
      </c>
      <c r="F2592" s="33" t="inlineStr">
        <is>
          <t>per-stock/6268.T/context-2026-08-02.md</t>
        </is>
      </c>
      <c r="G2592" s="33" t="inlineStr">
        <is>
          <t>Medium</t>
        </is>
      </c>
      <c r="H2592" s="33" t="inlineStr">
        <is>
          <t>Initial</t>
        </is>
      </c>
    </row>
    <row r="2593">
      <c r="A2593" s="33" t="inlineStr">
        <is>
          <t>2026-08-02</t>
        </is>
      </c>
      <c r="B2593" s="33" t="inlineStr">
        <is>
          <t>6268.T</t>
        </is>
      </c>
      <c r="C2593" s="33" t="inlineStr">
        <is>
          <t>D2</t>
        </is>
      </c>
      <c r="D2593" s="33" t="n">
        <v>4</v>
      </c>
      <c r="E2593" s="33" t="inlineStr">
        <is>
          <t>Initial L11-batch rating per agent4 proposal (rationale+source in 11-robotics/research/rating-proposals-2026-08-02/); briefing per-stock/6268.T/context-2026-08-02.md</t>
        </is>
      </c>
      <c r="F2593" s="33" t="inlineStr">
        <is>
          <t>per-stock/6268.T/context-2026-08-02.md</t>
        </is>
      </c>
      <c r="G2593" s="33" t="inlineStr">
        <is>
          <t>Medium</t>
        </is>
      </c>
      <c r="H2593" s="33" t="inlineStr">
        <is>
          <t>Initial</t>
        </is>
      </c>
    </row>
    <row r="2594">
      <c r="A2594" s="33" t="inlineStr">
        <is>
          <t>2026-08-02</t>
        </is>
      </c>
      <c r="B2594" s="33" t="inlineStr">
        <is>
          <t>6268.T</t>
        </is>
      </c>
      <c r="C2594" s="33" t="inlineStr">
        <is>
          <t>D3</t>
        </is>
      </c>
      <c r="D2594" s="33" t="n">
        <v>4</v>
      </c>
      <c r="E2594" s="33" t="inlineStr">
        <is>
          <t>Initial L11-batch rating per agent4 proposal (rationale+source in 11-robotics/research/rating-proposals-2026-08-02/); briefing per-stock/6268.T/context-2026-08-02.md</t>
        </is>
      </c>
      <c r="F2594" s="33" t="inlineStr">
        <is>
          <t>per-stock/6268.T/context-2026-08-02.md</t>
        </is>
      </c>
      <c r="G2594" s="33" t="inlineStr">
        <is>
          <t>Medium</t>
        </is>
      </c>
      <c r="H2594" s="33" t="inlineStr">
        <is>
          <t>Initial</t>
        </is>
      </c>
    </row>
    <row r="2595">
      <c r="A2595" s="33" t="inlineStr">
        <is>
          <t>2026-08-02</t>
        </is>
      </c>
      <c r="B2595" s="33" t="inlineStr">
        <is>
          <t>6268.T</t>
        </is>
      </c>
      <c r="C2595" s="33" t="inlineStr">
        <is>
          <t>D4</t>
        </is>
      </c>
      <c r="D2595" s="33" t="n">
        <v>4</v>
      </c>
      <c r="E2595" s="33" t="inlineStr">
        <is>
          <t>Initial L11-batch rating per agent4 proposal (rationale+source in 11-robotics/research/rating-proposals-2026-08-02/); briefing per-stock/6268.T/context-2026-08-02.md</t>
        </is>
      </c>
      <c r="F2595" s="33" t="inlineStr">
        <is>
          <t>per-stock/6268.T/context-2026-08-02.md</t>
        </is>
      </c>
      <c r="G2595" s="33" t="inlineStr">
        <is>
          <t>Medium</t>
        </is>
      </c>
      <c r="H2595" s="33" t="inlineStr">
        <is>
          <t>Initial</t>
        </is>
      </c>
    </row>
    <row r="2596">
      <c r="A2596" s="33" t="inlineStr">
        <is>
          <t>2026-08-02</t>
        </is>
      </c>
      <c r="B2596" s="33" t="inlineStr">
        <is>
          <t>6268.T</t>
        </is>
      </c>
      <c r="C2596" s="33" t="inlineStr">
        <is>
          <t>D5</t>
        </is>
      </c>
      <c r="D2596" s="33" t="n">
        <v>2</v>
      </c>
      <c r="E2596" s="33" t="inlineStr">
        <is>
          <t>Initial L11-batch rating per agent4 proposal (rationale+source in 11-robotics/research/rating-proposals-2026-08-02/); briefing per-stock/6268.T/context-2026-08-02.md</t>
        </is>
      </c>
      <c r="F2596" s="33" t="inlineStr">
        <is>
          <t>per-stock/6268.T/context-2026-08-02.md</t>
        </is>
      </c>
      <c r="G2596" s="33" t="inlineStr">
        <is>
          <t>Medium</t>
        </is>
      </c>
      <c r="H2596" s="33" t="inlineStr">
        <is>
          <t>Initial</t>
        </is>
      </c>
    </row>
    <row r="2597">
      <c r="A2597" s="33" t="inlineStr">
        <is>
          <t>2026-08-02</t>
        </is>
      </c>
      <c r="B2597" s="33" t="inlineStr">
        <is>
          <t>6268.T</t>
        </is>
      </c>
      <c r="C2597" s="33" t="inlineStr">
        <is>
          <t>M1</t>
        </is>
      </c>
      <c r="D2597" s="33" t="n">
        <v>5</v>
      </c>
      <c r="E2597" s="33" t="inlineStr">
        <is>
          <t>Initial L11-batch rating per agent4 proposal (rationale+source in 11-robotics/research/rating-proposals-2026-08-02/); briefing per-stock/6268.T/context-2026-08-02.md</t>
        </is>
      </c>
      <c r="F2597" s="33" t="inlineStr">
        <is>
          <t>per-stock/6268.T/context-2026-08-02.md</t>
        </is>
      </c>
      <c r="G2597" s="33" t="inlineStr">
        <is>
          <t>Medium</t>
        </is>
      </c>
      <c r="H2597" s="33" t="inlineStr">
        <is>
          <t>Initial</t>
        </is>
      </c>
    </row>
    <row r="2598">
      <c r="A2598" s="33" t="inlineStr">
        <is>
          <t>2026-08-02</t>
        </is>
      </c>
      <c r="B2598" s="33" t="inlineStr">
        <is>
          <t>6268.T</t>
        </is>
      </c>
      <c r="C2598" s="33" t="inlineStr">
        <is>
          <t>M2</t>
        </is>
      </c>
      <c r="D2598" s="33" t="n">
        <v>5</v>
      </c>
      <c r="E2598" s="33" t="inlineStr">
        <is>
          <t>Initial L11-batch rating per agent4 proposal (rationale+source in 11-robotics/research/rating-proposals-2026-08-02/); briefing per-stock/6268.T/context-2026-08-02.md</t>
        </is>
      </c>
      <c r="F2598" s="33" t="inlineStr">
        <is>
          <t>per-stock/6268.T/context-2026-08-02.md</t>
        </is>
      </c>
      <c r="G2598" s="33" t="inlineStr">
        <is>
          <t>Medium</t>
        </is>
      </c>
      <c r="H2598" s="33" t="inlineStr">
        <is>
          <t>Initial</t>
        </is>
      </c>
    </row>
    <row r="2599">
      <c r="A2599" s="33" t="inlineStr">
        <is>
          <t>2026-08-02</t>
        </is>
      </c>
      <c r="B2599" s="33" t="inlineStr">
        <is>
          <t>6268.T</t>
        </is>
      </c>
      <c r="C2599" s="33" t="inlineStr">
        <is>
          <t>M3</t>
        </is>
      </c>
      <c r="D2599" s="33" t="n">
        <v>3</v>
      </c>
      <c r="E2599" s="33" t="inlineStr">
        <is>
          <t>Initial L11-batch rating per agent4 proposal (rationale+source in 11-robotics/research/rating-proposals-2026-08-02/); briefing per-stock/6268.T/context-2026-08-02.md</t>
        </is>
      </c>
      <c r="F2599" s="33" t="inlineStr">
        <is>
          <t>per-stock/6268.T/context-2026-08-02.md</t>
        </is>
      </c>
      <c r="G2599" s="33" t="inlineStr">
        <is>
          <t>Medium</t>
        </is>
      </c>
      <c r="H2599" s="33" t="inlineStr">
        <is>
          <t>Initial</t>
        </is>
      </c>
    </row>
    <row r="2600">
      <c r="A2600" s="33" t="inlineStr">
        <is>
          <t>2026-08-02</t>
        </is>
      </c>
      <c r="B2600" s="33" t="inlineStr">
        <is>
          <t>6268.T</t>
        </is>
      </c>
      <c r="C2600" s="33" t="inlineStr">
        <is>
          <t>R1</t>
        </is>
      </c>
      <c r="D2600" s="33" t="n">
        <v>5</v>
      </c>
      <c r="E2600" s="33" t="inlineStr">
        <is>
          <t>Initial L11-batch rating per agent4 proposal (rationale+source in 11-robotics/research/rating-proposals-2026-08-02/); briefing per-stock/6268.T/context-2026-08-02.md</t>
        </is>
      </c>
      <c r="F2600" s="33" t="inlineStr">
        <is>
          <t>per-stock/6268.T/context-2026-08-02.md</t>
        </is>
      </c>
      <c r="G2600" s="33" t="inlineStr">
        <is>
          <t>Medium</t>
        </is>
      </c>
      <c r="H2600" s="33" t="inlineStr">
        <is>
          <t>Initial</t>
        </is>
      </c>
    </row>
    <row r="2601">
      <c r="A2601" s="33" t="inlineStr">
        <is>
          <t>2026-08-02</t>
        </is>
      </c>
      <c r="B2601" s="33" t="inlineStr">
        <is>
          <t>6268.T</t>
        </is>
      </c>
      <c r="C2601" s="33" t="inlineStr">
        <is>
          <t>R2</t>
        </is>
      </c>
      <c r="D2601" s="33" t="n">
        <v>3</v>
      </c>
      <c r="E2601" s="33" t="inlineStr">
        <is>
          <t>Initial L11-batch rating per agent4 proposal (rationale+source in 11-robotics/research/rating-proposals-2026-08-02/); briefing per-stock/6268.T/context-2026-08-02.md</t>
        </is>
      </c>
      <c r="F2601" s="33" t="inlineStr">
        <is>
          <t>per-stock/6268.T/context-2026-08-02.md</t>
        </is>
      </c>
      <c r="G2601" s="33" t="inlineStr">
        <is>
          <t>Medium</t>
        </is>
      </c>
      <c r="H2601" s="33" t="inlineStr">
        <is>
          <t>Initial</t>
        </is>
      </c>
    </row>
    <row r="2602">
      <c r="A2602" s="33" t="inlineStr">
        <is>
          <t>2026-08-02</t>
        </is>
      </c>
      <c r="B2602" s="33" t="inlineStr">
        <is>
          <t>6268.T</t>
        </is>
      </c>
      <c r="C2602" s="33" t="inlineStr">
        <is>
          <t>R3</t>
        </is>
      </c>
      <c r="D2602" s="33" t="n">
        <v>5</v>
      </c>
      <c r="E2602" s="33" t="inlineStr">
        <is>
          <t>Initial L11-batch rating per agent4 proposal (rationale+source in 11-robotics/research/rating-proposals-2026-08-02/); briefing per-stock/6268.T/context-2026-08-02.md</t>
        </is>
      </c>
      <c r="F2602" s="33" t="inlineStr">
        <is>
          <t>per-stock/6268.T/context-2026-08-02.md</t>
        </is>
      </c>
      <c r="G2602" s="33" t="inlineStr">
        <is>
          <t>Medium</t>
        </is>
      </c>
      <c r="H2602" s="33" t="inlineStr">
        <is>
          <t>Initial</t>
        </is>
      </c>
    </row>
    <row r="2603">
      <c r="A2603" s="33" t="inlineStr">
        <is>
          <t>2026-08-02</t>
        </is>
      </c>
      <c r="B2603" s="33" t="inlineStr">
        <is>
          <t>6268.T</t>
        </is>
      </c>
      <c r="C2603" s="33" t="inlineStr">
        <is>
          <t>R4</t>
        </is>
      </c>
      <c r="D2603" s="33" t="n">
        <v>4</v>
      </c>
      <c r="E2603" s="33" t="inlineStr">
        <is>
          <t>Initial L11-batch rating per agent4 proposal (rationale+source in 11-robotics/research/rating-proposals-2026-08-02/); briefing per-stock/6268.T/context-2026-08-02.md</t>
        </is>
      </c>
      <c r="F2603" s="33" t="inlineStr">
        <is>
          <t>per-stock/6268.T/context-2026-08-02.md</t>
        </is>
      </c>
      <c r="G2603" s="33" t="inlineStr">
        <is>
          <t>Medium</t>
        </is>
      </c>
      <c r="H2603" s="33" t="inlineStr">
        <is>
          <t>Initial</t>
        </is>
      </c>
    </row>
    <row r="2604">
      <c r="A2604" s="33" t="inlineStr">
        <is>
          <t>2026-08-02</t>
        </is>
      </c>
      <c r="B2604" s="33" t="inlineStr">
        <is>
          <t>6268.T</t>
        </is>
      </c>
      <c r="C2604" s="33" t="inlineStr">
        <is>
          <t>R5</t>
        </is>
      </c>
      <c r="D2604" s="33" t="n">
        <v>5</v>
      </c>
      <c r="E2604" s="33" t="inlineStr">
        <is>
          <t>Initial L11-batch rating per agent4 proposal (rationale+source in 11-robotics/research/rating-proposals-2026-08-02/); briefing per-stock/6268.T/context-2026-08-02.md</t>
        </is>
      </c>
      <c r="F2604" s="33" t="inlineStr">
        <is>
          <t>per-stock/6268.T/context-2026-08-02.md</t>
        </is>
      </c>
      <c r="G2604" s="33" t="inlineStr">
        <is>
          <t>Medium</t>
        </is>
      </c>
      <c r="H2604" s="33" t="inlineStr">
        <is>
          <t>Initial</t>
        </is>
      </c>
    </row>
    <row r="2605">
      <c r="A2605" s="33" t="inlineStr">
        <is>
          <t>2026-08-02</t>
        </is>
      </c>
      <c r="B2605" s="33" t="inlineStr">
        <is>
          <t>6481.T</t>
        </is>
      </c>
      <c r="C2605" s="33" t="inlineStr">
        <is>
          <t>D1</t>
        </is>
      </c>
      <c r="D2605" s="33" t="n">
        <v>3</v>
      </c>
      <c r="E2605" s="33" t="inlineStr">
        <is>
          <t>No robotics split disclosed; 10-25% estimate. Weakest-sourced D1 in the motion block - refill from 8/5 tanshin.</t>
        </is>
      </c>
      <c r="F2605" s="33" t="inlineStr">
        <is>
          <t>per-stock/6481.T/context-2026-08-02.md</t>
        </is>
      </c>
      <c r="G2605" s="33" t="inlineStr">
        <is>
          <t>Medium</t>
        </is>
      </c>
      <c r="H2605" s="33" t="inlineStr">
        <is>
          <t>Initial</t>
        </is>
      </c>
    </row>
    <row r="2606">
      <c r="A2606" s="33" t="inlineStr">
        <is>
          <t>2026-08-02</t>
        </is>
      </c>
      <c r="B2606" s="33" t="inlineStr">
        <is>
          <t>6481.T</t>
        </is>
      </c>
      <c r="C2606" s="33" t="inlineStr">
        <is>
          <t>D2</t>
        </is>
      </c>
      <c r="D2606" s="33" t="n">
        <v>4</v>
      </c>
      <c r="E2606" s="33" t="inlineStr">
        <is>
          <t>Initial L11-batch rating per agent4 proposal (rationale+source in 11-robotics/research/rating-proposals-2026-08-02/); briefing per-stock/6481.T/context-2026-08-02.md</t>
        </is>
      </c>
      <c r="F2606" s="33" t="inlineStr">
        <is>
          <t>per-stock/6481.T/context-2026-08-02.md</t>
        </is>
      </c>
      <c r="G2606" s="33" t="inlineStr">
        <is>
          <t>Medium</t>
        </is>
      </c>
      <c r="H2606" s="33" t="inlineStr">
        <is>
          <t>Initial</t>
        </is>
      </c>
    </row>
    <row r="2607">
      <c r="A2607" s="33" t="inlineStr">
        <is>
          <t>2026-08-02</t>
        </is>
      </c>
      <c r="B2607" s="33" t="inlineStr">
        <is>
          <t>6481.T</t>
        </is>
      </c>
      <c r="C2607" s="33" t="inlineStr">
        <is>
          <t>D3</t>
        </is>
      </c>
      <c r="D2607" s="33" t="n">
        <v>3</v>
      </c>
      <c r="E2607" s="33" t="inlineStr">
        <is>
          <t>Initial L11-batch rating per agent4 proposal (rationale+source in 11-robotics/research/rating-proposals-2026-08-02/); briefing per-stock/6481.T/context-2026-08-02.md</t>
        </is>
      </c>
      <c r="F2607" s="33" t="inlineStr">
        <is>
          <t>per-stock/6481.T/context-2026-08-02.md</t>
        </is>
      </c>
      <c r="G2607" s="33" t="inlineStr">
        <is>
          <t>Medium</t>
        </is>
      </c>
      <c r="H2607" s="33" t="inlineStr">
        <is>
          <t>Initial</t>
        </is>
      </c>
    </row>
    <row r="2608">
      <c r="A2608" s="33" t="inlineStr">
        <is>
          <t>2026-08-02</t>
        </is>
      </c>
      <c r="B2608" s="33" t="inlineStr">
        <is>
          <t>6481.T</t>
        </is>
      </c>
      <c r="C2608" s="33" t="inlineStr">
        <is>
          <t>D4</t>
        </is>
      </c>
      <c r="D2608" s="33" t="n">
        <v>3</v>
      </c>
      <c r="E2608" s="33" t="inlineStr">
        <is>
          <t>Initial L11-batch rating per agent4 proposal (rationale+source in 11-robotics/research/rating-proposals-2026-08-02/); briefing per-stock/6481.T/context-2026-08-02.md</t>
        </is>
      </c>
      <c r="F2608" s="33" t="inlineStr">
        <is>
          <t>per-stock/6481.T/context-2026-08-02.md</t>
        </is>
      </c>
      <c r="G2608" s="33" t="inlineStr">
        <is>
          <t>Medium</t>
        </is>
      </c>
      <c r="H2608" s="33" t="inlineStr">
        <is>
          <t>Initial</t>
        </is>
      </c>
    </row>
    <row r="2609">
      <c r="A2609" s="33" t="inlineStr">
        <is>
          <t>2026-08-02</t>
        </is>
      </c>
      <c r="B2609" s="33" t="inlineStr">
        <is>
          <t>6481.T</t>
        </is>
      </c>
      <c r="C2609" s="33" t="inlineStr">
        <is>
          <t>D5</t>
        </is>
      </c>
      <c r="D2609" s="33" t="n">
        <v>2</v>
      </c>
      <c r="E2609" s="33" t="inlineStr">
        <is>
          <t>Initial L11-batch rating per agent4 proposal (rationale+source in 11-robotics/research/rating-proposals-2026-08-02/); briefing per-stock/6481.T/context-2026-08-02.md</t>
        </is>
      </c>
      <c r="F2609" s="33" t="inlineStr">
        <is>
          <t>per-stock/6481.T/context-2026-08-02.md</t>
        </is>
      </c>
      <c r="G2609" s="33" t="inlineStr">
        <is>
          <t>Medium</t>
        </is>
      </c>
      <c r="H2609" s="33" t="inlineStr">
        <is>
          <t>Initial</t>
        </is>
      </c>
    </row>
    <row r="2610">
      <c r="A2610" s="33" t="inlineStr">
        <is>
          <t>2026-08-02</t>
        </is>
      </c>
      <c r="B2610" s="33" t="inlineStr">
        <is>
          <t>6481.T</t>
        </is>
      </c>
      <c r="C2610" s="33" t="inlineStr">
        <is>
          <t>M1</t>
        </is>
      </c>
      <c r="D2610" s="33" t="n">
        <v>4</v>
      </c>
      <c r="E2610" s="33" t="inlineStr">
        <is>
          <t>Initial L11-batch rating per agent4 proposal (rationale+source in 11-robotics/research/rating-proposals-2026-08-02/); briefing per-stock/6481.T/context-2026-08-02.md</t>
        </is>
      </c>
      <c r="F2610" s="33" t="inlineStr">
        <is>
          <t>per-stock/6481.T/context-2026-08-02.md</t>
        </is>
      </c>
      <c r="G2610" s="33" t="inlineStr">
        <is>
          <t>Medium</t>
        </is>
      </c>
      <c r="H2610" s="33" t="inlineStr">
        <is>
          <t>Initial</t>
        </is>
      </c>
    </row>
    <row r="2611">
      <c r="A2611" s="33" t="inlineStr">
        <is>
          <t>2026-08-02</t>
        </is>
      </c>
      <c r="B2611" s="33" t="inlineStr">
        <is>
          <t>6481.T</t>
        </is>
      </c>
      <c r="C2611" s="33" t="inlineStr">
        <is>
          <t>M2</t>
        </is>
      </c>
      <c r="D2611" s="33" t="n">
        <v>5</v>
      </c>
      <c r="E2611" s="33" t="inlineStr">
        <is>
          <t>Initial L11-batch rating per agent4 proposal (rationale+source in 11-robotics/research/rating-proposals-2026-08-02/); briefing per-stock/6481.T/context-2026-08-02.md</t>
        </is>
      </c>
      <c r="F2611" s="33" t="inlineStr">
        <is>
          <t>per-stock/6481.T/context-2026-08-02.md</t>
        </is>
      </c>
      <c r="G2611" s="33" t="inlineStr">
        <is>
          <t>Medium</t>
        </is>
      </c>
      <c r="H2611" s="33" t="inlineStr">
        <is>
          <t>Initial</t>
        </is>
      </c>
    </row>
    <row r="2612">
      <c r="A2612" s="33" t="inlineStr">
        <is>
          <t>2026-08-02</t>
        </is>
      </c>
      <c r="B2612" s="33" t="inlineStr">
        <is>
          <t>6481.T</t>
        </is>
      </c>
      <c r="C2612" s="33" t="inlineStr">
        <is>
          <t>M3</t>
        </is>
      </c>
      <c r="D2612" s="33" t="n">
        <v>3</v>
      </c>
      <c r="E2612" s="33" t="inlineStr">
        <is>
          <t>Initial L11-batch rating per agent4 proposal (rationale+source in 11-robotics/research/rating-proposals-2026-08-02/); briefing per-stock/6481.T/context-2026-08-02.md</t>
        </is>
      </c>
      <c r="F2612" s="33" t="inlineStr">
        <is>
          <t>per-stock/6481.T/context-2026-08-02.md</t>
        </is>
      </c>
      <c r="G2612" s="33" t="inlineStr">
        <is>
          <t>Medium</t>
        </is>
      </c>
      <c r="H2612" s="33" t="inlineStr">
        <is>
          <t>Initial</t>
        </is>
      </c>
    </row>
    <row r="2613">
      <c r="A2613" s="33" t="inlineStr">
        <is>
          <t>2026-08-02</t>
        </is>
      </c>
      <c r="B2613" s="33" t="inlineStr">
        <is>
          <t>6481.T</t>
        </is>
      </c>
      <c r="C2613" s="33" t="inlineStr">
        <is>
          <t>R1</t>
        </is>
      </c>
      <c r="D2613" s="33" t="n">
        <v>5</v>
      </c>
      <c r="E2613" s="33" t="inlineStr">
        <is>
          <t>Initial L11-batch rating per agent4 proposal (rationale+source in 11-robotics/research/rating-proposals-2026-08-02/); briefing per-stock/6481.T/context-2026-08-02.md</t>
        </is>
      </c>
      <c r="F2613" s="33" t="inlineStr">
        <is>
          <t>per-stock/6481.T/context-2026-08-02.md</t>
        </is>
      </c>
      <c r="G2613" s="33" t="inlineStr">
        <is>
          <t>Medium</t>
        </is>
      </c>
      <c r="H2613" s="33" t="inlineStr">
        <is>
          <t>Initial</t>
        </is>
      </c>
    </row>
    <row r="2614">
      <c r="A2614" s="33" t="inlineStr">
        <is>
          <t>2026-08-02</t>
        </is>
      </c>
      <c r="B2614" s="33" t="inlineStr">
        <is>
          <t>6481.T</t>
        </is>
      </c>
      <c r="C2614" s="33" t="inlineStr">
        <is>
          <t>R2</t>
        </is>
      </c>
      <c r="D2614" s="33" t="n">
        <v>3</v>
      </c>
      <c r="E2614" s="33" t="inlineStr">
        <is>
          <t>Initial L11-batch rating per agent4 proposal (rationale+source in 11-robotics/research/rating-proposals-2026-08-02/); briefing per-stock/6481.T/context-2026-08-02.md</t>
        </is>
      </c>
      <c r="F2614" s="33" t="inlineStr">
        <is>
          <t>per-stock/6481.T/context-2026-08-02.md</t>
        </is>
      </c>
      <c r="G2614" s="33" t="inlineStr">
        <is>
          <t>Medium</t>
        </is>
      </c>
      <c r="H2614" s="33" t="inlineStr">
        <is>
          <t>Initial</t>
        </is>
      </c>
    </row>
    <row r="2615">
      <c r="A2615" s="33" t="inlineStr">
        <is>
          <t>2026-08-02</t>
        </is>
      </c>
      <c r="B2615" s="33" t="inlineStr">
        <is>
          <t>6481.T</t>
        </is>
      </c>
      <c r="C2615" s="33" t="inlineStr">
        <is>
          <t>R3</t>
        </is>
      </c>
      <c r="D2615" s="33" t="n">
        <v>4</v>
      </c>
      <c r="E2615" s="33" t="inlineStr">
        <is>
          <t>Initial L11-batch rating per agent4 proposal (rationale+source in 11-robotics/research/rating-proposals-2026-08-02/); briefing per-stock/6481.T/context-2026-08-02.md</t>
        </is>
      </c>
      <c r="F2615" s="33" t="inlineStr">
        <is>
          <t>per-stock/6481.T/context-2026-08-02.md</t>
        </is>
      </c>
      <c r="G2615" s="33" t="inlineStr">
        <is>
          <t>Medium</t>
        </is>
      </c>
      <c r="H2615" s="33" t="inlineStr">
        <is>
          <t>Initial</t>
        </is>
      </c>
    </row>
    <row r="2616">
      <c r="A2616" s="33" t="inlineStr">
        <is>
          <t>2026-08-02</t>
        </is>
      </c>
      <c r="B2616" s="33" t="inlineStr">
        <is>
          <t>6481.T</t>
        </is>
      </c>
      <c r="C2616" s="33" t="inlineStr">
        <is>
          <t>R4</t>
        </is>
      </c>
      <c r="D2616" s="33" t="n">
        <v>4</v>
      </c>
      <c r="E2616" s="33" t="inlineStr">
        <is>
          <t>Initial L11-batch rating per agent4 proposal (rationale+source in 11-robotics/research/rating-proposals-2026-08-02/); briefing per-stock/6481.T/context-2026-08-02.md</t>
        </is>
      </c>
      <c r="F2616" s="33" t="inlineStr">
        <is>
          <t>per-stock/6481.T/context-2026-08-02.md</t>
        </is>
      </c>
      <c r="G2616" s="33" t="inlineStr">
        <is>
          <t>Medium</t>
        </is>
      </c>
      <c r="H2616" s="33" t="inlineStr">
        <is>
          <t>Initial</t>
        </is>
      </c>
    </row>
    <row r="2617">
      <c r="A2617" s="33" t="inlineStr">
        <is>
          <t>2026-08-02</t>
        </is>
      </c>
      <c r="B2617" s="33" t="inlineStr">
        <is>
          <t>6481.T</t>
        </is>
      </c>
      <c r="C2617" s="33" t="inlineStr">
        <is>
          <t>R5</t>
        </is>
      </c>
      <c r="D2617" s="33" t="n">
        <v>5</v>
      </c>
      <c r="E2617" s="33" t="inlineStr">
        <is>
          <t>Initial L11-batch rating per agent4 proposal (rationale+source in 11-robotics/research/rating-proposals-2026-08-02/); briefing per-stock/6481.T/context-2026-08-02.md</t>
        </is>
      </c>
      <c r="F2617" s="33" t="inlineStr">
        <is>
          <t>per-stock/6481.T/context-2026-08-02.md</t>
        </is>
      </c>
      <c r="G2617" s="33" t="inlineStr">
        <is>
          <t>Medium</t>
        </is>
      </c>
      <c r="H2617" s="33" t="inlineStr">
        <is>
          <t>Initial</t>
        </is>
      </c>
    </row>
    <row r="2618">
      <c r="A2618" s="33" t="inlineStr">
        <is>
          <t>2026-08-02</t>
        </is>
      </c>
      <c r="B2618" s="33" t="inlineStr">
        <is>
          <t>2049.TW</t>
        </is>
      </c>
      <c r="C2618" s="33" t="inlineStr">
        <is>
          <t>D1</t>
        </is>
      </c>
      <c r="D2618" s="33" t="n">
        <v>3</v>
      </c>
      <c r="E2618" s="33" t="inlineStr">
        <is>
          <t>Initial L11-batch rating per agent4 proposal (rationale+source in 11-robotics/research/rating-proposals-2026-08-02/); briefing per-stock/2049.TW/context-2026-08-02.md</t>
        </is>
      </c>
      <c r="F2618" s="33" t="inlineStr">
        <is>
          <t>per-stock/2049.TW/context-2026-08-02.md</t>
        </is>
      </c>
      <c r="G2618" s="33" t="inlineStr">
        <is>
          <t>Medium</t>
        </is>
      </c>
      <c r="H2618" s="33" t="inlineStr">
        <is>
          <t>Initial</t>
        </is>
      </c>
    </row>
    <row r="2619">
      <c r="A2619" s="33" t="inlineStr">
        <is>
          <t>2026-08-02</t>
        </is>
      </c>
      <c r="B2619" s="33" t="inlineStr">
        <is>
          <t>2049.TW</t>
        </is>
      </c>
      <c r="C2619" s="33" t="inlineStr">
        <is>
          <t>D2</t>
        </is>
      </c>
      <c r="D2619" s="33" t="n">
        <v>4</v>
      </c>
      <c r="E2619" s="33" t="inlineStr">
        <is>
          <t>Initial L11-batch rating per agent4 proposal (rationale+source in 11-robotics/research/rating-proposals-2026-08-02/); briefing per-stock/2049.TW/context-2026-08-02.md</t>
        </is>
      </c>
      <c r="F2619" s="33" t="inlineStr">
        <is>
          <t>per-stock/2049.TW/context-2026-08-02.md</t>
        </is>
      </c>
      <c r="G2619" s="33" t="inlineStr">
        <is>
          <t>Medium</t>
        </is>
      </c>
      <c r="H2619" s="33" t="inlineStr">
        <is>
          <t>Initial</t>
        </is>
      </c>
    </row>
    <row r="2620">
      <c r="A2620" s="33" t="inlineStr">
        <is>
          <t>2026-08-02</t>
        </is>
      </c>
      <c r="B2620" s="33" t="inlineStr">
        <is>
          <t>2049.TW</t>
        </is>
      </c>
      <c r="C2620" s="33" t="inlineStr">
        <is>
          <t>D3</t>
        </is>
      </c>
      <c r="D2620" s="33" t="n">
        <v>3</v>
      </c>
      <c r="E2620" s="33" t="inlineStr">
        <is>
          <t>Initial L11-batch rating per agent4 proposal (rationale+source in 11-robotics/research/rating-proposals-2026-08-02/); briefing per-stock/2049.TW/context-2026-08-02.md</t>
        </is>
      </c>
      <c r="F2620" s="33" t="inlineStr">
        <is>
          <t>per-stock/2049.TW/context-2026-08-02.md</t>
        </is>
      </c>
      <c r="G2620" s="33" t="inlineStr">
        <is>
          <t>Medium</t>
        </is>
      </c>
      <c r="H2620" s="33" t="inlineStr">
        <is>
          <t>Initial</t>
        </is>
      </c>
    </row>
    <row r="2621">
      <c r="A2621" s="33" t="inlineStr">
        <is>
          <t>2026-08-02</t>
        </is>
      </c>
      <c r="B2621" s="33" t="inlineStr">
        <is>
          <t>2049.TW</t>
        </is>
      </c>
      <c r="C2621" s="33" t="inlineStr">
        <is>
          <t>D4</t>
        </is>
      </c>
      <c r="D2621" s="33" t="n">
        <v>3</v>
      </c>
      <c r="E2621" s="33" t="inlineStr">
        <is>
          <t>Initial L11-batch rating per agent4 proposal (rationale+source in 11-robotics/research/rating-proposals-2026-08-02/); briefing per-stock/2049.TW/context-2026-08-02.md</t>
        </is>
      </c>
      <c r="F2621" s="33" t="inlineStr">
        <is>
          <t>per-stock/2049.TW/context-2026-08-02.md</t>
        </is>
      </c>
      <c r="G2621" s="33" t="inlineStr">
        <is>
          <t>Medium</t>
        </is>
      </c>
      <c r="H2621" s="33" t="inlineStr">
        <is>
          <t>Initial</t>
        </is>
      </c>
    </row>
    <row r="2622">
      <c r="A2622" s="33" t="inlineStr">
        <is>
          <t>2026-08-02</t>
        </is>
      </c>
      <c r="B2622" s="33" t="inlineStr">
        <is>
          <t>2049.TW</t>
        </is>
      </c>
      <c r="C2622" s="33" t="inlineStr">
        <is>
          <t>D5</t>
        </is>
      </c>
      <c r="D2622" s="33" t="n">
        <v>3</v>
      </c>
      <c r="E2622" s="33" t="inlineStr">
        <is>
          <t>Initial L11-batch rating per agent4 proposal (rationale+source in 11-robotics/research/rating-proposals-2026-08-02/); briefing per-stock/2049.TW/context-2026-08-02.md</t>
        </is>
      </c>
      <c r="F2622" s="33" t="inlineStr">
        <is>
          <t>per-stock/2049.TW/context-2026-08-02.md</t>
        </is>
      </c>
      <c r="G2622" s="33" t="inlineStr">
        <is>
          <t>Medium</t>
        </is>
      </c>
      <c r="H2622" s="33" t="inlineStr">
        <is>
          <t>Initial</t>
        </is>
      </c>
    </row>
    <row r="2623">
      <c r="A2623" s="33" t="inlineStr">
        <is>
          <t>2026-08-02</t>
        </is>
      </c>
      <c r="B2623" s="33" t="inlineStr">
        <is>
          <t>2049.TW</t>
        </is>
      </c>
      <c r="C2623" s="33" t="inlineStr">
        <is>
          <t>M1</t>
        </is>
      </c>
      <c r="D2623" s="33" t="n">
        <v>5</v>
      </c>
      <c r="E2623" s="33" t="inlineStr">
        <is>
          <t>Initial L11-batch rating per agent4 proposal (rationale+source in 11-robotics/research/rating-proposals-2026-08-02/); briefing per-stock/2049.TW/context-2026-08-02.md</t>
        </is>
      </c>
      <c r="F2623" s="33" t="inlineStr">
        <is>
          <t>per-stock/2049.TW/context-2026-08-02.md</t>
        </is>
      </c>
      <c r="G2623" s="33" t="inlineStr">
        <is>
          <t>Medium</t>
        </is>
      </c>
      <c r="H2623" s="33" t="inlineStr">
        <is>
          <t>Initial</t>
        </is>
      </c>
    </row>
    <row r="2624">
      <c r="A2624" s="33" t="inlineStr">
        <is>
          <t>2026-08-02</t>
        </is>
      </c>
      <c r="B2624" s="33" t="inlineStr">
        <is>
          <t>2049.TW</t>
        </is>
      </c>
      <c r="C2624" s="33" t="inlineStr">
        <is>
          <t>M2</t>
        </is>
      </c>
      <c r="D2624" s="33" t="n">
        <v>4</v>
      </c>
      <c r="E2624" s="33" t="inlineStr">
        <is>
          <t>Initial L11-batch rating per agent4 proposal (rationale+source in 11-robotics/research/rating-proposals-2026-08-02/); briefing per-stock/2049.TW/context-2026-08-02.md</t>
        </is>
      </c>
      <c r="F2624" s="33" t="inlineStr">
        <is>
          <t>per-stock/2049.TW/context-2026-08-02.md</t>
        </is>
      </c>
      <c r="G2624" s="33" t="inlineStr">
        <is>
          <t>Medium</t>
        </is>
      </c>
      <c r="H2624" s="33" t="inlineStr">
        <is>
          <t>Initial</t>
        </is>
      </c>
    </row>
    <row r="2625">
      <c r="A2625" s="33" t="inlineStr">
        <is>
          <t>2026-08-02</t>
        </is>
      </c>
      <c r="B2625" s="33" t="inlineStr">
        <is>
          <t>2049.TW</t>
        </is>
      </c>
      <c r="C2625" s="33" t="inlineStr">
        <is>
          <t>M3</t>
        </is>
      </c>
      <c r="D2625" s="33" t="n">
        <v>3</v>
      </c>
      <c r="E2625" s="33" t="inlineStr">
        <is>
          <t>Initial L11-batch rating per agent4 proposal (rationale+source in 11-robotics/research/rating-proposals-2026-08-02/); briefing per-stock/2049.TW/context-2026-08-02.md</t>
        </is>
      </c>
      <c r="F2625" s="33" t="inlineStr">
        <is>
          <t>per-stock/2049.TW/context-2026-08-02.md</t>
        </is>
      </c>
      <c r="G2625" s="33" t="inlineStr">
        <is>
          <t>Medium</t>
        </is>
      </c>
      <c r="H2625" s="33" t="inlineStr">
        <is>
          <t>Initial</t>
        </is>
      </c>
    </row>
    <row r="2626">
      <c r="A2626" s="33" t="inlineStr">
        <is>
          <t>2026-08-02</t>
        </is>
      </c>
      <c r="B2626" s="33" t="inlineStr">
        <is>
          <t>2049.TW</t>
        </is>
      </c>
      <c r="C2626" s="33" t="inlineStr">
        <is>
          <t>R1</t>
        </is>
      </c>
      <c r="D2626" s="33" t="n">
        <v>4</v>
      </c>
      <c r="E2626" s="33" t="inlineStr">
        <is>
          <t>Initial L11-batch rating per agent4 proposal (rationale+source in 11-robotics/research/rating-proposals-2026-08-02/); briefing per-stock/2049.TW/context-2026-08-02.md</t>
        </is>
      </c>
      <c r="F2626" s="33" t="inlineStr">
        <is>
          <t>per-stock/2049.TW/context-2026-08-02.md</t>
        </is>
      </c>
      <c r="G2626" s="33" t="inlineStr">
        <is>
          <t>Medium</t>
        </is>
      </c>
      <c r="H2626" s="33" t="inlineStr">
        <is>
          <t>Initial</t>
        </is>
      </c>
    </row>
    <row r="2627">
      <c r="A2627" s="33" t="inlineStr">
        <is>
          <t>2026-08-02</t>
        </is>
      </c>
      <c r="B2627" s="33" t="inlineStr">
        <is>
          <t>2049.TW</t>
        </is>
      </c>
      <c r="C2627" s="33" t="inlineStr">
        <is>
          <t>R2</t>
        </is>
      </c>
      <c r="D2627" s="33" t="n">
        <v>2</v>
      </c>
      <c r="E2627" s="33" t="inlineStr">
        <is>
          <t>Asset leg, TSM anchor: ~4,500 of 6,400 employees + most capacity in Taichung - effectively ~100% of revenue exposed via asset base in a strait conflict.</t>
        </is>
      </c>
      <c r="F2627" s="33" t="inlineStr">
        <is>
          <t>per-stock/2049.TW/context-2026-08-02.md</t>
        </is>
      </c>
      <c r="G2627" s="33" t="inlineStr">
        <is>
          <t>Medium</t>
        </is>
      </c>
      <c r="H2627" s="33" t="inlineStr">
        <is>
          <t>Initial</t>
        </is>
      </c>
    </row>
    <row r="2628">
      <c r="A2628" s="33" t="inlineStr">
        <is>
          <t>2026-08-02</t>
        </is>
      </c>
      <c r="B2628" s="33" t="inlineStr">
        <is>
          <t>2049.TW</t>
        </is>
      </c>
      <c r="C2628" s="33" t="inlineStr">
        <is>
          <t>R3</t>
        </is>
      </c>
      <c r="D2628" s="33" t="n">
        <v>4</v>
      </c>
      <c r="E2628" s="33" t="inlineStr">
        <is>
          <t>Initial L11-batch rating per agent4 proposal (rationale+source in 11-robotics/research/rating-proposals-2026-08-02/); briefing per-stock/2049.TW/context-2026-08-02.md</t>
        </is>
      </c>
      <c r="F2628" s="33" t="inlineStr">
        <is>
          <t>per-stock/2049.TW/context-2026-08-02.md</t>
        </is>
      </c>
      <c r="G2628" s="33" t="inlineStr">
        <is>
          <t>Medium</t>
        </is>
      </c>
      <c r="H2628" s="33" t="inlineStr">
        <is>
          <t>Initial</t>
        </is>
      </c>
    </row>
    <row r="2629">
      <c r="A2629" s="33" t="inlineStr">
        <is>
          <t>2026-08-02</t>
        </is>
      </c>
      <c r="B2629" s="33" t="inlineStr">
        <is>
          <t>2049.TW</t>
        </is>
      </c>
      <c r="C2629" s="33" t="inlineStr">
        <is>
          <t>R4</t>
        </is>
      </c>
      <c r="D2629" s="33" t="n">
        <v>4</v>
      </c>
      <c r="E2629" s="33" t="inlineStr">
        <is>
          <t>Initial L11-batch rating per agent4 proposal (rationale+source in 11-robotics/research/rating-proposals-2026-08-02/); briefing per-stock/2049.TW/context-2026-08-02.md</t>
        </is>
      </c>
      <c r="F2629" s="33" t="inlineStr">
        <is>
          <t>per-stock/2049.TW/context-2026-08-02.md</t>
        </is>
      </c>
      <c r="G2629" s="33" t="inlineStr">
        <is>
          <t>Medium</t>
        </is>
      </c>
      <c r="H2629" s="33" t="inlineStr">
        <is>
          <t>Initial</t>
        </is>
      </c>
    </row>
    <row r="2630">
      <c r="A2630" s="33" t="inlineStr">
        <is>
          <t>2026-08-02</t>
        </is>
      </c>
      <c r="B2630" s="33" t="inlineStr">
        <is>
          <t>2049.TW</t>
        </is>
      </c>
      <c r="C2630" s="33" t="inlineStr">
        <is>
          <t>R5</t>
        </is>
      </c>
      <c r="D2630" s="33" t="n">
        <v>5</v>
      </c>
      <c r="E2630" s="33" t="inlineStr">
        <is>
          <t>Initial L11-batch rating per agent4 proposal (rationale+source in 11-robotics/research/rating-proposals-2026-08-02/); briefing per-stock/2049.TW/context-2026-08-02.md</t>
        </is>
      </c>
      <c r="F2630" s="33" t="inlineStr">
        <is>
          <t>per-stock/2049.TW/context-2026-08-02.md</t>
        </is>
      </c>
      <c r="G2630" s="33" t="inlineStr">
        <is>
          <t>Medium</t>
        </is>
      </c>
      <c r="H2630" s="33" t="inlineStr">
        <is>
          <t>Initial</t>
        </is>
      </c>
    </row>
    <row r="2631">
      <c r="A2631" s="33" t="inlineStr">
        <is>
          <t>2026-08-02</t>
        </is>
      </c>
      <c r="B2631" s="33" t="inlineStr">
        <is>
          <t>TKR</t>
        </is>
      </c>
      <c r="C2631" s="33" t="inlineStr">
        <is>
          <t>D1</t>
        </is>
      </c>
      <c r="D2631" s="33" t="n">
        <v>2</v>
      </c>
      <c r="E2631" s="33" t="inlineStr">
        <is>
          <t>Initial L11-batch rating per agent4 proposal (rationale+source in 11-robotics/research/rating-proposals-2026-08-02/); briefing per-stock/TKR/context-2026-08-02.md</t>
        </is>
      </c>
      <c r="F2631" s="33" t="inlineStr">
        <is>
          <t>per-stock/TKR/context-2026-08-02.md</t>
        </is>
      </c>
      <c r="G2631" s="33" t="inlineStr">
        <is>
          <t>Medium</t>
        </is>
      </c>
      <c r="H2631" s="33" t="inlineStr">
        <is>
          <t>Initial</t>
        </is>
      </c>
    </row>
    <row r="2632">
      <c r="A2632" s="33" t="inlineStr">
        <is>
          <t>2026-08-02</t>
        </is>
      </c>
      <c r="B2632" s="33" t="inlineStr">
        <is>
          <t>TKR</t>
        </is>
      </c>
      <c r="C2632" s="33" t="inlineStr">
        <is>
          <t>D2</t>
        </is>
      </c>
      <c r="D2632" s="33" t="n">
        <v>3</v>
      </c>
      <c r="E2632" s="33" t="inlineStr">
        <is>
          <t>Initial L11-batch rating per agent4 proposal (rationale+source in 11-robotics/research/rating-proposals-2026-08-02/); briefing per-stock/TKR/context-2026-08-02.md</t>
        </is>
      </c>
      <c r="F2632" s="33" t="inlineStr">
        <is>
          <t>per-stock/TKR/context-2026-08-02.md</t>
        </is>
      </c>
      <c r="G2632" s="33" t="inlineStr">
        <is>
          <t>Medium</t>
        </is>
      </c>
      <c r="H2632" s="33" t="inlineStr">
        <is>
          <t>Initial</t>
        </is>
      </c>
    </row>
    <row r="2633">
      <c r="A2633" s="33" t="inlineStr">
        <is>
          <t>2026-08-02</t>
        </is>
      </c>
      <c r="B2633" s="33" t="inlineStr">
        <is>
          <t>TKR</t>
        </is>
      </c>
      <c r="C2633" s="33" t="inlineStr">
        <is>
          <t>D3</t>
        </is>
      </c>
      <c r="D2633" s="33" t="n">
        <v>3</v>
      </c>
      <c r="E2633" s="33" t="inlineStr">
        <is>
          <t>Initial L11-batch rating per agent4 proposal (rationale+source in 11-robotics/research/rating-proposals-2026-08-02/); briefing per-stock/TKR/context-2026-08-02.md</t>
        </is>
      </c>
      <c r="F2633" s="33" t="inlineStr">
        <is>
          <t>per-stock/TKR/context-2026-08-02.md</t>
        </is>
      </c>
      <c r="G2633" s="33" t="inlineStr">
        <is>
          <t>Medium</t>
        </is>
      </c>
      <c r="H2633" s="33" t="inlineStr">
        <is>
          <t>Initial</t>
        </is>
      </c>
    </row>
    <row r="2634">
      <c r="A2634" s="33" t="inlineStr">
        <is>
          <t>2026-08-02</t>
        </is>
      </c>
      <c r="B2634" s="33" t="inlineStr">
        <is>
          <t>TKR</t>
        </is>
      </c>
      <c r="C2634" s="33" t="inlineStr">
        <is>
          <t>D4</t>
        </is>
      </c>
      <c r="D2634" s="33" t="n">
        <v>3</v>
      </c>
      <c r="E2634" s="33" t="inlineStr">
        <is>
          <t>Initial L11-batch rating per agent4 proposal (rationale+source in 11-robotics/research/rating-proposals-2026-08-02/); briefing per-stock/TKR/context-2026-08-02.md</t>
        </is>
      </c>
      <c r="F2634" s="33" t="inlineStr">
        <is>
          <t>per-stock/TKR/context-2026-08-02.md</t>
        </is>
      </c>
      <c r="G2634" s="33" t="inlineStr">
        <is>
          <t>Medium</t>
        </is>
      </c>
      <c r="H2634" s="33" t="inlineStr">
        <is>
          <t>Initial</t>
        </is>
      </c>
    </row>
    <row r="2635">
      <c r="A2635" s="33" t="inlineStr">
        <is>
          <t>2026-08-02</t>
        </is>
      </c>
      <c r="B2635" s="33" t="inlineStr">
        <is>
          <t>TKR</t>
        </is>
      </c>
      <c r="C2635" s="33" t="inlineStr">
        <is>
          <t>D5</t>
        </is>
      </c>
      <c r="D2635" s="33" t="n">
        <v>2</v>
      </c>
      <c r="E2635" s="33" t="inlineStr">
        <is>
          <t>Initial L11-batch rating per agent4 proposal (rationale+source in 11-robotics/research/rating-proposals-2026-08-02/); briefing per-stock/TKR/context-2026-08-02.md</t>
        </is>
      </c>
      <c r="F2635" s="33" t="inlineStr">
        <is>
          <t>per-stock/TKR/context-2026-08-02.md</t>
        </is>
      </c>
      <c r="G2635" s="33" t="inlineStr">
        <is>
          <t>Medium</t>
        </is>
      </c>
      <c r="H2635" s="33" t="inlineStr">
        <is>
          <t>Initial</t>
        </is>
      </c>
    </row>
    <row r="2636">
      <c r="A2636" s="33" t="inlineStr">
        <is>
          <t>2026-08-02</t>
        </is>
      </c>
      <c r="B2636" s="33" t="inlineStr">
        <is>
          <t>TKR</t>
        </is>
      </c>
      <c r="C2636" s="33" t="inlineStr">
        <is>
          <t>M1</t>
        </is>
      </c>
      <c r="D2636" s="33" t="n">
        <v>5</v>
      </c>
      <c r="E2636" s="33" t="inlineStr">
        <is>
          <t>Initial L11-batch rating per agent4 proposal (rationale+source in 11-robotics/research/rating-proposals-2026-08-02/); briefing per-stock/TKR/context-2026-08-02.md</t>
        </is>
      </c>
      <c r="F2636" s="33" t="inlineStr">
        <is>
          <t>per-stock/TKR/context-2026-08-02.md</t>
        </is>
      </c>
      <c r="G2636" s="33" t="inlineStr">
        <is>
          <t>Medium</t>
        </is>
      </c>
      <c r="H2636" s="33" t="inlineStr">
        <is>
          <t>Initial</t>
        </is>
      </c>
    </row>
    <row r="2637">
      <c r="A2637" s="33" t="inlineStr">
        <is>
          <t>2026-08-02</t>
        </is>
      </c>
      <c r="B2637" s="33" t="inlineStr">
        <is>
          <t>TKR</t>
        </is>
      </c>
      <c r="C2637" s="33" t="inlineStr">
        <is>
          <t>M2</t>
        </is>
      </c>
      <c r="D2637" s="33" t="n">
        <v>4</v>
      </c>
      <c r="E2637" s="33" t="inlineStr">
        <is>
          <t>Initial L11-batch rating per agent4 proposal (rationale+source in 11-robotics/research/rating-proposals-2026-08-02/); briefing per-stock/TKR/context-2026-08-02.md</t>
        </is>
      </c>
      <c r="F2637" s="33" t="inlineStr">
        <is>
          <t>per-stock/TKR/context-2026-08-02.md</t>
        </is>
      </c>
      <c r="G2637" s="33" t="inlineStr">
        <is>
          <t>Medium</t>
        </is>
      </c>
      <c r="H2637" s="33" t="inlineStr">
        <is>
          <t>Initial</t>
        </is>
      </c>
    </row>
    <row r="2638">
      <c r="A2638" s="33" t="inlineStr">
        <is>
          <t>2026-08-02</t>
        </is>
      </c>
      <c r="B2638" s="33" t="inlineStr">
        <is>
          <t>TKR</t>
        </is>
      </c>
      <c r="C2638" s="33" t="inlineStr">
        <is>
          <t>M3</t>
        </is>
      </c>
      <c r="D2638" s="33" t="n">
        <v>2</v>
      </c>
      <c r="E2638" s="33" t="inlineStr">
        <is>
          <t>Initial L11-batch rating per agent4 proposal (rationale+source in 11-robotics/research/rating-proposals-2026-08-02/); briefing per-stock/TKR/context-2026-08-02.md</t>
        </is>
      </c>
      <c r="F2638" s="33" t="inlineStr">
        <is>
          <t>per-stock/TKR/context-2026-08-02.md</t>
        </is>
      </c>
      <c r="G2638" s="33" t="inlineStr">
        <is>
          <t>Medium</t>
        </is>
      </c>
      <c r="H2638" s="33" t="inlineStr">
        <is>
          <t>Initial</t>
        </is>
      </c>
    </row>
    <row r="2639">
      <c r="A2639" s="33" t="inlineStr">
        <is>
          <t>2026-08-02</t>
        </is>
      </c>
      <c r="B2639" s="33" t="inlineStr">
        <is>
          <t>TKR</t>
        </is>
      </c>
      <c r="C2639" s="33" t="inlineStr">
        <is>
          <t>R1</t>
        </is>
      </c>
      <c r="D2639" s="33" t="n">
        <v>5</v>
      </c>
      <c r="E2639" s="33" t="inlineStr">
        <is>
          <t>Initial L11-batch rating per agent4 proposal (rationale+source in 11-robotics/research/rating-proposals-2026-08-02/); briefing per-stock/TKR/context-2026-08-02.md</t>
        </is>
      </c>
      <c r="F2639" s="33" t="inlineStr">
        <is>
          <t>per-stock/TKR/context-2026-08-02.md</t>
        </is>
      </c>
      <c r="G2639" s="33" t="inlineStr">
        <is>
          <t>Medium</t>
        </is>
      </c>
      <c r="H2639" s="33" t="inlineStr">
        <is>
          <t>Initial</t>
        </is>
      </c>
    </row>
    <row r="2640">
      <c r="A2640" s="33" t="inlineStr">
        <is>
          <t>2026-08-02</t>
        </is>
      </c>
      <c r="B2640" s="33" t="inlineStr">
        <is>
          <t>TKR</t>
        </is>
      </c>
      <c r="C2640" s="33" t="inlineStr">
        <is>
          <t>R2</t>
        </is>
      </c>
      <c r="D2640" s="33" t="n">
        <v>3</v>
      </c>
      <c r="E2640" s="33" t="inlineStr">
        <is>
          <t>Initial L11-batch rating per agent4 proposal (rationale+source in 11-robotics/research/rating-proposals-2026-08-02/); briefing per-stock/TKR/context-2026-08-02.md</t>
        </is>
      </c>
      <c r="F2640" s="33" t="inlineStr">
        <is>
          <t>per-stock/TKR/context-2026-08-02.md</t>
        </is>
      </c>
      <c r="G2640" s="33" t="inlineStr">
        <is>
          <t>Medium</t>
        </is>
      </c>
      <c r="H2640" s="33" t="inlineStr">
        <is>
          <t>Initial</t>
        </is>
      </c>
    </row>
    <row r="2641">
      <c r="A2641" s="33" t="inlineStr">
        <is>
          <t>2026-08-02</t>
        </is>
      </c>
      <c r="B2641" s="33" t="inlineStr">
        <is>
          <t>TKR</t>
        </is>
      </c>
      <c r="C2641" s="33" t="inlineStr">
        <is>
          <t>R3</t>
        </is>
      </c>
      <c r="D2641" s="33" t="n">
        <v>3</v>
      </c>
      <c r="E2641" s="33" t="inlineStr">
        <is>
          <t>Initial L11-batch rating per agent4 proposal (rationale+source in 11-robotics/research/rating-proposals-2026-08-02/); briefing per-stock/TKR/context-2026-08-02.md</t>
        </is>
      </c>
      <c r="F2641" s="33" t="inlineStr">
        <is>
          <t>per-stock/TKR/context-2026-08-02.md</t>
        </is>
      </c>
      <c r="G2641" s="33" t="inlineStr">
        <is>
          <t>Medium</t>
        </is>
      </c>
      <c r="H2641" s="33" t="inlineStr">
        <is>
          <t>Initial</t>
        </is>
      </c>
    </row>
    <row r="2642">
      <c r="A2642" s="33" t="inlineStr">
        <is>
          <t>2026-08-02</t>
        </is>
      </c>
      <c r="B2642" s="33" t="inlineStr">
        <is>
          <t>TKR</t>
        </is>
      </c>
      <c r="C2642" s="33" t="inlineStr">
        <is>
          <t>R4</t>
        </is>
      </c>
      <c r="D2642" s="33" t="n">
        <v>4</v>
      </c>
      <c r="E2642" s="33" t="inlineStr">
        <is>
          <t>Initial L11-batch rating per agent4 proposal (rationale+source in 11-robotics/research/rating-proposals-2026-08-02/); briefing per-stock/TKR/context-2026-08-02.md</t>
        </is>
      </c>
      <c r="F2642" s="33" t="inlineStr">
        <is>
          <t>per-stock/TKR/context-2026-08-02.md</t>
        </is>
      </c>
      <c r="G2642" s="33" t="inlineStr">
        <is>
          <t>Medium</t>
        </is>
      </c>
      <c r="H2642" s="33" t="inlineStr">
        <is>
          <t>Initial</t>
        </is>
      </c>
    </row>
    <row r="2643">
      <c r="A2643" s="33" t="inlineStr">
        <is>
          <t>2026-08-02</t>
        </is>
      </c>
      <c r="B2643" s="33" t="inlineStr">
        <is>
          <t>TKR</t>
        </is>
      </c>
      <c r="C2643" s="33" t="inlineStr">
        <is>
          <t>R5</t>
        </is>
      </c>
      <c r="D2643" s="33" t="n">
        <v>5</v>
      </c>
      <c r="E2643" s="33" t="inlineStr">
        <is>
          <t>Initial L11-batch rating per agent4 proposal (rationale+source in 11-robotics/research/rating-proposals-2026-08-02/); briefing per-stock/TKR/context-2026-08-02.md</t>
        </is>
      </c>
      <c r="F2643" s="33" t="inlineStr">
        <is>
          <t>per-stock/TKR/context-2026-08-02.md</t>
        </is>
      </c>
      <c r="G2643" s="33" t="inlineStr">
        <is>
          <t>Medium</t>
        </is>
      </c>
      <c r="H2643" s="33" t="inlineStr">
        <is>
          <t>Initial</t>
        </is>
      </c>
    </row>
    <row r="2644">
      <c r="A2644" s="33" t="inlineStr">
        <is>
          <t>2026-08-02</t>
        </is>
      </c>
      <c r="B2644" s="33" t="inlineStr">
        <is>
          <t>RRX</t>
        </is>
      </c>
      <c r="C2644" s="33" t="inlineStr">
        <is>
          <t>D1</t>
        </is>
      </c>
      <c r="D2644" s="33" t="n">
        <v>2</v>
      </c>
      <c r="E2644" s="33" t="inlineStr">
        <is>
          <t>Initial L11-batch rating per agent5 proposal (rationale+source in 11-robotics/research/rating-proposals-2026-08-02/); briefing per-stock/RRX/context-2026-08-02.md</t>
        </is>
      </c>
      <c r="F2644" s="33" t="inlineStr">
        <is>
          <t>per-stock/RRX/context-2026-08-02.md</t>
        </is>
      </c>
      <c r="G2644" s="33" t="inlineStr">
        <is>
          <t>Medium</t>
        </is>
      </c>
      <c r="H2644" s="33" t="inlineStr">
        <is>
          <t>Initial</t>
        </is>
      </c>
    </row>
    <row r="2645">
      <c r="A2645" s="33" t="inlineStr">
        <is>
          <t>2026-08-02</t>
        </is>
      </c>
      <c r="B2645" s="33" t="inlineStr">
        <is>
          <t>RRX</t>
        </is>
      </c>
      <c r="C2645" s="33" t="inlineStr">
        <is>
          <t>D2</t>
        </is>
      </c>
      <c r="D2645" s="33" t="n">
        <v>3</v>
      </c>
      <c r="E2645" s="33" t="inlineStr">
        <is>
          <t>Initial L11-batch rating per agent5 proposal (rationale+source in 11-robotics/research/rating-proposals-2026-08-02/); briefing per-stock/RRX/context-2026-08-02.md</t>
        </is>
      </c>
      <c r="F2645" s="33" t="inlineStr">
        <is>
          <t>per-stock/RRX/context-2026-08-02.md</t>
        </is>
      </c>
      <c r="G2645" s="33" t="inlineStr">
        <is>
          <t>Medium</t>
        </is>
      </c>
      <c r="H2645" s="33" t="inlineStr">
        <is>
          <t>Initial</t>
        </is>
      </c>
    </row>
    <row r="2646">
      <c r="A2646" s="33" t="inlineStr">
        <is>
          <t>2026-08-02</t>
        </is>
      </c>
      <c r="B2646" s="33" t="inlineStr">
        <is>
          <t>RRX</t>
        </is>
      </c>
      <c r="C2646" s="33" t="inlineStr">
        <is>
          <t>D3</t>
        </is>
      </c>
      <c r="D2646" s="33" t="n">
        <v>3</v>
      </c>
      <c r="E2646" s="33" t="inlineStr">
        <is>
          <t>Initial L11-batch rating per agent5 proposal (rationale+source in 11-robotics/research/rating-proposals-2026-08-02/); briefing per-stock/RRX/context-2026-08-02.md</t>
        </is>
      </c>
      <c r="F2646" s="33" t="inlineStr">
        <is>
          <t>per-stock/RRX/context-2026-08-02.md</t>
        </is>
      </c>
      <c r="G2646" s="33" t="inlineStr">
        <is>
          <t>Medium</t>
        </is>
      </c>
      <c r="H2646" s="33" t="inlineStr">
        <is>
          <t>Initial</t>
        </is>
      </c>
    </row>
    <row r="2647">
      <c r="A2647" s="33" t="inlineStr">
        <is>
          <t>2026-08-02</t>
        </is>
      </c>
      <c r="B2647" s="33" t="inlineStr">
        <is>
          <t>RRX</t>
        </is>
      </c>
      <c r="C2647" s="33" t="inlineStr">
        <is>
          <t>D4</t>
        </is>
      </c>
      <c r="D2647" s="33" t="n">
        <v>3</v>
      </c>
      <c r="E2647" s="33" t="inlineStr">
        <is>
          <t>Initial L11-batch rating per agent5 proposal (rationale+source in 11-robotics/research/rating-proposals-2026-08-02/); briefing per-stock/RRX/context-2026-08-02.md</t>
        </is>
      </c>
      <c r="F2647" s="33" t="inlineStr">
        <is>
          <t>per-stock/RRX/context-2026-08-02.md</t>
        </is>
      </c>
      <c r="G2647" s="33" t="inlineStr">
        <is>
          <t>Medium</t>
        </is>
      </c>
      <c r="H2647" s="33" t="inlineStr">
        <is>
          <t>Initial</t>
        </is>
      </c>
    </row>
    <row r="2648">
      <c r="A2648" s="33" t="inlineStr">
        <is>
          <t>2026-08-02</t>
        </is>
      </c>
      <c r="B2648" s="33" t="inlineStr">
        <is>
          <t>RRX</t>
        </is>
      </c>
      <c r="C2648" s="33" t="inlineStr">
        <is>
          <t>D5</t>
        </is>
      </c>
      <c r="D2648" s="33" t="n">
        <v>4</v>
      </c>
      <c r="E2648" s="33" t="inlineStr">
        <is>
          <t>Initial L11-batch rating per agent5 proposal (rationale+source in 11-robotics/research/rating-proposals-2026-08-02/); briefing per-stock/RRX/context-2026-08-02.md</t>
        </is>
      </c>
      <c r="F2648" s="33" t="inlineStr">
        <is>
          <t>per-stock/RRX/context-2026-08-02.md</t>
        </is>
      </c>
      <c r="G2648" s="33" t="inlineStr">
        <is>
          <t>Medium</t>
        </is>
      </c>
      <c r="H2648" s="33" t="inlineStr">
        <is>
          <t>Initial</t>
        </is>
      </c>
    </row>
    <row r="2649">
      <c r="A2649" s="33" t="inlineStr">
        <is>
          <t>2026-08-02</t>
        </is>
      </c>
      <c r="B2649" s="33" t="inlineStr">
        <is>
          <t>RRX</t>
        </is>
      </c>
      <c r="C2649" s="33" t="inlineStr">
        <is>
          <t>M1</t>
        </is>
      </c>
      <c r="D2649" s="33" t="n">
        <v>4</v>
      </c>
      <c r="E2649" s="33" t="inlineStr">
        <is>
          <t>Initial L11-batch rating per agent5 proposal (rationale+source in 11-robotics/research/rating-proposals-2026-08-02/); briefing per-stock/RRX/context-2026-08-02.md</t>
        </is>
      </c>
      <c r="F2649" s="33" t="inlineStr">
        <is>
          <t>per-stock/RRX/context-2026-08-02.md</t>
        </is>
      </c>
      <c r="G2649" s="33" t="inlineStr">
        <is>
          <t>Medium</t>
        </is>
      </c>
      <c r="H2649" s="33" t="inlineStr">
        <is>
          <t>Initial</t>
        </is>
      </c>
    </row>
    <row r="2650">
      <c r="A2650" s="33" t="inlineStr">
        <is>
          <t>2026-08-02</t>
        </is>
      </c>
      <c r="B2650" s="33" t="inlineStr">
        <is>
          <t>RRX</t>
        </is>
      </c>
      <c r="C2650" s="33" t="inlineStr">
        <is>
          <t>M2</t>
        </is>
      </c>
      <c r="D2650" s="33" t="n">
        <v>4</v>
      </c>
      <c r="E2650" s="33" t="inlineStr">
        <is>
          <t>Initial L11-batch rating per agent5 proposal (rationale+source in 11-robotics/research/rating-proposals-2026-08-02/); briefing per-stock/RRX/context-2026-08-02.md</t>
        </is>
      </c>
      <c r="F2650" s="33" t="inlineStr">
        <is>
          <t>per-stock/RRX/context-2026-08-02.md</t>
        </is>
      </c>
      <c r="G2650" s="33" t="inlineStr">
        <is>
          <t>Medium</t>
        </is>
      </c>
      <c r="H2650" s="33" t="inlineStr">
        <is>
          <t>Initial</t>
        </is>
      </c>
    </row>
    <row r="2651">
      <c r="A2651" s="33" t="inlineStr">
        <is>
          <t>2026-08-02</t>
        </is>
      </c>
      <c r="B2651" s="33" t="inlineStr">
        <is>
          <t>RRX</t>
        </is>
      </c>
      <c r="C2651" s="33" t="inlineStr">
        <is>
          <t>M3</t>
        </is>
      </c>
      <c r="D2651" s="33" t="n">
        <v>1</v>
      </c>
      <c r="E2651" s="33" t="inlineStr">
        <is>
          <t>Initial L11-batch rating per agent5 proposal (rationale+source in 11-robotics/research/rating-proposals-2026-08-02/); briefing per-stock/RRX/context-2026-08-02.md</t>
        </is>
      </c>
      <c r="F2651" s="33" t="inlineStr">
        <is>
          <t>per-stock/RRX/context-2026-08-02.md</t>
        </is>
      </c>
      <c r="G2651" s="33" t="inlineStr">
        <is>
          <t>Medium</t>
        </is>
      </c>
      <c r="H2651" s="33" t="inlineStr">
        <is>
          <t>Initial</t>
        </is>
      </c>
    </row>
    <row r="2652">
      <c r="A2652" s="33" t="inlineStr">
        <is>
          <t>2026-08-02</t>
        </is>
      </c>
      <c r="B2652" s="33" t="inlineStr">
        <is>
          <t>RRX</t>
        </is>
      </c>
      <c r="C2652" s="33" t="inlineStr">
        <is>
          <t>R1</t>
        </is>
      </c>
      <c r="D2652" s="33" t="n">
        <v>5</v>
      </c>
      <c r="E2652" s="33" t="inlineStr">
        <is>
          <t>Initial L11-batch rating per agent5 proposal (rationale+source in 11-robotics/research/rating-proposals-2026-08-02/); briefing per-stock/RRX/context-2026-08-02.md</t>
        </is>
      </c>
      <c r="F2652" s="33" t="inlineStr">
        <is>
          <t>per-stock/RRX/context-2026-08-02.md</t>
        </is>
      </c>
      <c r="G2652" s="33" t="inlineStr">
        <is>
          <t>Medium</t>
        </is>
      </c>
      <c r="H2652" s="33" t="inlineStr">
        <is>
          <t>Initial</t>
        </is>
      </c>
    </row>
    <row r="2653">
      <c r="A2653" s="33" t="inlineStr">
        <is>
          <t>2026-08-02</t>
        </is>
      </c>
      <c r="B2653" s="33" t="inlineStr">
        <is>
          <t>RRX</t>
        </is>
      </c>
      <c r="C2653" s="33" t="inlineStr">
        <is>
          <t>R2</t>
        </is>
      </c>
      <c r="D2653" s="33" t="n">
        <v>4</v>
      </c>
      <c r="E2653" s="33" t="inlineStr">
        <is>
          <t>Initial L11-batch rating per agent5 proposal (rationale+source in 11-robotics/research/rating-proposals-2026-08-02/); briefing per-stock/RRX/context-2026-08-02.md</t>
        </is>
      </c>
      <c r="F2653" s="33" t="inlineStr">
        <is>
          <t>per-stock/RRX/context-2026-08-02.md</t>
        </is>
      </c>
      <c r="G2653" s="33" t="inlineStr">
        <is>
          <t>Medium</t>
        </is>
      </c>
      <c r="H2653" s="33" t="inlineStr">
        <is>
          <t>Initial</t>
        </is>
      </c>
    </row>
    <row r="2654">
      <c r="A2654" s="33" t="inlineStr">
        <is>
          <t>2026-08-02</t>
        </is>
      </c>
      <c r="B2654" s="33" t="inlineStr">
        <is>
          <t>RRX</t>
        </is>
      </c>
      <c r="C2654" s="33" t="inlineStr">
        <is>
          <t>R3</t>
        </is>
      </c>
      <c r="D2654" s="33" t="n">
        <v>3</v>
      </c>
      <c r="E2654" s="33" t="inlineStr">
        <is>
          <t>Initial L11-batch rating per agent5 proposal (rationale+source in 11-robotics/research/rating-proposals-2026-08-02/); briefing per-stock/RRX/context-2026-08-02.md</t>
        </is>
      </c>
      <c r="F2654" s="33" t="inlineStr">
        <is>
          <t>per-stock/RRX/context-2026-08-02.md</t>
        </is>
      </c>
      <c r="G2654" s="33" t="inlineStr">
        <is>
          <t>Medium</t>
        </is>
      </c>
      <c r="H2654" s="33" t="inlineStr">
        <is>
          <t>Initial</t>
        </is>
      </c>
    </row>
    <row r="2655">
      <c r="A2655" s="33" t="inlineStr">
        <is>
          <t>2026-08-02</t>
        </is>
      </c>
      <c r="B2655" s="33" t="inlineStr">
        <is>
          <t>RRX</t>
        </is>
      </c>
      <c r="C2655" s="33" t="inlineStr">
        <is>
          <t>R4</t>
        </is>
      </c>
      <c r="D2655" s="33" t="n">
        <v>3</v>
      </c>
      <c r="E2655" s="33" t="inlineStr">
        <is>
          <t>Initial L11-batch rating per agent5 proposal (rationale+source in 11-robotics/research/rating-proposals-2026-08-02/); briefing per-stock/RRX/context-2026-08-02.md</t>
        </is>
      </c>
      <c r="F2655" s="33" t="inlineStr">
        <is>
          <t>per-stock/RRX/context-2026-08-02.md</t>
        </is>
      </c>
      <c r="G2655" s="33" t="inlineStr">
        <is>
          <t>Medium</t>
        </is>
      </c>
      <c r="H2655" s="33" t="inlineStr">
        <is>
          <t>Initial</t>
        </is>
      </c>
    </row>
    <row r="2656">
      <c r="A2656" s="33" t="inlineStr">
        <is>
          <t>2026-08-02</t>
        </is>
      </c>
      <c r="B2656" s="33" t="inlineStr">
        <is>
          <t>RRX</t>
        </is>
      </c>
      <c r="C2656" s="33" t="inlineStr">
        <is>
          <t>R5</t>
        </is>
      </c>
      <c r="D2656" s="33" t="n">
        <v>5</v>
      </c>
      <c r="E2656" s="33" t="inlineStr">
        <is>
          <t>Initial L11-batch rating per agent5 proposal (rationale+source in 11-robotics/research/rating-proposals-2026-08-02/); briefing per-stock/RRX/context-2026-08-02.md</t>
        </is>
      </c>
      <c r="F2656" s="33" t="inlineStr">
        <is>
          <t>per-stock/RRX/context-2026-08-02.md</t>
        </is>
      </c>
      <c r="G2656" s="33" t="inlineStr">
        <is>
          <t>Medium</t>
        </is>
      </c>
      <c r="H2656" s="33" t="inlineStr">
        <is>
          <t>Initial</t>
        </is>
      </c>
    </row>
    <row r="2657">
      <c r="A2657" s="33" t="inlineStr">
        <is>
          <t>2026-08-02</t>
        </is>
      </c>
      <c r="B2657" s="33" t="inlineStr">
        <is>
          <t>NOVT</t>
        </is>
      </c>
      <c r="C2657" s="33" t="inlineStr">
        <is>
          <t>D1</t>
        </is>
      </c>
      <c r="D2657" s="33" t="n">
        <v>4</v>
      </c>
      <c r="E2657" s="33" t="inlineStr">
        <is>
          <t>Initial L11-batch rating per agent5 proposal (rationale+source in 11-robotics/research/rating-proposals-2026-08-02/); briefing per-stock/NOVT/context-2026-08-02.md</t>
        </is>
      </c>
      <c r="F2657" s="33" t="inlineStr">
        <is>
          <t>per-stock/NOVT/context-2026-08-02.md</t>
        </is>
      </c>
      <c r="G2657" s="33" t="inlineStr">
        <is>
          <t>Medium</t>
        </is>
      </c>
      <c r="H2657" s="33" t="inlineStr">
        <is>
          <t>Initial</t>
        </is>
      </c>
    </row>
    <row r="2658">
      <c r="A2658" s="33" t="inlineStr">
        <is>
          <t>2026-08-02</t>
        </is>
      </c>
      <c r="B2658" s="33" t="inlineStr">
        <is>
          <t>NOVT</t>
        </is>
      </c>
      <c r="C2658" s="33" t="inlineStr">
        <is>
          <t>D2</t>
        </is>
      </c>
      <c r="D2658" s="33" t="n">
        <v>4</v>
      </c>
      <c r="E2658" s="33" t="inlineStr">
        <is>
          <t>Initial L11-batch rating per agent5 proposal (rationale+source in 11-robotics/research/rating-proposals-2026-08-02/); briefing per-stock/NOVT/context-2026-08-02.md</t>
        </is>
      </c>
      <c r="F2658" s="33" t="inlineStr">
        <is>
          <t>per-stock/NOVT/context-2026-08-02.md</t>
        </is>
      </c>
      <c r="G2658" s="33" t="inlineStr">
        <is>
          <t>Medium</t>
        </is>
      </c>
      <c r="H2658" s="33" t="inlineStr">
        <is>
          <t>Initial</t>
        </is>
      </c>
    </row>
    <row r="2659">
      <c r="A2659" s="33" t="inlineStr">
        <is>
          <t>2026-08-02</t>
        </is>
      </c>
      <c r="B2659" s="33" t="inlineStr">
        <is>
          <t>NOVT</t>
        </is>
      </c>
      <c r="C2659" s="33" t="inlineStr">
        <is>
          <t>D3</t>
        </is>
      </c>
      <c r="D2659" s="33" t="n">
        <v>4</v>
      </c>
      <c r="E2659" s="33" t="inlineStr">
        <is>
          <t>Initial L11-batch rating per agent5 proposal (rationale+source in 11-robotics/research/rating-proposals-2026-08-02/); briefing per-stock/NOVT/context-2026-08-02.md</t>
        </is>
      </c>
      <c r="F2659" s="33" t="inlineStr">
        <is>
          <t>per-stock/NOVT/context-2026-08-02.md</t>
        </is>
      </c>
      <c r="G2659" s="33" t="inlineStr">
        <is>
          <t>Medium</t>
        </is>
      </c>
      <c r="H2659" s="33" t="inlineStr">
        <is>
          <t>Initial</t>
        </is>
      </c>
    </row>
    <row r="2660">
      <c r="A2660" s="33" t="inlineStr">
        <is>
          <t>2026-08-02</t>
        </is>
      </c>
      <c r="B2660" s="33" t="inlineStr">
        <is>
          <t>NOVT</t>
        </is>
      </c>
      <c r="C2660" s="33" t="inlineStr">
        <is>
          <t>D4</t>
        </is>
      </c>
      <c r="D2660" s="33" t="n">
        <v>4</v>
      </c>
      <c r="E2660" s="33" t="inlineStr">
        <is>
          <t>Initial L11-batch rating per agent5 proposal (rationale+source in 11-robotics/research/rating-proposals-2026-08-02/); briefing per-stock/NOVT/context-2026-08-02.md</t>
        </is>
      </c>
      <c r="F2660" s="33" t="inlineStr">
        <is>
          <t>per-stock/NOVT/context-2026-08-02.md</t>
        </is>
      </c>
      <c r="G2660" s="33" t="inlineStr">
        <is>
          <t>Medium</t>
        </is>
      </c>
      <c r="H2660" s="33" t="inlineStr">
        <is>
          <t>Initial</t>
        </is>
      </c>
    </row>
    <row r="2661">
      <c r="A2661" s="33" t="inlineStr">
        <is>
          <t>2026-08-02</t>
        </is>
      </c>
      <c r="B2661" s="33" t="inlineStr">
        <is>
          <t>NOVT</t>
        </is>
      </c>
      <c r="C2661" s="33" t="inlineStr">
        <is>
          <t>D5</t>
        </is>
      </c>
      <c r="D2661" s="33" t="n">
        <v>4</v>
      </c>
      <c r="E2661" s="33" t="inlineStr">
        <is>
          <t>Initial L11-batch rating per agent5 proposal (rationale+source in 11-robotics/research/rating-proposals-2026-08-02/); briefing per-stock/NOVT/context-2026-08-02.md</t>
        </is>
      </c>
      <c r="F2661" s="33" t="inlineStr">
        <is>
          <t>per-stock/NOVT/context-2026-08-02.md</t>
        </is>
      </c>
      <c r="G2661" s="33" t="inlineStr">
        <is>
          <t>Medium</t>
        </is>
      </c>
      <c r="H2661" s="33" t="inlineStr">
        <is>
          <t>Initial</t>
        </is>
      </c>
    </row>
    <row r="2662">
      <c r="A2662" s="33" t="inlineStr">
        <is>
          <t>2026-08-02</t>
        </is>
      </c>
      <c r="B2662" s="33" t="inlineStr">
        <is>
          <t>NOVT</t>
        </is>
      </c>
      <c r="C2662" s="33" t="inlineStr">
        <is>
          <t>M1</t>
        </is>
      </c>
      <c r="D2662" s="33" t="n">
        <v>3</v>
      </c>
      <c r="E2662" s="33" t="inlineStr">
        <is>
          <t>Initial L11-batch rating per agent5 proposal (rationale+source in 11-robotics/research/rating-proposals-2026-08-02/); briefing per-stock/NOVT/context-2026-08-02.md</t>
        </is>
      </c>
      <c r="F2662" s="33" t="inlineStr">
        <is>
          <t>per-stock/NOVT/context-2026-08-02.md</t>
        </is>
      </c>
      <c r="G2662" s="33" t="inlineStr">
        <is>
          <t>Medium</t>
        </is>
      </c>
      <c r="H2662" s="33" t="inlineStr">
        <is>
          <t>Initial</t>
        </is>
      </c>
    </row>
    <row r="2663">
      <c r="A2663" s="33" t="inlineStr">
        <is>
          <t>2026-08-02</t>
        </is>
      </c>
      <c r="B2663" s="33" t="inlineStr">
        <is>
          <t>NOVT</t>
        </is>
      </c>
      <c r="C2663" s="33" t="inlineStr">
        <is>
          <t>M2</t>
        </is>
      </c>
      <c r="D2663" s="33" t="n">
        <v>3</v>
      </c>
      <c r="E2663" s="33" t="inlineStr">
        <is>
          <t>Initial L11-batch rating per agent5 proposal (rationale+source in 11-robotics/research/rating-proposals-2026-08-02/); briefing per-stock/NOVT/context-2026-08-02.md</t>
        </is>
      </c>
      <c r="F2663" s="33" t="inlineStr">
        <is>
          <t>per-stock/NOVT/context-2026-08-02.md</t>
        </is>
      </c>
      <c r="G2663" s="33" t="inlineStr">
        <is>
          <t>Medium</t>
        </is>
      </c>
      <c r="H2663" s="33" t="inlineStr">
        <is>
          <t>Initial</t>
        </is>
      </c>
    </row>
    <row r="2664">
      <c r="A2664" s="33" t="inlineStr">
        <is>
          <t>2026-08-02</t>
        </is>
      </c>
      <c r="B2664" s="33" t="inlineStr">
        <is>
          <t>NOVT</t>
        </is>
      </c>
      <c r="C2664" s="33" t="inlineStr">
        <is>
          <t>M3</t>
        </is>
      </c>
      <c r="D2664" s="33" t="n">
        <v>3</v>
      </c>
      <c r="E2664" s="33" t="inlineStr">
        <is>
          <t>Initial L11-batch rating per agent5 proposal (rationale+source in 11-robotics/research/rating-proposals-2026-08-02/); briefing per-stock/NOVT/context-2026-08-02.md</t>
        </is>
      </c>
      <c r="F2664" s="33" t="inlineStr">
        <is>
          <t>per-stock/NOVT/context-2026-08-02.md</t>
        </is>
      </c>
      <c r="G2664" s="33" t="inlineStr">
        <is>
          <t>Medium</t>
        </is>
      </c>
      <c r="H2664" s="33" t="inlineStr">
        <is>
          <t>Initial</t>
        </is>
      </c>
    </row>
    <row r="2665">
      <c r="A2665" s="33" t="inlineStr">
        <is>
          <t>2026-08-02</t>
        </is>
      </c>
      <c r="B2665" s="33" t="inlineStr">
        <is>
          <t>NOVT</t>
        </is>
      </c>
      <c r="C2665" s="33" t="inlineStr">
        <is>
          <t>R1</t>
        </is>
      </c>
      <c r="D2665" s="33" t="n">
        <v>5</v>
      </c>
      <c r="E2665" s="33" t="inlineStr">
        <is>
          <t>Initial L11-batch rating per agent5 proposal (rationale+source in 11-robotics/research/rating-proposals-2026-08-02/); briefing per-stock/NOVT/context-2026-08-02.md</t>
        </is>
      </c>
      <c r="F2665" s="33" t="inlineStr">
        <is>
          <t>per-stock/NOVT/context-2026-08-02.md</t>
        </is>
      </c>
      <c r="G2665" s="33" t="inlineStr">
        <is>
          <t>Medium</t>
        </is>
      </c>
      <c r="H2665" s="33" t="inlineStr">
        <is>
          <t>Initial</t>
        </is>
      </c>
    </row>
    <row r="2666">
      <c r="A2666" s="33" t="inlineStr">
        <is>
          <t>2026-08-02</t>
        </is>
      </c>
      <c r="B2666" s="33" t="inlineStr">
        <is>
          <t>NOVT</t>
        </is>
      </c>
      <c r="C2666" s="33" t="inlineStr">
        <is>
          <t>R2</t>
        </is>
      </c>
      <c r="D2666" s="33" t="n">
        <v>5</v>
      </c>
      <c r="E2666" s="33" t="inlineStr">
        <is>
          <t>Initial L11-batch rating per agent5 proposal (rationale+source in 11-robotics/research/rating-proposals-2026-08-02/); briefing per-stock/NOVT/context-2026-08-02.md</t>
        </is>
      </c>
      <c r="F2666" s="33" t="inlineStr">
        <is>
          <t>per-stock/NOVT/context-2026-08-02.md</t>
        </is>
      </c>
      <c r="G2666" s="33" t="inlineStr">
        <is>
          <t>Medium</t>
        </is>
      </c>
      <c r="H2666" s="33" t="inlineStr">
        <is>
          <t>Initial</t>
        </is>
      </c>
    </row>
    <row r="2667">
      <c r="A2667" s="33" t="inlineStr">
        <is>
          <t>2026-08-02</t>
        </is>
      </c>
      <c r="B2667" s="33" t="inlineStr">
        <is>
          <t>NOVT</t>
        </is>
      </c>
      <c r="C2667" s="33" t="inlineStr">
        <is>
          <t>R3</t>
        </is>
      </c>
      <c r="D2667" s="33" t="n">
        <v>3</v>
      </c>
      <c r="E2667" s="33" t="inlineStr">
        <is>
          <t>Initial L11-batch rating per agent5 proposal (rationale+source in 11-robotics/research/rating-proposals-2026-08-02/); briefing per-stock/NOVT/context-2026-08-02.md</t>
        </is>
      </c>
      <c r="F2667" s="33" t="inlineStr">
        <is>
          <t>per-stock/NOVT/context-2026-08-02.md</t>
        </is>
      </c>
      <c r="G2667" s="33" t="inlineStr">
        <is>
          <t>Medium</t>
        </is>
      </c>
      <c r="H2667" s="33" t="inlineStr">
        <is>
          <t>Initial</t>
        </is>
      </c>
    </row>
    <row r="2668">
      <c r="A2668" s="33" t="inlineStr">
        <is>
          <t>2026-08-02</t>
        </is>
      </c>
      <c r="B2668" s="33" t="inlineStr">
        <is>
          <t>NOVT</t>
        </is>
      </c>
      <c r="C2668" s="33" t="inlineStr">
        <is>
          <t>R4</t>
        </is>
      </c>
      <c r="D2668" s="33" t="n">
        <v>4</v>
      </c>
      <c r="E2668" s="33" t="inlineStr">
        <is>
          <t>Initial L11-batch rating per agent5 proposal (rationale+source in 11-robotics/research/rating-proposals-2026-08-02/); briefing per-stock/NOVT/context-2026-08-02.md</t>
        </is>
      </c>
      <c r="F2668" s="33" t="inlineStr">
        <is>
          <t>per-stock/NOVT/context-2026-08-02.md</t>
        </is>
      </c>
      <c r="G2668" s="33" t="inlineStr">
        <is>
          <t>Medium</t>
        </is>
      </c>
      <c r="H2668" s="33" t="inlineStr">
        <is>
          <t>Initial</t>
        </is>
      </c>
    </row>
    <row r="2669">
      <c r="A2669" s="33" t="inlineStr">
        <is>
          <t>2026-08-02</t>
        </is>
      </c>
      <c r="B2669" s="33" t="inlineStr">
        <is>
          <t>NOVT</t>
        </is>
      </c>
      <c r="C2669" s="33" t="inlineStr">
        <is>
          <t>R5</t>
        </is>
      </c>
      <c r="D2669" s="33" t="n">
        <v>5</v>
      </c>
      <c r="E2669" s="33" t="inlineStr">
        <is>
          <t>Initial L11-batch rating per agent5 proposal (rationale+source in 11-robotics/research/rating-proposals-2026-08-02/); briefing per-stock/NOVT/context-2026-08-02.md</t>
        </is>
      </c>
      <c r="F2669" s="33" t="inlineStr">
        <is>
          <t>per-stock/NOVT/context-2026-08-02.md</t>
        </is>
      </c>
      <c r="G2669" s="33" t="inlineStr">
        <is>
          <t>Medium</t>
        </is>
      </c>
      <c r="H2669" s="33" t="inlineStr">
        <is>
          <t>Initial</t>
        </is>
      </c>
    </row>
    <row r="2670">
      <c r="A2670" s="33" t="inlineStr">
        <is>
          <t>2026-08-02</t>
        </is>
      </c>
      <c r="B2670" s="33" t="inlineStr">
        <is>
          <t>ALNT</t>
        </is>
      </c>
      <c r="C2670" s="33" t="inlineStr">
        <is>
          <t>D1</t>
        </is>
      </c>
      <c r="D2670" s="33" t="n">
        <v>2</v>
      </c>
      <c r="E2670" s="33" t="inlineStr">
        <is>
          <t>Initial L11-batch rating per agent5 proposal (rationale+source in 11-robotics/research/rating-proposals-2026-08-02/); briefing per-stock/ALNT/context-2026-08-02.md</t>
        </is>
      </c>
      <c r="F2670" s="33" t="inlineStr">
        <is>
          <t>per-stock/ALNT/context-2026-08-02.md</t>
        </is>
      </c>
      <c r="G2670" s="33" t="inlineStr">
        <is>
          <t>Medium</t>
        </is>
      </c>
      <c r="H2670" s="33" t="inlineStr">
        <is>
          <t>Initial</t>
        </is>
      </c>
    </row>
    <row r="2671">
      <c r="A2671" s="33" t="inlineStr">
        <is>
          <t>2026-08-02</t>
        </is>
      </c>
      <c r="B2671" s="33" t="inlineStr">
        <is>
          <t>ALNT</t>
        </is>
      </c>
      <c r="C2671" s="33" t="inlineStr">
        <is>
          <t>D2</t>
        </is>
      </c>
      <c r="D2671" s="33" t="n">
        <v>3</v>
      </c>
      <c r="E2671" s="33" t="inlineStr">
        <is>
          <t>Initial L11-batch rating per agent5 proposal (rationale+source in 11-robotics/research/rating-proposals-2026-08-02/); briefing per-stock/ALNT/context-2026-08-02.md</t>
        </is>
      </c>
      <c r="F2671" s="33" t="inlineStr">
        <is>
          <t>per-stock/ALNT/context-2026-08-02.md</t>
        </is>
      </c>
      <c r="G2671" s="33" t="inlineStr">
        <is>
          <t>Medium</t>
        </is>
      </c>
      <c r="H2671" s="33" t="inlineStr">
        <is>
          <t>Initial</t>
        </is>
      </c>
    </row>
    <row r="2672">
      <c r="A2672" s="33" t="inlineStr">
        <is>
          <t>2026-08-02</t>
        </is>
      </c>
      <c r="B2672" s="33" t="inlineStr">
        <is>
          <t>ALNT</t>
        </is>
      </c>
      <c r="C2672" s="33" t="inlineStr">
        <is>
          <t>D3</t>
        </is>
      </c>
      <c r="D2672" s="33" t="n">
        <v>3</v>
      </c>
      <c r="E2672" s="33" t="inlineStr">
        <is>
          <t>Initial L11-batch rating per agent5 proposal (rationale+source in 11-robotics/research/rating-proposals-2026-08-02/); briefing per-stock/ALNT/context-2026-08-02.md</t>
        </is>
      </c>
      <c r="F2672" s="33" t="inlineStr">
        <is>
          <t>per-stock/ALNT/context-2026-08-02.md</t>
        </is>
      </c>
      <c r="G2672" s="33" t="inlineStr">
        <is>
          <t>Medium</t>
        </is>
      </c>
      <c r="H2672" s="33" t="inlineStr">
        <is>
          <t>Initial</t>
        </is>
      </c>
    </row>
    <row r="2673">
      <c r="A2673" s="33" t="inlineStr">
        <is>
          <t>2026-08-02</t>
        </is>
      </c>
      <c r="B2673" s="33" t="inlineStr">
        <is>
          <t>ALNT</t>
        </is>
      </c>
      <c r="C2673" s="33" t="inlineStr">
        <is>
          <t>D4</t>
        </is>
      </c>
      <c r="D2673" s="33" t="n">
        <v>3</v>
      </c>
      <c r="E2673" s="33" t="inlineStr">
        <is>
          <t>Initial L11-batch rating per agent5 proposal (rationale+source in 11-robotics/research/rating-proposals-2026-08-02/); briefing per-stock/ALNT/context-2026-08-02.md</t>
        </is>
      </c>
      <c r="F2673" s="33" t="inlineStr">
        <is>
          <t>per-stock/ALNT/context-2026-08-02.md</t>
        </is>
      </c>
      <c r="G2673" s="33" t="inlineStr">
        <is>
          <t>Medium</t>
        </is>
      </c>
      <c r="H2673" s="33" t="inlineStr">
        <is>
          <t>Initial</t>
        </is>
      </c>
    </row>
    <row r="2674">
      <c r="A2674" s="33" t="inlineStr">
        <is>
          <t>2026-08-02</t>
        </is>
      </c>
      <c r="B2674" s="33" t="inlineStr">
        <is>
          <t>ALNT</t>
        </is>
      </c>
      <c r="C2674" s="33" t="inlineStr">
        <is>
          <t>D5</t>
        </is>
      </c>
      <c r="D2674" s="33" t="n">
        <v>2</v>
      </c>
      <c r="E2674" s="33" t="inlineStr">
        <is>
          <t>Initial L11-batch rating per agent5 proposal (rationale+source in 11-robotics/research/rating-proposals-2026-08-02/); briefing per-stock/ALNT/context-2026-08-02.md</t>
        </is>
      </c>
      <c r="F2674" s="33" t="inlineStr">
        <is>
          <t>per-stock/ALNT/context-2026-08-02.md</t>
        </is>
      </c>
      <c r="G2674" s="33" t="inlineStr">
        <is>
          <t>Medium</t>
        </is>
      </c>
      <c r="H2674" s="33" t="inlineStr">
        <is>
          <t>Initial</t>
        </is>
      </c>
    </row>
    <row r="2675">
      <c r="A2675" s="33" t="inlineStr">
        <is>
          <t>2026-08-02</t>
        </is>
      </c>
      <c r="B2675" s="33" t="inlineStr">
        <is>
          <t>ALNT</t>
        </is>
      </c>
      <c r="C2675" s="33" t="inlineStr">
        <is>
          <t>M1</t>
        </is>
      </c>
      <c r="D2675" s="33" t="n">
        <v>4</v>
      </c>
      <c r="E2675" s="33" t="inlineStr">
        <is>
          <t>Initial L11-batch rating per agent5 proposal (rationale+source in 11-robotics/research/rating-proposals-2026-08-02/); briefing per-stock/ALNT/context-2026-08-02.md</t>
        </is>
      </c>
      <c r="F2675" s="33" t="inlineStr">
        <is>
          <t>per-stock/ALNT/context-2026-08-02.md</t>
        </is>
      </c>
      <c r="G2675" s="33" t="inlineStr">
        <is>
          <t>Medium</t>
        </is>
      </c>
      <c r="H2675" s="33" t="inlineStr">
        <is>
          <t>Initial</t>
        </is>
      </c>
    </row>
    <row r="2676">
      <c r="A2676" s="33" t="inlineStr">
        <is>
          <t>2026-08-02</t>
        </is>
      </c>
      <c r="B2676" s="33" t="inlineStr">
        <is>
          <t>ALNT</t>
        </is>
      </c>
      <c r="C2676" s="33" t="inlineStr">
        <is>
          <t>M2</t>
        </is>
      </c>
      <c r="D2676" s="33" t="n">
        <v>5</v>
      </c>
      <c r="E2676" s="33" t="inlineStr">
        <is>
          <t>Initial L11-batch rating per agent5 proposal (rationale+source in 11-robotics/research/rating-proposals-2026-08-02/); briefing per-stock/ALNT/context-2026-08-02.md</t>
        </is>
      </c>
      <c r="F2676" s="33" t="inlineStr">
        <is>
          <t>per-stock/ALNT/context-2026-08-02.md</t>
        </is>
      </c>
      <c r="G2676" s="33" t="inlineStr">
        <is>
          <t>Medium</t>
        </is>
      </c>
      <c r="H2676" s="33" t="inlineStr">
        <is>
          <t>Initial</t>
        </is>
      </c>
    </row>
    <row r="2677">
      <c r="A2677" s="33" t="inlineStr">
        <is>
          <t>2026-08-02</t>
        </is>
      </c>
      <c r="B2677" s="33" t="inlineStr">
        <is>
          <t>ALNT</t>
        </is>
      </c>
      <c r="C2677" s="33" t="inlineStr">
        <is>
          <t>M3</t>
        </is>
      </c>
      <c r="D2677" s="33" t="n">
        <v>3</v>
      </c>
      <c r="E2677" s="33" t="inlineStr">
        <is>
          <t>Initial L11-batch rating per agent5 proposal (rationale+source in 11-robotics/research/rating-proposals-2026-08-02/); briefing per-stock/ALNT/context-2026-08-02.md</t>
        </is>
      </c>
      <c r="F2677" s="33" t="inlineStr">
        <is>
          <t>per-stock/ALNT/context-2026-08-02.md</t>
        </is>
      </c>
      <c r="G2677" s="33" t="inlineStr">
        <is>
          <t>Medium</t>
        </is>
      </c>
      <c r="H2677" s="33" t="inlineStr">
        <is>
          <t>Initial</t>
        </is>
      </c>
    </row>
    <row r="2678">
      <c r="A2678" s="33" t="inlineStr">
        <is>
          <t>2026-08-02</t>
        </is>
      </c>
      <c r="B2678" s="33" t="inlineStr">
        <is>
          <t>ALNT</t>
        </is>
      </c>
      <c r="C2678" s="33" t="inlineStr">
        <is>
          <t>R1</t>
        </is>
      </c>
      <c r="D2678" s="33" t="n">
        <v>5</v>
      </c>
      <c r="E2678" s="33" t="inlineStr">
        <is>
          <t>Initial L11-batch rating per agent5 proposal (rationale+source in 11-robotics/research/rating-proposals-2026-08-02/); briefing per-stock/ALNT/context-2026-08-02.md</t>
        </is>
      </c>
      <c r="F2678" s="33" t="inlineStr">
        <is>
          <t>per-stock/ALNT/context-2026-08-02.md</t>
        </is>
      </c>
      <c r="G2678" s="33" t="inlineStr">
        <is>
          <t>Medium</t>
        </is>
      </c>
      <c r="H2678" s="33" t="inlineStr">
        <is>
          <t>Initial</t>
        </is>
      </c>
    </row>
    <row r="2679">
      <c r="A2679" s="33" t="inlineStr">
        <is>
          <t>2026-08-02</t>
        </is>
      </c>
      <c r="B2679" s="33" t="inlineStr">
        <is>
          <t>ALNT</t>
        </is>
      </c>
      <c r="C2679" s="33" t="inlineStr">
        <is>
          <t>R2</t>
        </is>
      </c>
      <c r="D2679" s="33" t="n">
        <v>4</v>
      </c>
      <c r="E2679" s="33" t="inlineStr">
        <is>
          <t>Initial L11-batch rating per agent5 proposal (rationale+source in 11-robotics/research/rating-proposals-2026-08-02/); briefing per-stock/ALNT/context-2026-08-02.md</t>
        </is>
      </c>
      <c r="F2679" s="33" t="inlineStr">
        <is>
          <t>per-stock/ALNT/context-2026-08-02.md</t>
        </is>
      </c>
      <c r="G2679" s="33" t="inlineStr">
        <is>
          <t>Medium</t>
        </is>
      </c>
      <c r="H2679" s="33" t="inlineStr">
        <is>
          <t>Initial</t>
        </is>
      </c>
    </row>
    <row r="2680">
      <c r="A2680" s="33" t="inlineStr">
        <is>
          <t>2026-08-02</t>
        </is>
      </c>
      <c r="B2680" s="33" t="inlineStr">
        <is>
          <t>ALNT</t>
        </is>
      </c>
      <c r="C2680" s="33" t="inlineStr">
        <is>
          <t>R3</t>
        </is>
      </c>
      <c r="D2680" s="33" t="n">
        <v>3</v>
      </c>
      <c r="E2680" s="33" t="inlineStr">
        <is>
          <t>Initial L11-batch rating per agent5 proposal (rationale+source in 11-robotics/research/rating-proposals-2026-08-02/); briefing per-stock/ALNT/context-2026-08-02.md</t>
        </is>
      </c>
      <c r="F2680" s="33" t="inlineStr">
        <is>
          <t>per-stock/ALNT/context-2026-08-02.md</t>
        </is>
      </c>
      <c r="G2680" s="33" t="inlineStr">
        <is>
          <t>Medium</t>
        </is>
      </c>
      <c r="H2680" s="33" t="inlineStr">
        <is>
          <t>Initial</t>
        </is>
      </c>
    </row>
    <row r="2681">
      <c r="A2681" s="33" t="inlineStr">
        <is>
          <t>2026-08-02</t>
        </is>
      </c>
      <c r="B2681" s="33" t="inlineStr">
        <is>
          <t>ALNT</t>
        </is>
      </c>
      <c r="C2681" s="33" t="inlineStr">
        <is>
          <t>R4</t>
        </is>
      </c>
      <c r="D2681" s="33" t="n">
        <v>4</v>
      </c>
      <c r="E2681" s="33" t="inlineStr">
        <is>
          <t>Initial L11-batch rating per agent5 proposal (rationale+source in 11-robotics/research/rating-proposals-2026-08-02/); briefing per-stock/ALNT/context-2026-08-02.md</t>
        </is>
      </c>
      <c r="F2681" s="33" t="inlineStr">
        <is>
          <t>per-stock/ALNT/context-2026-08-02.md</t>
        </is>
      </c>
      <c r="G2681" s="33" t="inlineStr">
        <is>
          <t>Medium</t>
        </is>
      </c>
      <c r="H2681" s="33" t="inlineStr">
        <is>
          <t>Initial</t>
        </is>
      </c>
    </row>
    <row r="2682">
      <c r="A2682" s="33" t="inlineStr">
        <is>
          <t>2026-08-02</t>
        </is>
      </c>
      <c r="B2682" s="33" t="inlineStr">
        <is>
          <t>ALNT</t>
        </is>
      </c>
      <c r="C2682" s="33" t="inlineStr">
        <is>
          <t>R5</t>
        </is>
      </c>
      <c r="D2682" s="33" t="n">
        <v>5</v>
      </c>
      <c r="E2682" s="33" t="inlineStr">
        <is>
          <t>Initial L11-batch rating per agent5 proposal (rationale+source in 11-robotics/research/rating-proposals-2026-08-02/); briefing per-stock/ALNT/context-2026-08-02.md</t>
        </is>
      </c>
      <c r="F2682" s="33" t="inlineStr">
        <is>
          <t>per-stock/ALNT/context-2026-08-02.md</t>
        </is>
      </c>
      <c r="G2682" s="33" t="inlineStr">
        <is>
          <t>Medium</t>
        </is>
      </c>
      <c r="H2682" s="33" t="inlineStr">
        <is>
          <t>Initial</t>
        </is>
      </c>
    </row>
    <row r="2683">
      <c r="A2683" s="33" t="inlineStr">
        <is>
          <t>2026-08-02</t>
        </is>
      </c>
      <c r="B2683" s="33" t="inlineStr">
        <is>
          <t>VPG</t>
        </is>
      </c>
      <c r="C2683" s="33" t="inlineStr">
        <is>
          <t>D1</t>
        </is>
      </c>
      <c r="D2683" s="33" t="n">
        <v>1</v>
      </c>
      <c r="E2683" s="33" t="inlineStr">
        <is>
          <t>Initial L11-batch rating per agent5 proposal (rationale+source in 11-robotics/research/rating-proposals-2026-08-02/); briefing per-stock/VPG/context-2026-08-02.md</t>
        </is>
      </c>
      <c r="F2683" s="33" t="inlineStr">
        <is>
          <t>per-stock/VPG/context-2026-08-02.md</t>
        </is>
      </c>
      <c r="G2683" s="33" t="inlineStr">
        <is>
          <t>Medium</t>
        </is>
      </c>
      <c r="H2683" s="33" t="inlineStr">
        <is>
          <t>Initial</t>
        </is>
      </c>
    </row>
    <row r="2684">
      <c r="A2684" s="33" t="inlineStr">
        <is>
          <t>2026-08-02</t>
        </is>
      </c>
      <c r="B2684" s="33" t="inlineStr">
        <is>
          <t>VPG</t>
        </is>
      </c>
      <c r="C2684" s="33" t="inlineStr">
        <is>
          <t>D2</t>
        </is>
      </c>
      <c r="D2684" s="33" t="n">
        <v>4</v>
      </c>
      <c r="E2684" s="33" t="inlineStr">
        <is>
          <t>Initial L11-batch rating per agent5 proposal (rationale+source in 11-robotics/research/rating-proposals-2026-08-02/); briefing per-stock/VPG/context-2026-08-02.md</t>
        </is>
      </c>
      <c r="F2684" s="33" t="inlineStr">
        <is>
          <t>per-stock/VPG/context-2026-08-02.md</t>
        </is>
      </c>
      <c r="G2684" s="33" t="inlineStr">
        <is>
          <t>Medium</t>
        </is>
      </c>
      <c r="H2684" s="33" t="inlineStr">
        <is>
          <t>Initial</t>
        </is>
      </c>
    </row>
    <row r="2685">
      <c r="A2685" s="33" t="inlineStr">
        <is>
          <t>2026-08-02</t>
        </is>
      </c>
      <c r="B2685" s="33" t="inlineStr">
        <is>
          <t>VPG</t>
        </is>
      </c>
      <c r="C2685" s="33" t="inlineStr">
        <is>
          <t>D3</t>
        </is>
      </c>
      <c r="D2685" s="33" t="n">
        <v>3</v>
      </c>
      <c r="E2685" s="33" t="inlineStr">
        <is>
          <t>Initial L11-batch rating per agent5 proposal (rationale+source in 11-robotics/research/rating-proposals-2026-08-02/); briefing per-stock/VPG/context-2026-08-02.md</t>
        </is>
      </c>
      <c r="F2685" s="33" t="inlineStr">
        <is>
          <t>per-stock/VPG/context-2026-08-02.md</t>
        </is>
      </c>
      <c r="G2685" s="33" t="inlineStr">
        <is>
          <t>Medium</t>
        </is>
      </c>
      <c r="H2685" s="33" t="inlineStr">
        <is>
          <t>Initial</t>
        </is>
      </c>
    </row>
    <row r="2686">
      <c r="A2686" s="33" t="inlineStr">
        <is>
          <t>2026-08-02</t>
        </is>
      </c>
      <c r="B2686" s="33" t="inlineStr">
        <is>
          <t>VPG</t>
        </is>
      </c>
      <c r="C2686" s="33" t="inlineStr">
        <is>
          <t>D4</t>
        </is>
      </c>
      <c r="D2686" s="33" t="n">
        <v>3</v>
      </c>
      <c r="E2686" s="33" t="inlineStr">
        <is>
          <t>Initial L11-batch rating per agent5 proposal (rationale+source in 11-robotics/research/rating-proposals-2026-08-02/); briefing per-stock/VPG/context-2026-08-02.md</t>
        </is>
      </c>
      <c r="F2686" s="33" t="inlineStr">
        <is>
          <t>per-stock/VPG/context-2026-08-02.md</t>
        </is>
      </c>
      <c r="G2686" s="33" t="inlineStr">
        <is>
          <t>Medium</t>
        </is>
      </c>
      <c r="H2686" s="33" t="inlineStr">
        <is>
          <t>Initial</t>
        </is>
      </c>
    </row>
    <row r="2687">
      <c r="A2687" s="33" t="inlineStr">
        <is>
          <t>2026-08-02</t>
        </is>
      </c>
      <c r="B2687" s="33" t="inlineStr">
        <is>
          <t>VPG</t>
        </is>
      </c>
      <c r="C2687" s="33" t="inlineStr">
        <is>
          <t>D5</t>
        </is>
      </c>
      <c r="D2687" s="33" t="n">
        <v>3</v>
      </c>
      <c r="E2687" s="33" t="inlineStr">
        <is>
          <t>Initial L11-batch rating per agent5 proposal (rationale+source in 11-robotics/research/rating-proposals-2026-08-02/); briefing per-stock/VPG/context-2026-08-02.md</t>
        </is>
      </c>
      <c r="F2687" s="33" t="inlineStr">
        <is>
          <t>per-stock/VPG/context-2026-08-02.md</t>
        </is>
      </c>
      <c r="G2687" s="33" t="inlineStr">
        <is>
          <t>Medium</t>
        </is>
      </c>
      <c r="H2687" s="33" t="inlineStr">
        <is>
          <t>Initial</t>
        </is>
      </c>
    </row>
    <row r="2688">
      <c r="A2688" s="33" t="inlineStr">
        <is>
          <t>2026-08-02</t>
        </is>
      </c>
      <c r="B2688" s="33" t="inlineStr">
        <is>
          <t>VPG</t>
        </is>
      </c>
      <c r="C2688" s="33" t="inlineStr">
        <is>
          <t>M1</t>
        </is>
      </c>
      <c r="D2688" s="33" t="n">
        <v>4</v>
      </c>
      <c r="E2688" s="33" t="inlineStr">
        <is>
          <t>Initial L11-batch rating per agent5 proposal (rationale+source in 11-robotics/research/rating-proposals-2026-08-02/); briefing per-stock/VPG/context-2026-08-02.md</t>
        </is>
      </c>
      <c r="F2688" s="33" t="inlineStr">
        <is>
          <t>per-stock/VPG/context-2026-08-02.md</t>
        </is>
      </c>
      <c r="G2688" s="33" t="inlineStr">
        <is>
          <t>Medium</t>
        </is>
      </c>
      <c r="H2688" s="33" t="inlineStr">
        <is>
          <t>Initial</t>
        </is>
      </c>
    </row>
    <row r="2689">
      <c r="A2689" s="33" t="inlineStr">
        <is>
          <t>2026-08-02</t>
        </is>
      </c>
      <c r="B2689" s="33" t="inlineStr">
        <is>
          <t>VPG</t>
        </is>
      </c>
      <c r="C2689" s="33" t="inlineStr">
        <is>
          <t>M2</t>
        </is>
      </c>
      <c r="D2689" s="33" t="n">
        <v>5</v>
      </c>
      <c r="E2689" s="33" t="inlineStr">
        <is>
          <t>Initial L11-batch rating per agent5 proposal (rationale+source in 11-robotics/research/rating-proposals-2026-08-02/); briefing per-stock/VPG/context-2026-08-02.md</t>
        </is>
      </c>
      <c r="F2689" s="33" t="inlineStr">
        <is>
          <t>per-stock/VPG/context-2026-08-02.md</t>
        </is>
      </c>
      <c r="G2689" s="33" t="inlineStr">
        <is>
          <t>Medium</t>
        </is>
      </c>
      <c r="H2689" s="33" t="inlineStr">
        <is>
          <t>Initial</t>
        </is>
      </c>
    </row>
    <row r="2690">
      <c r="A2690" s="33" t="inlineStr">
        <is>
          <t>2026-08-02</t>
        </is>
      </c>
      <c r="B2690" s="33" t="inlineStr">
        <is>
          <t>VPG</t>
        </is>
      </c>
      <c r="C2690" s="33" t="inlineStr">
        <is>
          <t>M3</t>
        </is>
      </c>
      <c r="D2690" s="33" t="n">
        <v>3</v>
      </c>
      <c r="E2690" s="33" t="inlineStr">
        <is>
          <t>Initial L11-batch rating per agent5 proposal (rationale+source in 11-robotics/research/rating-proposals-2026-08-02/); briefing per-stock/VPG/context-2026-08-02.md</t>
        </is>
      </c>
      <c r="F2690" s="33" t="inlineStr">
        <is>
          <t>per-stock/VPG/context-2026-08-02.md</t>
        </is>
      </c>
      <c r="G2690" s="33" t="inlineStr">
        <is>
          <t>Medium</t>
        </is>
      </c>
      <c r="H2690" s="33" t="inlineStr">
        <is>
          <t>Initial</t>
        </is>
      </c>
    </row>
    <row r="2691">
      <c r="A2691" s="33" t="inlineStr">
        <is>
          <t>2026-08-02</t>
        </is>
      </c>
      <c r="B2691" s="33" t="inlineStr">
        <is>
          <t>VPG</t>
        </is>
      </c>
      <c r="C2691" s="33" t="inlineStr">
        <is>
          <t>R1</t>
        </is>
      </c>
      <c r="D2691" s="33" t="n">
        <v>5</v>
      </c>
      <c r="E2691" s="33" t="inlineStr">
        <is>
          <t>Initial L11-batch rating per agent5 proposal (rationale+source in 11-robotics/research/rating-proposals-2026-08-02/); briefing per-stock/VPG/context-2026-08-02.md</t>
        </is>
      </c>
      <c r="F2691" s="33" t="inlineStr">
        <is>
          <t>per-stock/VPG/context-2026-08-02.md</t>
        </is>
      </c>
      <c r="G2691" s="33" t="inlineStr">
        <is>
          <t>Medium</t>
        </is>
      </c>
      <c r="H2691" s="33" t="inlineStr">
        <is>
          <t>Initial</t>
        </is>
      </c>
    </row>
    <row r="2692">
      <c r="A2692" s="33" t="inlineStr">
        <is>
          <t>2026-08-02</t>
        </is>
      </c>
      <c r="B2692" s="33" t="inlineStr">
        <is>
          <t>VPG</t>
        </is>
      </c>
      <c r="C2692" s="33" t="inlineStr">
        <is>
          <t>R2</t>
        </is>
      </c>
      <c r="D2692" s="33" t="n">
        <v>2</v>
      </c>
      <c r="E2692" s="33" t="inlineStr">
        <is>
          <t>NEW FINDING: Israel = 49.8% of net PP&amp;E ($37.9M/$76.1M) + 31% of cash while only 4.8% of revenue - asset leg on the exact strain-gage base carrying the humanoid thesis (FY2025 10-K Notes 11/13).</t>
        </is>
      </c>
      <c r="F2692" s="33" t="inlineStr">
        <is>
          <t>per-stock/VPG/context-2026-08-02.md</t>
        </is>
      </c>
      <c r="G2692" s="33" t="inlineStr">
        <is>
          <t>Medium</t>
        </is>
      </c>
      <c r="H2692" s="33" t="inlineStr">
        <is>
          <t>Initial</t>
        </is>
      </c>
    </row>
    <row r="2693">
      <c r="A2693" s="33" t="inlineStr">
        <is>
          <t>2026-08-02</t>
        </is>
      </c>
      <c r="B2693" s="33" t="inlineStr">
        <is>
          <t>VPG</t>
        </is>
      </c>
      <c r="C2693" s="33" t="inlineStr">
        <is>
          <t>R3</t>
        </is>
      </c>
      <c r="D2693" s="33" t="n">
        <v>5</v>
      </c>
      <c r="E2693" s="33" t="inlineStr">
        <is>
          <t>Initial L11-batch rating per agent5 proposal (rationale+source in 11-robotics/research/rating-proposals-2026-08-02/); briefing per-stock/VPG/context-2026-08-02.md</t>
        </is>
      </c>
      <c r="F2693" s="33" t="inlineStr">
        <is>
          <t>per-stock/VPG/context-2026-08-02.md</t>
        </is>
      </c>
      <c r="G2693" s="33" t="inlineStr">
        <is>
          <t>Medium</t>
        </is>
      </c>
      <c r="H2693" s="33" t="inlineStr">
        <is>
          <t>Initial</t>
        </is>
      </c>
    </row>
    <row r="2694">
      <c r="A2694" s="33" t="inlineStr">
        <is>
          <t>2026-08-02</t>
        </is>
      </c>
      <c r="B2694" s="33" t="inlineStr">
        <is>
          <t>VPG</t>
        </is>
      </c>
      <c r="C2694" s="33" t="inlineStr">
        <is>
          <t>R4</t>
        </is>
      </c>
      <c r="D2694" s="33" t="n">
        <v>4</v>
      </c>
      <c r="E2694" s="33" t="inlineStr">
        <is>
          <t>Initial L11-batch rating per agent5 proposal (rationale+source in 11-robotics/research/rating-proposals-2026-08-02/); briefing per-stock/VPG/context-2026-08-02.md</t>
        </is>
      </c>
      <c r="F2694" s="33" t="inlineStr">
        <is>
          <t>per-stock/VPG/context-2026-08-02.md</t>
        </is>
      </c>
      <c r="G2694" s="33" t="inlineStr">
        <is>
          <t>Medium</t>
        </is>
      </c>
      <c r="H2694" s="33" t="inlineStr">
        <is>
          <t>Initial</t>
        </is>
      </c>
    </row>
    <row r="2695">
      <c r="A2695" s="33" t="inlineStr">
        <is>
          <t>2026-08-02</t>
        </is>
      </c>
      <c r="B2695" s="33" t="inlineStr">
        <is>
          <t>VPG</t>
        </is>
      </c>
      <c r="C2695" s="33" t="inlineStr">
        <is>
          <t>R5</t>
        </is>
      </c>
      <c r="D2695" s="33" t="n">
        <v>5</v>
      </c>
      <c r="E2695" s="33" t="inlineStr">
        <is>
          <t>Initial L11-batch rating per agent5 proposal (rationale+source in 11-robotics/research/rating-proposals-2026-08-02/); briefing per-stock/VPG/context-2026-08-02.md</t>
        </is>
      </c>
      <c r="F2695" s="33" t="inlineStr">
        <is>
          <t>per-stock/VPG/context-2026-08-02.md</t>
        </is>
      </c>
      <c r="G2695" s="33" t="inlineStr">
        <is>
          <t>Medium</t>
        </is>
      </c>
      <c r="H2695" s="33" t="inlineStr">
        <is>
          <t>Initial</t>
        </is>
      </c>
    </row>
    <row r="2696">
      <c r="A2696" s="33" t="inlineStr">
        <is>
          <t>2026-08-02</t>
        </is>
      </c>
      <c r="B2696" s="33" t="inlineStr">
        <is>
          <t>ALGM</t>
        </is>
      </c>
      <c r="C2696" s="33" t="inlineStr">
        <is>
          <t>D1</t>
        </is>
      </c>
      <c r="D2696" s="33" t="n">
        <v>3</v>
      </c>
      <c r="E2696" s="33" t="inlineStr">
        <is>
          <t>Initial L11-batch rating per agent5 proposal (rationale+source in 11-robotics/research/rating-proposals-2026-08-02/); briefing per-stock/ALGM/context-2026-08-02.md</t>
        </is>
      </c>
      <c r="F2696" s="33" t="inlineStr">
        <is>
          <t>per-stock/ALGM/context-2026-08-02.md</t>
        </is>
      </c>
      <c r="G2696" s="33" t="inlineStr">
        <is>
          <t>Medium</t>
        </is>
      </c>
      <c r="H2696" s="33" t="inlineStr">
        <is>
          <t>Initial</t>
        </is>
      </c>
    </row>
    <row r="2697">
      <c r="A2697" s="33" t="inlineStr">
        <is>
          <t>2026-08-02</t>
        </is>
      </c>
      <c r="B2697" s="33" t="inlineStr">
        <is>
          <t>ALGM</t>
        </is>
      </c>
      <c r="C2697" s="33" t="inlineStr">
        <is>
          <t>D2</t>
        </is>
      </c>
      <c r="D2697" s="33" t="n">
        <v>4</v>
      </c>
      <c r="E2697" s="33" t="inlineStr">
        <is>
          <t>Initial L11-batch rating per agent5 proposal (rationale+source in 11-robotics/research/rating-proposals-2026-08-02/); briefing per-stock/ALGM/context-2026-08-02.md</t>
        </is>
      </c>
      <c r="F2697" s="33" t="inlineStr">
        <is>
          <t>per-stock/ALGM/context-2026-08-02.md</t>
        </is>
      </c>
      <c r="G2697" s="33" t="inlineStr">
        <is>
          <t>Medium</t>
        </is>
      </c>
      <c r="H2697" s="33" t="inlineStr">
        <is>
          <t>Initial</t>
        </is>
      </c>
    </row>
    <row r="2698">
      <c r="A2698" s="33" t="inlineStr">
        <is>
          <t>2026-08-02</t>
        </is>
      </c>
      <c r="B2698" s="33" t="inlineStr">
        <is>
          <t>ALGM</t>
        </is>
      </c>
      <c r="C2698" s="33" t="inlineStr">
        <is>
          <t>D3</t>
        </is>
      </c>
      <c r="D2698" s="33" t="n">
        <v>4</v>
      </c>
      <c r="E2698" s="33" t="inlineStr">
        <is>
          <t>Initial L11-batch rating per agent5 proposal (rationale+source in 11-robotics/research/rating-proposals-2026-08-02/); briefing per-stock/ALGM/context-2026-08-02.md</t>
        </is>
      </c>
      <c r="F2698" s="33" t="inlineStr">
        <is>
          <t>per-stock/ALGM/context-2026-08-02.md</t>
        </is>
      </c>
      <c r="G2698" s="33" t="inlineStr">
        <is>
          <t>Medium</t>
        </is>
      </c>
      <c r="H2698" s="33" t="inlineStr">
        <is>
          <t>Initial</t>
        </is>
      </c>
    </row>
    <row r="2699">
      <c r="A2699" s="33" t="inlineStr">
        <is>
          <t>2026-08-02</t>
        </is>
      </c>
      <c r="B2699" s="33" t="inlineStr">
        <is>
          <t>ALGM</t>
        </is>
      </c>
      <c r="C2699" s="33" t="inlineStr">
        <is>
          <t>D4</t>
        </is>
      </c>
      <c r="D2699" s="33" t="n">
        <v>3</v>
      </c>
      <c r="E2699" s="33" t="inlineStr">
        <is>
          <t>Initial L11-batch rating per agent5 proposal (rationale+source in 11-robotics/research/rating-proposals-2026-08-02/); briefing per-stock/ALGM/context-2026-08-02.md</t>
        </is>
      </c>
      <c r="F2699" s="33" t="inlineStr">
        <is>
          <t>per-stock/ALGM/context-2026-08-02.md</t>
        </is>
      </c>
      <c r="G2699" s="33" t="inlineStr">
        <is>
          <t>Medium</t>
        </is>
      </c>
      <c r="H2699" s="33" t="inlineStr">
        <is>
          <t>Initial</t>
        </is>
      </c>
    </row>
    <row r="2700">
      <c r="A2700" s="33" t="inlineStr">
        <is>
          <t>2026-08-02</t>
        </is>
      </c>
      <c r="B2700" s="33" t="inlineStr">
        <is>
          <t>ALGM</t>
        </is>
      </c>
      <c r="C2700" s="33" t="inlineStr">
        <is>
          <t>D5</t>
        </is>
      </c>
      <c r="D2700" s="33" t="n">
        <v>3</v>
      </c>
      <c r="E2700" s="33" t="inlineStr">
        <is>
          <t>Initial L11-batch rating per agent5 proposal (rationale+source in 11-robotics/research/rating-proposals-2026-08-02/); briefing per-stock/ALGM/context-2026-08-02.md</t>
        </is>
      </c>
      <c r="F2700" s="33" t="inlineStr">
        <is>
          <t>per-stock/ALGM/context-2026-08-02.md</t>
        </is>
      </c>
      <c r="G2700" s="33" t="inlineStr">
        <is>
          <t>Medium</t>
        </is>
      </c>
      <c r="H2700" s="33" t="inlineStr">
        <is>
          <t>Initial</t>
        </is>
      </c>
    </row>
    <row r="2701">
      <c r="A2701" s="33" t="inlineStr">
        <is>
          <t>2026-08-02</t>
        </is>
      </c>
      <c r="B2701" s="33" t="inlineStr">
        <is>
          <t>ALGM</t>
        </is>
      </c>
      <c r="C2701" s="33" t="inlineStr">
        <is>
          <t>M1</t>
        </is>
      </c>
      <c r="D2701" s="33" t="n">
        <v>4</v>
      </c>
      <c r="E2701" s="33" t="inlineStr">
        <is>
          <t>Initial L11-batch rating per agent5 proposal (rationale+source in 11-robotics/research/rating-proposals-2026-08-02/); briefing per-stock/ALGM/context-2026-08-02.md</t>
        </is>
      </c>
      <c r="F2701" s="33" t="inlineStr">
        <is>
          <t>per-stock/ALGM/context-2026-08-02.md</t>
        </is>
      </c>
      <c r="G2701" s="33" t="inlineStr">
        <is>
          <t>Medium</t>
        </is>
      </c>
      <c r="H2701" s="33" t="inlineStr">
        <is>
          <t>Initial</t>
        </is>
      </c>
    </row>
    <row r="2702">
      <c r="A2702" s="33" t="inlineStr">
        <is>
          <t>2026-08-02</t>
        </is>
      </c>
      <c r="B2702" s="33" t="inlineStr">
        <is>
          <t>ALGM</t>
        </is>
      </c>
      <c r="C2702" s="33" t="inlineStr">
        <is>
          <t>M2</t>
        </is>
      </c>
      <c r="D2702" s="33" t="n">
        <v>1</v>
      </c>
      <c r="E2702" s="33" t="inlineStr">
        <is>
          <t>Initial L11-batch rating per agent5 proposal (rationale+source in 11-robotics/research/rating-proposals-2026-08-02/); briefing per-stock/ALGM/context-2026-08-02.md</t>
        </is>
      </c>
      <c r="F2702" s="33" t="inlineStr">
        <is>
          <t>per-stock/ALGM/context-2026-08-02.md</t>
        </is>
      </c>
      <c r="G2702" s="33" t="inlineStr">
        <is>
          <t>Medium</t>
        </is>
      </c>
      <c r="H2702" s="33" t="inlineStr">
        <is>
          <t>Initial</t>
        </is>
      </c>
    </row>
    <row r="2703">
      <c r="A2703" s="33" t="inlineStr">
        <is>
          <t>2026-08-02</t>
        </is>
      </c>
      <c r="B2703" s="33" t="inlineStr">
        <is>
          <t>ALGM</t>
        </is>
      </c>
      <c r="C2703" s="33" t="inlineStr">
        <is>
          <t>M3</t>
        </is>
      </c>
      <c r="D2703" s="33" t="n">
        <v>2</v>
      </c>
      <c r="E2703" s="33" t="inlineStr">
        <is>
          <t>Initial L11-batch rating per agent5 proposal (rationale+source in 11-robotics/research/rating-proposals-2026-08-02/); briefing per-stock/ALGM/context-2026-08-02.md</t>
        </is>
      </c>
      <c r="F2703" s="33" t="inlineStr">
        <is>
          <t>per-stock/ALGM/context-2026-08-02.md</t>
        </is>
      </c>
      <c r="G2703" s="33" t="inlineStr">
        <is>
          <t>Medium</t>
        </is>
      </c>
      <c r="H2703" s="33" t="inlineStr">
        <is>
          <t>Initial</t>
        </is>
      </c>
    </row>
    <row r="2704">
      <c r="A2704" s="33" t="inlineStr">
        <is>
          <t>2026-08-02</t>
        </is>
      </c>
      <c r="B2704" s="33" t="inlineStr">
        <is>
          <t>ALGM</t>
        </is>
      </c>
      <c r="C2704" s="33" t="inlineStr">
        <is>
          <t>R1</t>
        </is>
      </c>
      <c r="D2704" s="33" t="n">
        <v>5</v>
      </c>
      <c r="E2704" s="33" t="inlineStr">
        <is>
          <t>Initial L11-batch rating per agent5 proposal (rationale+source in 11-robotics/research/rating-proposals-2026-08-02/); briefing per-stock/ALGM/context-2026-08-02.md</t>
        </is>
      </c>
      <c r="F2704" s="33" t="inlineStr">
        <is>
          <t>per-stock/ALGM/context-2026-08-02.md</t>
        </is>
      </c>
      <c r="G2704" s="33" t="inlineStr">
        <is>
          <t>Medium</t>
        </is>
      </c>
      <c r="H2704" s="33" t="inlineStr">
        <is>
          <t>Initial</t>
        </is>
      </c>
    </row>
    <row r="2705">
      <c r="A2705" s="33" t="inlineStr">
        <is>
          <t>2026-08-02</t>
        </is>
      </c>
      <c r="B2705" s="33" t="inlineStr">
        <is>
          <t>ALGM</t>
        </is>
      </c>
      <c r="C2705" s="33" t="inlineStr">
        <is>
          <t>R2</t>
        </is>
      </c>
      <c r="D2705" s="33" t="n">
        <v>3</v>
      </c>
      <c r="E2705" s="33" t="inlineStr">
        <is>
          <t>Initial L11-batch rating per agent5 proposal (rationale+source in 11-robotics/research/rating-proposals-2026-08-02/); briefing per-stock/ALGM/context-2026-08-02.md</t>
        </is>
      </c>
      <c r="F2705" s="33" t="inlineStr">
        <is>
          <t>per-stock/ALGM/context-2026-08-02.md</t>
        </is>
      </c>
      <c r="G2705" s="33" t="inlineStr">
        <is>
          <t>Medium</t>
        </is>
      </c>
      <c r="H2705" s="33" t="inlineStr">
        <is>
          <t>Initial</t>
        </is>
      </c>
    </row>
    <row r="2706">
      <c r="A2706" s="33" t="inlineStr">
        <is>
          <t>2026-08-02</t>
        </is>
      </c>
      <c r="B2706" s="33" t="inlineStr">
        <is>
          <t>ALGM</t>
        </is>
      </c>
      <c r="C2706" s="33" t="inlineStr">
        <is>
          <t>R3</t>
        </is>
      </c>
      <c r="D2706" s="33" t="n">
        <v>4</v>
      </c>
      <c r="E2706" s="33" t="inlineStr">
        <is>
          <t>Initial L11-batch rating per agent5 proposal (rationale+source in 11-robotics/research/rating-proposals-2026-08-02/); briefing per-stock/ALGM/context-2026-08-02.md</t>
        </is>
      </c>
      <c r="F2706" s="33" t="inlineStr">
        <is>
          <t>per-stock/ALGM/context-2026-08-02.md</t>
        </is>
      </c>
      <c r="G2706" s="33" t="inlineStr">
        <is>
          <t>Medium</t>
        </is>
      </c>
      <c r="H2706" s="33" t="inlineStr">
        <is>
          <t>Initial</t>
        </is>
      </c>
    </row>
    <row r="2707">
      <c r="A2707" s="33" t="inlineStr">
        <is>
          <t>2026-08-02</t>
        </is>
      </c>
      <c r="B2707" s="33" t="inlineStr">
        <is>
          <t>ALGM</t>
        </is>
      </c>
      <c r="C2707" s="33" t="inlineStr">
        <is>
          <t>R4</t>
        </is>
      </c>
      <c r="D2707" s="33" t="n">
        <v>4</v>
      </c>
      <c r="E2707" s="33" t="inlineStr">
        <is>
          <t>Initial L11-batch rating per agent5 proposal (rationale+source in 11-robotics/research/rating-proposals-2026-08-02/); briefing per-stock/ALGM/context-2026-08-02.md</t>
        </is>
      </c>
      <c r="F2707" s="33" t="inlineStr">
        <is>
          <t>per-stock/ALGM/context-2026-08-02.md</t>
        </is>
      </c>
      <c r="G2707" s="33" t="inlineStr">
        <is>
          <t>Medium</t>
        </is>
      </c>
      <c r="H2707" s="33" t="inlineStr">
        <is>
          <t>Initial</t>
        </is>
      </c>
    </row>
    <row r="2708">
      <c r="A2708" s="33" t="inlineStr">
        <is>
          <t>2026-08-02</t>
        </is>
      </c>
      <c r="B2708" s="33" t="inlineStr">
        <is>
          <t>ALGM</t>
        </is>
      </c>
      <c r="C2708" s="33" t="inlineStr">
        <is>
          <t>R5</t>
        </is>
      </c>
      <c r="D2708" s="33" t="n">
        <v>5</v>
      </c>
      <c r="E2708" s="33" t="inlineStr">
        <is>
          <t>Initial L11-batch rating per agent5 proposal (rationale+source in 11-robotics/research/rating-proposals-2026-08-02/); briefing per-stock/ALGM/context-2026-08-02.md</t>
        </is>
      </c>
      <c r="F2708" s="33" t="inlineStr">
        <is>
          <t>per-stock/ALGM/context-2026-08-02.md</t>
        </is>
      </c>
      <c r="G2708" s="33" t="inlineStr">
        <is>
          <t>Medium</t>
        </is>
      </c>
      <c r="H2708" s="33" t="inlineStr">
        <is>
          <t>Initial</t>
        </is>
      </c>
    </row>
    <row r="2709">
      <c r="A2709" s="33" t="inlineStr">
        <is>
          <t>2026-08-02</t>
        </is>
      </c>
      <c r="B2709" s="33" t="inlineStr">
        <is>
          <t>MELE.BR</t>
        </is>
      </c>
      <c r="C2709" s="33" t="inlineStr">
        <is>
          <t>D1</t>
        </is>
      </c>
      <c r="D2709" s="33" t="n">
        <v>1</v>
      </c>
      <c r="E2709" s="33" t="inlineStr">
        <is>
          <t>Initial L11-batch rating per agent5 proposal (rationale+source in 11-robotics/research/rating-proposals-2026-08-02/); briefing per-stock/MELE.BR/context-2026-08-02.md</t>
        </is>
      </c>
      <c r="F2709" s="33" t="inlineStr">
        <is>
          <t>per-stock/MELE.BR/context-2026-08-02.md</t>
        </is>
      </c>
      <c r="G2709" s="33" t="inlineStr">
        <is>
          <t>Medium</t>
        </is>
      </c>
      <c r="H2709" s="33" t="inlineStr">
        <is>
          <t>Initial</t>
        </is>
      </c>
    </row>
    <row r="2710">
      <c r="A2710" s="33" t="inlineStr">
        <is>
          <t>2026-08-02</t>
        </is>
      </c>
      <c r="B2710" s="33" t="inlineStr">
        <is>
          <t>MELE.BR</t>
        </is>
      </c>
      <c r="C2710" s="33" t="inlineStr">
        <is>
          <t>D2</t>
        </is>
      </c>
      <c r="D2710" s="33" t="n">
        <v>4</v>
      </c>
      <c r="E2710" s="33" t="inlineStr">
        <is>
          <t>Initial L11-batch rating per agent5 proposal (rationale+source in 11-robotics/research/rating-proposals-2026-08-02/); briefing per-stock/MELE.BR/context-2026-08-02.md</t>
        </is>
      </c>
      <c r="F2710" s="33" t="inlineStr">
        <is>
          <t>per-stock/MELE.BR/context-2026-08-02.md</t>
        </is>
      </c>
      <c r="G2710" s="33" t="inlineStr">
        <is>
          <t>Medium</t>
        </is>
      </c>
      <c r="H2710" s="33" t="inlineStr">
        <is>
          <t>Initial</t>
        </is>
      </c>
    </row>
    <row r="2711">
      <c r="A2711" s="33" t="inlineStr">
        <is>
          <t>2026-08-02</t>
        </is>
      </c>
      <c r="B2711" s="33" t="inlineStr">
        <is>
          <t>MELE.BR</t>
        </is>
      </c>
      <c r="C2711" s="33" t="inlineStr">
        <is>
          <t>D3</t>
        </is>
      </c>
      <c r="D2711" s="33" t="n">
        <v>4</v>
      </c>
      <c r="E2711" s="33" t="inlineStr">
        <is>
          <t>Initial L11-batch rating per agent5 proposal (rationale+source in 11-robotics/research/rating-proposals-2026-08-02/); briefing per-stock/MELE.BR/context-2026-08-02.md</t>
        </is>
      </c>
      <c r="F2711" s="33" t="inlineStr">
        <is>
          <t>per-stock/MELE.BR/context-2026-08-02.md</t>
        </is>
      </c>
      <c r="G2711" s="33" t="inlineStr">
        <is>
          <t>Medium</t>
        </is>
      </c>
      <c r="H2711" s="33" t="inlineStr">
        <is>
          <t>Initial</t>
        </is>
      </c>
    </row>
    <row r="2712">
      <c r="A2712" s="33" t="inlineStr">
        <is>
          <t>2026-08-02</t>
        </is>
      </c>
      <c r="B2712" s="33" t="inlineStr">
        <is>
          <t>MELE.BR</t>
        </is>
      </c>
      <c r="C2712" s="33" t="inlineStr">
        <is>
          <t>D4</t>
        </is>
      </c>
      <c r="D2712" s="33" t="n">
        <v>3</v>
      </c>
      <c r="E2712" s="33" t="inlineStr">
        <is>
          <t>Initial L11-batch rating per agent5 proposal (rationale+source in 11-robotics/research/rating-proposals-2026-08-02/); briefing per-stock/MELE.BR/context-2026-08-02.md</t>
        </is>
      </c>
      <c r="F2712" s="33" t="inlineStr">
        <is>
          <t>per-stock/MELE.BR/context-2026-08-02.md</t>
        </is>
      </c>
      <c r="G2712" s="33" t="inlineStr">
        <is>
          <t>Medium</t>
        </is>
      </c>
      <c r="H2712" s="33" t="inlineStr">
        <is>
          <t>Initial</t>
        </is>
      </c>
    </row>
    <row r="2713">
      <c r="A2713" s="33" t="inlineStr">
        <is>
          <t>2026-08-02</t>
        </is>
      </c>
      <c r="B2713" s="33" t="inlineStr">
        <is>
          <t>MELE.BR</t>
        </is>
      </c>
      <c r="C2713" s="33" t="inlineStr">
        <is>
          <t>D5</t>
        </is>
      </c>
      <c r="D2713" s="33" t="n">
        <v>2</v>
      </c>
      <c r="E2713" s="33" t="inlineStr">
        <is>
          <t>Initial L11-batch rating per agent5 proposal (rationale+source in 11-robotics/research/rating-proposals-2026-08-02/); briefing per-stock/MELE.BR/context-2026-08-02.md</t>
        </is>
      </c>
      <c r="F2713" s="33" t="inlineStr">
        <is>
          <t>per-stock/MELE.BR/context-2026-08-02.md</t>
        </is>
      </c>
      <c r="G2713" s="33" t="inlineStr">
        <is>
          <t>Medium</t>
        </is>
      </c>
      <c r="H2713" s="33" t="inlineStr">
        <is>
          <t>Initial</t>
        </is>
      </c>
    </row>
    <row r="2714">
      <c r="A2714" s="33" t="inlineStr">
        <is>
          <t>2026-08-02</t>
        </is>
      </c>
      <c r="B2714" s="33" t="inlineStr">
        <is>
          <t>MELE.BR</t>
        </is>
      </c>
      <c r="C2714" s="33" t="inlineStr">
        <is>
          <t>M1</t>
        </is>
      </c>
      <c r="D2714" s="33" t="n">
        <v>3</v>
      </c>
      <c r="E2714" s="33" t="inlineStr">
        <is>
          <t>Initial L11-batch rating per agent5 proposal (rationale+source in 11-robotics/research/rating-proposals-2026-08-02/); briefing per-stock/MELE.BR/context-2026-08-02.md</t>
        </is>
      </c>
      <c r="F2714" s="33" t="inlineStr">
        <is>
          <t>per-stock/MELE.BR/context-2026-08-02.md</t>
        </is>
      </c>
      <c r="G2714" s="33" t="inlineStr">
        <is>
          <t>Medium</t>
        </is>
      </c>
      <c r="H2714" s="33" t="inlineStr">
        <is>
          <t>Initial</t>
        </is>
      </c>
    </row>
    <row r="2715">
      <c r="A2715" s="33" t="inlineStr">
        <is>
          <t>2026-08-02</t>
        </is>
      </c>
      <c r="B2715" s="33" t="inlineStr">
        <is>
          <t>MELE.BR</t>
        </is>
      </c>
      <c r="C2715" s="33" t="inlineStr">
        <is>
          <t>M2</t>
        </is>
      </c>
      <c r="D2715" s="33" t="n">
        <v>1</v>
      </c>
      <c r="E2715" s="33" t="inlineStr">
        <is>
          <t>Initial L11-batch rating per agent5 proposal (rationale+source in 11-robotics/research/rating-proposals-2026-08-02/); briefing per-stock/MELE.BR/context-2026-08-02.md</t>
        </is>
      </c>
      <c r="F2715" s="33" t="inlineStr">
        <is>
          <t>per-stock/MELE.BR/context-2026-08-02.md</t>
        </is>
      </c>
      <c r="G2715" s="33" t="inlineStr">
        <is>
          <t>Medium</t>
        </is>
      </c>
      <c r="H2715" s="33" t="inlineStr">
        <is>
          <t>Initial</t>
        </is>
      </c>
    </row>
    <row r="2716">
      <c r="A2716" s="33" t="inlineStr">
        <is>
          <t>2026-08-02</t>
        </is>
      </c>
      <c r="B2716" s="33" t="inlineStr">
        <is>
          <t>MELE.BR</t>
        </is>
      </c>
      <c r="C2716" s="33" t="inlineStr">
        <is>
          <t>M3</t>
        </is>
      </c>
      <c r="D2716" s="33" t="n">
        <v>3</v>
      </c>
      <c r="E2716" s="33" t="inlineStr">
        <is>
          <t>Initial L11-batch rating per agent5 proposal (rationale+source in 11-robotics/research/rating-proposals-2026-08-02/); briefing per-stock/MELE.BR/context-2026-08-02.md</t>
        </is>
      </c>
      <c r="F2716" s="33" t="inlineStr">
        <is>
          <t>per-stock/MELE.BR/context-2026-08-02.md</t>
        </is>
      </c>
      <c r="G2716" s="33" t="inlineStr">
        <is>
          <t>Medium</t>
        </is>
      </c>
      <c r="H2716" s="33" t="inlineStr">
        <is>
          <t>Initial</t>
        </is>
      </c>
    </row>
    <row r="2717">
      <c r="A2717" s="33" t="inlineStr">
        <is>
          <t>2026-08-02</t>
        </is>
      </c>
      <c r="B2717" s="33" t="inlineStr">
        <is>
          <t>MELE.BR</t>
        </is>
      </c>
      <c r="C2717" s="33" t="inlineStr">
        <is>
          <t>R1</t>
        </is>
      </c>
      <c r="D2717" s="33" t="n">
        <v>4</v>
      </c>
      <c r="E2717" s="33" t="inlineStr">
        <is>
          <t>LOW CONFIDENCE structural prior - no filing retrieved (IR/Euronext 403/404). Re-rate from H1 2026 report.</t>
        </is>
      </c>
      <c r="F2717" s="33" t="inlineStr">
        <is>
          <t>per-stock/MELE.BR/context-2026-08-02.md</t>
        </is>
      </c>
      <c r="G2717" s="33" t="inlineStr">
        <is>
          <t>Medium</t>
        </is>
      </c>
      <c r="H2717" s="33" t="inlineStr">
        <is>
          <t>Initial</t>
        </is>
      </c>
    </row>
    <row r="2718">
      <c r="A2718" s="33" t="inlineStr">
        <is>
          <t>2026-08-02</t>
        </is>
      </c>
      <c r="B2718" s="33" t="inlineStr">
        <is>
          <t>MELE.BR</t>
        </is>
      </c>
      <c r="C2718" s="33" t="inlineStr">
        <is>
          <t>R2</t>
        </is>
      </c>
      <c r="D2718" s="33" t="n">
        <v>3</v>
      </c>
      <c r="E2718" s="33" t="inlineStr">
        <is>
          <t>LOW CONFIDENCE - China named Q2 growth driver; no geographic table retrieved.</t>
        </is>
      </c>
      <c r="F2718" s="33" t="inlineStr">
        <is>
          <t>per-stock/MELE.BR/context-2026-08-02.md</t>
        </is>
      </c>
      <c r="G2718" s="33" t="inlineStr">
        <is>
          <t>Medium</t>
        </is>
      </c>
      <c r="H2718" s="33" t="inlineStr">
        <is>
          <t>Initial</t>
        </is>
      </c>
    </row>
    <row r="2719">
      <c r="A2719" s="33" t="inlineStr">
        <is>
          <t>2026-08-02</t>
        </is>
      </c>
      <c r="B2719" s="33" t="inlineStr">
        <is>
          <t>MELE.BR</t>
        </is>
      </c>
      <c r="C2719" s="33" t="inlineStr">
        <is>
          <t>R3</t>
        </is>
      </c>
      <c r="D2719" s="33" t="n">
        <v>5</v>
      </c>
      <c r="E2719" s="33" t="inlineStr">
        <is>
          <t>LOW CONFIDENCE structural prior (historically net cash, 5.4% yield); not verified this pass.</t>
        </is>
      </c>
      <c r="F2719" s="33" t="inlineStr">
        <is>
          <t>per-stock/MELE.BR/context-2026-08-02.md</t>
        </is>
      </c>
      <c r="G2719" s="33" t="inlineStr">
        <is>
          <t>Medium</t>
        </is>
      </c>
      <c r="H2719" s="33" t="inlineStr">
        <is>
          <t>Initial</t>
        </is>
      </c>
    </row>
    <row r="2720">
      <c r="A2720" s="33" t="inlineStr">
        <is>
          <t>2026-08-02</t>
        </is>
      </c>
      <c r="B2720" s="33" t="inlineStr">
        <is>
          <t>MELE.BR</t>
        </is>
      </c>
      <c r="C2720" s="33" t="inlineStr">
        <is>
          <t>R4</t>
        </is>
      </c>
      <c r="D2720" s="33" t="n">
        <v>4</v>
      </c>
      <c r="E2720" s="33" t="inlineStr">
        <is>
          <t>LOW CONFIDENCE - not verified this pass.</t>
        </is>
      </c>
      <c r="F2720" s="33" t="inlineStr">
        <is>
          <t>per-stock/MELE.BR/context-2026-08-02.md</t>
        </is>
      </c>
      <c r="G2720" s="33" t="inlineStr">
        <is>
          <t>Medium</t>
        </is>
      </c>
      <c r="H2720" s="33" t="inlineStr">
        <is>
          <t>Initial</t>
        </is>
      </c>
    </row>
    <row r="2721">
      <c r="A2721" s="33" t="inlineStr">
        <is>
          <t>2026-08-02</t>
        </is>
      </c>
      <c r="B2721" s="33" t="inlineStr">
        <is>
          <t>MELE.BR</t>
        </is>
      </c>
      <c r="C2721" s="33" t="inlineStr">
        <is>
          <t>R5</t>
        </is>
      </c>
      <c r="D2721" s="33" t="n">
        <v>5</v>
      </c>
      <c r="E2721" s="33" t="inlineStr">
        <is>
          <t>Initial L11-batch rating per agent5 proposal (rationale+source in 11-robotics/research/rating-proposals-2026-08-02/); briefing per-stock/MELE.BR/context-2026-08-02.md</t>
        </is>
      </c>
      <c r="F2721" s="33" t="inlineStr">
        <is>
          <t>per-stock/MELE.BR/context-2026-08-02.md</t>
        </is>
      </c>
      <c r="G2721" s="33" t="inlineStr">
        <is>
          <t>Medium</t>
        </is>
      </c>
      <c r="H2721" s="33" t="inlineStr">
        <is>
          <t>Initial</t>
        </is>
      </c>
    </row>
    <row r="2722">
      <c r="A2722" s="33" t="inlineStr">
        <is>
          <t>2026-08-02</t>
        </is>
      </c>
      <c r="B2722" s="33" t="inlineStr">
        <is>
          <t>CGNX</t>
        </is>
      </c>
      <c r="C2722" s="33" t="inlineStr">
        <is>
          <t>D1</t>
        </is>
      </c>
      <c r="D2722" s="33" t="n">
        <v>2</v>
      </c>
      <c r="E2722" s="33" t="inlineStr">
        <is>
          <t>Initial L11-batch rating per agent6 proposal (rationale+source in 11-robotics/research/rating-proposals-2026-08-02/); briefing per-stock/CGNX/context-2026-08-02.md</t>
        </is>
      </c>
      <c r="F2722" s="33" t="inlineStr">
        <is>
          <t>per-stock/CGNX/context-2026-08-02.md</t>
        </is>
      </c>
      <c r="G2722" s="33" t="inlineStr">
        <is>
          <t>Medium</t>
        </is>
      </c>
      <c r="H2722" s="33" t="inlineStr">
        <is>
          <t>Initial</t>
        </is>
      </c>
    </row>
    <row r="2723">
      <c r="A2723" s="33" t="inlineStr">
        <is>
          <t>2026-08-02</t>
        </is>
      </c>
      <c r="B2723" s="33" t="inlineStr">
        <is>
          <t>CGNX</t>
        </is>
      </c>
      <c r="C2723" s="33" t="inlineStr">
        <is>
          <t>D2</t>
        </is>
      </c>
      <c r="D2723" s="33" t="n">
        <v>4</v>
      </c>
      <c r="E2723" s="33" t="inlineStr">
        <is>
          <t>Initial L11-batch rating per agent6 proposal (rationale+source in 11-robotics/research/rating-proposals-2026-08-02/); briefing per-stock/CGNX/context-2026-08-02.md</t>
        </is>
      </c>
      <c r="F2723" s="33" t="inlineStr">
        <is>
          <t>per-stock/CGNX/context-2026-08-02.md</t>
        </is>
      </c>
      <c r="G2723" s="33" t="inlineStr">
        <is>
          <t>Medium</t>
        </is>
      </c>
      <c r="H2723" s="33" t="inlineStr">
        <is>
          <t>Initial</t>
        </is>
      </c>
    </row>
    <row r="2724">
      <c r="A2724" s="33" t="inlineStr">
        <is>
          <t>2026-08-02</t>
        </is>
      </c>
      <c r="B2724" s="33" t="inlineStr">
        <is>
          <t>CGNX</t>
        </is>
      </c>
      <c r="C2724" s="33" t="inlineStr">
        <is>
          <t>D3</t>
        </is>
      </c>
      <c r="D2724" s="33" t="n">
        <v>4</v>
      </c>
      <c r="E2724" s="33" t="inlineStr">
        <is>
          <t>Initial L11-batch rating per agent6 proposal (rationale+source in 11-robotics/research/rating-proposals-2026-08-02/); briefing per-stock/CGNX/context-2026-08-02.md</t>
        </is>
      </c>
      <c r="F2724" s="33" t="inlineStr">
        <is>
          <t>per-stock/CGNX/context-2026-08-02.md</t>
        </is>
      </c>
      <c r="G2724" s="33" t="inlineStr">
        <is>
          <t>Medium</t>
        </is>
      </c>
      <c r="H2724" s="33" t="inlineStr">
        <is>
          <t>Initial</t>
        </is>
      </c>
    </row>
    <row r="2725">
      <c r="A2725" s="33" t="inlineStr">
        <is>
          <t>2026-08-02</t>
        </is>
      </c>
      <c r="B2725" s="33" t="inlineStr">
        <is>
          <t>CGNX</t>
        </is>
      </c>
      <c r="C2725" s="33" t="inlineStr">
        <is>
          <t>D4</t>
        </is>
      </c>
      <c r="D2725" s="33" t="n">
        <v>3</v>
      </c>
      <c r="E2725" s="33" t="inlineStr">
        <is>
          <t>Initial L11-batch rating per agent6 proposal (rationale+source in 11-robotics/research/rating-proposals-2026-08-02/); briefing per-stock/CGNX/context-2026-08-02.md</t>
        </is>
      </c>
      <c r="F2725" s="33" t="inlineStr">
        <is>
          <t>per-stock/CGNX/context-2026-08-02.md</t>
        </is>
      </c>
      <c r="G2725" s="33" t="inlineStr">
        <is>
          <t>Medium</t>
        </is>
      </c>
      <c r="H2725" s="33" t="inlineStr">
        <is>
          <t>Initial</t>
        </is>
      </c>
    </row>
    <row r="2726">
      <c r="A2726" s="33" t="inlineStr">
        <is>
          <t>2026-08-02</t>
        </is>
      </c>
      <c r="B2726" s="33" t="inlineStr">
        <is>
          <t>CGNX</t>
        </is>
      </c>
      <c r="C2726" s="33" t="inlineStr">
        <is>
          <t>D5</t>
        </is>
      </c>
      <c r="D2726" s="33" t="n">
        <v>3</v>
      </c>
      <c r="E2726" s="33" t="inlineStr">
        <is>
          <t>Initial L11-batch rating per agent6 proposal (rationale+source in 11-robotics/research/rating-proposals-2026-08-02/); briefing per-stock/CGNX/context-2026-08-02.md</t>
        </is>
      </c>
      <c r="F2726" s="33" t="inlineStr">
        <is>
          <t>per-stock/CGNX/context-2026-08-02.md</t>
        </is>
      </c>
      <c r="G2726" s="33" t="inlineStr">
        <is>
          <t>Medium</t>
        </is>
      </c>
      <c r="H2726" s="33" t="inlineStr">
        <is>
          <t>Initial</t>
        </is>
      </c>
    </row>
    <row r="2727">
      <c r="A2727" s="33" t="inlineStr">
        <is>
          <t>2026-08-02</t>
        </is>
      </c>
      <c r="B2727" s="33" t="inlineStr">
        <is>
          <t>CGNX</t>
        </is>
      </c>
      <c r="C2727" s="33" t="inlineStr">
        <is>
          <t>M1</t>
        </is>
      </c>
      <c r="D2727" s="33" t="n">
        <v>5</v>
      </c>
      <c r="E2727" s="33" t="inlineStr">
        <is>
          <t>Initial L11-batch rating per agent6 proposal (rationale+source in 11-robotics/research/rating-proposals-2026-08-02/); briefing per-stock/CGNX/context-2026-08-02.md</t>
        </is>
      </c>
      <c r="F2727" s="33" t="inlineStr">
        <is>
          <t>per-stock/CGNX/context-2026-08-02.md</t>
        </is>
      </c>
      <c r="G2727" s="33" t="inlineStr">
        <is>
          <t>Medium</t>
        </is>
      </c>
      <c r="H2727" s="33" t="inlineStr">
        <is>
          <t>Initial</t>
        </is>
      </c>
    </row>
    <row r="2728">
      <c r="A2728" s="33" t="inlineStr">
        <is>
          <t>2026-08-02</t>
        </is>
      </c>
      <c r="B2728" s="33" t="inlineStr">
        <is>
          <t>CGNX</t>
        </is>
      </c>
      <c r="C2728" s="33" t="inlineStr">
        <is>
          <t>M2</t>
        </is>
      </c>
      <c r="D2728" s="33" t="n">
        <v>5</v>
      </c>
      <c r="E2728" s="33" t="inlineStr">
        <is>
          <t>Initial L11-batch rating per agent6 proposal (rationale+source in 11-robotics/research/rating-proposals-2026-08-02/); briefing per-stock/CGNX/context-2026-08-02.md</t>
        </is>
      </c>
      <c r="F2728" s="33" t="inlineStr">
        <is>
          <t>per-stock/CGNX/context-2026-08-02.md</t>
        </is>
      </c>
      <c r="G2728" s="33" t="inlineStr">
        <is>
          <t>Medium</t>
        </is>
      </c>
      <c r="H2728" s="33" t="inlineStr">
        <is>
          <t>Initial</t>
        </is>
      </c>
    </row>
    <row r="2729">
      <c r="A2729" s="33" t="inlineStr">
        <is>
          <t>2026-08-02</t>
        </is>
      </c>
      <c r="B2729" s="33" t="inlineStr">
        <is>
          <t>CGNX</t>
        </is>
      </c>
      <c r="C2729" s="33" t="inlineStr">
        <is>
          <t>M3</t>
        </is>
      </c>
      <c r="D2729" s="33" t="n">
        <v>3</v>
      </c>
      <c r="E2729" s="33" t="inlineStr">
        <is>
          <t>Initial L11-batch rating per agent6 proposal (rationale+source in 11-robotics/research/rating-proposals-2026-08-02/); briefing per-stock/CGNX/context-2026-08-02.md</t>
        </is>
      </c>
      <c r="F2729" s="33" t="inlineStr">
        <is>
          <t>per-stock/CGNX/context-2026-08-02.md</t>
        </is>
      </c>
      <c r="G2729" s="33" t="inlineStr">
        <is>
          <t>Medium</t>
        </is>
      </c>
      <c r="H2729" s="33" t="inlineStr">
        <is>
          <t>Initial</t>
        </is>
      </c>
    </row>
    <row r="2730">
      <c r="A2730" s="33" t="inlineStr">
        <is>
          <t>2026-08-02</t>
        </is>
      </c>
      <c r="B2730" s="33" t="inlineStr">
        <is>
          <t>CGNX</t>
        </is>
      </c>
      <c r="C2730" s="33" t="inlineStr">
        <is>
          <t>R1</t>
        </is>
      </c>
      <c r="D2730" s="33" t="n">
        <v>4</v>
      </c>
      <c r="E2730" s="33" t="inlineStr">
        <is>
          <t>Initial L11-batch rating per agent6 proposal (rationale+source in 11-robotics/research/rating-proposals-2026-08-02/); briefing per-stock/CGNX/context-2026-08-02.md</t>
        </is>
      </c>
      <c r="F2730" s="33" t="inlineStr">
        <is>
          <t>per-stock/CGNX/context-2026-08-02.md</t>
        </is>
      </c>
      <c r="G2730" s="33" t="inlineStr">
        <is>
          <t>Medium</t>
        </is>
      </c>
      <c r="H2730" s="33" t="inlineStr">
        <is>
          <t>Initial</t>
        </is>
      </c>
    </row>
    <row r="2731">
      <c r="A2731" s="33" t="inlineStr">
        <is>
          <t>2026-08-02</t>
        </is>
      </c>
      <c r="B2731" s="33" t="inlineStr">
        <is>
          <t>CGNX</t>
        </is>
      </c>
      <c r="C2731" s="33" t="inlineStr">
        <is>
          <t>R2</t>
        </is>
      </c>
      <c r="D2731" s="33" t="n">
        <v>4</v>
      </c>
      <c r="E2731" s="33" t="inlineStr">
        <is>
          <t>Initial L11-batch rating per agent6 proposal (rationale+source in 11-robotics/research/rating-proposals-2026-08-02/); briefing per-stock/CGNX/context-2026-08-02.md</t>
        </is>
      </c>
      <c r="F2731" s="33" t="inlineStr">
        <is>
          <t>per-stock/CGNX/context-2026-08-02.md</t>
        </is>
      </c>
      <c r="G2731" s="33" t="inlineStr">
        <is>
          <t>Medium</t>
        </is>
      </c>
      <c r="H2731" s="33" t="inlineStr">
        <is>
          <t>Initial</t>
        </is>
      </c>
    </row>
    <row r="2732">
      <c r="A2732" s="33" t="inlineStr">
        <is>
          <t>2026-08-02</t>
        </is>
      </c>
      <c r="B2732" s="33" t="inlineStr">
        <is>
          <t>CGNX</t>
        </is>
      </c>
      <c r="C2732" s="33" t="inlineStr">
        <is>
          <t>R3</t>
        </is>
      </c>
      <c r="D2732" s="33" t="n">
        <v>5</v>
      </c>
      <c r="E2732" s="33" t="inlineStr">
        <is>
          <t>Initial L11-batch rating per agent6 proposal (rationale+source in 11-robotics/research/rating-proposals-2026-08-02/); briefing per-stock/CGNX/context-2026-08-02.md</t>
        </is>
      </c>
      <c r="F2732" s="33" t="inlineStr">
        <is>
          <t>per-stock/CGNX/context-2026-08-02.md</t>
        </is>
      </c>
      <c r="G2732" s="33" t="inlineStr">
        <is>
          <t>Medium</t>
        </is>
      </c>
      <c r="H2732" s="33" t="inlineStr">
        <is>
          <t>Initial</t>
        </is>
      </c>
    </row>
    <row r="2733">
      <c r="A2733" s="33" t="inlineStr">
        <is>
          <t>2026-08-02</t>
        </is>
      </c>
      <c r="B2733" s="33" t="inlineStr">
        <is>
          <t>CGNX</t>
        </is>
      </c>
      <c r="C2733" s="33" t="inlineStr">
        <is>
          <t>R4</t>
        </is>
      </c>
      <c r="D2733" s="33" t="n">
        <v>5</v>
      </c>
      <c r="E2733" s="33" t="inlineStr">
        <is>
          <t>Initial L11-batch rating per agent6 proposal (rationale+source in 11-robotics/research/rating-proposals-2026-08-02/); briefing per-stock/CGNX/context-2026-08-02.md</t>
        </is>
      </c>
      <c r="F2733" s="33" t="inlineStr">
        <is>
          <t>per-stock/CGNX/context-2026-08-02.md</t>
        </is>
      </c>
      <c r="G2733" s="33" t="inlineStr">
        <is>
          <t>Medium</t>
        </is>
      </c>
      <c r="H2733" s="33" t="inlineStr">
        <is>
          <t>Initial</t>
        </is>
      </c>
    </row>
    <row r="2734">
      <c r="A2734" s="33" t="inlineStr">
        <is>
          <t>2026-08-02</t>
        </is>
      </c>
      <c r="B2734" s="33" t="inlineStr">
        <is>
          <t>CGNX</t>
        </is>
      </c>
      <c r="C2734" s="33" t="inlineStr">
        <is>
          <t>R5</t>
        </is>
      </c>
      <c r="D2734" s="33" t="n">
        <v>5</v>
      </c>
      <c r="E2734" s="33" t="inlineStr">
        <is>
          <t>Initial L11-batch rating per agent6 proposal (rationale+source in 11-robotics/research/rating-proposals-2026-08-02/); briefing per-stock/CGNX/context-2026-08-02.md</t>
        </is>
      </c>
      <c r="F2734" s="33" t="inlineStr">
        <is>
          <t>per-stock/CGNX/context-2026-08-02.md</t>
        </is>
      </c>
      <c r="G2734" s="33" t="inlineStr">
        <is>
          <t>Medium</t>
        </is>
      </c>
      <c r="H2734" s="33" t="inlineStr">
        <is>
          <t>Initial</t>
        </is>
      </c>
    </row>
    <row r="2735">
      <c r="A2735" s="33" t="inlineStr">
        <is>
          <t>2026-08-02</t>
        </is>
      </c>
      <c r="B2735" s="33" t="inlineStr">
        <is>
          <t>6861.T</t>
        </is>
      </c>
      <c r="C2735" s="33" t="inlineStr">
        <is>
          <t>D1</t>
        </is>
      </c>
      <c r="D2735" s="33" t="n">
        <v>2</v>
      </c>
      <c r="E2735" s="33" t="inlineStr">
        <is>
          <t>Initial L11-batch rating per agent6 proposal (rationale+source in 11-robotics/research/rating-proposals-2026-08-02/); briefing per-stock/6861.T/context-2026-08-02.md</t>
        </is>
      </c>
      <c r="F2735" s="33" t="inlineStr">
        <is>
          <t>per-stock/6861.T/context-2026-08-02.md</t>
        </is>
      </c>
      <c r="G2735" s="33" t="inlineStr">
        <is>
          <t>Medium</t>
        </is>
      </c>
      <c r="H2735" s="33" t="inlineStr">
        <is>
          <t>Initial</t>
        </is>
      </c>
    </row>
    <row r="2736">
      <c r="A2736" s="33" t="inlineStr">
        <is>
          <t>2026-08-02</t>
        </is>
      </c>
      <c r="B2736" s="33" t="inlineStr">
        <is>
          <t>6861.T</t>
        </is>
      </c>
      <c r="C2736" s="33" t="inlineStr">
        <is>
          <t>D2</t>
        </is>
      </c>
      <c r="D2736" s="33" t="n">
        <v>5</v>
      </c>
      <c r="E2736" s="33" t="inlineStr">
        <is>
          <t>Initial L11-batch rating per agent6 proposal (rationale+source in 11-robotics/research/rating-proposals-2026-08-02/); briefing per-stock/6861.T/context-2026-08-02.md</t>
        </is>
      </c>
      <c r="F2736" s="33" t="inlineStr">
        <is>
          <t>per-stock/6861.T/context-2026-08-02.md</t>
        </is>
      </c>
      <c r="G2736" s="33" t="inlineStr">
        <is>
          <t>Medium</t>
        </is>
      </c>
      <c r="H2736" s="33" t="inlineStr">
        <is>
          <t>Initial</t>
        </is>
      </c>
    </row>
    <row r="2737">
      <c r="A2737" s="33" t="inlineStr">
        <is>
          <t>2026-08-02</t>
        </is>
      </c>
      <c r="B2737" s="33" t="inlineStr">
        <is>
          <t>6861.T</t>
        </is>
      </c>
      <c r="C2737" s="33" t="inlineStr">
        <is>
          <t>D3</t>
        </is>
      </c>
      <c r="D2737" s="33" t="n">
        <v>5</v>
      </c>
      <c r="E2737" s="33" t="inlineStr">
        <is>
          <t>Initial L11-batch rating per agent6 proposal (rationale+source in 11-robotics/research/rating-proposals-2026-08-02/); briefing per-stock/6861.T/context-2026-08-02.md</t>
        </is>
      </c>
      <c r="F2737" s="33" t="inlineStr">
        <is>
          <t>per-stock/6861.T/context-2026-08-02.md</t>
        </is>
      </c>
      <c r="G2737" s="33" t="inlineStr">
        <is>
          <t>Medium</t>
        </is>
      </c>
      <c r="H2737" s="33" t="inlineStr">
        <is>
          <t>Initial</t>
        </is>
      </c>
    </row>
    <row r="2738">
      <c r="A2738" s="33" t="inlineStr">
        <is>
          <t>2026-08-02</t>
        </is>
      </c>
      <c r="B2738" s="33" t="inlineStr">
        <is>
          <t>6861.T</t>
        </is>
      </c>
      <c r="C2738" s="33" t="inlineStr">
        <is>
          <t>D4</t>
        </is>
      </c>
      <c r="D2738" s="33" t="n">
        <v>3</v>
      </c>
      <c r="E2738" s="33" t="inlineStr">
        <is>
          <t>Initial L11-batch rating per agent6 proposal (rationale+source in 11-robotics/research/rating-proposals-2026-08-02/); briefing per-stock/6861.T/context-2026-08-02.md</t>
        </is>
      </c>
      <c r="F2738" s="33" t="inlineStr">
        <is>
          <t>per-stock/6861.T/context-2026-08-02.md</t>
        </is>
      </c>
      <c r="G2738" s="33" t="inlineStr">
        <is>
          <t>Medium</t>
        </is>
      </c>
      <c r="H2738" s="33" t="inlineStr">
        <is>
          <t>Initial</t>
        </is>
      </c>
    </row>
    <row r="2739">
      <c r="A2739" s="33" t="inlineStr">
        <is>
          <t>2026-08-02</t>
        </is>
      </c>
      <c r="B2739" s="33" t="inlineStr">
        <is>
          <t>6861.T</t>
        </is>
      </c>
      <c r="C2739" s="33" t="inlineStr">
        <is>
          <t>D5</t>
        </is>
      </c>
      <c r="D2739" s="33" t="n">
        <v>3</v>
      </c>
      <c r="E2739" s="33" t="inlineStr">
        <is>
          <t>Initial L11-batch rating per agent6 proposal (rationale+source in 11-robotics/research/rating-proposals-2026-08-02/); briefing per-stock/6861.T/context-2026-08-02.md</t>
        </is>
      </c>
      <c r="F2739" s="33" t="inlineStr">
        <is>
          <t>per-stock/6861.T/context-2026-08-02.md</t>
        </is>
      </c>
      <c r="G2739" s="33" t="inlineStr">
        <is>
          <t>Medium</t>
        </is>
      </c>
      <c r="H2739" s="33" t="inlineStr">
        <is>
          <t>Initial</t>
        </is>
      </c>
    </row>
    <row r="2740">
      <c r="A2740" s="33" t="inlineStr">
        <is>
          <t>2026-08-02</t>
        </is>
      </c>
      <c r="B2740" s="33" t="inlineStr">
        <is>
          <t>6861.T</t>
        </is>
      </c>
      <c r="C2740" s="33" t="inlineStr">
        <is>
          <t>M1</t>
        </is>
      </c>
      <c r="D2740" s="33" t="n">
        <v>5</v>
      </c>
      <c r="E2740" s="33" t="inlineStr">
        <is>
          <t>Initial L11-batch rating per agent6 proposal (rationale+source in 11-robotics/research/rating-proposals-2026-08-02/); briefing per-stock/6861.T/context-2026-08-02.md</t>
        </is>
      </c>
      <c r="F2740" s="33" t="inlineStr">
        <is>
          <t>per-stock/6861.T/context-2026-08-02.md</t>
        </is>
      </c>
      <c r="G2740" s="33" t="inlineStr">
        <is>
          <t>Medium</t>
        </is>
      </c>
      <c r="H2740" s="33" t="inlineStr">
        <is>
          <t>Initial</t>
        </is>
      </c>
    </row>
    <row r="2741">
      <c r="A2741" s="33" t="inlineStr">
        <is>
          <t>2026-08-02</t>
        </is>
      </c>
      <c r="B2741" s="33" t="inlineStr">
        <is>
          <t>6861.T</t>
        </is>
      </c>
      <c r="C2741" s="33" t="inlineStr">
        <is>
          <t>M2</t>
        </is>
      </c>
      <c r="D2741" s="33" t="n">
        <v>5</v>
      </c>
      <c r="E2741" s="33" t="inlineStr">
        <is>
          <t>Initial L11-batch rating per agent6 proposal (rationale+source in 11-robotics/research/rating-proposals-2026-08-02/); briefing per-stock/6861.T/context-2026-08-02.md</t>
        </is>
      </c>
      <c r="F2741" s="33" t="inlineStr">
        <is>
          <t>per-stock/6861.T/context-2026-08-02.md</t>
        </is>
      </c>
      <c r="G2741" s="33" t="inlineStr">
        <is>
          <t>Medium</t>
        </is>
      </c>
      <c r="H2741" s="33" t="inlineStr">
        <is>
          <t>Initial</t>
        </is>
      </c>
    </row>
    <row r="2742">
      <c r="A2742" s="33" t="inlineStr">
        <is>
          <t>2026-08-02</t>
        </is>
      </c>
      <c r="B2742" s="33" t="inlineStr">
        <is>
          <t>6861.T</t>
        </is>
      </c>
      <c r="C2742" s="33" t="inlineStr">
        <is>
          <t>M3</t>
        </is>
      </c>
      <c r="D2742" s="33" t="n">
        <v>3</v>
      </c>
      <c r="E2742" s="33" t="inlineStr">
        <is>
          <t>Initial L11-batch rating per agent6 proposal (rationale+source in 11-robotics/research/rating-proposals-2026-08-02/); briefing per-stock/6861.T/context-2026-08-02.md</t>
        </is>
      </c>
      <c r="F2742" s="33" t="inlineStr">
        <is>
          <t>per-stock/6861.T/context-2026-08-02.md</t>
        </is>
      </c>
      <c r="G2742" s="33" t="inlineStr">
        <is>
          <t>Medium</t>
        </is>
      </c>
      <c r="H2742" s="33" t="inlineStr">
        <is>
          <t>Initial</t>
        </is>
      </c>
    </row>
    <row r="2743">
      <c r="A2743" s="33" t="inlineStr">
        <is>
          <t>2026-08-02</t>
        </is>
      </c>
      <c r="B2743" s="33" t="inlineStr">
        <is>
          <t>6861.T</t>
        </is>
      </c>
      <c r="C2743" s="33" t="inlineStr">
        <is>
          <t>R1</t>
        </is>
      </c>
      <c r="D2743" s="33" t="n">
        <v>5</v>
      </c>
      <c r="E2743" s="33" t="inlineStr">
        <is>
          <t>Initial L11-batch rating per agent6 proposal (rationale+source in 11-robotics/research/rating-proposals-2026-08-02/); briefing per-stock/6861.T/context-2026-08-02.md</t>
        </is>
      </c>
      <c r="F2743" s="33" t="inlineStr">
        <is>
          <t>per-stock/6861.T/context-2026-08-02.md</t>
        </is>
      </c>
      <c r="G2743" s="33" t="inlineStr">
        <is>
          <t>Medium</t>
        </is>
      </c>
      <c r="H2743" s="33" t="inlineStr">
        <is>
          <t>Initial</t>
        </is>
      </c>
    </row>
    <row r="2744">
      <c r="A2744" s="33" t="inlineStr">
        <is>
          <t>2026-08-02</t>
        </is>
      </c>
      <c r="B2744" s="33" t="inlineStr">
        <is>
          <t>6861.T</t>
        </is>
      </c>
      <c r="C2744" s="33" t="inlineStr">
        <is>
          <t>R2</t>
        </is>
      </c>
      <c r="D2744" s="33" t="n">
        <v>3</v>
      </c>
      <c r="E2744" s="33" t="inlineStr">
        <is>
          <t>Initial L11-batch rating per agent6 proposal (rationale+source in 11-robotics/research/rating-proposals-2026-08-02/); briefing per-stock/6861.T/context-2026-08-02.md</t>
        </is>
      </c>
      <c r="F2744" s="33" t="inlineStr">
        <is>
          <t>per-stock/6861.T/context-2026-08-02.md</t>
        </is>
      </c>
      <c r="G2744" s="33" t="inlineStr">
        <is>
          <t>Medium</t>
        </is>
      </c>
      <c r="H2744" s="33" t="inlineStr">
        <is>
          <t>Initial</t>
        </is>
      </c>
    </row>
    <row r="2745">
      <c r="A2745" s="33" t="inlineStr">
        <is>
          <t>2026-08-02</t>
        </is>
      </c>
      <c r="B2745" s="33" t="inlineStr">
        <is>
          <t>6861.T</t>
        </is>
      </c>
      <c r="C2745" s="33" t="inlineStr">
        <is>
          <t>R3</t>
        </is>
      </c>
      <c r="D2745" s="33" t="n">
        <v>5</v>
      </c>
      <c r="E2745" s="33" t="inlineStr">
        <is>
          <t>Initial L11-batch rating per agent6 proposal (rationale+source in 11-robotics/research/rating-proposals-2026-08-02/); briefing per-stock/6861.T/context-2026-08-02.md</t>
        </is>
      </c>
      <c r="F2745" s="33" t="inlineStr">
        <is>
          <t>per-stock/6861.T/context-2026-08-02.md</t>
        </is>
      </c>
      <c r="G2745" s="33" t="inlineStr">
        <is>
          <t>Medium</t>
        </is>
      </c>
      <c r="H2745" s="33" t="inlineStr">
        <is>
          <t>Initial</t>
        </is>
      </c>
    </row>
    <row r="2746">
      <c r="A2746" s="33" t="inlineStr">
        <is>
          <t>2026-08-02</t>
        </is>
      </c>
      <c r="B2746" s="33" t="inlineStr">
        <is>
          <t>6861.T</t>
        </is>
      </c>
      <c r="C2746" s="33" t="inlineStr">
        <is>
          <t>R4</t>
        </is>
      </c>
      <c r="D2746" s="33" t="n">
        <v>5</v>
      </c>
      <c r="E2746" s="33" t="inlineStr">
        <is>
          <t>Initial L11-batch rating per agent6 proposal (rationale+source in 11-robotics/research/rating-proposals-2026-08-02/); briefing per-stock/6861.T/context-2026-08-02.md</t>
        </is>
      </c>
      <c r="F2746" s="33" t="inlineStr">
        <is>
          <t>per-stock/6861.T/context-2026-08-02.md</t>
        </is>
      </c>
      <c r="G2746" s="33" t="inlineStr">
        <is>
          <t>Medium</t>
        </is>
      </c>
      <c r="H2746" s="33" t="inlineStr">
        <is>
          <t>Initial</t>
        </is>
      </c>
    </row>
    <row r="2747">
      <c r="A2747" s="33" t="inlineStr">
        <is>
          <t>2026-08-02</t>
        </is>
      </c>
      <c r="B2747" s="33" t="inlineStr">
        <is>
          <t>6861.T</t>
        </is>
      </c>
      <c r="C2747" s="33" t="inlineStr">
        <is>
          <t>R5</t>
        </is>
      </c>
      <c r="D2747" s="33" t="n">
        <v>5</v>
      </c>
      <c r="E2747" s="33" t="inlineStr">
        <is>
          <t>Initial L11-batch rating per agent6 proposal (rationale+source in 11-robotics/research/rating-proposals-2026-08-02/); briefing per-stock/6861.T/context-2026-08-02.md</t>
        </is>
      </c>
      <c r="F2747" s="33" t="inlineStr">
        <is>
          <t>per-stock/6861.T/context-2026-08-02.md</t>
        </is>
      </c>
      <c r="G2747" s="33" t="inlineStr">
        <is>
          <t>Medium</t>
        </is>
      </c>
      <c r="H2747" s="33" t="inlineStr">
        <is>
          <t>Initial</t>
        </is>
      </c>
    </row>
    <row r="2748">
      <c r="A2748" s="33" t="inlineStr">
        <is>
          <t>2026-08-02</t>
        </is>
      </c>
      <c r="B2748" s="33" t="inlineStr">
        <is>
          <t>OUST</t>
        </is>
      </c>
      <c r="C2748" s="33" t="inlineStr">
        <is>
          <t>D1</t>
        </is>
      </c>
      <c r="D2748" s="33" t="n">
        <v>5</v>
      </c>
      <c r="E2748" s="33" t="inlineStr">
        <is>
          <t>Initial L11-batch rating per agent6 proposal (rationale+source in 11-robotics/research/rating-proposals-2026-08-02/); briefing per-stock/OUST/context-2026-08-02.md</t>
        </is>
      </c>
      <c r="F2748" s="33" t="inlineStr">
        <is>
          <t>per-stock/OUST/context-2026-08-02.md</t>
        </is>
      </c>
      <c r="G2748" s="33" t="inlineStr">
        <is>
          <t>Medium</t>
        </is>
      </c>
      <c r="H2748" s="33" t="inlineStr">
        <is>
          <t>Initial</t>
        </is>
      </c>
    </row>
    <row r="2749">
      <c r="A2749" s="33" t="inlineStr">
        <is>
          <t>2026-08-02</t>
        </is>
      </c>
      <c r="B2749" s="33" t="inlineStr">
        <is>
          <t>OUST</t>
        </is>
      </c>
      <c r="C2749" s="33" t="inlineStr">
        <is>
          <t>D2</t>
        </is>
      </c>
      <c r="D2749" s="33" t="n">
        <v>3</v>
      </c>
      <c r="E2749" s="33" t="inlineStr">
        <is>
          <t>Initial L11-batch rating per agent6 proposal (rationale+source in 11-robotics/research/rating-proposals-2026-08-02/); briefing per-stock/OUST/context-2026-08-02.md</t>
        </is>
      </c>
      <c r="F2749" s="33" t="inlineStr">
        <is>
          <t>per-stock/OUST/context-2026-08-02.md</t>
        </is>
      </c>
      <c r="G2749" s="33" t="inlineStr">
        <is>
          <t>Medium</t>
        </is>
      </c>
      <c r="H2749" s="33" t="inlineStr">
        <is>
          <t>Initial</t>
        </is>
      </c>
    </row>
    <row r="2750">
      <c r="A2750" s="33" t="inlineStr">
        <is>
          <t>2026-08-02</t>
        </is>
      </c>
      <c r="B2750" s="33" t="inlineStr">
        <is>
          <t>OUST</t>
        </is>
      </c>
      <c r="C2750" s="33" t="inlineStr">
        <is>
          <t>D3</t>
        </is>
      </c>
      <c r="D2750" s="33" t="n">
        <v>3</v>
      </c>
      <c r="E2750" s="33" t="inlineStr">
        <is>
          <t>Initial L11-batch rating per agent6 proposal (rationale+source in 11-robotics/research/rating-proposals-2026-08-02/); briefing per-stock/OUST/context-2026-08-02.md</t>
        </is>
      </c>
      <c r="F2750" s="33" t="inlineStr">
        <is>
          <t>per-stock/OUST/context-2026-08-02.md</t>
        </is>
      </c>
      <c r="G2750" s="33" t="inlineStr">
        <is>
          <t>Medium</t>
        </is>
      </c>
      <c r="H2750" s="33" t="inlineStr">
        <is>
          <t>Initial</t>
        </is>
      </c>
    </row>
    <row r="2751">
      <c r="A2751" s="33" t="inlineStr">
        <is>
          <t>2026-08-02</t>
        </is>
      </c>
      <c r="B2751" s="33" t="inlineStr">
        <is>
          <t>OUST</t>
        </is>
      </c>
      <c r="C2751" s="33" t="inlineStr">
        <is>
          <t>D4</t>
        </is>
      </c>
      <c r="D2751" s="33" t="n">
        <v>5</v>
      </c>
      <c r="E2751" s="33" t="inlineStr">
        <is>
          <t>Initial L11-batch rating per agent6 proposal (rationale+source in 11-robotics/research/rating-proposals-2026-08-02/); briefing per-stock/OUST/context-2026-08-02.md</t>
        </is>
      </c>
      <c r="F2751" s="33" t="inlineStr">
        <is>
          <t>per-stock/OUST/context-2026-08-02.md</t>
        </is>
      </c>
      <c r="G2751" s="33" t="inlineStr">
        <is>
          <t>Medium</t>
        </is>
      </c>
      <c r="H2751" s="33" t="inlineStr">
        <is>
          <t>Initial</t>
        </is>
      </c>
    </row>
    <row r="2752">
      <c r="A2752" s="33" t="inlineStr">
        <is>
          <t>2026-08-02</t>
        </is>
      </c>
      <c r="B2752" s="33" t="inlineStr">
        <is>
          <t>OUST</t>
        </is>
      </c>
      <c r="C2752" s="33" t="inlineStr">
        <is>
          <t>D5</t>
        </is>
      </c>
      <c r="D2752" s="33" t="n">
        <v>4</v>
      </c>
      <c r="E2752" s="33" t="inlineStr">
        <is>
          <t>Initial L11-batch rating per agent6 proposal (rationale+source in 11-robotics/research/rating-proposals-2026-08-02/); briefing per-stock/OUST/context-2026-08-02.md</t>
        </is>
      </c>
      <c r="F2752" s="33" t="inlineStr">
        <is>
          <t>per-stock/OUST/context-2026-08-02.md</t>
        </is>
      </c>
      <c r="G2752" s="33" t="inlineStr">
        <is>
          <t>Medium</t>
        </is>
      </c>
      <c r="H2752" s="33" t="inlineStr">
        <is>
          <t>Initial</t>
        </is>
      </c>
    </row>
    <row r="2753">
      <c r="A2753" s="33" t="inlineStr">
        <is>
          <t>2026-08-02</t>
        </is>
      </c>
      <c r="B2753" s="33" t="inlineStr">
        <is>
          <t>OUST</t>
        </is>
      </c>
      <c r="C2753" s="33" t="inlineStr">
        <is>
          <t>M1</t>
        </is>
      </c>
      <c r="D2753" s="33" t="n">
        <v>4</v>
      </c>
      <c r="E2753" s="33" t="inlineStr">
        <is>
          <t>Initial L11-batch rating per agent6 proposal (rationale+source in 11-robotics/research/rating-proposals-2026-08-02/); briefing per-stock/OUST/context-2026-08-02.md</t>
        </is>
      </c>
      <c r="F2753" s="33" t="inlineStr">
        <is>
          <t>per-stock/OUST/context-2026-08-02.md</t>
        </is>
      </c>
      <c r="G2753" s="33" t="inlineStr">
        <is>
          <t>Medium</t>
        </is>
      </c>
      <c r="H2753" s="33" t="inlineStr">
        <is>
          <t>Initial</t>
        </is>
      </c>
    </row>
    <row r="2754">
      <c r="A2754" s="33" t="inlineStr">
        <is>
          <t>2026-08-02</t>
        </is>
      </c>
      <c r="B2754" s="33" t="inlineStr">
        <is>
          <t>OUST</t>
        </is>
      </c>
      <c r="C2754" s="33" t="inlineStr">
        <is>
          <t>M2</t>
        </is>
      </c>
      <c r="D2754" s="33" t="n">
        <v>5</v>
      </c>
      <c r="E2754" s="33" t="inlineStr">
        <is>
          <t>Initial L11-batch rating per agent6 proposal (rationale+source in 11-robotics/research/rating-proposals-2026-08-02/); briefing per-stock/OUST/context-2026-08-02.md</t>
        </is>
      </c>
      <c r="F2754" s="33" t="inlineStr">
        <is>
          <t>per-stock/OUST/context-2026-08-02.md</t>
        </is>
      </c>
      <c r="G2754" s="33" t="inlineStr">
        <is>
          <t>Medium</t>
        </is>
      </c>
      <c r="H2754" s="33" t="inlineStr">
        <is>
          <t>Initial</t>
        </is>
      </c>
    </row>
    <row r="2755">
      <c r="A2755" s="33" t="inlineStr">
        <is>
          <t>2026-08-02</t>
        </is>
      </c>
      <c r="B2755" s="33" t="inlineStr">
        <is>
          <t>OUST</t>
        </is>
      </c>
      <c r="C2755" s="33" t="inlineStr">
        <is>
          <t>M3</t>
        </is>
      </c>
      <c r="D2755" s="33" t="n">
        <v>4</v>
      </c>
      <c r="E2755" s="33" t="inlineStr">
        <is>
          <t>Initial L11-batch rating per agent6 proposal (rationale+source in 11-robotics/research/rating-proposals-2026-08-02/); briefing per-stock/OUST/context-2026-08-02.md</t>
        </is>
      </c>
      <c r="F2755" s="33" t="inlineStr">
        <is>
          <t>per-stock/OUST/context-2026-08-02.md</t>
        </is>
      </c>
      <c r="G2755" s="33" t="inlineStr">
        <is>
          <t>Medium</t>
        </is>
      </c>
      <c r="H2755" s="33" t="inlineStr">
        <is>
          <t>Initial</t>
        </is>
      </c>
    </row>
    <row r="2756">
      <c r="A2756" s="33" t="inlineStr">
        <is>
          <t>2026-08-02</t>
        </is>
      </c>
      <c r="B2756" s="33" t="inlineStr">
        <is>
          <t>OUST</t>
        </is>
      </c>
      <c r="C2756" s="33" t="inlineStr">
        <is>
          <t>R1</t>
        </is>
      </c>
      <c r="D2756" s="33" t="n">
        <v>3</v>
      </c>
      <c r="E2756" s="33" t="inlineStr">
        <is>
          <t>Initial L11-batch rating per agent6 proposal (rationale+source in 11-robotics/research/rating-proposals-2026-08-02/); briefing per-stock/OUST/context-2026-08-02.md</t>
        </is>
      </c>
      <c r="F2756" s="33" t="inlineStr">
        <is>
          <t>per-stock/OUST/context-2026-08-02.md</t>
        </is>
      </c>
      <c r="G2756" s="33" t="inlineStr">
        <is>
          <t>Medium</t>
        </is>
      </c>
      <c r="H2756" s="33" t="inlineStr">
        <is>
          <t>Initial</t>
        </is>
      </c>
    </row>
    <row r="2757">
      <c r="A2757" s="33" t="inlineStr">
        <is>
          <t>2026-08-02</t>
        </is>
      </c>
      <c r="B2757" s="33" t="inlineStr">
        <is>
          <t>OUST</t>
        </is>
      </c>
      <c r="C2757" s="33" t="inlineStr">
        <is>
          <t>R2</t>
        </is>
      </c>
      <c r="D2757" s="33" t="n">
        <v>4</v>
      </c>
      <c r="E2757" s="33" t="inlineStr">
        <is>
          <t>Initial L11-batch rating per agent6 proposal (rationale+source in 11-robotics/research/rating-proposals-2026-08-02/); briefing per-stock/OUST/context-2026-08-02.md</t>
        </is>
      </c>
      <c r="F2757" s="33" t="inlineStr">
        <is>
          <t>per-stock/OUST/context-2026-08-02.md</t>
        </is>
      </c>
      <c r="G2757" s="33" t="inlineStr">
        <is>
          <t>Medium</t>
        </is>
      </c>
      <c r="H2757" s="33" t="inlineStr">
        <is>
          <t>Initial</t>
        </is>
      </c>
    </row>
    <row r="2758">
      <c r="A2758" s="33" t="inlineStr">
        <is>
          <t>2026-08-02</t>
        </is>
      </c>
      <c r="B2758" s="33" t="inlineStr">
        <is>
          <t>OUST</t>
        </is>
      </c>
      <c r="C2758" s="33" t="inlineStr">
        <is>
          <t>R3</t>
        </is>
      </c>
      <c r="D2758" s="33" t="n">
        <v>4</v>
      </c>
      <c r="E2758" s="33" t="inlineStr">
        <is>
          <t>Initial L11-batch rating per agent6 proposal (rationale+source in 11-robotics/research/rating-proposals-2026-08-02/); briefing per-stock/OUST/context-2026-08-02.md</t>
        </is>
      </c>
      <c r="F2758" s="33" t="inlineStr">
        <is>
          <t>per-stock/OUST/context-2026-08-02.md</t>
        </is>
      </c>
      <c r="G2758" s="33" t="inlineStr">
        <is>
          <t>Medium</t>
        </is>
      </c>
      <c r="H2758" s="33" t="inlineStr">
        <is>
          <t>Initial</t>
        </is>
      </c>
    </row>
    <row r="2759">
      <c r="A2759" s="33" t="inlineStr">
        <is>
          <t>2026-08-02</t>
        </is>
      </c>
      <c r="B2759" s="33" t="inlineStr">
        <is>
          <t>OUST</t>
        </is>
      </c>
      <c r="C2759" s="33" t="inlineStr">
        <is>
          <t>R4</t>
        </is>
      </c>
      <c r="D2759" s="33" t="n">
        <v>4</v>
      </c>
      <c r="E2759" s="33" t="inlineStr">
        <is>
          <t>Initial L11-batch rating per agent6 proposal (rationale+source in 11-robotics/research/rating-proposals-2026-08-02/); briefing per-stock/OUST/context-2026-08-02.md</t>
        </is>
      </c>
      <c r="F2759" s="33" t="inlineStr">
        <is>
          <t>per-stock/OUST/context-2026-08-02.md</t>
        </is>
      </c>
      <c r="G2759" s="33" t="inlineStr">
        <is>
          <t>Medium</t>
        </is>
      </c>
      <c r="H2759" s="33" t="inlineStr">
        <is>
          <t>Initial</t>
        </is>
      </c>
    </row>
    <row r="2760">
      <c r="A2760" s="33" t="inlineStr">
        <is>
          <t>2026-08-02</t>
        </is>
      </c>
      <c r="B2760" s="33" t="inlineStr">
        <is>
          <t>OUST</t>
        </is>
      </c>
      <c r="C2760" s="33" t="inlineStr">
        <is>
          <t>R5</t>
        </is>
      </c>
      <c r="D2760" s="33" t="n">
        <v>5</v>
      </c>
      <c r="E2760" s="33" t="inlineStr">
        <is>
          <t>Initial L11-batch rating per agent6 proposal (rationale+source in 11-robotics/research/rating-proposals-2026-08-02/); briefing per-stock/OUST/context-2026-08-02.md</t>
        </is>
      </c>
      <c r="F2760" s="33" t="inlineStr">
        <is>
          <t>per-stock/OUST/context-2026-08-02.md</t>
        </is>
      </c>
      <c r="G2760" s="33" t="inlineStr">
        <is>
          <t>Medium</t>
        </is>
      </c>
      <c r="H2760" s="33" t="inlineStr">
        <is>
          <t>Initial</t>
        </is>
      </c>
    </row>
    <row r="2761">
      <c r="A2761" s="33" t="inlineStr">
        <is>
          <t>2026-08-02</t>
        </is>
      </c>
      <c r="B2761" s="33" t="inlineStr">
        <is>
          <t>AEVA</t>
        </is>
      </c>
      <c r="C2761" s="33" t="inlineStr">
        <is>
          <t>D1</t>
        </is>
      </c>
      <c r="D2761" s="33" t="n">
        <v>5</v>
      </c>
      <c r="E2761" s="33" t="inlineStr">
        <is>
          <t>Mix purity not scale: Q1 product revenue DOWN 2% YoY ($2,427k vs $2,481k); all growth was NRE (61% of revenue). "Robotics units exceed auto" is a unit claim, not revenue.</t>
        </is>
      </c>
      <c r="F2761" s="33" t="inlineStr">
        <is>
          <t>per-stock/AEVA/context-2026-08-02.md</t>
        </is>
      </c>
      <c r="G2761" s="33" t="inlineStr">
        <is>
          <t>Medium</t>
        </is>
      </c>
      <c r="H2761" s="33" t="inlineStr">
        <is>
          <t>Initial</t>
        </is>
      </c>
    </row>
    <row r="2762">
      <c r="A2762" s="33" t="inlineStr">
        <is>
          <t>2026-08-02</t>
        </is>
      </c>
      <c r="B2762" s="33" t="inlineStr">
        <is>
          <t>AEVA</t>
        </is>
      </c>
      <c r="C2762" s="33" t="inlineStr">
        <is>
          <t>D2</t>
        </is>
      </c>
      <c r="D2762" s="33" t="n">
        <v>2</v>
      </c>
      <c r="E2762" s="33" t="inlineStr">
        <is>
          <t>Initial L11-batch rating per agent6 proposal (rationale+source in 11-robotics/research/rating-proposals-2026-08-02/); briefing per-stock/AEVA/context-2026-08-02.md</t>
        </is>
      </c>
      <c r="F2762" s="33" t="inlineStr">
        <is>
          <t>per-stock/AEVA/context-2026-08-02.md</t>
        </is>
      </c>
      <c r="G2762" s="33" t="inlineStr">
        <is>
          <t>Medium</t>
        </is>
      </c>
      <c r="H2762" s="33" t="inlineStr">
        <is>
          <t>Initial</t>
        </is>
      </c>
    </row>
    <row r="2763">
      <c r="A2763" s="33" t="inlineStr">
        <is>
          <t>2026-08-02</t>
        </is>
      </c>
      <c r="B2763" s="33" t="inlineStr">
        <is>
          <t>AEVA</t>
        </is>
      </c>
      <c r="C2763" s="33" t="inlineStr">
        <is>
          <t>D3</t>
        </is>
      </c>
      <c r="D2763" s="33" t="n">
        <v>3</v>
      </c>
      <c r="E2763" s="33" t="inlineStr">
        <is>
          <t>Initial L11-batch rating per agent6 proposal (rationale+source in 11-robotics/research/rating-proposals-2026-08-02/); briefing per-stock/AEVA/context-2026-08-02.md</t>
        </is>
      </c>
      <c r="F2763" s="33" t="inlineStr">
        <is>
          <t>per-stock/AEVA/context-2026-08-02.md</t>
        </is>
      </c>
      <c r="G2763" s="33" t="inlineStr">
        <is>
          <t>Medium</t>
        </is>
      </c>
      <c r="H2763" s="33" t="inlineStr">
        <is>
          <t>Initial</t>
        </is>
      </c>
    </row>
    <row r="2764">
      <c r="A2764" s="33" t="inlineStr">
        <is>
          <t>2026-08-02</t>
        </is>
      </c>
      <c r="B2764" s="33" t="inlineStr">
        <is>
          <t>AEVA</t>
        </is>
      </c>
      <c r="C2764" s="33" t="inlineStr">
        <is>
          <t>D4</t>
        </is>
      </c>
      <c r="D2764" s="33" t="n">
        <v>4</v>
      </c>
      <c r="E2764" s="33" t="inlineStr">
        <is>
          <t>Initial L11-batch rating per agent6 proposal (rationale+source in 11-robotics/research/rating-proposals-2026-08-02/); briefing per-stock/AEVA/context-2026-08-02.md</t>
        </is>
      </c>
      <c r="F2764" s="33" t="inlineStr">
        <is>
          <t>per-stock/AEVA/context-2026-08-02.md</t>
        </is>
      </c>
      <c r="G2764" s="33" t="inlineStr">
        <is>
          <t>Medium</t>
        </is>
      </c>
      <c r="H2764" s="33" t="inlineStr">
        <is>
          <t>Initial</t>
        </is>
      </c>
    </row>
    <row r="2765">
      <c r="A2765" s="33" t="inlineStr">
        <is>
          <t>2026-08-02</t>
        </is>
      </c>
      <c r="B2765" s="33" t="inlineStr">
        <is>
          <t>AEVA</t>
        </is>
      </c>
      <c r="C2765" s="33" t="inlineStr">
        <is>
          <t>D5</t>
        </is>
      </c>
      <c r="D2765" s="33" t="n">
        <v>3</v>
      </c>
      <c r="E2765" s="33" t="inlineStr">
        <is>
          <t>Initial L11-batch rating per agent6 proposal (rationale+source in 11-robotics/research/rating-proposals-2026-08-02/); briefing per-stock/AEVA/context-2026-08-02.md</t>
        </is>
      </c>
      <c r="F2765" s="33" t="inlineStr">
        <is>
          <t>per-stock/AEVA/context-2026-08-02.md</t>
        </is>
      </c>
      <c r="G2765" s="33" t="inlineStr">
        <is>
          <t>Medium</t>
        </is>
      </c>
      <c r="H2765" s="33" t="inlineStr">
        <is>
          <t>Initial</t>
        </is>
      </c>
    </row>
    <row r="2766">
      <c r="A2766" s="33" t="inlineStr">
        <is>
          <t>2026-08-02</t>
        </is>
      </c>
      <c r="B2766" s="33" t="inlineStr">
        <is>
          <t>AEVA</t>
        </is>
      </c>
      <c r="C2766" s="33" t="inlineStr">
        <is>
          <t>M1</t>
        </is>
      </c>
      <c r="D2766" s="33" t="n">
        <v>3</v>
      </c>
      <c r="E2766" s="33" t="inlineStr">
        <is>
          <t>Initial L11-batch rating per agent6 proposal (rationale+source in 11-robotics/research/rating-proposals-2026-08-02/); briefing per-stock/AEVA/context-2026-08-02.md</t>
        </is>
      </c>
      <c r="F2766" s="33" t="inlineStr">
        <is>
          <t>per-stock/AEVA/context-2026-08-02.md</t>
        </is>
      </c>
      <c r="G2766" s="33" t="inlineStr">
        <is>
          <t>Medium</t>
        </is>
      </c>
      <c r="H2766" s="33" t="inlineStr">
        <is>
          <t>Initial</t>
        </is>
      </c>
    </row>
    <row r="2767">
      <c r="A2767" s="33" t="inlineStr">
        <is>
          <t>2026-08-02</t>
        </is>
      </c>
      <c r="B2767" s="33" t="inlineStr">
        <is>
          <t>AEVA</t>
        </is>
      </c>
      <c r="C2767" s="33" t="inlineStr">
        <is>
          <t>M2</t>
        </is>
      </c>
      <c r="D2767" s="33" t="n">
        <v>1</v>
      </c>
      <c r="E2767" s="33" t="inlineStr">
        <is>
          <t>Initial L11-batch rating per agent6 proposal (rationale+source in 11-robotics/research/rating-proposals-2026-08-02/); briefing per-stock/AEVA/context-2026-08-02.md</t>
        </is>
      </c>
      <c r="F2767" s="33" t="inlineStr">
        <is>
          <t>per-stock/AEVA/context-2026-08-02.md</t>
        </is>
      </c>
      <c r="G2767" s="33" t="inlineStr">
        <is>
          <t>Medium</t>
        </is>
      </c>
      <c r="H2767" s="33" t="inlineStr">
        <is>
          <t>Initial</t>
        </is>
      </c>
    </row>
    <row r="2768">
      <c r="A2768" s="33" t="inlineStr">
        <is>
          <t>2026-08-02</t>
        </is>
      </c>
      <c r="B2768" s="33" t="inlineStr">
        <is>
          <t>AEVA</t>
        </is>
      </c>
      <c r="C2768" s="33" t="inlineStr">
        <is>
          <t>M3</t>
        </is>
      </c>
      <c r="D2768" s="33" t="n">
        <v>3</v>
      </c>
      <c r="E2768" s="33" t="inlineStr">
        <is>
          <t>Initial L11-batch rating per agent6 proposal (rationale+source in 11-robotics/research/rating-proposals-2026-08-02/); briefing per-stock/AEVA/context-2026-08-02.md</t>
        </is>
      </c>
      <c r="F2768" s="33" t="inlineStr">
        <is>
          <t>per-stock/AEVA/context-2026-08-02.md</t>
        </is>
      </c>
      <c r="G2768" s="33" t="inlineStr">
        <is>
          <t>Medium</t>
        </is>
      </c>
      <c r="H2768" s="33" t="inlineStr">
        <is>
          <t>Initial</t>
        </is>
      </c>
    </row>
    <row r="2769">
      <c r="A2769" s="33" t="inlineStr">
        <is>
          <t>2026-08-02</t>
        </is>
      </c>
      <c r="B2769" s="33" t="inlineStr">
        <is>
          <t>AEVA</t>
        </is>
      </c>
      <c r="C2769" s="33" t="inlineStr">
        <is>
          <t>R1</t>
        </is>
      </c>
      <c r="D2769" s="33" t="n">
        <v>2</v>
      </c>
      <c r="E2769" s="33" t="inlineStr">
        <is>
          <t>Initial L11-batch rating per agent6 proposal (rationale+source in 11-robotics/research/rating-proposals-2026-08-02/); briefing per-stock/AEVA/context-2026-08-02.md</t>
        </is>
      </c>
      <c r="F2769" s="33" t="inlineStr">
        <is>
          <t>per-stock/AEVA/context-2026-08-02.md</t>
        </is>
      </c>
      <c r="G2769" s="33" t="inlineStr">
        <is>
          <t>Medium</t>
        </is>
      </c>
      <c r="H2769" s="33" t="inlineStr">
        <is>
          <t>Initial</t>
        </is>
      </c>
    </row>
    <row r="2770">
      <c r="A2770" s="33" t="inlineStr">
        <is>
          <t>2026-08-02</t>
        </is>
      </c>
      <c r="B2770" s="33" t="inlineStr">
        <is>
          <t>AEVA</t>
        </is>
      </c>
      <c r="C2770" s="33" t="inlineStr">
        <is>
          <t>R2</t>
        </is>
      </c>
      <c r="D2770" s="33" t="n">
        <v>3</v>
      </c>
      <c r="E2770" s="33" t="inlineStr">
        <is>
          <t>Initial L11-batch rating per agent6 proposal (rationale+source in 11-robotics/research/rating-proposals-2026-08-02/); briefing per-stock/AEVA/context-2026-08-02.md</t>
        </is>
      </c>
      <c r="F2770" s="33" t="inlineStr">
        <is>
          <t>per-stock/AEVA/context-2026-08-02.md</t>
        </is>
      </c>
      <c r="G2770" s="33" t="inlineStr">
        <is>
          <t>Medium</t>
        </is>
      </c>
      <c r="H2770" s="33" t="inlineStr">
        <is>
          <t>Initial</t>
        </is>
      </c>
    </row>
    <row r="2771">
      <c r="A2771" s="33" t="inlineStr">
        <is>
          <t>2026-08-02</t>
        </is>
      </c>
      <c r="B2771" s="33" t="inlineStr">
        <is>
          <t>AEVA</t>
        </is>
      </c>
      <c r="C2771" s="33" t="inlineStr">
        <is>
          <t>R3</t>
        </is>
      </c>
      <c r="D2771" s="33" t="n">
        <v>2</v>
      </c>
      <c r="E2771" s="33" t="inlineStr">
        <is>
          <t>Initial L11-batch rating per agent6 proposal (rationale+source in 11-robotics/research/rating-proposals-2026-08-02/); briefing per-stock/AEVA/context-2026-08-02.md</t>
        </is>
      </c>
      <c r="F2771" s="33" t="inlineStr">
        <is>
          <t>per-stock/AEVA/context-2026-08-02.md</t>
        </is>
      </c>
      <c r="G2771" s="33" t="inlineStr">
        <is>
          <t>Medium</t>
        </is>
      </c>
      <c r="H2771" s="33" t="inlineStr">
        <is>
          <t>Initial</t>
        </is>
      </c>
    </row>
    <row r="2772">
      <c r="A2772" s="33" t="inlineStr">
        <is>
          <t>2026-08-02</t>
        </is>
      </c>
      <c r="B2772" s="33" t="inlineStr">
        <is>
          <t>AEVA</t>
        </is>
      </c>
      <c r="C2772" s="33" t="inlineStr">
        <is>
          <t>R4</t>
        </is>
      </c>
      <c r="D2772" s="33" t="n">
        <v>4</v>
      </c>
      <c r="E2772" s="33" t="inlineStr">
        <is>
          <t>Initial L11-batch rating per agent6 proposal (rationale+source in 11-robotics/research/rating-proposals-2026-08-02/); briefing per-stock/AEVA/context-2026-08-02.md</t>
        </is>
      </c>
      <c r="F2772" s="33" t="inlineStr">
        <is>
          <t>per-stock/AEVA/context-2026-08-02.md</t>
        </is>
      </c>
      <c r="G2772" s="33" t="inlineStr">
        <is>
          <t>Medium</t>
        </is>
      </c>
      <c r="H2772" s="33" t="inlineStr">
        <is>
          <t>Initial</t>
        </is>
      </c>
    </row>
    <row r="2773">
      <c r="A2773" s="33" t="inlineStr">
        <is>
          <t>2026-08-02</t>
        </is>
      </c>
      <c r="B2773" s="33" t="inlineStr">
        <is>
          <t>AEVA</t>
        </is>
      </c>
      <c r="C2773" s="33" t="inlineStr">
        <is>
          <t>R5</t>
        </is>
      </c>
      <c r="D2773" s="33" t="n">
        <v>5</v>
      </c>
      <c r="E2773" s="33" t="inlineStr">
        <is>
          <t>Initial L11-batch rating per agent6 proposal (rationale+source in 11-robotics/research/rating-proposals-2026-08-02/); briefing per-stock/AEVA/context-2026-08-02.md</t>
        </is>
      </c>
      <c r="F2773" s="33" t="inlineStr">
        <is>
          <t>per-stock/AEVA/context-2026-08-02.md</t>
        </is>
      </c>
      <c r="G2773" s="33" t="inlineStr">
        <is>
          <t>Medium</t>
        </is>
      </c>
      <c r="H2773" s="33" t="inlineStr">
        <is>
          <t>Initial</t>
        </is>
      </c>
    </row>
    <row r="2774">
      <c r="A2774" s="33" t="inlineStr">
        <is>
          <t>2026-08-02</t>
        </is>
      </c>
      <c r="B2774" s="33" t="inlineStr">
        <is>
          <t>BSL.DE</t>
        </is>
      </c>
      <c r="C2774" s="33" t="inlineStr">
        <is>
          <t>D1</t>
        </is>
      </c>
      <c r="D2774" s="33" t="n">
        <v>2</v>
      </c>
      <c r="E2774" s="33" t="inlineStr">
        <is>
          <t>Initial L11-batch rating per agent6 proposal (rationale+source in 11-robotics/research/rating-proposals-2026-08-02/); briefing per-stock/BSL.DE/context-2026-08-02.md</t>
        </is>
      </c>
      <c r="F2774" s="33" t="inlineStr">
        <is>
          <t>per-stock/BSL.DE/context-2026-08-02.md</t>
        </is>
      </c>
      <c r="G2774" s="33" t="inlineStr">
        <is>
          <t>Medium</t>
        </is>
      </c>
      <c r="H2774" s="33" t="inlineStr">
        <is>
          <t>Initial</t>
        </is>
      </c>
    </row>
    <row r="2775">
      <c r="A2775" s="33" t="inlineStr">
        <is>
          <t>2026-08-02</t>
        </is>
      </c>
      <c r="B2775" s="33" t="inlineStr">
        <is>
          <t>BSL.DE</t>
        </is>
      </c>
      <c r="C2775" s="33" t="inlineStr">
        <is>
          <t>D2</t>
        </is>
      </c>
      <c r="D2775" s="33" t="n">
        <v>3</v>
      </c>
      <c r="E2775" s="33" t="inlineStr">
        <is>
          <t>Initial L11-batch rating per agent6 proposal (rationale+source in 11-robotics/research/rating-proposals-2026-08-02/); briefing per-stock/BSL.DE/context-2026-08-02.md</t>
        </is>
      </c>
      <c r="F2775" s="33" t="inlineStr">
        <is>
          <t>per-stock/BSL.DE/context-2026-08-02.md</t>
        </is>
      </c>
      <c r="G2775" s="33" t="inlineStr">
        <is>
          <t>Medium</t>
        </is>
      </c>
      <c r="H2775" s="33" t="inlineStr">
        <is>
          <t>Initial</t>
        </is>
      </c>
    </row>
    <row r="2776">
      <c r="A2776" s="33" t="inlineStr">
        <is>
          <t>2026-08-02</t>
        </is>
      </c>
      <c r="B2776" s="33" t="inlineStr">
        <is>
          <t>BSL.DE</t>
        </is>
      </c>
      <c r="C2776" s="33" t="inlineStr">
        <is>
          <t>D3</t>
        </is>
      </c>
      <c r="D2776" s="33" t="n">
        <v>3</v>
      </c>
      <c r="E2776" s="33" t="inlineStr">
        <is>
          <t>Initial L11-batch rating per agent6 proposal (rationale+source in 11-robotics/research/rating-proposals-2026-08-02/); briefing per-stock/BSL.DE/context-2026-08-02.md</t>
        </is>
      </c>
      <c r="F2776" s="33" t="inlineStr">
        <is>
          <t>per-stock/BSL.DE/context-2026-08-02.md</t>
        </is>
      </c>
      <c r="G2776" s="33" t="inlineStr">
        <is>
          <t>Medium</t>
        </is>
      </c>
      <c r="H2776" s="33" t="inlineStr">
        <is>
          <t>Initial</t>
        </is>
      </c>
    </row>
    <row r="2777">
      <c r="A2777" s="33" t="inlineStr">
        <is>
          <t>2026-08-02</t>
        </is>
      </c>
      <c r="B2777" s="33" t="inlineStr">
        <is>
          <t>BSL.DE</t>
        </is>
      </c>
      <c r="C2777" s="33" t="inlineStr">
        <is>
          <t>D4</t>
        </is>
      </c>
      <c r="D2777" s="33" t="n">
        <v>5</v>
      </c>
      <c r="E2777" s="33" t="inlineStr">
        <is>
          <t>Initial L11-batch rating per agent6 proposal (rationale+source in 11-robotics/research/rating-proposals-2026-08-02/); briefing per-stock/BSL.DE/context-2026-08-02.md</t>
        </is>
      </c>
      <c r="F2777" s="33" t="inlineStr">
        <is>
          <t>per-stock/BSL.DE/context-2026-08-02.md</t>
        </is>
      </c>
      <c r="G2777" s="33" t="inlineStr">
        <is>
          <t>Medium</t>
        </is>
      </c>
      <c r="H2777" s="33" t="inlineStr">
        <is>
          <t>Initial</t>
        </is>
      </c>
    </row>
    <row r="2778">
      <c r="A2778" s="33" t="inlineStr">
        <is>
          <t>2026-08-02</t>
        </is>
      </c>
      <c r="B2778" s="33" t="inlineStr">
        <is>
          <t>BSL.DE</t>
        </is>
      </c>
      <c r="C2778" s="33" t="inlineStr">
        <is>
          <t>D5</t>
        </is>
      </c>
      <c r="D2778" s="33" t="n">
        <v>2</v>
      </c>
      <c r="E2778" s="33" t="inlineStr">
        <is>
          <t>Initial L11-batch rating per agent6 proposal (rationale+source in 11-robotics/research/rating-proposals-2026-08-02/); briefing per-stock/BSL.DE/context-2026-08-02.md</t>
        </is>
      </c>
      <c r="F2778" s="33" t="inlineStr">
        <is>
          <t>per-stock/BSL.DE/context-2026-08-02.md</t>
        </is>
      </c>
      <c r="G2778" s="33" t="inlineStr">
        <is>
          <t>Medium</t>
        </is>
      </c>
      <c r="H2778" s="33" t="inlineStr">
        <is>
          <t>Initial</t>
        </is>
      </c>
    </row>
    <row r="2779">
      <c r="A2779" s="33" t="inlineStr">
        <is>
          <t>2026-08-02</t>
        </is>
      </c>
      <c r="B2779" s="33" t="inlineStr">
        <is>
          <t>BSL.DE</t>
        </is>
      </c>
      <c r="C2779" s="33" t="inlineStr">
        <is>
          <t>M1</t>
        </is>
      </c>
      <c r="D2779" s="33" t="n">
        <v>5</v>
      </c>
      <c r="E2779" s="33" t="inlineStr">
        <is>
          <t>Initial L11-batch rating per agent6 proposal (rationale+source in 11-robotics/research/rating-proposals-2026-08-02/); briefing per-stock/BSL.DE/context-2026-08-02.md</t>
        </is>
      </c>
      <c r="F2779" s="33" t="inlineStr">
        <is>
          <t>per-stock/BSL.DE/context-2026-08-02.md</t>
        </is>
      </c>
      <c r="G2779" s="33" t="inlineStr">
        <is>
          <t>Medium</t>
        </is>
      </c>
      <c r="H2779" s="33" t="inlineStr">
        <is>
          <t>Initial</t>
        </is>
      </c>
    </row>
    <row r="2780">
      <c r="A2780" s="33" t="inlineStr">
        <is>
          <t>2026-08-02</t>
        </is>
      </c>
      <c r="B2780" s="33" t="inlineStr">
        <is>
          <t>BSL.DE</t>
        </is>
      </c>
      <c r="C2780" s="33" t="inlineStr">
        <is>
          <t>M2</t>
        </is>
      </c>
      <c r="D2780" s="33" t="n">
        <v>5</v>
      </c>
      <c r="E2780" s="33" t="inlineStr">
        <is>
          <t>Initial L11-batch rating per agent6 proposal (rationale+source in 11-robotics/research/rating-proposals-2026-08-02/); briefing per-stock/BSL.DE/context-2026-08-02.md</t>
        </is>
      </c>
      <c r="F2780" s="33" t="inlineStr">
        <is>
          <t>per-stock/BSL.DE/context-2026-08-02.md</t>
        </is>
      </c>
      <c r="G2780" s="33" t="inlineStr">
        <is>
          <t>Medium</t>
        </is>
      </c>
      <c r="H2780" s="33" t="inlineStr">
        <is>
          <t>Initial</t>
        </is>
      </c>
    </row>
    <row r="2781">
      <c r="A2781" s="33" t="inlineStr">
        <is>
          <t>2026-08-02</t>
        </is>
      </c>
      <c r="B2781" s="33" t="inlineStr">
        <is>
          <t>BSL.DE</t>
        </is>
      </c>
      <c r="C2781" s="33" t="inlineStr">
        <is>
          <t>M3</t>
        </is>
      </c>
      <c r="D2781" s="33" t="n">
        <v>3</v>
      </c>
      <c r="E2781" s="33" t="inlineStr">
        <is>
          <t>Initial L11-batch rating per agent6 proposal (rationale+source in 11-robotics/research/rating-proposals-2026-08-02/); briefing per-stock/BSL.DE/context-2026-08-02.md</t>
        </is>
      </c>
      <c r="F2781" s="33" t="inlineStr">
        <is>
          <t>per-stock/BSL.DE/context-2026-08-02.md</t>
        </is>
      </c>
      <c r="G2781" s="33" t="inlineStr">
        <is>
          <t>Medium</t>
        </is>
      </c>
      <c r="H2781" s="33" t="inlineStr">
        <is>
          <t>Initial</t>
        </is>
      </c>
    </row>
    <row r="2782">
      <c r="A2782" s="33" t="inlineStr">
        <is>
          <t>2026-08-02</t>
        </is>
      </c>
      <c r="B2782" s="33" t="inlineStr">
        <is>
          <t>BSL.DE</t>
        </is>
      </c>
      <c r="C2782" s="33" t="inlineStr">
        <is>
          <t>R1</t>
        </is>
      </c>
      <c r="D2782" s="33" t="n">
        <v>5</v>
      </c>
      <c r="E2782" s="33" t="inlineStr">
        <is>
          <t>Initial L11-batch rating per agent6 proposal (rationale+source in 11-robotics/research/rating-proposals-2026-08-02/); briefing per-stock/BSL.DE/context-2026-08-02.md</t>
        </is>
      </c>
      <c r="F2782" s="33" t="inlineStr">
        <is>
          <t>per-stock/BSL.DE/context-2026-08-02.md</t>
        </is>
      </c>
      <c r="G2782" s="33" t="inlineStr">
        <is>
          <t>Medium</t>
        </is>
      </c>
      <c r="H2782" s="33" t="inlineStr">
        <is>
          <t>Initial</t>
        </is>
      </c>
    </row>
    <row r="2783">
      <c r="A2783" s="33" t="inlineStr">
        <is>
          <t>2026-08-02</t>
        </is>
      </c>
      <c r="B2783" s="33" t="inlineStr">
        <is>
          <t>BSL.DE</t>
        </is>
      </c>
      <c r="C2783" s="33" t="inlineStr">
        <is>
          <t>R2</t>
        </is>
      </c>
      <c r="D2783" s="33" t="n">
        <v>3</v>
      </c>
      <c r="E2783" s="33" t="inlineStr">
        <is>
          <t>Initial L11-batch rating per agent6 proposal (rationale+source in 11-robotics/research/rating-proposals-2026-08-02/); briefing per-stock/BSL.DE/context-2026-08-02.md</t>
        </is>
      </c>
      <c r="F2783" s="33" t="inlineStr">
        <is>
          <t>per-stock/BSL.DE/context-2026-08-02.md</t>
        </is>
      </c>
      <c r="G2783" s="33" t="inlineStr">
        <is>
          <t>Medium</t>
        </is>
      </c>
      <c r="H2783" s="33" t="inlineStr">
        <is>
          <t>Initial</t>
        </is>
      </c>
    </row>
    <row r="2784">
      <c r="A2784" s="33" t="inlineStr">
        <is>
          <t>2026-08-02</t>
        </is>
      </c>
      <c r="B2784" s="33" t="inlineStr">
        <is>
          <t>BSL.DE</t>
        </is>
      </c>
      <c r="C2784" s="33" t="inlineStr">
        <is>
          <t>R3</t>
        </is>
      </c>
      <c r="D2784" s="33" t="n">
        <v>4</v>
      </c>
      <c r="E2784" s="33" t="inlineStr">
        <is>
          <t>Initial L11-batch rating per agent6 proposal (rationale+source in 11-robotics/research/rating-proposals-2026-08-02/); briefing per-stock/BSL.DE/context-2026-08-02.md</t>
        </is>
      </c>
      <c r="F2784" s="33" t="inlineStr">
        <is>
          <t>per-stock/BSL.DE/context-2026-08-02.md</t>
        </is>
      </c>
      <c r="G2784" s="33" t="inlineStr">
        <is>
          <t>Medium</t>
        </is>
      </c>
      <c r="H2784" s="33" t="inlineStr">
        <is>
          <t>Initial</t>
        </is>
      </c>
    </row>
    <row r="2785">
      <c r="A2785" s="33" t="inlineStr">
        <is>
          <t>2026-08-02</t>
        </is>
      </c>
      <c r="B2785" s="33" t="inlineStr">
        <is>
          <t>BSL.DE</t>
        </is>
      </c>
      <c r="C2785" s="33" t="inlineStr">
        <is>
          <t>R4</t>
        </is>
      </c>
      <c r="D2785" s="33" t="n">
        <v>5</v>
      </c>
      <c r="E2785" s="33" t="inlineStr">
        <is>
          <t>Initial L11-batch rating per agent6 proposal (rationale+source in 11-robotics/research/rating-proposals-2026-08-02/); briefing per-stock/BSL.DE/context-2026-08-02.md</t>
        </is>
      </c>
      <c r="F2785" s="33" t="inlineStr">
        <is>
          <t>per-stock/BSL.DE/context-2026-08-02.md</t>
        </is>
      </c>
      <c r="G2785" s="33" t="inlineStr">
        <is>
          <t>Medium</t>
        </is>
      </c>
      <c r="H2785" s="33" t="inlineStr">
        <is>
          <t>Initial</t>
        </is>
      </c>
    </row>
    <row r="2786">
      <c r="A2786" s="33" t="inlineStr">
        <is>
          <t>2026-08-02</t>
        </is>
      </c>
      <c r="B2786" s="33" t="inlineStr">
        <is>
          <t>BSL.DE</t>
        </is>
      </c>
      <c r="C2786" s="33" t="inlineStr">
        <is>
          <t>R5</t>
        </is>
      </c>
      <c r="D2786" s="33" t="n">
        <v>5</v>
      </c>
      <c r="E2786" s="33" t="inlineStr">
        <is>
          <t>Initial L11-batch rating per agent6 proposal (rationale+source in 11-robotics/research/rating-proposals-2026-08-02/); briefing per-stock/BSL.DE/context-2026-08-02.md</t>
        </is>
      </c>
      <c r="F2786" s="33" t="inlineStr">
        <is>
          <t>per-stock/BSL.DE/context-2026-08-02.md</t>
        </is>
      </c>
      <c r="G2786" s="33" t="inlineStr">
        <is>
          <t>Medium</t>
        </is>
      </c>
      <c r="H2786" s="33" t="inlineStr">
        <is>
          <t>Initial</t>
        </is>
      </c>
    </row>
    <row r="2787">
      <c r="A2787" s="33" t="inlineStr">
        <is>
          <t>2026-08-02</t>
        </is>
      </c>
      <c r="B2787" s="33" t="inlineStr">
        <is>
          <t>HSAI</t>
        </is>
      </c>
      <c r="C2787" s="33" t="inlineStr">
        <is>
          <t>D1</t>
        </is>
      </c>
      <c r="D2787" s="33" t="n">
        <v>4</v>
      </c>
      <c r="E2787" s="33" t="inlineStr">
        <is>
          <t>Initial L11-batch rating per agent7 proposal (rationale+source in 11-robotics/research/rating-proposals-2026-08-02/); briefing per-stock/HSAI/context-2026-08-02.md</t>
        </is>
      </c>
      <c r="F2787" s="33" t="inlineStr">
        <is>
          <t>per-stock/HSAI/context-2026-08-02.md</t>
        </is>
      </c>
      <c r="G2787" s="33" t="inlineStr">
        <is>
          <t>Medium</t>
        </is>
      </c>
      <c r="H2787" s="33" t="inlineStr">
        <is>
          <t>Initial</t>
        </is>
      </c>
    </row>
    <row r="2788">
      <c r="A2788" s="33" t="inlineStr">
        <is>
          <t>2026-08-02</t>
        </is>
      </c>
      <c r="B2788" s="33" t="inlineStr">
        <is>
          <t>HSAI</t>
        </is>
      </c>
      <c r="C2788" s="33" t="inlineStr">
        <is>
          <t>D2</t>
        </is>
      </c>
      <c r="D2788" s="33" t="n">
        <v>3</v>
      </c>
      <c r="E2788" s="33" t="inlineStr">
        <is>
          <t>Initial L11-batch rating per agent7 proposal (rationale+source in 11-robotics/research/rating-proposals-2026-08-02/); briefing per-stock/HSAI/context-2026-08-02.md</t>
        </is>
      </c>
      <c r="F2788" s="33" t="inlineStr">
        <is>
          <t>per-stock/HSAI/context-2026-08-02.md</t>
        </is>
      </c>
      <c r="G2788" s="33" t="inlineStr">
        <is>
          <t>Medium</t>
        </is>
      </c>
      <c r="H2788" s="33" t="inlineStr">
        <is>
          <t>Initial</t>
        </is>
      </c>
    </row>
    <row r="2789">
      <c r="A2789" s="33" t="inlineStr">
        <is>
          <t>2026-08-02</t>
        </is>
      </c>
      <c r="B2789" s="33" t="inlineStr">
        <is>
          <t>HSAI</t>
        </is>
      </c>
      <c r="C2789" s="33" t="inlineStr">
        <is>
          <t>D3</t>
        </is>
      </c>
      <c r="D2789" s="33" t="n">
        <v>3</v>
      </c>
      <c r="E2789" s="33" t="inlineStr">
        <is>
          <t>Initial L11-batch rating per agent7 proposal (rationale+source in 11-robotics/research/rating-proposals-2026-08-02/); briefing per-stock/HSAI/context-2026-08-02.md</t>
        </is>
      </c>
      <c r="F2789" s="33" t="inlineStr">
        <is>
          <t>per-stock/HSAI/context-2026-08-02.md</t>
        </is>
      </c>
      <c r="G2789" s="33" t="inlineStr">
        <is>
          <t>Medium</t>
        </is>
      </c>
      <c r="H2789" s="33" t="inlineStr">
        <is>
          <t>Initial</t>
        </is>
      </c>
    </row>
    <row r="2790">
      <c r="A2790" s="33" t="inlineStr">
        <is>
          <t>2026-08-02</t>
        </is>
      </c>
      <c r="B2790" s="33" t="inlineStr">
        <is>
          <t>HSAI</t>
        </is>
      </c>
      <c r="C2790" s="33" t="inlineStr">
        <is>
          <t>D4</t>
        </is>
      </c>
      <c r="D2790" s="33" t="n">
        <v>5</v>
      </c>
      <c r="E2790" s="33" t="inlineStr">
        <is>
          <t>Initial L11-batch rating per agent7 proposal (rationale+source in 11-robotics/research/rating-proposals-2026-08-02/); briefing per-stock/HSAI/context-2026-08-02.md</t>
        </is>
      </c>
      <c r="F2790" s="33" t="inlineStr">
        <is>
          <t>per-stock/HSAI/context-2026-08-02.md</t>
        </is>
      </c>
      <c r="G2790" s="33" t="inlineStr">
        <is>
          <t>Medium</t>
        </is>
      </c>
      <c r="H2790" s="33" t="inlineStr">
        <is>
          <t>Initial</t>
        </is>
      </c>
    </row>
    <row r="2791">
      <c r="A2791" s="33" t="inlineStr">
        <is>
          <t>2026-08-02</t>
        </is>
      </c>
      <c r="B2791" s="33" t="inlineStr">
        <is>
          <t>HSAI</t>
        </is>
      </c>
      <c r="C2791" s="33" t="inlineStr">
        <is>
          <t>D5</t>
        </is>
      </c>
      <c r="D2791" s="33" t="n">
        <v>4</v>
      </c>
      <c r="E2791" s="33" t="inlineStr">
        <is>
          <t>Initial L11-batch rating per agent7 proposal (rationale+source in 11-robotics/research/rating-proposals-2026-08-02/); briefing per-stock/HSAI/context-2026-08-02.md</t>
        </is>
      </c>
      <c r="F2791" s="33" t="inlineStr">
        <is>
          <t>per-stock/HSAI/context-2026-08-02.md</t>
        </is>
      </c>
      <c r="G2791" s="33" t="inlineStr">
        <is>
          <t>Medium</t>
        </is>
      </c>
      <c r="H2791" s="33" t="inlineStr">
        <is>
          <t>Initial</t>
        </is>
      </c>
    </row>
    <row r="2792">
      <c r="A2792" s="33" t="inlineStr">
        <is>
          <t>2026-08-02</t>
        </is>
      </c>
      <c r="B2792" s="33" t="inlineStr">
        <is>
          <t>HSAI</t>
        </is>
      </c>
      <c r="C2792" s="33" t="inlineStr">
        <is>
          <t>M1</t>
        </is>
      </c>
      <c r="D2792" s="33" t="n">
        <v>3</v>
      </c>
      <c r="E2792" s="33" t="inlineStr">
        <is>
          <t>Initial L11-batch rating per agent7 proposal (rationale+source in 11-robotics/research/rating-proposals-2026-08-02/); briefing per-stock/HSAI/context-2026-08-02.md</t>
        </is>
      </c>
      <c r="F2792" s="33" t="inlineStr">
        <is>
          <t>per-stock/HSAI/context-2026-08-02.md</t>
        </is>
      </c>
      <c r="G2792" s="33" t="inlineStr">
        <is>
          <t>Medium</t>
        </is>
      </c>
      <c r="H2792" s="33" t="inlineStr">
        <is>
          <t>Initial</t>
        </is>
      </c>
    </row>
    <row r="2793">
      <c r="A2793" s="33" t="inlineStr">
        <is>
          <t>2026-08-02</t>
        </is>
      </c>
      <c r="B2793" s="33" t="inlineStr">
        <is>
          <t>HSAI</t>
        </is>
      </c>
      <c r="C2793" s="33" t="inlineStr">
        <is>
          <t>M2</t>
        </is>
      </c>
      <c r="D2793" s="33" t="n">
        <v>1</v>
      </c>
      <c r="E2793" s="33" t="inlineStr">
        <is>
          <t>Initial L11-batch rating per agent7 proposal (rationale+source in 11-robotics/research/rating-proposals-2026-08-02/); briefing per-stock/HSAI/context-2026-08-02.md</t>
        </is>
      </c>
      <c r="F2793" s="33" t="inlineStr">
        <is>
          <t>per-stock/HSAI/context-2026-08-02.md</t>
        </is>
      </c>
      <c r="G2793" s="33" t="inlineStr">
        <is>
          <t>Medium</t>
        </is>
      </c>
      <c r="H2793" s="33" t="inlineStr">
        <is>
          <t>Initial</t>
        </is>
      </c>
    </row>
    <row r="2794">
      <c r="A2794" s="33" t="inlineStr">
        <is>
          <t>2026-08-02</t>
        </is>
      </c>
      <c r="B2794" s="33" t="inlineStr">
        <is>
          <t>HSAI</t>
        </is>
      </c>
      <c r="C2794" s="33" t="inlineStr">
        <is>
          <t>M3</t>
        </is>
      </c>
      <c r="D2794" s="33" t="n">
        <v>3</v>
      </c>
      <c r="E2794" s="33" t="inlineStr">
        <is>
          <t>Initial L11-batch rating per agent7 proposal (rationale+source in 11-robotics/research/rating-proposals-2026-08-02/); briefing per-stock/HSAI/context-2026-08-02.md</t>
        </is>
      </c>
      <c r="F2794" s="33" t="inlineStr">
        <is>
          <t>per-stock/HSAI/context-2026-08-02.md</t>
        </is>
      </c>
      <c r="G2794" s="33" t="inlineStr">
        <is>
          <t>Medium</t>
        </is>
      </c>
      <c r="H2794" s="33" t="inlineStr">
        <is>
          <t>Initial</t>
        </is>
      </c>
    </row>
    <row r="2795">
      <c r="A2795" s="33" t="inlineStr">
        <is>
          <t>2026-08-02</t>
        </is>
      </c>
      <c r="B2795" s="33" t="inlineStr">
        <is>
          <t>HSAI</t>
        </is>
      </c>
      <c r="C2795" s="33" t="inlineStr">
        <is>
          <t>R1</t>
        </is>
      </c>
      <c r="D2795" s="33" t="n">
        <v>4</v>
      </c>
      <c r="E2795" s="33" t="inlineStr">
        <is>
          <t>Initial L11-batch rating per agent7 proposal (rationale+source in 11-robotics/research/rating-proposals-2026-08-02/); briefing per-stock/HSAI/context-2026-08-02.md</t>
        </is>
      </c>
      <c r="F2795" s="33" t="inlineStr">
        <is>
          <t>per-stock/HSAI/context-2026-08-02.md</t>
        </is>
      </c>
      <c r="G2795" s="33" t="inlineStr">
        <is>
          <t>Medium</t>
        </is>
      </c>
      <c r="H2795" s="33" t="inlineStr">
        <is>
          <t>Initial</t>
        </is>
      </c>
    </row>
    <row r="2796">
      <c r="A2796" s="33" t="inlineStr">
        <is>
          <t>2026-08-02</t>
        </is>
      </c>
      <c r="B2796" s="33" t="inlineStr">
        <is>
          <t>HSAI</t>
        </is>
      </c>
      <c r="C2796" s="33" t="inlineStr">
        <is>
          <t>R2</t>
        </is>
      </c>
      <c r="D2796" s="33" t="n">
        <v>2</v>
      </c>
      <c r="E2796" s="33" t="inlineStr">
        <is>
          <t>DoD 1260H listing + contracting ban effective 6/30/26 (live policy impairment); 91.8% of long-lived assets in China; intl revenue already 47.2%-&gt;22.2%. NO VIE (20-F verified - roster corrected).</t>
        </is>
      </c>
      <c r="F2796" s="33" t="inlineStr">
        <is>
          <t>per-stock/HSAI/context-2026-08-02.md</t>
        </is>
      </c>
      <c r="G2796" s="33" t="inlineStr">
        <is>
          <t>Medium</t>
        </is>
      </c>
      <c r="H2796" s="33" t="inlineStr">
        <is>
          <t>Initial</t>
        </is>
      </c>
    </row>
    <row r="2797">
      <c r="A2797" s="33" t="inlineStr">
        <is>
          <t>2026-08-02</t>
        </is>
      </c>
      <c r="B2797" s="33" t="inlineStr">
        <is>
          <t>HSAI</t>
        </is>
      </c>
      <c r="C2797" s="33" t="inlineStr">
        <is>
          <t>R3</t>
        </is>
      </c>
      <c r="D2797" s="33" t="n">
        <v>5</v>
      </c>
      <c r="E2797" s="33" t="inlineStr">
        <is>
          <t>Initial L11-batch rating per agent7 proposal (rationale+source in 11-robotics/research/rating-proposals-2026-08-02/); briefing per-stock/HSAI/context-2026-08-02.md</t>
        </is>
      </c>
      <c r="F2797" s="33" t="inlineStr">
        <is>
          <t>per-stock/HSAI/context-2026-08-02.md</t>
        </is>
      </c>
      <c r="G2797" s="33" t="inlineStr">
        <is>
          <t>Medium</t>
        </is>
      </c>
      <c r="H2797" s="33" t="inlineStr">
        <is>
          <t>Initial</t>
        </is>
      </c>
    </row>
    <row r="2798">
      <c r="A2798" s="33" t="inlineStr">
        <is>
          <t>2026-08-02</t>
        </is>
      </c>
      <c r="B2798" s="33" t="inlineStr">
        <is>
          <t>HSAI</t>
        </is>
      </c>
      <c r="C2798" s="33" t="inlineStr">
        <is>
          <t>R4</t>
        </is>
      </c>
      <c r="D2798" s="33" t="n">
        <v>2</v>
      </c>
      <c r="E2798" s="33" t="inlineStr">
        <is>
          <t>Initial L11-batch rating per agent7 proposal (rationale+source in 11-robotics/research/rating-proposals-2026-08-02/); briefing per-stock/HSAI/context-2026-08-02.md</t>
        </is>
      </c>
      <c r="F2798" s="33" t="inlineStr">
        <is>
          <t>per-stock/HSAI/context-2026-08-02.md</t>
        </is>
      </c>
      <c r="G2798" s="33" t="inlineStr">
        <is>
          <t>Medium</t>
        </is>
      </c>
      <c r="H2798" s="33" t="inlineStr">
        <is>
          <t>Initial</t>
        </is>
      </c>
    </row>
    <row r="2799">
      <c r="A2799" s="33" t="inlineStr">
        <is>
          <t>2026-08-02</t>
        </is>
      </c>
      <c r="B2799" s="33" t="inlineStr">
        <is>
          <t>HSAI</t>
        </is>
      </c>
      <c r="C2799" s="33" t="inlineStr">
        <is>
          <t>R5</t>
        </is>
      </c>
      <c r="D2799" s="33" t="n">
        <v>5</v>
      </c>
      <c r="E2799" s="33" t="inlineStr">
        <is>
          <t>Initial L11-batch rating per agent7 proposal (rationale+source in 11-robotics/research/rating-proposals-2026-08-02/); briefing per-stock/HSAI/context-2026-08-02.md</t>
        </is>
      </c>
      <c r="F2799" s="33" t="inlineStr">
        <is>
          <t>per-stock/HSAI/context-2026-08-02.md</t>
        </is>
      </c>
      <c r="G2799" s="33" t="inlineStr">
        <is>
          <t>Medium</t>
        </is>
      </c>
      <c r="H2799" s="33" t="inlineStr">
        <is>
          <t>Initial</t>
        </is>
      </c>
    </row>
    <row r="2800">
      <c r="A2800" s="33" t="inlineStr">
        <is>
          <t>2026-08-02</t>
        </is>
      </c>
      <c r="B2800" s="33" t="inlineStr">
        <is>
          <t>2498.HK</t>
        </is>
      </c>
      <c r="C2800" s="33" t="inlineStr">
        <is>
          <t>D1</t>
        </is>
      </c>
      <c r="D2800" s="33" t="n">
        <v>4</v>
      </c>
      <c r="E2800" s="33" t="inlineStr">
        <is>
          <t>Initial L11-batch rating per agent7 proposal (rationale+source in 11-robotics/research/rating-proposals-2026-08-02/); briefing per-stock/2498.HK/context-2026-08-02.md</t>
        </is>
      </c>
      <c r="F2800" s="33" t="inlineStr">
        <is>
          <t>per-stock/2498.HK/context-2026-08-02.md</t>
        </is>
      </c>
      <c r="G2800" s="33" t="inlineStr">
        <is>
          <t>Medium</t>
        </is>
      </c>
      <c r="H2800" s="33" t="inlineStr">
        <is>
          <t>Initial</t>
        </is>
      </c>
    </row>
    <row r="2801">
      <c r="A2801" s="33" t="inlineStr">
        <is>
          <t>2026-08-02</t>
        </is>
      </c>
      <c r="B2801" s="33" t="inlineStr">
        <is>
          <t>2498.HK</t>
        </is>
      </c>
      <c r="C2801" s="33" t="inlineStr">
        <is>
          <t>D2</t>
        </is>
      </c>
      <c r="D2801" s="33" t="n">
        <v>2</v>
      </c>
      <c r="E2801" s="33" t="inlineStr">
        <is>
          <t>Initial L11-batch rating per agent7 proposal (rationale+source in 11-robotics/research/rating-proposals-2026-08-02/); briefing per-stock/2498.HK/context-2026-08-02.md</t>
        </is>
      </c>
      <c r="F2801" s="33" t="inlineStr">
        <is>
          <t>per-stock/2498.HK/context-2026-08-02.md</t>
        </is>
      </c>
      <c r="G2801" s="33" t="inlineStr">
        <is>
          <t>Medium</t>
        </is>
      </c>
      <c r="H2801" s="33" t="inlineStr">
        <is>
          <t>Initial</t>
        </is>
      </c>
    </row>
    <row r="2802">
      <c r="A2802" s="33" t="inlineStr">
        <is>
          <t>2026-08-02</t>
        </is>
      </c>
      <c r="B2802" s="33" t="inlineStr">
        <is>
          <t>2498.HK</t>
        </is>
      </c>
      <c r="C2802" s="33" t="inlineStr">
        <is>
          <t>D3</t>
        </is>
      </c>
      <c r="D2802" s="33" t="n">
        <v>2</v>
      </c>
      <c r="E2802" s="33" t="inlineStr">
        <is>
          <t>Initial L11-batch rating per agent7 proposal (rationale+source in 11-robotics/research/rating-proposals-2026-08-02/); briefing per-stock/2498.HK/context-2026-08-02.md</t>
        </is>
      </c>
      <c r="F2802" s="33" t="inlineStr">
        <is>
          <t>per-stock/2498.HK/context-2026-08-02.md</t>
        </is>
      </c>
      <c r="G2802" s="33" t="inlineStr">
        <is>
          <t>Medium</t>
        </is>
      </c>
      <c r="H2802" s="33" t="inlineStr">
        <is>
          <t>Initial</t>
        </is>
      </c>
    </row>
    <row r="2803">
      <c r="A2803" s="33" t="inlineStr">
        <is>
          <t>2026-08-02</t>
        </is>
      </c>
      <c r="B2803" s="33" t="inlineStr">
        <is>
          <t>2498.HK</t>
        </is>
      </c>
      <c r="C2803" s="33" t="inlineStr">
        <is>
          <t>D4</t>
        </is>
      </c>
      <c r="D2803" s="33" t="n">
        <v>4</v>
      </c>
      <c r="E2803" s="33" t="inlineStr">
        <is>
          <t>Initial L11-batch rating per agent7 proposal (rationale+source in 11-robotics/research/rating-proposals-2026-08-02/); briefing per-stock/2498.HK/context-2026-08-02.md</t>
        </is>
      </c>
      <c r="F2803" s="33" t="inlineStr">
        <is>
          <t>per-stock/2498.HK/context-2026-08-02.md</t>
        </is>
      </c>
      <c r="G2803" s="33" t="inlineStr">
        <is>
          <t>Medium</t>
        </is>
      </c>
      <c r="H2803" s="33" t="inlineStr">
        <is>
          <t>Initial</t>
        </is>
      </c>
    </row>
    <row r="2804">
      <c r="A2804" s="33" t="inlineStr">
        <is>
          <t>2026-08-02</t>
        </is>
      </c>
      <c r="B2804" s="33" t="inlineStr">
        <is>
          <t>2498.HK</t>
        </is>
      </c>
      <c r="C2804" s="33" t="inlineStr">
        <is>
          <t>D5</t>
        </is>
      </c>
      <c r="D2804" s="33" t="n">
        <v>5</v>
      </c>
      <c r="E2804" s="33" t="inlineStr">
        <is>
          <t>Initial L11-batch rating per agent7 proposal (rationale+source in 11-robotics/research/rating-proposals-2026-08-02/); briefing per-stock/2498.HK/context-2026-08-02.md</t>
        </is>
      </c>
      <c r="F2804" s="33" t="inlineStr">
        <is>
          <t>per-stock/2498.HK/context-2026-08-02.md</t>
        </is>
      </c>
      <c r="G2804" s="33" t="inlineStr">
        <is>
          <t>Medium</t>
        </is>
      </c>
      <c r="H2804" s="33" t="inlineStr">
        <is>
          <t>Initial</t>
        </is>
      </c>
    </row>
    <row r="2805">
      <c r="A2805" s="33" t="inlineStr">
        <is>
          <t>2026-08-02</t>
        </is>
      </c>
      <c r="B2805" s="33" t="inlineStr">
        <is>
          <t>2498.HK</t>
        </is>
      </c>
      <c r="C2805" s="33" t="inlineStr">
        <is>
          <t>M1</t>
        </is>
      </c>
      <c r="D2805" s="33" t="n">
        <v>3</v>
      </c>
      <c r="E2805" s="33" t="inlineStr">
        <is>
          <t>Initial L11-batch rating per agent7 proposal (rationale+source in 11-robotics/research/rating-proposals-2026-08-02/); briefing per-stock/2498.HK/context-2026-08-02.md</t>
        </is>
      </c>
      <c r="F2805" s="33" t="inlineStr">
        <is>
          <t>per-stock/2498.HK/context-2026-08-02.md</t>
        </is>
      </c>
      <c r="G2805" s="33" t="inlineStr">
        <is>
          <t>Medium</t>
        </is>
      </c>
      <c r="H2805" s="33" t="inlineStr">
        <is>
          <t>Initial</t>
        </is>
      </c>
    </row>
    <row r="2806">
      <c r="A2806" s="33" t="inlineStr">
        <is>
          <t>2026-08-02</t>
        </is>
      </c>
      <c r="B2806" s="33" t="inlineStr">
        <is>
          <t>2498.HK</t>
        </is>
      </c>
      <c r="C2806" s="33" t="inlineStr">
        <is>
          <t>M2</t>
        </is>
      </c>
      <c r="D2806" s="33" t="n">
        <v>1</v>
      </c>
      <c r="E2806" s="33" t="inlineStr">
        <is>
          <t>Initial L11-batch rating per agent7 proposal (rationale+source in 11-robotics/research/rating-proposals-2026-08-02/); briefing per-stock/2498.HK/context-2026-08-02.md</t>
        </is>
      </c>
      <c r="F2806" s="33" t="inlineStr">
        <is>
          <t>per-stock/2498.HK/context-2026-08-02.md</t>
        </is>
      </c>
      <c r="G2806" s="33" t="inlineStr">
        <is>
          <t>Medium</t>
        </is>
      </c>
      <c r="H2806" s="33" t="inlineStr">
        <is>
          <t>Initial</t>
        </is>
      </c>
    </row>
    <row r="2807">
      <c r="A2807" s="33" t="inlineStr">
        <is>
          <t>2026-08-02</t>
        </is>
      </c>
      <c r="B2807" s="33" t="inlineStr">
        <is>
          <t>2498.HK</t>
        </is>
      </c>
      <c r="C2807" s="33" t="inlineStr">
        <is>
          <t>M3</t>
        </is>
      </c>
      <c r="D2807" s="33" t="n">
        <v>3</v>
      </c>
      <c r="E2807" s="33" t="inlineStr">
        <is>
          <t>Initial L11-batch rating per agent7 proposal (rationale+source in 11-robotics/research/rating-proposals-2026-08-02/); briefing per-stock/2498.HK/context-2026-08-02.md</t>
        </is>
      </c>
      <c r="F2807" s="33" t="inlineStr">
        <is>
          <t>per-stock/2498.HK/context-2026-08-02.md</t>
        </is>
      </c>
      <c r="G2807" s="33" t="inlineStr">
        <is>
          <t>Medium</t>
        </is>
      </c>
      <c r="H2807" s="33" t="inlineStr">
        <is>
          <t>Initial</t>
        </is>
      </c>
    </row>
    <row r="2808">
      <c r="A2808" s="33" t="inlineStr">
        <is>
          <t>2026-08-02</t>
        </is>
      </c>
      <c r="B2808" s="33" t="inlineStr">
        <is>
          <t>2498.HK</t>
        </is>
      </c>
      <c r="C2808" s="33" t="inlineStr">
        <is>
          <t>R1</t>
        </is>
      </c>
      <c r="D2808" s="33" t="n">
        <v>3</v>
      </c>
      <c r="E2808" s="33" t="inlineStr">
        <is>
          <t>Initial L11-batch rating per agent7 proposal (rationale+source in 11-robotics/research/rating-proposals-2026-08-02/); briefing per-stock/2498.HK/context-2026-08-02.md</t>
        </is>
      </c>
      <c r="F2808" s="33" t="inlineStr">
        <is>
          <t>per-stock/2498.HK/context-2026-08-02.md</t>
        </is>
      </c>
      <c r="G2808" s="33" t="inlineStr">
        <is>
          <t>Medium</t>
        </is>
      </c>
      <c r="H2808" s="33" t="inlineStr">
        <is>
          <t>Initial</t>
        </is>
      </c>
    </row>
    <row r="2809">
      <c r="A2809" s="33" t="inlineStr">
        <is>
          <t>2026-08-02</t>
        </is>
      </c>
      <c r="B2809" s="33" t="inlineStr">
        <is>
          <t>2498.HK</t>
        </is>
      </c>
      <c r="C2809" s="33" t="inlineStr">
        <is>
          <t>R2</t>
        </is>
      </c>
      <c r="D2809" s="33" t="n">
        <v>2</v>
      </c>
      <c r="E2809" s="33" t="inlineStr">
        <is>
          <t>Initial L11-batch rating per agent7 proposal (rationale+source in 11-robotics/research/rating-proposals-2026-08-02/); briefing per-stock/2498.HK/context-2026-08-02.md</t>
        </is>
      </c>
      <c r="F2809" s="33" t="inlineStr">
        <is>
          <t>per-stock/2498.HK/context-2026-08-02.md</t>
        </is>
      </c>
      <c r="G2809" s="33" t="inlineStr">
        <is>
          <t>Medium</t>
        </is>
      </c>
      <c r="H2809" s="33" t="inlineStr">
        <is>
          <t>Initial</t>
        </is>
      </c>
    </row>
    <row r="2810">
      <c r="A2810" s="33" t="inlineStr">
        <is>
          <t>2026-08-02</t>
        </is>
      </c>
      <c r="B2810" s="33" t="inlineStr">
        <is>
          <t>2498.HK</t>
        </is>
      </c>
      <c r="C2810" s="33" t="inlineStr">
        <is>
          <t>R3</t>
        </is>
      </c>
      <c r="D2810" s="33" t="n">
        <v>4</v>
      </c>
      <c r="E2810" s="33" t="inlineStr">
        <is>
          <t>Initial L11-batch rating per agent7 proposal (rationale+source in 11-robotics/research/rating-proposals-2026-08-02/); briefing per-stock/2498.HK/context-2026-08-02.md</t>
        </is>
      </c>
      <c r="F2810" s="33" t="inlineStr">
        <is>
          <t>per-stock/2498.HK/context-2026-08-02.md</t>
        </is>
      </c>
      <c r="G2810" s="33" t="inlineStr">
        <is>
          <t>Medium</t>
        </is>
      </c>
      <c r="H2810" s="33" t="inlineStr">
        <is>
          <t>Initial</t>
        </is>
      </c>
    </row>
    <row r="2811">
      <c r="A2811" s="33" t="inlineStr">
        <is>
          <t>2026-08-02</t>
        </is>
      </c>
      <c r="B2811" s="33" t="inlineStr">
        <is>
          <t>2498.HK</t>
        </is>
      </c>
      <c r="C2811" s="33" t="inlineStr">
        <is>
          <t>R4</t>
        </is>
      </c>
      <c r="D2811" s="33" t="n">
        <v>3</v>
      </c>
      <c r="E2811" s="33" t="inlineStr">
        <is>
          <t>Initial L11-batch rating per agent7 proposal (rationale+source in 11-robotics/research/rating-proposals-2026-08-02/); briefing per-stock/2498.HK/context-2026-08-02.md</t>
        </is>
      </c>
      <c r="F2811" s="33" t="inlineStr">
        <is>
          <t>per-stock/2498.HK/context-2026-08-02.md</t>
        </is>
      </c>
      <c r="G2811" s="33" t="inlineStr">
        <is>
          <t>Medium</t>
        </is>
      </c>
      <c r="H2811" s="33" t="inlineStr">
        <is>
          <t>Initial</t>
        </is>
      </c>
    </row>
    <row r="2812">
      <c r="A2812" s="33" t="inlineStr">
        <is>
          <t>2026-08-02</t>
        </is>
      </c>
      <c r="B2812" s="33" t="inlineStr">
        <is>
          <t>2498.HK</t>
        </is>
      </c>
      <c r="C2812" s="33" t="inlineStr">
        <is>
          <t>R5</t>
        </is>
      </c>
      <c r="D2812" s="33" t="n">
        <v>5</v>
      </c>
      <c r="E2812" s="33" t="inlineStr">
        <is>
          <t>Initial L11-batch rating per agent7 proposal (rationale+source in 11-robotics/research/rating-proposals-2026-08-02/); briefing per-stock/2498.HK/context-2026-08-02.md</t>
        </is>
      </c>
      <c r="F2812" s="33" t="inlineStr">
        <is>
          <t>per-stock/2498.HK/context-2026-08-02.md</t>
        </is>
      </c>
      <c r="G2812" s="33" t="inlineStr">
        <is>
          <t>Medium</t>
        </is>
      </c>
      <c r="H2812" s="33" t="inlineStr">
        <is>
          <t>Initial</t>
        </is>
      </c>
    </row>
    <row r="2813">
      <c r="A2813" s="33" t="inlineStr">
        <is>
          <t>2026-08-02</t>
        </is>
      </c>
      <c r="B2813" s="33" t="inlineStr">
        <is>
          <t>MBLY</t>
        </is>
      </c>
      <c r="C2813" s="33" t="inlineStr">
        <is>
          <t>D1</t>
        </is>
      </c>
      <c r="D2813" s="33" t="n">
        <v>5</v>
      </c>
      <c r="E2813" s="33" t="inlineStr">
        <is>
          <t>Initial L11-batch rating per agent7 proposal (rationale+source in 11-robotics/research/rating-proposals-2026-08-02/); briefing per-stock/MBLY/context-2026-08-02.md</t>
        </is>
      </c>
      <c r="F2813" s="33" t="inlineStr">
        <is>
          <t>per-stock/MBLY/context-2026-08-02.md</t>
        </is>
      </c>
      <c r="G2813" s="33" t="inlineStr">
        <is>
          <t>Medium</t>
        </is>
      </c>
      <c r="H2813" s="33" t="inlineStr">
        <is>
          <t>Initial</t>
        </is>
      </c>
    </row>
    <row r="2814">
      <c r="A2814" s="33" t="inlineStr">
        <is>
          <t>2026-08-02</t>
        </is>
      </c>
      <c r="B2814" s="33" t="inlineStr">
        <is>
          <t>MBLY</t>
        </is>
      </c>
      <c r="C2814" s="33" t="inlineStr">
        <is>
          <t>D2</t>
        </is>
      </c>
      <c r="D2814" s="33" t="n">
        <v>3</v>
      </c>
      <c r="E2814" s="33" t="inlineStr">
        <is>
          <t>Initial L11-batch rating per agent7 proposal (rationale+source in 11-robotics/research/rating-proposals-2026-08-02/); briefing per-stock/MBLY/context-2026-08-02.md</t>
        </is>
      </c>
      <c r="F2814" s="33" t="inlineStr">
        <is>
          <t>per-stock/MBLY/context-2026-08-02.md</t>
        </is>
      </c>
      <c r="G2814" s="33" t="inlineStr">
        <is>
          <t>Medium</t>
        </is>
      </c>
      <c r="H2814" s="33" t="inlineStr">
        <is>
          <t>Initial</t>
        </is>
      </c>
    </row>
    <row r="2815">
      <c r="A2815" s="33" t="inlineStr">
        <is>
          <t>2026-08-02</t>
        </is>
      </c>
      <c r="B2815" s="33" t="inlineStr">
        <is>
          <t>MBLY</t>
        </is>
      </c>
      <c r="C2815" s="33" t="inlineStr">
        <is>
          <t>D3</t>
        </is>
      </c>
      <c r="D2815" s="33" t="n">
        <v>3</v>
      </c>
      <c r="E2815" s="33" t="inlineStr">
        <is>
          <t>Initial L11-batch rating per agent7 proposal (rationale+source in 11-robotics/research/rating-proposals-2026-08-02/); briefing per-stock/MBLY/context-2026-08-02.md</t>
        </is>
      </c>
      <c r="F2815" s="33" t="inlineStr">
        <is>
          <t>per-stock/MBLY/context-2026-08-02.md</t>
        </is>
      </c>
      <c r="G2815" s="33" t="inlineStr">
        <is>
          <t>Medium</t>
        </is>
      </c>
      <c r="H2815" s="33" t="inlineStr">
        <is>
          <t>Initial</t>
        </is>
      </c>
    </row>
    <row r="2816">
      <c r="A2816" s="33" t="inlineStr">
        <is>
          <t>2026-08-02</t>
        </is>
      </c>
      <c r="B2816" s="33" t="inlineStr">
        <is>
          <t>MBLY</t>
        </is>
      </c>
      <c r="C2816" s="33" t="inlineStr">
        <is>
          <t>D4</t>
        </is>
      </c>
      <c r="D2816" s="33" t="n">
        <v>3</v>
      </c>
      <c r="E2816" s="33" t="inlineStr">
        <is>
          <t>Initial L11-batch rating per agent7 proposal (rationale+source in 11-robotics/research/rating-proposals-2026-08-02/); briefing per-stock/MBLY/context-2026-08-02.md</t>
        </is>
      </c>
      <c r="F2816" s="33" t="inlineStr">
        <is>
          <t>per-stock/MBLY/context-2026-08-02.md</t>
        </is>
      </c>
      <c r="G2816" s="33" t="inlineStr">
        <is>
          <t>Medium</t>
        </is>
      </c>
      <c r="H2816" s="33" t="inlineStr">
        <is>
          <t>Initial</t>
        </is>
      </c>
    </row>
    <row r="2817">
      <c r="A2817" s="33" t="inlineStr">
        <is>
          <t>2026-08-02</t>
        </is>
      </c>
      <c r="B2817" s="33" t="inlineStr">
        <is>
          <t>MBLY</t>
        </is>
      </c>
      <c r="C2817" s="33" t="inlineStr">
        <is>
          <t>D5</t>
        </is>
      </c>
      <c r="D2817" s="33" t="n">
        <v>4</v>
      </c>
      <c r="E2817" s="33" t="inlineStr">
        <is>
          <t>Initial L11-batch rating per agent7 proposal (rationale+source in 11-robotics/research/rating-proposals-2026-08-02/); briefing per-stock/MBLY/context-2026-08-02.md</t>
        </is>
      </c>
      <c r="F2817" s="33" t="inlineStr">
        <is>
          <t>per-stock/MBLY/context-2026-08-02.md</t>
        </is>
      </c>
      <c r="G2817" s="33" t="inlineStr">
        <is>
          <t>Medium</t>
        </is>
      </c>
      <c r="H2817" s="33" t="inlineStr">
        <is>
          <t>Initial</t>
        </is>
      </c>
    </row>
    <row r="2818">
      <c r="A2818" s="33" t="inlineStr">
        <is>
          <t>2026-08-02</t>
        </is>
      </c>
      <c r="B2818" s="33" t="inlineStr">
        <is>
          <t>MBLY</t>
        </is>
      </c>
      <c r="C2818" s="33" t="inlineStr">
        <is>
          <t>M1</t>
        </is>
      </c>
      <c r="D2818" s="33" t="n">
        <v>4</v>
      </c>
      <c r="E2818" s="33" t="inlineStr">
        <is>
          <t>Initial L11-batch rating per agent7 proposal (rationale+source in 11-robotics/research/rating-proposals-2026-08-02/); briefing per-stock/MBLY/context-2026-08-02.md</t>
        </is>
      </c>
      <c r="F2818" s="33" t="inlineStr">
        <is>
          <t>per-stock/MBLY/context-2026-08-02.md</t>
        </is>
      </c>
      <c r="G2818" s="33" t="inlineStr">
        <is>
          <t>Medium</t>
        </is>
      </c>
      <c r="H2818" s="33" t="inlineStr">
        <is>
          <t>Initial</t>
        </is>
      </c>
    </row>
    <row r="2819">
      <c r="A2819" s="33" t="inlineStr">
        <is>
          <t>2026-08-02</t>
        </is>
      </c>
      <c r="B2819" s="33" t="inlineStr">
        <is>
          <t>MBLY</t>
        </is>
      </c>
      <c r="C2819" s="33" t="inlineStr">
        <is>
          <t>M2</t>
        </is>
      </c>
      <c r="D2819" s="33" t="n">
        <v>1</v>
      </c>
      <c r="E2819" s="33" t="inlineStr">
        <is>
          <t>Initial L11-batch rating per agent7 proposal (rationale+source in 11-robotics/research/rating-proposals-2026-08-02/); briefing per-stock/MBLY/context-2026-08-02.md</t>
        </is>
      </c>
      <c r="F2819" s="33" t="inlineStr">
        <is>
          <t>per-stock/MBLY/context-2026-08-02.md</t>
        </is>
      </c>
      <c r="G2819" s="33" t="inlineStr">
        <is>
          <t>Medium</t>
        </is>
      </c>
      <c r="H2819" s="33" t="inlineStr">
        <is>
          <t>Initial</t>
        </is>
      </c>
    </row>
    <row r="2820">
      <c r="A2820" s="33" t="inlineStr">
        <is>
          <t>2026-08-02</t>
        </is>
      </c>
      <c r="B2820" s="33" t="inlineStr">
        <is>
          <t>MBLY</t>
        </is>
      </c>
      <c r="C2820" s="33" t="inlineStr">
        <is>
          <t>M3</t>
        </is>
      </c>
      <c r="D2820" s="33" t="n">
        <v>3</v>
      </c>
      <c r="E2820" s="33" t="inlineStr">
        <is>
          <t>Initial L11-batch rating per agent7 proposal (rationale+source in 11-robotics/research/rating-proposals-2026-08-02/); briefing per-stock/MBLY/context-2026-08-02.md</t>
        </is>
      </c>
      <c r="F2820" s="33" t="inlineStr">
        <is>
          <t>per-stock/MBLY/context-2026-08-02.md</t>
        </is>
      </c>
      <c r="G2820" s="33" t="inlineStr">
        <is>
          <t>Medium</t>
        </is>
      </c>
      <c r="H2820" s="33" t="inlineStr">
        <is>
          <t>Initial</t>
        </is>
      </c>
    </row>
    <row r="2821">
      <c r="A2821" s="33" t="inlineStr">
        <is>
          <t>2026-08-02</t>
        </is>
      </c>
      <c r="B2821" s="33" t="inlineStr">
        <is>
          <t>MBLY</t>
        </is>
      </c>
      <c r="C2821" s="33" t="inlineStr">
        <is>
          <t>R1</t>
        </is>
      </c>
      <c r="D2821" s="33" t="n">
        <v>3</v>
      </c>
      <c r="E2821" s="33" t="inlineStr">
        <is>
          <t>Initial L11-batch rating per agent7 proposal (rationale+source in 11-robotics/research/rating-proposals-2026-08-02/); briefing per-stock/MBLY/context-2026-08-02.md</t>
        </is>
      </c>
      <c r="F2821" s="33" t="inlineStr">
        <is>
          <t>per-stock/MBLY/context-2026-08-02.md</t>
        </is>
      </c>
      <c r="G2821" s="33" t="inlineStr">
        <is>
          <t>Medium</t>
        </is>
      </c>
      <c r="H2821" s="33" t="inlineStr">
        <is>
          <t>Initial</t>
        </is>
      </c>
    </row>
    <row r="2822">
      <c r="A2822" s="33" t="inlineStr">
        <is>
          <t>2026-08-02</t>
        </is>
      </c>
      <c r="B2822" s="33" t="inlineStr">
        <is>
          <t>MBLY</t>
        </is>
      </c>
      <c r="C2822" s="33" t="inlineStr">
        <is>
          <t>R2</t>
        </is>
      </c>
      <c r="D2822" s="33" t="n">
        <v>2</v>
      </c>
      <c r="E2822" s="33" t="inlineStr">
        <is>
          <t>Initial L11-batch rating per agent7 proposal (rationale+source in 11-robotics/research/rating-proposals-2026-08-02/); briefing per-stock/MBLY/context-2026-08-02.md</t>
        </is>
      </c>
      <c r="F2822" s="33" t="inlineStr">
        <is>
          <t>per-stock/MBLY/context-2026-08-02.md</t>
        </is>
      </c>
      <c r="G2822" s="33" t="inlineStr">
        <is>
          <t>Medium</t>
        </is>
      </c>
      <c r="H2822" s="33" t="inlineStr">
        <is>
          <t>Initial</t>
        </is>
      </c>
    </row>
    <row r="2823">
      <c r="A2823" s="33" t="inlineStr">
        <is>
          <t>2026-08-02</t>
        </is>
      </c>
      <c r="B2823" s="33" t="inlineStr">
        <is>
          <t>MBLY</t>
        </is>
      </c>
      <c r="C2823" s="33" t="inlineStr">
        <is>
          <t>R3</t>
        </is>
      </c>
      <c r="D2823" s="33" t="n">
        <v>5</v>
      </c>
      <c r="E2823" s="33" t="inlineStr">
        <is>
          <t>Initial L11-batch rating per agent7 proposal (rationale+source in 11-robotics/research/rating-proposals-2026-08-02/); briefing per-stock/MBLY/context-2026-08-02.md</t>
        </is>
      </c>
      <c r="F2823" s="33" t="inlineStr">
        <is>
          <t>per-stock/MBLY/context-2026-08-02.md</t>
        </is>
      </c>
      <c r="G2823" s="33" t="inlineStr">
        <is>
          <t>Medium</t>
        </is>
      </c>
      <c r="H2823" s="33" t="inlineStr">
        <is>
          <t>Initial</t>
        </is>
      </c>
    </row>
    <row r="2824">
      <c r="A2824" s="33" t="inlineStr">
        <is>
          <t>2026-08-02</t>
        </is>
      </c>
      <c r="B2824" s="33" t="inlineStr">
        <is>
          <t>MBLY</t>
        </is>
      </c>
      <c r="C2824" s="33" t="inlineStr">
        <is>
          <t>R4</t>
        </is>
      </c>
      <c r="D2824" s="33" t="n">
        <v>3</v>
      </c>
      <c r="E2824" s="33" t="inlineStr">
        <is>
          <t>Litigation clear (2d Cir. affirmed dismissal) but governance: Intel 96.9% voting power; $900M Mentee purchase was related-party (CEO received ~59% of equity consideration) 5 months before announcing exit.</t>
        </is>
      </c>
      <c r="F2824" s="33" t="inlineStr">
        <is>
          <t>per-stock/MBLY/context-2026-08-02.md</t>
        </is>
      </c>
      <c r="G2824" s="33" t="inlineStr">
        <is>
          <t>Medium</t>
        </is>
      </c>
      <c r="H2824" s="33" t="inlineStr">
        <is>
          <t>Initial</t>
        </is>
      </c>
    </row>
    <row r="2825">
      <c r="A2825" s="33" t="inlineStr">
        <is>
          <t>2026-08-02</t>
        </is>
      </c>
      <c r="B2825" s="33" t="inlineStr">
        <is>
          <t>MBLY</t>
        </is>
      </c>
      <c r="C2825" s="33" t="inlineStr">
        <is>
          <t>R5</t>
        </is>
      </c>
      <c r="D2825" s="33" t="n">
        <v>5</v>
      </c>
      <c r="E2825" s="33" t="inlineStr">
        <is>
          <t>Initial L11-batch rating per agent7 proposal (rationale+source in 11-robotics/research/rating-proposals-2026-08-02/); briefing per-stock/MBLY/context-2026-08-02.md</t>
        </is>
      </c>
      <c r="F2825" s="33" t="inlineStr">
        <is>
          <t>per-stock/MBLY/context-2026-08-02.md</t>
        </is>
      </c>
      <c r="G2825" s="33" t="inlineStr">
        <is>
          <t>Medium</t>
        </is>
      </c>
      <c r="H2825" s="33" t="inlineStr">
        <is>
          <t>Initial</t>
        </is>
      </c>
    </row>
    <row r="2826">
      <c r="A2826" s="33" t="inlineStr">
        <is>
          <t>2026-08-02</t>
        </is>
      </c>
      <c r="B2826" s="33" t="inlineStr">
        <is>
          <t>PDYN</t>
        </is>
      </c>
      <c r="C2826" s="33" t="inlineStr">
        <is>
          <t>D1</t>
        </is>
      </c>
      <c r="D2826" s="33" t="n">
        <v>4</v>
      </c>
      <c r="E2826" s="33" t="inlineStr">
        <is>
          <t>Initial L11-batch rating per agent7 proposal (rationale+source in 11-robotics/research/rating-proposals-2026-08-02/); briefing per-stock/PDYN/context-2026-08-02.md</t>
        </is>
      </c>
      <c r="F2826" s="33" t="inlineStr">
        <is>
          <t>per-stock/PDYN/context-2026-08-02.md</t>
        </is>
      </c>
      <c r="G2826" s="33" t="inlineStr">
        <is>
          <t>Medium</t>
        </is>
      </c>
      <c r="H2826" s="33" t="inlineStr">
        <is>
          <t>Initial</t>
        </is>
      </c>
    </row>
    <row r="2827">
      <c r="A2827" s="33" t="inlineStr">
        <is>
          <t>2026-08-02</t>
        </is>
      </c>
      <c r="B2827" s="33" t="inlineStr">
        <is>
          <t>PDYN</t>
        </is>
      </c>
      <c r="C2827" s="33" t="inlineStr">
        <is>
          <t>D2</t>
        </is>
      </c>
      <c r="D2827" s="33" t="n">
        <v>2</v>
      </c>
      <c r="E2827" s="33" t="inlineStr">
        <is>
          <t>Initial L11-batch rating per agent7 proposal (rationale+source in 11-robotics/research/rating-proposals-2026-08-02/); briefing per-stock/PDYN/context-2026-08-02.md</t>
        </is>
      </c>
      <c r="F2827" s="33" t="inlineStr">
        <is>
          <t>per-stock/PDYN/context-2026-08-02.md</t>
        </is>
      </c>
      <c r="G2827" s="33" t="inlineStr">
        <is>
          <t>Medium</t>
        </is>
      </c>
      <c r="H2827" s="33" t="inlineStr">
        <is>
          <t>Initial</t>
        </is>
      </c>
    </row>
    <row r="2828">
      <c r="A2828" s="33" t="inlineStr">
        <is>
          <t>2026-08-02</t>
        </is>
      </c>
      <c r="B2828" s="33" t="inlineStr">
        <is>
          <t>PDYN</t>
        </is>
      </c>
      <c r="C2828" s="33" t="inlineStr">
        <is>
          <t>D3</t>
        </is>
      </c>
      <c r="D2828" s="33" t="n">
        <v>2</v>
      </c>
      <c r="E2828" s="33" t="inlineStr">
        <is>
          <t>Initial L11-batch rating per agent7 proposal (rationale+source in 11-robotics/research/rating-proposals-2026-08-02/); briefing per-stock/PDYN/context-2026-08-02.md</t>
        </is>
      </c>
      <c r="F2828" s="33" t="inlineStr">
        <is>
          <t>per-stock/PDYN/context-2026-08-02.md</t>
        </is>
      </c>
      <c r="G2828" s="33" t="inlineStr">
        <is>
          <t>Medium</t>
        </is>
      </c>
      <c r="H2828" s="33" t="inlineStr">
        <is>
          <t>Initial</t>
        </is>
      </c>
    </row>
    <row r="2829">
      <c r="A2829" s="33" t="inlineStr">
        <is>
          <t>2026-08-02</t>
        </is>
      </c>
      <c r="B2829" s="33" t="inlineStr">
        <is>
          <t>PDYN</t>
        </is>
      </c>
      <c r="C2829" s="33" t="inlineStr">
        <is>
          <t>D4</t>
        </is>
      </c>
      <c r="D2829" s="33" t="n">
        <v>4</v>
      </c>
      <c r="E2829" s="33" t="inlineStr">
        <is>
          <t>Initial L11-batch rating per agent7 proposal (rationale+source in 11-robotics/research/rating-proposals-2026-08-02/); briefing per-stock/PDYN/context-2026-08-02.md</t>
        </is>
      </c>
      <c r="F2829" s="33" t="inlineStr">
        <is>
          <t>per-stock/PDYN/context-2026-08-02.md</t>
        </is>
      </c>
      <c r="G2829" s="33" t="inlineStr">
        <is>
          <t>Medium</t>
        </is>
      </c>
      <c r="H2829" s="33" t="inlineStr">
        <is>
          <t>Initial</t>
        </is>
      </c>
    </row>
    <row r="2830">
      <c r="A2830" s="33" t="inlineStr">
        <is>
          <t>2026-08-02</t>
        </is>
      </c>
      <c r="B2830" s="33" t="inlineStr">
        <is>
          <t>PDYN</t>
        </is>
      </c>
      <c r="C2830" s="33" t="inlineStr">
        <is>
          <t>D5</t>
        </is>
      </c>
      <c r="D2830" s="33" t="n">
        <v>4</v>
      </c>
      <c r="E2830" s="33" t="inlineStr">
        <is>
          <t>Initial L11-batch rating per agent7 proposal (rationale+source in 11-robotics/research/rating-proposals-2026-08-02/); briefing per-stock/PDYN/context-2026-08-02.md</t>
        </is>
      </c>
      <c r="F2830" s="33" t="inlineStr">
        <is>
          <t>per-stock/PDYN/context-2026-08-02.md</t>
        </is>
      </c>
      <c r="G2830" s="33" t="inlineStr">
        <is>
          <t>Medium</t>
        </is>
      </c>
      <c r="H2830" s="33" t="inlineStr">
        <is>
          <t>Initial</t>
        </is>
      </c>
    </row>
    <row r="2831">
      <c r="A2831" s="33" t="inlineStr">
        <is>
          <t>2026-08-02</t>
        </is>
      </c>
      <c r="B2831" s="33" t="inlineStr">
        <is>
          <t>PDYN</t>
        </is>
      </c>
      <c r="C2831" s="33" t="inlineStr">
        <is>
          <t>M1</t>
        </is>
      </c>
      <c r="D2831" s="33" t="n">
        <v>3</v>
      </c>
      <c r="E2831" s="33" t="inlineStr">
        <is>
          <t>Initial L11-batch rating per agent7 proposal (rationale+source in 11-robotics/research/rating-proposals-2026-08-02/); briefing per-stock/PDYN/context-2026-08-02.md</t>
        </is>
      </c>
      <c r="F2831" s="33" t="inlineStr">
        <is>
          <t>per-stock/PDYN/context-2026-08-02.md</t>
        </is>
      </c>
      <c r="G2831" s="33" t="inlineStr">
        <is>
          <t>Medium</t>
        </is>
      </c>
      <c r="H2831" s="33" t="inlineStr">
        <is>
          <t>Initial</t>
        </is>
      </c>
    </row>
    <row r="2832">
      <c r="A2832" s="33" t="inlineStr">
        <is>
          <t>2026-08-02</t>
        </is>
      </c>
      <c r="B2832" s="33" t="inlineStr">
        <is>
          <t>PDYN</t>
        </is>
      </c>
      <c r="C2832" s="33" t="inlineStr">
        <is>
          <t>M2</t>
        </is>
      </c>
      <c r="D2832" s="33" t="n">
        <v>1</v>
      </c>
      <c r="E2832" s="33" t="inlineStr">
        <is>
          <t>Initial L11-batch rating per agent7 proposal (rationale+source in 11-robotics/research/rating-proposals-2026-08-02/); briefing per-stock/PDYN/context-2026-08-02.md</t>
        </is>
      </c>
      <c r="F2832" s="33" t="inlineStr">
        <is>
          <t>per-stock/PDYN/context-2026-08-02.md</t>
        </is>
      </c>
      <c r="G2832" s="33" t="inlineStr">
        <is>
          <t>Medium</t>
        </is>
      </c>
      <c r="H2832" s="33" t="inlineStr">
        <is>
          <t>Initial</t>
        </is>
      </c>
    </row>
    <row r="2833">
      <c r="A2833" s="33" t="inlineStr">
        <is>
          <t>2026-08-02</t>
        </is>
      </c>
      <c r="B2833" s="33" t="inlineStr">
        <is>
          <t>PDYN</t>
        </is>
      </c>
      <c r="C2833" s="33" t="inlineStr">
        <is>
          <t>M3</t>
        </is>
      </c>
      <c r="D2833" s="33" t="n">
        <v>5</v>
      </c>
      <c r="E2833" s="33" t="inlineStr">
        <is>
          <t>Mechanical 5 per step 1 (CEO 2 P-code buys + director 1). Flag: ~$37k total vs ~5.2M RSUs granted 6/8/26 - possible de-minimis-floor rubric gap. CEVA precedent forbids size-downgrade.</t>
        </is>
      </c>
      <c r="F2833" s="33" t="inlineStr">
        <is>
          <t>per-stock/PDYN/context-2026-08-02.md</t>
        </is>
      </c>
      <c r="G2833" s="33" t="inlineStr">
        <is>
          <t>Medium</t>
        </is>
      </c>
      <c r="H2833" s="33" t="inlineStr">
        <is>
          <t>Initial</t>
        </is>
      </c>
    </row>
    <row r="2834">
      <c r="A2834" s="33" t="inlineStr">
        <is>
          <t>2026-08-02</t>
        </is>
      </c>
      <c r="B2834" s="33" t="inlineStr">
        <is>
          <t>PDYN</t>
        </is>
      </c>
      <c r="C2834" s="33" t="inlineStr">
        <is>
          <t>R1</t>
        </is>
      </c>
      <c r="D2834" s="33" t="n">
        <v>2</v>
      </c>
      <c r="E2834" s="33" t="inlineStr">
        <is>
          <t>Initial L11-batch rating per agent7 proposal (rationale+source in 11-robotics/research/rating-proposals-2026-08-02/); briefing per-stock/PDYN/context-2026-08-02.md</t>
        </is>
      </c>
      <c r="F2834" s="33" t="inlineStr">
        <is>
          <t>per-stock/PDYN/context-2026-08-02.md</t>
        </is>
      </c>
      <c r="G2834" s="33" t="inlineStr">
        <is>
          <t>Medium</t>
        </is>
      </c>
      <c r="H2834" s="33" t="inlineStr">
        <is>
          <t>Initial</t>
        </is>
      </c>
    </row>
    <row r="2835">
      <c r="A2835" s="33" t="inlineStr">
        <is>
          <t>2026-08-02</t>
        </is>
      </c>
      <c r="B2835" s="33" t="inlineStr">
        <is>
          <t>PDYN</t>
        </is>
      </c>
      <c r="C2835" s="33" t="inlineStr">
        <is>
          <t>R2</t>
        </is>
      </c>
      <c r="D2835" s="33" t="n">
        <v>5</v>
      </c>
      <c r="E2835" s="33" t="inlineStr">
        <is>
          <t>Initial L11-batch rating per agent7 proposal (rationale+source in 11-robotics/research/rating-proposals-2026-08-02/); briefing per-stock/PDYN/context-2026-08-02.md</t>
        </is>
      </c>
      <c r="F2835" s="33" t="inlineStr">
        <is>
          <t>per-stock/PDYN/context-2026-08-02.md</t>
        </is>
      </c>
      <c r="G2835" s="33" t="inlineStr">
        <is>
          <t>Medium</t>
        </is>
      </c>
      <c r="H2835" s="33" t="inlineStr">
        <is>
          <t>Initial</t>
        </is>
      </c>
    </row>
    <row r="2836">
      <c r="A2836" s="33" t="inlineStr">
        <is>
          <t>2026-08-02</t>
        </is>
      </c>
      <c r="B2836" s="33" t="inlineStr">
        <is>
          <t>PDYN</t>
        </is>
      </c>
      <c r="C2836" s="33" t="inlineStr">
        <is>
          <t>R3</t>
        </is>
      </c>
      <c r="D2836" s="33" t="n">
        <v>3</v>
      </c>
      <c r="E2836" s="33" t="inlineStr">
        <is>
          <t>Initial L11-batch rating per agent7 proposal (rationale+source in 11-robotics/research/rating-proposals-2026-08-02/); briefing per-stock/PDYN/context-2026-08-02.md</t>
        </is>
      </c>
      <c r="F2836" s="33" t="inlineStr">
        <is>
          <t>per-stock/PDYN/context-2026-08-02.md</t>
        </is>
      </c>
      <c r="G2836" s="33" t="inlineStr">
        <is>
          <t>Medium</t>
        </is>
      </c>
      <c r="H2836" s="33" t="inlineStr">
        <is>
          <t>Initial</t>
        </is>
      </c>
    </row>
    <row r="2837">
      <c r="A2837" s="33" t="inlineStr">
        <is>
          <t>2026-08-02</t>
        </is>
      </c>
      <c r="B2837" s="33" t="inlineStr">
        <is>
          <t>PDYN</t>
        </is>
      </c>
      <c r="C2837" s="33" t="inlineStr">
        <is>
          <t>R4</t>
        </is>
      </c>
      <c r="D2837" s="33" t="n">
        <v>4</v>
      </c>
      <c r="E2837" s="33" t="inlineStr">
        <is>
          <t>Initial L11-batch rating per agent7 proposal (rationale+source in 11-robotics/research/rating-proposals-2026-08-02/); briefing per-stock/PDYN/context-2026-08-02.md</t>
        </is>
      </c>
      <c r="F2837" s="33" t="inlineStr">
        <is>
          <t>per-stock/PDYN/context-2026-08-02.md</t>
        </is>
      </c>
      <c r="G2837" s="33" t="inlineStr">
        <is>
          <t>Medium</t>
        </is>
      </c>
      <c r="H2837" s="33" t="inlineStr">
        <is>
          <t>Initial</t>
        </is>
      </c>
    </row>
    <row r="2838">
      <c r="A2838" s="33" t="inlineStr">
        <is>
          <t>2026-08-02</t>
        </is>
      </c>
      <c r="B2838" s="33" t="inlineStr">
        <is>
          <t>PDYN</t>
        </is>
      </c>
      <c r="C2838" s="33" t="inlineStr">
        <is>
          <t>R5</t>
        </is>
      </c>
      <c r="D2838" s="33" t="n">
        <v>5</v>
      </c>
      <c r="E2838" s="33" t="inlineStr">
        <is>
          <t>Initial L11-batch rating per agent7 proposal (rationale+source in 11-robotics/research/rating-proposals-2026-08-02/); briefing per-stock/PDYN/context-2026-08-02.md</t>
        </is>
      </c>
      <c r="F2838" s="33" t="inlineStr">
        <is>
          <t>per-stock/PDYN/context-2026-08-02.md</t>
        </is>
      </c>
      <c r="G2838" s="33" t="inlineStr">
        <is>
          <t>Medium</t>
        </is>
      </c>
      <c r="H2838" s="33" t="inlineStr">
        <is>
          <t>Initial</t>
        </is>
      </c>
    </row>
    <row r="2839">
      <c r="A2839" s="33" t="inlineStr">
        <is>
          <t>2026-08-02</t>
        </is>
      </c>
      <c r="B2839" s="33" t="inlineStr">
        <is>
          <t>KTOS</t>
        </is>
      </c>
      <c r="C2839" s="33" t="inlineStr">
        <is>
          <t>D1</t>
        </is>
      </c>
      <c r="D2839" s="33" t="n">
        <v>4</v>
      </c>
      <c r="E2839" s="33" t="inlineStr">
        <is>
          <t>Segment disclosure: Unmanned Systems 22.3% of Q1 revenue + undisclosed drone-engine line -&gt; est 25-35% (roster said 55-65% - corrected).</t>
        </is>
      </c>
      <c r="F2839" s="33" t="inlineStr">
        <is>
          <t>per-stock/KTOS/context-2026-08-02.md</t>
        </is>
      </c>
      <c r="G2839" s="33" t="inlineStr">
        <is>
          <t>Medium</t>
        </is>
      </c>
      <c r="H2839" s="33" t="inlineStr">
        <is>
          <t>Initial</t>
        </is>
      </c>
    </row>
    <row r="2840">
      <c r="A2840" s="33" t="inlineStr">
        <is>
          <t>2026-08-02</t>
        </is>
      </c>
      <c r="B2840" s="33" t="inlineStr">
        <is>
          <t>KTOS</t>
        </is>
      </c>
      <c r="C2840" s="33" t="inlineStr">
        <is>
          <t>D2</t>
        </is>
      </c>
      <c r="D2840" s="33" t="n">
        <v>4</v>
      </c>
      <c r="E2840" s="33" t="inlineStr">
        <is>
          <t>Initial L11-batch rating per agent8 proposal (rationale+source in 11-robotics/research/rating-proposals-2026-08-02/); briefing per-stock/KTOS/context-2026-08-02.md</t>
        </is>
      </c>
      <c r="F2840" s="33" t="inlineStr">
        <is>
          <t>per-stock/KTOS/context-2026-08-02.md</t>
        </is>
      </c>
      <c r="G2840" s="33" t="inlineStr">
        <is>
          <t>Medium</t>
        </is>
      </c>
      <c r="H2840" s="33" t="inlineStr">
        <is>
          <t>Initial</t>
        </is>
      </c>
    </row>
    <row r="2841">
      <c r="A2841" s="33" t="inlineStr">
        <is>
          <t>2026-08-02</t>
        </is>
      </c>
      <c r="B2841" s="33" t="inlineStr">
        <is>
          <t>KTOS</t>
        </is>
      </c>
      <c r="C2841" s="33" t="inlineStr">
        <is>
          <t>D3</t>
        </is>
      </c>
      <c r="D2841" s="33" t="n">
        <v>4</v>
      </c>
      <c r="E2841" s="33" t="inlineStr">
        <is>
          <t>Initial L11-batch rating per agent8 proposal (rationale+source in 11-robotics/research/rating-proposals-2026-08-02/); briefing per-stock/KTOS/context-2026-08-02.md</t>
        </is>
      </c>
      <c r="F2841" s="33" t="inlineStr">
        <is>
          <t>per-stock/KTOS/context-2026-08-02.md</t>
        </is>
      </c>
      <c r="G2841" s="33" t="inlineStr">
        <is>
          <t>Medium</t>
        </is>
      </c>
      <c r="H2841" s="33" t="inlineStr">
        <is>
          <t>Initial</t>
        </is>
      </c>
    </row>
    <row r="2842">
      <c r="A2842" s="33" t="inlineStr">
        <is>
          <t>2026-08-02</t>
        </is>
      </c>
      <c r="B2842" s="33" t="inlineStr">
        <is>
          <t>KTOS</t>
        </is>
      </c>
      <c r="C2842" s="33" t="inlineStr">
        <is>
          <t>D4</t>
        </is>
      </c>
      <c r="D2842" s="33" t="n">
        <v>5</v>
      </c>
      <c r="E2842" s="33" t="inlineStr">
        <is>
          <t>Initial L11-batch rating per agent8 proposal (rationale+source in 11-robotics/research/rating-proposals-2026-08-02/); briefing per-stock/KTOS/context-2026-08-02.md</t>
        </is>
      </c>
      <c r="F2842" s="33" t="inlineStr">
        <is>
          <t>per-stock/KTOS/context-2026-08-02.md</t>
        </is>
      </c>
      <c r="G2842" s="33" t="inlineStr">
        <is>
          <t>Medium</t>
        </is>
      </c>
      <c r="H2842" s="33" t="inlineStr">
        <is>
          <t>Initial</t>
        </is>
      </c>
    </row>
    <row r="2843">
      <c r="A2843" s="33" t="inlineStr">
        <is>
          <t>2026-08-02</t>
        </is>
      </c>
      <c r="B2843" s="33" t="inlineStr">
        <is>
          <t>KTOS</t>
        </is>
      </c>
      <c r="C2843" s="33" t="inlineStr">
        <is>
          <t>D5</t>
        </is>
      </c>
      <c r="D2843" s="33" t="n">
        <v>4</v>
      </c>
      <c r="E2843" s="33" t="inlineStr">
        <is>
          <t>Initial L11-batch rating per agent8 proposal (rationale+source in 11-robotics/research/rating-proposals-2026-08-02/); briefing per-stock/KTOS/context-2026-08-02.md</t>
        </is>
      </c>
      <c r="F2843" s="33" t="inlineStr">
        <is>
          <t>per-stock/KTOS/context-2026-08-02.md</t>
        </is>
      </c>
      <c r="G2843" s="33" t="inlineStr">
        <is>
          <t>Medium</t>
        </is>
      </c>
      <c r="H2843" s="33" t="inlineStr">
        <is>
          <t>Initial</t>
        </is>
      </c>
    </row>
    <row r="2844">
      <c r="A2844" s="33" t="inlineStr">
        <is>
          <t>2026-08-02</t>
        </is>
      </c>
      <c r="B2844" s="33" t="inlineStr">
        <is>
          <t>KTOS</t>
        </is>
      </c>
      <c r="C2844" s="33" t="inlineStr">
        <is>
          <t>M1</t>
        </is>
      </c>
      <c r="D2844" s="33" t="n">
        <v>4</v>
      </c>
      <c r="E2844" s="33" t="inlineStr">
        <is>
          <t>Initial L11-batch rating per agent8 proposal (rationale+source in 11-robotics/research/rating-proposals-2026-08-02/); briefing per-stock/KTOS/context-2026-08-02.md</t>
        </is>
      </c>
      <c r="F2844" s="33" t="inlineStr">
        <is>
          <t>per-stock/KTOS/context-2026-08-02.md</t>
        </is>
      </c>
      <c r="G2844" s="33" t="inlineStr">
        <is>
          <t>Medium</t>
        </is>
      </c>
      <c r="H2844" s="33" t="inlineStr">
        <is>
          <t>Initial</t>
        </is>
      </c>
    </row>
    <row r="2845">
      <c r="A2845" s="33" t="inlineStr">
        <is>
          <t>2026-08-02</t>
        </is>
      </c>
      <c r="B2845" s="33" t="inlineStr">
        <is>
          <t>KTOS</t>
        </is>
      </c>
      <c r="C2845" s="33" t="inlineStr">
        <is>
          <t>M2</t>
        </is>
      </c>
      <c r="D2845" s="33" t="n">
        <v>1</v>
      </c>
      <c r="E2845" s="33" t="inlineStr">
        <is>
          <t>Initial L11-batch rating per agent8 proposal (rationale+source in 11-robotics/research/rating-proposals-2026-08-02/); briefing per-stock/KTOS/context-2026-08-02.md</t>
        </is>
      </c>
      <c r="F2845" s="33" t="inlineStr">
        <is>
          <t>per-stock/KTOS/context-2026-08-02.md</t>
        </is>
      </c>
      <c r="G2845" s="33" t="inlineStr">
        <is>
          <t>Medium</t>
        </is>
      </c>
      <c r="H2845" s="33" t="inlineStr">
        <is>
          <t>Initial</t>
        </is>
      </c>
    </row>
    <row r="2846">
      <c r="A2846" s="33" t="inlineStr">
        <is>
          <t>2026-08-02</t>
        </is>
      </c>
      <c r="B2846" s="33" t="inlineStr">
        <is>
          <t>KTOS</t>
        </is>
      </c>
      <c r="C2846" s="33" t="inlineStr">
        <is>
          <t>M3</t>
        </is>
      </c>
      <c r="D2846" s="33" t="n">
        <v>2</v>
      </c>
      <c r="E2846" s="33" t="inlineStr">
        <is>
          <t>RULING (paired w/ RCAT): multiple &gt;30% discretionary director sales = base band 2; no band-1 trigger (CEO sales all 10b5-1-routine; no before-bad-news pattern).</t>
        </is>
      </c>
      <c r="F2846" s="33" t="inlineStr">
        <is>
          <t>per-stock/KTOS/context-2026-08-02.md</t>
        </is>
      </c>
      <c r="G2846" s="33" t="inlineStr">
        <is>
          <t>Medium</t>
        </is>
      </c>
      <c r="H2846" s="33" t="inlineStr">
        <is>
          <t>Initial</t>
        </is>
      </c>
    </row>
    <row r="2847">
      <c r="A2847" s="33" t="inlineStr">
        <is>
          <t>2026-08-02</t>
        </is>
      </c>
      <c r="B2847" s="33" t="inlineStr">
        <is>
          <t>KTOS</t>
        </is>
      </c>
      <c r="C2847" s="33" t="inlineStr">
        <is>
          <t>R1</t>
        </is>
      </c>
      <c r="D2847" s="33" t="n">
        <v>2</v>
      </c>
      <c r="E2847" s="33" t="inlineStr">
        <is>
          <t>USG 68.6% but multi-program/multi-branch + 21% intl + 11% commercial; USG-as-monopsony convention question logged for Dom (vs AVAV=1 at 85%).</t>
        </is>
      </c>
      <c r="F2847" s="33" t="inlineStr">
        <is>
          <t>per-stock/KTOS/context-2026-08-02.md</t>
        </is>
      </c>
      <c r="G2847" s="33" t="inlineStr">
        <is>
          <t>Medium</t>
        </is>
      </c>
      <c r="H2847" s="33" t="inlineStr">
        <is>
          <t>Initial</t>
        </is>
      </c>
    </row>
    <row r="2848">
      <c r="A2848" s="33" t="inlineStr">
        <is>
          <t>2026-08-02</t>
        </is>
      </c>
      <c r="B2848" s="33" t="inlineStr">
        <is>
          <t>KTOS</t>
        </is>
      </c>
      <c r="C2848" s="33" t="inlineStr">
        <is>
          <t>R2</t>
        </is>
      </c>
      <c r="D2848" s="33" t="n">
        <v>5</v>
      </c>
      <c r="E2848" s="33" t="inlineStr">
        <is>
          <t>Initial L11-batch rating per agent8 proposal (rationale+source in 11-robotics/research/rating-proposals-2026-08-02/); briefing per-stock/KTOS/context-2026-08-02.md</t>
        </is>
      </c>
      <c r="F2848" s="33" t="inlineStr">
        <is>
          <t>per-stock/KTOS/context-2026-08-02.md</t>
        </is>
      </c>
      <c r="G2848" s="33" t="inlineStr">
        <is>
          <t>Medium</t>
        </is>
      </c>
      <c r="H2848" s="33" t="inlineStr">
        <is>
          <t>Initial</t>
        </is>
      </c>
    </row>
    <row r="2849">
      <c r="A2849" s="33" t="inlineStr">
        <is>
          <t>2026-08-02</t>
        </is>
      </c>
      <c r="B2849" s="33" t="inlineStr">
        <is>
          <t>KTOS</t>
        </is>
      </c>
      <c r="C2849" s="33" t="inlineStr">
        <is>
          <t>R3</t>
        </is>
      </c>
      <c r="D2849" s="33" t="n">
        <v>5</v>
      </c>
      <c r="E2849" s="33" t="inlineStr">
        <is>
          <t>Initial L11-batch rating per agent8 proposal (rationale+source in 11-robotics/research/rating-proposals-2026-08-02/); briefing per-stock/KTOS/context-2026-08-02.md</t>
        </is>
      </c>
      <c r="F2849" s="33" t="inlineStr">
        <is>
          <t>per-stock/KTOS/context-2026-08-02.md</t>
        </is>
      </c>
      <c r="G2849" s="33" t="inlineStr">
        <is>
          <t>Medium</t>
        </is>
      </c>
      <c r="H2849" s="33" t="inlineStr">
        <is>
          <t>Initial</t>
        </is>
      </c>
    </row>
    <row r="2850">
      <c r="A2850" s="33" t="inlineStr">
        <is>
          <t>2026-08-02</t>
        </is>
      </c>
      <c r="B2850" s="33" t="inlineStr">
        <is>
          <t>KTOS</t>
        </is>
      </c>
      <c r="C2850" s="33" t="inlineStr">
        <is>
          <t>R4</t>
        </is>
      </c>
      <c r="D2850" s="33" t="n">
        <v>4</v>
      </c>
      <c r="E2850" s="33" t="inlineStr">
        <is>
          <t>Initial L11-batch rating per agent8 proposal (rationale+source in 11-robotics/research/rating-proposals-2026-08-02/); briefing per-stock/KTOS/context-2026-08-02.md</t>
        </is>
      </c>
      <c r="F2850" s="33" t="inlineStr">
        <is>
          <t>per-stock/KTOS/context-2026-08-02.md</t>
        </is>
      </c>
      <c r="G2850" s="33" t="inlineStr">
        <is>
          <t>Medium</t>
        </is>
      </c>
      <c r="H2850" s="33" t="inlineStr">
        <is>
          <t>Initial</t>
        </is>
      </c>
    </row>
    <row r="2851">
      <c r="A2851" s="33" t="inlineStr">
        <is>
          <t>2026-08-02</t>
        </is>
      </c>
      <c r="B2851" s="33" t="inlineStr">
        <is>
          <t>KTOS</t>
        </is>
      </c>
      <c r="C2851" s="33" t="inlineStr">
        <is>
          <t>R5</t>
        </is>
      </c>
      <c r="D2851" s="33" t="n">
        <v>5</v>
      </c>
      <c r="E2851" s="33" t="inlineStr">
        <is>
          <t>Initial L11-batch rating per agent8 proposal (rationale+source in 11-robotics/research/rating-proposals-2026-08-02/); briefing per-stock/KTOS/context-2026-08-02.md</t>
        </is>
      </c>
      <c r="F2851" s="33" t="inlineStr">
        <is>
          <t>per-stock/KTOS/context-2026-08-02.md</t>
        </is>
      </c>
      <c r="G2851" s="33" t="inlineStr">
        <is>
          <t>Medium</t>
        </is>
      </c>
      <c r="H2851" s="33" t="inlineStr">
        <is>
          <t>Initial</t>
        </is>
      </c>
    </row>
    <row r="2852">
      <c r="A2852" s="33" t="inlineStr">
        <is>
          <t>2026-08-02</t>
        </is>
      </c>
      <c r="B2852" s="33" t="inlineStr">
        <is>
          <t>AVAV</t>
        </is>
      </c>
      <c r="C2852" s="33" t="inlineStr">
        <is>
          <t>D1</t>
        </is>
      </c>
      <c r="D2852" s="33" t="n">
        <v>5</v>
      </c>
      <c r="E2852" s="33" t="inlineStr">
        <is>
          <t>Initial L11-batch rating per agent8 proposal (rationale+source in 11-robotics/research/rating-proposals-2026-08-02/); briefing per-stock/AVAV/context-2026-08-02.md</t>
        </is>
      </c>
      <c r="F2852" s="33" t="inlineStr">
        <is>
          <t>per-stock/AVAV/context-2026-08-02.md</t>
        </is>
      </c>
      <c r="G2852" s="33" t="inlineStr">
        <is>
          <t>Medium</t>
        </is>
      </c>
      <c r="H2852" s="33" t="inlineStr">
        <is>
          <t>Initial</t>
        </is>
      </c>
    </row>
    <row r="2853">
      <c r="A2853" s="33" t="inlineStr">
        <is>
          <t>2026-08-02</t>
        </is>
      </c>
      <c r="B2853" s="33" t="inlineStr">
        <is>
          <t>AVAV</t>
        </is>
      </c>
      <c r="C2853" s="33" t="inlineStr">
        <is>
          <t>D2</t>
        </is>
      </c>
      <c r="D2853" s="33" t="n">
        <v>4</v>
      </c>
      <c r="E2853" s="33" t="inlineStr">
        <is>
          <t>Initial L11-batch rating per agent8 proposal (rationale+source in 11-robotics/research/rating-proposals-2026-08-02/); briefing per-stock/AVAV/context-2026-08-02.md</t>
        </is>
      </c>
      <c r="F2853" s="33" t="inlineStr">
        <is>
          <t>per-stock/AVAV/context-2026-08-02.md</t>
        </is>
      </c>
      <c r="G2853" s="33" t="inlineStr">
        <is>
          <t>Medium</t>
        </is>
      </c>
      <c r="H2853" s="33" t="inlineStr">
        <is>
          <t>Initial</t>
        </is>
      </c>
    </row>
    <row r="2854">
      <c r="A2854" s="33" t="inlineStr">
        <is>
          <t>2026-08-02</t>
        </is>
      </c>
      <c r="B2854" s="33" t="inlineStr">
        <is>
          <t>AVAV</t>
        </is>
      </c>
      <c r="C2854" s="33" t="inlineStr">
        <is>
          <t>D3</t>
        </is>
      </c>
      <c r="D2854" s="33" t="n">
        <v>4</v>
      </c>
      <c r="E2854" s="33" t="inlineStr">
        <is>
          <t>Initial L11-batch rating per agent8 proposal (rationale+source in 11-robotics/research/rating-proposals-2026-08-02/); briefing per-stock/AVAV/context-2026-08-02.md</t>
        </is>
      </c>
      <c r="F2854" s="33" t="inlineStr">
        <is>
          <t>per-stock/AVAV/context-2026-08-02.md</t>
        </is>
      </c>
      <c r="G2854" s="33" t="inlineStr">
        <is>
          <t>Medium</t>
        </is>
      </c>
      <c r="H2854" s="33" t="inlineStr">
        <is>
          <t>Initial</t>
        </is>
      </c>
    </row>
    <row r="2855">
      <c r="A2855" s="33" t="inlineStr">
        <is>
          <t>2026-08-02</t>
        </is>
      </c>
      <c r="B2855" s="33" t="inlineStr">
        <is>
          <t>AVAV</t>
        </is>
      </c>
      <c r="C2855" s="33" t="inlineStr">
        <is>
          <t>D4</t>
        </is>
      </c>
      <c r="D2855" s="33" t="n">
        <v>5</v>
      </c>
      <c r="E2855" s="33" t="inlineStr">
        <is>
          <t>Initial L11-batch rating per agent8 proposal (rationale+source in 11-robotics/research/rating-proposals-2026-08-02/); briefing per-stock/AVAV/context-2026-08-02.md</t>
        </is>
      </c>
      <c r="F2855" s="33" t="inlineStr">
        <is>
          <t>per-stock/AVAV/context-2026-08-02.md</t>
        </is>
      </c>
      <c r="G2855" s="33" t="inlineStr">
        <is>
          <t>Medium</t>
        </is>
      </c>
      <c r="H2855" s="33" t="inlineStr">
        <is>
          <t>Initial</t>
        </is>
      </c>
    </row>
    <row r="2856">
      <c r="A2856" s="33" t="inlineStr">
        <is>
          <t>2026-08-02</t>
        </is>
      </c>
      <c r="B2856" s="33" t="inlineStr">
        <is>
          <t>AVAV</t>
        </is>
      </c>
      <c r="C2856" s="33" t="inlineStr">
        <is>
          <t>D5</t>
        </is>
      </c>
      <c r="D2856" s="33" t="n">
        <v>4</v>
      </c>
      <c r="E2856" s="33" t="inlineStr">
        <is>
          <t>Initial L11-batch rating per agent8 proposal (rationale+source in 11-robotics/research/rating-proposals-2026-08-02/); briefing per-stock/AVAV/context-2026-08-02.md</t>
        </is>
      </c>
      <c r="F2856" s="33" t="inlineStr">
        <is>
          <t>per-stock/AVAV/context-2026-08-02.md</t>
        </is>
      </c>
      <c r="G2856" s="33" t="inlineStr">
        <is>
          <t>Medium</t>
        </is>
      </c>
      <c r="H2856" s="33" t="inlineStr">
        <is>
          <t>Initial</t>
        </is>
      </c>
    </row>
    <row r="2857">
      <c r="A2857" s="33" t="inlineStr">
        <is>
          <t>2026-08-02</t>
        </is>
      </c>
      <c r="B2857" s="33" t="inlineStr">
        <is>
          <t>AVAV</t>
        </is>
      </c>
      <c r="C2857" s="33" t="inlineStr">
        <is>
          <t>M1</t>
        </is>
      </c>
      <c r="D2857" s="33" t="n">
        <v>2</v>
      </c>
      <c r="E2857" s="33" t="inlineStr">
        <is>
          <t>Initial L11-batch rating per agent8 proposal (rationale+source in 11-robotics/research/rating-proposals-2026-08-02/); briefing per-stock/AVAV/context-2026-08-02.md</t>
        </is>
      </c>
      <c r="F2857" s="33" t="inlineStr">
        <is>
          <t>per-stock/AVAV/context-2026-08-02.md</t>
        </is>
      </c>
      <c r="G2857" s="33" t="inlineStr">
        <is>
          <t>Medium</t>
        </is>
      </c>
      <c r="H2857" s="33" t="inlineStr">
        <is>
          <t>Initial</t>
        </is>
      </c>
    </row>
    <row r="2858">
      <c r="A2858" s="33" t="inlineStr">
        <is>
          <t>2026-08-02</t>
        </is>
      </c>
      <c r="B2858" s="33" t="inlineStr">
        <is>
          <t>AVAV</t>
        </is>
      </c>
      <c r="C2858" s="33" t="inlineStr">
        <is>
          <t>M2</t>
        </is>
      </c>
      <c r="D2858" s="33" t="n">
        <v>1</v>
      </c>
      <c r="E2858" s="33" t="inlineStr">
        <is>
          <t>Initial L11-batch rating per agent8 proposal (rationale+source in 11-robotics/research/rating-proposals-2026-08-02/); briefing per-stock/AVAV/context-2026-08-02.md</t>
        </is>
      </c>
      <c r="F2858" s="33" t="inlineStr">
        <is>
          <t>per-stock/AVAV/context-2026-08-02.md</t>
        </is>
      </c>
      <c r="G2858" s="33" t="inlineStr">
        <is>
          <t>Medium</t>
        </is>
      </c>
      <c r="H2858" s="33" t="inlineStr">
        <is>
          <t>Initial</t>
        </is>
      </c>
    </row>
    <row r="2859">
      <c r="A2859" s="33" t="inlineStr">
        <is>
          <t>2026-08-02</t>
        </is>
      </c>
      <c r="B2859" s="33" t="inlineStr">
        <is>
          <t>AVAV</t>
        </is>
      </c>
      <c r="C2859" s="33" t="inlineStr">
        <is>
          <t>M3</t>
        </is>
      </c>
      <c r="D2859" s="33" t="n">
        <v>3</v>
      </c>
      <c r="E2859" s="33" t="inlineStr">
        <is>
          <t>Initial L11-batch rating per agent8 proposal (rationale+source in 11-robotics/research/rating-proposals-2026-08-02/); briefing per-stock/AVAV/context-2026-08-02.md</t>
        </is>
      </c>
      <c r="F2859" s="33" t="inlineStr">
        <is>
          <t>per-stock/AVAV/context-2026-08-02.md</t>
        </is>
      </c>
      <c r="G2859" s="33" t="inlineStr">
        <is>
          <t>Medium</t>
        </is>
      </c>
      <c r="H2859" s="33" t="inlineStr">
        <is>
          <t>Initial</t>
        </is>
      </c>
    </row>
    <row r="2860">
      <c r="A2860" s="33" t="inlineStr">
        <is>
          <t>2026-08-02</t>
        </is>
      </c>
      <c r="B2860" s="33" t="inlineStr">
        <is>
          <t>AVAV</t>
        </is>
      </c>
      <c r="C2860" s="33" t="inlineStr">
        <is>
          <t>R1</t>
        </is>
      </c>
      <c r="D2860" s="33" t="n">
        <v>1</v>
      </c>
      <c r="E2860" s="33" t="inlineStr">
        <is>
          <t>DoD ~63% of FY26 revenue; USG incl FMS ~85% - highest in cohort.</t>
        </is>
      </c>
      <c r="F2860" s="33" t="inlineStr">
        <is>
          <t>per-stock/AVAV/context-2026-08-02.md</t>
        </is>
      </c>
      <c r="G2860" s="33" t="inlineStr">
        <is>
          <t>Medium</t>
        </is>
      </c>
      <c r="H2860" s="33" t="inlineStr">
        <is>
          <t>Initial</t>
        </is>
      </c>
    </row>
    <row r="2861">
      <c r="A2861" s="33" t="inlineStr">
        <is>
          <t>2026-08-02</t>
        </is>
      </c>
      <c r="B2861" s="33" t="inlineStr">
        <is>
          <t>AVAV</t>
        </is>
      </c>
      <c r="C2861" s="33" t="inlineStr">
        <is>
          <t>R2</t>
        </is>
      </c>
      <c r="D2861" s="33" t="n">
        <v>4</v>
      </c>
      <c r="E2861" s="33" t="inlineStr">
        <is>
          <t>Initial L11-batch rating per agent8 proposal (rationale+source in 11-robotics/research/rating-proposals-2026-08-02/); briefing per-stock/AVAV/context-2026-08-02.md</t>
        </is>
      </c>
      <c r="F2861" s="33" t="inlineStr">
        <is>
          <t>per-stock/AVAV/context-2026-08-02.md</t>
        </is>
      </c>
      <c r="G2861" s="33" t="inlineStr">
        <is>
          <t>Medium</t>
        </is>
      </c>
      <c r="H2861" s="33" t="inlineStr">
        <is>
          <t>Initial</t>
        </is>
      </c>
    </row>
    <row r="2862">
      <c r="A2862" s="33" t="inlineStr">
        <is>
          <t>2026-08-02</t>
        </is>
      </c>
      <c r="B2862" s="33" t="inlineStr">
        <is>
          <t>AVAV</t>
        </is>
      </c>
      <c r="C2862" s="33" t="inlineStr">
        <is>
          <t>R3</t>
        </is>
      </c>
      <c r="D2862" s="33" t="n">
        <v>4</v>
      </c>
      <c r="E2862" s="33" t="inlineStr">
        <is>
          <t>Initial L11-batch rating per agent8 proposal (rationale+source in 11-robotics/research/rating-proposals-2026-08-02/); briefing per-stock/AVAV/context-2026-08-02.md</t>
        </is>
      </c>
      <c r="F2862" s="33" t="inlineStr">
        <is>
          <t>per-stock/AVAV/context-2026-08-02.md</t>
        </is>
      </c>
      <c r="G2862" s="33" t="inlineStr">
        <is>
          <t>Medium</t>
        </is>
      </c>
      <c r="H2862" s="33" t="inlineStr">
        <is>
          <t>Initial</t>
        </is>
      </c>
    </row>
    <row r="2863">
      <c r="A2863" s="33" t="inlineStr">
        <is>
          <t>2026-08-02</t>
        </is>
      </c>
      <c r="B2863" s="33" t="inlineStr">
        <is>
          <t>AVAV</t>
        </is>
      </c>
      <c r="C2863" s="33" t="inlineStr">
        <is>
          <t>R4</t>
        </is>
      </c>
      <c r="D2863" s="33" t="n">
        <v>2</v>
      </c>
      <c r="E2863" s="33" t="inlineStr">
        <is>
          <t>Securities class action Norrell v. AeroVironment (E.D. Va. 5/26/26, SCAR program, names CEO+former CFO) + BlueHalo unremediated ICFR material weaknesses (FY26 10-K).</t>
        </is>
      </c>
      <c r="F2863" s="33" t="inlineStr">
        <is>
          <t>per-stock/AVAV/context-2026-08-02.md</t>
        </is>
      </c>
      <c r="G2863" s="33" t="inlineStr">
        <is>
          <t>Medium</t>
        </is>
      </c>
      <c r="H2863" s="33" t="inlineStr">
        <is>
          <t>Initial</t>
        </is>
      </c>
    </row>
    <row r="2864">
      <c r="A2864" s="33" t="inlineStr">
        <is>
          <t>2026-08-02</t>
        </is>
      </c>
      <c r="B2864" s="33" t="inlineStr">
        <is>
          <t>AVAV</t>
        </is>
      </c>
      <c r="C2864" s="33" t="inlineStr">
        <is>
          <t>R5</t>
        </is>
      </c>
      <c r="D2864" s="33" t="n">
        <v>5</v>
      </c>
      <c r="E2864" s="33" t="inlineStr">
        <is>
          <t>Initial L11-batch rating per agent8 proposal (rationale+source in 11-robotics/research/rating-proposals-2026-08-02/); briefing per-stock/AVAV/context-2026-08-02.md</t>
        </is>
      </c>
      <c r="F2864" s="33" t="inlineStr">
        <is>
          <t>per-stock/AVAV/context-2026-08-02.md</t>
        </is>
      </c>
      <c r="G2864" s="33" t="inlineStr">
        <is>
          <t>Medium</t>
        </is>
      </c>
      <c r="H2864" s="33" t="inlineStr">
        <is>
          <t>Initial</t>
        </is>
      </c>
    </row>
    <row r="2865">
      <c r="A2865" s="33" t="inlineStr">
        <is>
          <t>2026-08-02</t>
        </is>
      </c>
      <c r="B2865" s="33" t="inlineStr">
        <is>
          <t>RCAT</t>
        </is>
      </c>
      <c r="C2865" s="33" t="inlineStr">
        <is>
          <t>D1</t>
        </is>
      </c>
      <c r="D2865" s="33" t="n">
        <v>5</v>
      </c>
      <c r="E2865" s="33" t="inlineStr">
        <is>
          <t>Initial L11-batch rating per agent8 proposal (rationale+source in 11-robotics/research/rating-proposals-2026-08-02/); briefing per-stock/RCAT/context-2026-08-02.md</t>
        </is>
      </c>
      <c r="F2865" s="33" t="inlineStr">
        <is>
          <t>per-stock/RCAT/context-2026-08-02.md</t>
        </is>
      </c>
      <c r="G2865" s="33" t="inlineStr">
        <is>
          <t>Medium</t>
        </is>
      </c>
      <c r="H2865" s="33" t="inlineStr">
        <is>
          <t>Initial</t>
        </is>
      </c>
    </row>
    <row r="2866">
      <c r="A2866" s="33" t="inlineStr">
        <is>
          <t>2026-08-02</t>
        </is>
      </c>
      <c r="B2866" s="33" t="inlineStr">
        <is>
          <t>RCAT</t>
        </is>
      </c>
      <c r="C2866" s="33" t="inlineStr">
        <is>
          <t>D2</t>
        </is>
      </c>
      <c r="D2866" s="33" t="n">
        <v>3</v>
      </c>
      <c r="E2866" s="33" t="inlineStr">
        <is>
          <t>Initial L11-batch rating per agent8 proposal (rationale+source in 11-robotics/research/rating-proposals-2026-08-02/); briefing per-stock/RCAT/context-2026-08-02.md</t>
        </is>
      </c>
      <c r="F2866" s="33" t="inlineStr">
        <is>
          <t>per-stock/RCAT/context-2026-08-02.md</t>
        </is>
      </c>
      <c r="G2866" s="33" t="inlineStr">
        <is>
          <t>Medium</t>
        </is>
      </c>
      <c r="H2866" s="33" t="inlineStr">
        <is>
          <t>Initial</t>
        </is>
      </c>
    </row>
    <row r="2867">
      <c r="A2867" s="33" t="inlineStr">
        <is>
          <t>2026-08-02</t>
        </is>
      </c>
      <c r="B2867" s="33" t="inlineStr">
        <is>
          <t>RCAT</t>
        </is>
      </c>
      <c r="C2867" s="33" t="inlineStr">
        <is>
          <t>D3</t>
        </is>
      </c>
      <c r="D2867" s="33" t="n">
        <v>3</v>
      </c>
      <c r="E2867" s="33" t="inlineStr">
        <is>
          <t>Initial L11-batch rating per agent8 proposal (rationale+source in 11-robotics/research/rating-proposals-2026-08-02/); briefing per-stock/RCAT/context-2026-08-02.md</t>
        </is>
      </c>
      <c r="F2867" s="33" t="inlineStr">
        <is>
          <t>per-stock/RCAT/context-2026-08-02.md</t>
        </is>
      </c>
      <c r="G2867" s="33" t="inlineStr">
        <is>
          <t>Medium</t>
        </is>
      </c>
      <c r="H2867" s="33" t="inlineStr">
        <is>
          <t>Initial</t>
        </is>
      </c>
    </row>
    <row r="2868">
      <c r="A2868" s="33" t="inlineStr">
        <is>
          <t>2026-08-02</t>
        </is>
      </c>
      <c r="B2868" s="33" t="inlineStr">
        <is>
          <t>RCAT</t>
        </is>
      </c>
      <c r="C2868" s="33" t="inlineStr">
        <is>
          <t>D4</t>
        </is>
      </c>
      <c r="D2868" s="33" t="n">
        <v>4</v>
      </c>
      <c r="E2868" s="33" t="inlineStr">
        <is>
          <t>Initial L11-batch rating per agent8 proposal (rationale+source in 11-robotics/research/rating-proposals-2026-08-02/); briefing per-stock/RCAT/context-2026-08-02.md</t>
        </is>
      </c>
      <c r="F2868" s="33" t="inlineStr">
        <is>
          <t>per-stock/RCAT/context-2026-08-02.md</t>
        </is>
      </c>
      <c r="G2868" s="33" t="inlineStr">
        <is>
          <t>Medium</t>
        </is>
      </c>
      <c r="H2868" s="33" t="inlineStr">
        <is>
          <t>Initial</t>
        </is>
      </c>
    </row>
    <row r="2869">
      <c r="A2869" s="33" t="inlineStr">
        <is>
          <t>2026-08-02</t>
        </is>
      </c>
      <c r="B2869" s="33" t="inlineStr">
        <is>
          <t>RCAT</t>
        </is>
      </c>
      <c r="C2869" s="33" t="inlineStr">
        <is>
          <t>D5</t>
        </is>
      </c>
      <c r="D2869" s="33" t="n">
        <v>5</v>
      </c>
      <c r="E2869" s="33" t="inlineStr">
        <is>
          <t>Initial L11-batch rating per agent8 proposal (rationale+source in 11-robotics/research/rating-proposals-2026-08-02/); briefing per-stock/RCAT/context-2026-08-02.md</t>
        </is>
      </c>
      <c r="F2869" s="33" t="inlineStr">
        <is>
          <t>per-stock/RCAT/context-2026-08-02.md</t>
        </is>
      </c>
      <c r="G2869" s="33" t="inlineStr">
        <is>
          <t>Medium</t>
        </is>
      </c>
      <c r="H2869" s="33" t="inlineStr">
        <is>
          <t>Initial</t>
        </is>
      </c>
    </row>
    <row r="2870">
      <c r="A2870" s="33" t="inlineStr">
        <is>
          <t>2026-08-02</t>
        </is>
      </c>
      <c r="B2870" s="33" t="inlineStr">
        <is>
          <t>RCAT</t>
        </is>
      </c>
      <c r="C2870" s="33" t="inlineStr">
        <is>
          <t>M1</t>
        </is>
      </c>
      <c r="D2870" s="33" t="n">
        <v>3</v>
      </c>
      <c r="E2870" s="33" t="inlineStr">
        <is>
          <t>Initial L11-batch rating per agent8 proposal (rationale+source in 11-robotics/research/rating-proposals-2026-08-02/); briefing per-stock/RCAT/context-2026-08-02.md</t>
        </is>
      </c>
      <c r="F2870" s="33" t="inlineStr">
        <is>
          <t>per-stock/RCAT/context-2026-08-02.md</t>
        </is>
      </c>
      <c r="G2870" s="33" t="inlineStr">
        <is>
          <t>Medium</t>
        </is>
      </c>
      <c r="H2870" s="33" t="inlineStr">
        <is>
          <t>Initial</t>
        </is>
      </c>
    </row>
    <row r="2871">
      <c r="A2871" s="33" t="inlineStr">
        <is>
          <t>2026-08-02</t>
        </is>
      </c>
      <c r="B2871" s="33" t="inlineStr">
        <is>
          <t>RCAT</t>
        </is>
      </c>
      <c r="C2871" s="33" t="inlineStr">
        <is>
          <t>M2</t>
        </is>
      </c>
      <c r="D2871" s="33" t="n">
        <v>1</v>
      </c>
      <c r="E2871" s="33" t="inlineStr">
        <is>
          <t>Initial L11-batch rating per agent8 proposal (rationale+source in 11-robotics/research/rating-proposals-2026-08-02/); briefing per-stock/RCAT/context-2026-08-02.md</t>
        </is>
      </c>
      <c r="F2871" s="33" t="inlineStr">
        <is>
          <t>per-stock/RCAT/context-2026-08-02.md</t>
        </is>
      </c>
      <c r="G2871" s="33" t="inlineStr">
        <is>
          <t>Medium</t>
        </is>
      </c>
      <c r="H2871" s="33" t="inlineStr">
        <is>
          <t>Initial</t>
        </is>
      </c>
    </row>
    <row r="2872">
      <c r="A2872" s="33" t="inlineStr">
        <is>
          <t>2026-08-02</t>
        </is>
      </c>
      <c r="B2872" s="33" t="inlineStr">
        <is>
          <t>RCAT</t>
        </is>
      </c>
      <c r="C2872" s="33" t="inlineStr">
        <is>
          <t>M3</t>
        </is>
      </c>
      <c r="D2872" s="33" t="n">
        <v>1</v>
      </c>
      <c r="E2872" s="33" t="inlineStr">
        <is>
          <t>RULING (paired w/ KTOS): band 1 - Dir. Funk sold 165,028 sh to ZERO (no 10b5-1) six weeks before a -34% move; Dir. Moe ~62%; CRO fired for cause 7/17/26 + suing. Before-bad-news clause fires.</t>
        </is>
      </c>
      <c r="F2872" s="33" t="inlineStr">
        <is>
          <t>per-stock/RCAT/context-2026-08-02.md</t>
        </is>
      </c>
      <c r="G2872" s="33" t="inlineStr">
        <is>
          <t>Medium</t>
        </is>
      </c>
      <c r="H2872" s="33" t="inlineStr">
        <is>
          <t>Initial</t>
        </is>
      </c>
    </row>
    <row r="2873">
      <c r="A2873" s="33" t="inlineStr">
        <is>
          <t>2026-08-02</t>
        </is>
      </c>
      <c r="B2873" s="33" t="inlineStr">
        <is>
          <t>RCAT</t>
        </is>
      </c>
      <c r="C2873" s="33" t="inlineStr">
        <is>
          <t>R1</t>
        </is>
      </c>
      <c r="D2873" s="33" t="n">
        <v>1</v>
      </c>
      <c r="E2873" s="33" t="inlineStr">
        <is>
          <t>Customer A 56% + near-single-buyer structure (Army SRR); top-2 = 75%.</t>
        </is>
      </c>
      <c r="F2873" s="33" t="inlineStr">
        <is>
          <t>per-stock/RCAT/context-2026-08-02.md</t>
        </is>
      </c>
      <c r="G2873" s="33" t="inlineStr">
        <is>
          <t>Medium</t>
        </is>
      </c>
      <c r="H2873" s="33" t="inlineStr">
        <is>
          <t>Initial</t>
        </is>
      </c>
    </row>
    <row r="2874">
      <c r="A2874" s="33" t="inlineStr">
        <is>
          <t>2026-08-02</t>
        </is>
      </c>
      <c r="B2874" s="33" t="inlineStr">
        <is>
          <t>RCAT</t>
        </is>
      </c>
      <c r="C2874" s="33" t="inlineStr">
        <is>
          <t>R2</t>
        </is>
      </c>
      <c r="D2874" s="33" t="n">
        <v>5</v>
      </c>
      <c r="E2874" s="33" t="inlineStr">
        <is>
          <t>Initial L11-batch rating per agent8 proposal (rationale+source in 11-robotics/research/rating-proposals-2026-08-02/); briefing per-stock/RCAT/context-2026-08-02.md</t>
        </is>
      </c>
      <c r="F2874" s="33" t="inlineStr">
        <is>
          <t>per-stock/RCAT/context-2026-08-02.md</t>
        </is>
      </c>
      <c r="G2874" s="33" t="inlineStr">
        <is>
          <t>Medium</t>
        </is>
      </c>
      <c r="H2874" s="33" t="inlineStr">
        <is>
          <t>Initial</t>
        </is>
      </c>
    </row>
    <row r="2875">
      <c r="A2875" s="33" t="inlineStr">
        <is>
          <t>2026-08-02</t>
        </is>
      </c>
      <c r="B2875" s="33" t="inlineStr">
        <is>
          <t>RCAT</t>
        </is>
      </c>
      <c r="C2875" s="33" t="inlineStr">
        <is>
          <t>R3</t>
        </is>
      </c>
      <c r="D2875" s="33" t="n">
        <v>2</v>
      </c>
      <c r="E2875" s="33" t="inlineStr">
        <is>
          <t>Initial L11-batch rating per agent8 proposal (rationale+source in 11-robotics/research/rating-proposals-2026-08-02/); briefing per-stock/RCAT/context-2026-08-02.md</t>
        </is>
      </c>
      <c r="F2875" s="33" t="inlineStr">
        <is>
          <t>per-stock/RCAT/context-2026-08-02.md</t>
        </is>
      </c>
      <c r="G2875" s="33" t="inlineStr">
        <is>
          <t>Medium</t>
        </is>
      </c>
      <c r="H2875" s="33" t="inlineStr">
        <is>
          <t>Initial</t>
        </is>
      </c>
    </row>
    <row r="2876">
      <c r="A2876" s="33" t="inlineStr">
        <is>
          <t>2026-08-02</t>
        </is>
      </c>
      <c r="B2876" s="33" t="inlineStr">
        <is>
          <t>RCAT</t>
        </is>
      </c>
      <c r="C2876" s="33" t="inlineStr">
        <is>
          <t>R4</t>
        </is>
      </c>
      <c r="D2876" s="33" t="n">
        <v>2</v>
      </c>
      <c r="E2876" s="33" t="inlineStr">
        <is>
          <t>CRO terminated FOR CAUSE 7/17/26 (8-K), sued for retaliatory termination 7/21/26.</t>
        </is>
      </c>
      <c r="F2876" s="33" t="inlineStr">
        <is>
          <t>per-stock/RCAT/context-2026-08-02.md</t>
        </is>
      </c>
      <c r="G2876" s="33" t="inlineStr">
        <is>
          <t>Medium</t>
        </is>
      </c>
      <c r="H2876" s="33" t="inlineStr">
        <is>
          <t>Initial</t>
        </is>
      </c>
    </row>
    <row r="2877">
      <c r="A2877" s="33" t="inlineStr">
        <is>
          <t>2026-08-02</t>
        </is>
      </c>
      <c r="B2877" s="33" t="inlineStr">
        <is>
          <t>RCAT</t>
        </is>
      </c>
      <c r="C2877" s="33" t="inlineStr">
        <is>
          <t>R5</t>
        </is>
      </c>
      <c r="D2877" s="33" t="n">
        <v>5</v>
      </c>
      <c r="E2877" s="33" t="inlineStr">
        <is>
          <t>Initial L11-batch rating per agent8 proposal (rationale+source in 11-robotics/research/rating-proposals-2026-08-02/); briefing per-stock/RCAT/context-2026-08-02.md</t>
        </is>
      </c>
      <c r="F2877" s="33" t="inlineStr">
        <is>
          <t>per-stock/RCAT/context-2026-08-02.md</t>
        </is>
      </c>
      <c r="G2877" s="33" t="inlineStr">
        <is>
          <t>Medium</t>
        </is>
      </c>
      <c r="H2877" s="33" t="inlineStr">
        <is>
          <t>Initial</t>
        </is>
      </c>
    </row>
    <row r="2878">
      <c r="A2878" s="33" t="inlineStr">
        <is>
          <t>2026-08-02</t>
        </is>
      </c>
      <c r="B2878" s="33" t="inlineStr">
        <is>
          <t>ONDS</t>
        </is>
      </c>
      <c r="C2878" s="33" t="inlineStr">
        <is>
          <t>D1</t>
        </is>
      </c>
      <c r="D2878" s="33" t="n">
        <v>5</v>
      </c>
      <c r="E2878" s="33" t="inlineStr">
        <is>
          <t>Initial L11-batch rating per agent8 proposal (rationale+source in 11-robotics/research/rating-proposals-2026-08-02/); briefing per-stock/ONDS/context-2026-08-02.md</t>
        </is>
      </c>
      <c r="F2878" s="33" t="inlineStr">
        <is>
          <t>per-stock/ONDS/context-2026-08-02.md</t>
        </is>
      </c>
      <c r="G2878" s="33" t="inlineStr">
        <is>
          <t>Medium</t>
        </is>
      </c>
      <c r="H2878" s="33" t="inlineStr">
        <is>
          <t>Initial</t>
        </is>
      </c>
    </row>
    <row r="2879">
      <c r="A2879" s="33" t="inlineStr">
        <is>
          <t>2026-08-02</t>
        </is>
      </c>
      <c r="B2879" s="33" t="inlineStr">
        <is>
          <t>ONDS</t>
        </is>
      </c>
      <c r="C2879" s="33" t="inlineStr">
        <is>
          <t>D2</t>
        </is>
      </c>
      <c r="D2879" s="33" t="n">
        <v>3</v>
      </c>
      <c r="E2879" s="33" t="inlineStr">
        <is>
          <t>Initial L11-batch rating per agent8 proposal (rationale+source in 11-robotics/research/rating-proposals-2026-08-02/); briefing per-stock/ONDS/context-2026-08-02.md</t>
        </is>
      </c>
      <c r="F2879" s="33" t="inlineStr">
        <is>
          <t>per-stock/ONDS/context-2026-08-02.md</t>
        </is>
      </c>
      <c r="G2879" s="33" t="inlineStr">
        <is>
          <t>Medium</t>
        </is>
      </c>
      <c r="H2879" s="33" t="inlineStr">
        <is>
          <t>Initial</t>
        </is>
      </c>
    </row>
    <row r="2880">
      <c r="A2880" s="33" t="inlineStr">
        <is>
          <t>2026-08-02</t>
        </is>
      </c>
      <c r="B2880" s="33" t="inlineStr">
        <is>
          <t>ONDS</t>
        </is>
      </c>
      <c r="C2880" s="33" t="inlineStr">
        <is>
          <t>D3</t>
        </is>
      </c>
      <c r="D2880" s="33" t="n">
        <v>2</v>
      </c>
      <c r="E2880" s="33" t="inlineStr">
        <is>
          <t>Initial L11-batch rating per agent8 proposal (rationale+source in 11-robotics/research/rating-proposals-2026-08-02/); briefing per-stock/ONDS/context-2026-08-02.md</t>
        </is>
      </c>
      <c r="F2880" s="33" t="inlineStr">
        <is>
          <t>per-stock/ONDS/context-2026-08-02.md</t>
        </is>
      </c>
      <c r="G2880" s="33" t="inlineStr">
        <is>
          <t>Medium</t>
        </is>
      </c>
      <c r="H2880" s="33" t="inlineStr">
        <is>
          <t>Initial</t>
        </is>
      </c>
    </row>
    <row r="2881">
      <c r="A2881" s="33" t="inlineStr">
        <is>
          <t>2026-08-02</t>
        </is>
      </c>
      <c r="B2881" s="33" t="inlineStr">
        <is>
          <t>ONDS</t>
        </is>
      </c>
      <c r="C2881" s="33" t="inlineStr">
        <is>
          <t>D4</t>
        </is>
      </c>
      <c r="D2881" s="33" t="n">
        <v>5</v>
      </c>
      <c r="E2881" s="33" t="inlineStr">
        <is>
          <t>Initial L11-batch rating per agent8 proposal (rationale+source in 11-robotics/research/rating-proposals-2026-08-02/); briefing per-stock/ONDS/context-2026-08-02.md</t>
        </is>
      </c>
      <c r="F2881" s="33" t="inlineStr">
        <is>
          <t>per-stock/ONDS/context-2026-08-02.md</t>
        </is>
      </c>
      <c r="G2881" s="33" t="inlineStr">
        <is>
          <t>Medium</t>
        </is>
      </c>
      <c r="H2881" s="33" t="inlineStr">
        <is>
          <t>Initial</t>
        </is>
      </c>
    </row>
    <row r="2882">
      <c r="A2882" s="33" t="inlineStr">
        <is>
          <t>2026-08-02</t>
        </is>
      </c>
      <c r="B2882" s="33" t="inlineStr">
        <is>
          <t>ONDS</t>
        </is>
      </c>
      <c r="C2882" s="33" t="inlineStr">
        <is>
          <t>D5</t>
        </is>
      </c>
      <c r="D2882" s="33" t="n">
        <v>3</v>
      </c>
      <c r="E2882" s="33" t="inlineStr">
        <is>
          <t>Initial L11-batch rating per agent8 proposal (rationale+source in 11-robotics/research/rating-proposals-2026-08-02/); briefing per-stock/ONDS/context-2026-08-02.md</t>
        </is>
      </c>
      <c r="F2882" s="33" t="inlineStr">
        <is>
          <t>per-stock/ONDS/context-2026-08-02.md</t>
        </is>
      </c>
      <c r="G2882" s="33" t="inlineStr">
        <is>
          <t>Medium</t>
        </is>
      </c>
      <c r="H2882" s="33" t="inlineStr">
        <is>
          <t>Initial</t>
        </is>
      </c>
    </row>
    <row r="2883">
      <c r="A2883" s="33" t="inlineStr">
        <is>
          <t>2026-08-02</t>
        </is>
      </c>
      <c r="B2883" s="33" t="inlineStr">
        <is>
          <t>ONDS</t>
        </is>
      </c>
      <c r="C2883" s="33" t="inlineStr">
        <is>
          <t>M1</t>
        </is>
      </c>
      <c r="D2883" s="33" t="n">
        <v>5</v>
      </c>
      <c r="E2883" s="33" t="inlineStr">
        <is>
          <t>Initial L11-batch rating per agent8 proposal (rationale+source in 11-robotics/research/rating-proposals-2026-08-02/); briefing per-stock/ONDS/context-2026-08-02.md</t>
        </is>
      </c>
      <c r="F2883" s="33" t="inlineStr">
        <is>
          <t>per-stock/ONDS/context-2026-08-02.md</t>
        </is>
      </c>
      <c r="G2883" s="33" t="inlineStr">
        <is>
          <t>Medium</t>
        </is>
      </c>
      <c r="H2883" s="33" t="inlineStr">
        <is>
          <t>Initial</t>
        </is>
      </c>
    </row>
    <row r="2884">
      <c r="A2884" s="33" t="inlineStr">
        <is>
          <t>2026-08-02</t>
        </is>
      </c>
      <c r="B2884" s="33" t="inlineStr">
        <is>
          <t>ONDS</t>
        </is>
      </c>
      <c r="C2884" s="33" t="inlineStr">
        <is>
          <t>M2</t>
        </is>
      </c>
      <c r="D2884" s="33" t="n">
        <v>2</v>
      </c>
      <c r="E2884" s="33" t="inlineStr">
        <is>
          <t>Initial L11-batch rating per agent8 proposal (rationale+source in 11-robotics/research/rating-proposals-2026-08-02/); briefing per-stock/ONDS/context-2026-08-02.md</t>
        </is>
      </c>
      <c r="F2884" s="33" t="inlineStr">
        <is>
          <t>per-stock/ONDS/context-2026-08-02.md</t>
        </is>
      </c>
      <c r="G2884" s="33" t="inlineStr">
        <is>
          <t>Medium</t>
        </is>
      </c>
      <c r="H2884" s="33" t="inlineStr">
        <is>
          <t>Initial</t>
        </is>
      </c>
    </row>
    <row r="2885">
      <c r="A2885" s="33" t="inlineStr">
        <is>
          <t>2026-08-02</t>
        </is>
      </c>
      <c r="B2885" s="33" t="inlineStr">
        <is>
          <t>ONDS</t>
        </is>
      </c>
      <c r="C2885" s="33" t="inlineStr">
        <is>
          <t>M3</t>
        </is>
      </c>
      <c r="D2885" s="33" t="n">
        <v>3</v>
      </c>
      <c r="E2885" s="33" t="inlineStr">
        <is>
          <t>Initial L11-batch rating per agent8 proposal (rationale+source in 11-robotics/research/rating-proposals-2026-08-02/); briefing per-stock/ONDS/context-2026-08-02.md</t>
        </is>
      </c>
      <c r="F2885" s="33" t="inlineStr">
        <is>
          <t>per-stock/ONDS/context-2026-08-02.md</t>
        </is>
      </c>
      <c r="G2885" s="33" t="inlineStr">
        <is>
          <t>Medium</t>
        </is>
      </c>
      <c r="H2885" s="33" t="inlineStr">
        <is>
          <t>Initial</t>
        </is>
      </c>
    </row>
    <row r="2886">
      <c r="A2886" s="33" t="inlineStr">
        <is>
          <t>2026-08-02</t>
        </is>
      </c>
      <c r="B2886" s="33" t="inlineStr">
        <is>
          <t>ONDS</t>
        </is>
      </c>
      <c r="C2886" s="33" t="inlineStr">
        <is>
          <t>R1</t>
        </is>
      </c>
      <c r="D2886" s="33" t="n">
        <v>3</v>
      </c>
      <c r="E2886" s="33" t="inlineStr">
        <is>
          <t>Initial L11-batch rating per agent8 proposal (rationale+source in 11-robotics/research/rating-proposals-2026-08-02/); briefing per-stock/ONDS/context-2026-08-02.md</t>
        </is>
      </c>
      <c r="F2886" s="33" t="inlineStr">
        <is>
          <t>per-stock/ONDS/context-2026-08-02.md</t>
        </is>
      </c>
      <c r="G2886" s="33" t="inlineStr">
        <is>
          <t>Medium</t>
        </is>
      </c>
      <c r="H2886" s="33" t="inlineStr">
        <is>
          <t>Initial</t>
        </is>
      </c>
    </row>
    <row r="2887">
      <c r="A2887" s="33" t="inlineStr">
        <is>
          <t>2026-08-02</t>
        </is>
      </c>
      <c r="B2887" s="33" t="inlineStr">
        <is>
          <t>ONDS</t>
        </is>
      </c>
      <c r="C2887" s="33" t="inlineStr">
        <is>
          <t>R2</t>
        </is>
      </c>
      <c r="D2887" s="33" t="n">
        <v>4</v>
      </c>
      <c r="E2887" s="33" t="inlineStr">
        <is>
          <t>Initial L11-batch rating per agent8 proposal (rationale+source in 11-robotics/research/rating-proposals-2026-08-02/); briefing per-stock/ONDS/context-2026-08-02.md</t>
        </is>
      </c>
      <c r="F2887" s="33" t="inlineStr">
        <is>
          <t>per-stock/ONDS/context-2026-08-02.md</t>
        </is>
      </c>
      <c r="G2887" s="33" t="inlineStr">
        <is>
          <t>Medium</t>
        </is>
      </c>
      <c r="H2887" s="33" t="inlineStr">
        <is>
          <t>Initial</t>
        </is>
      </c>
    </row>
    <row r="2888">
      <c r="A2888" s="33" t="inlineStr">
        <is>
          <t>2026-08-02</t>
        </is>
      </c>
      <c r="B2888" s="33" t="inlineStr">
        <is>
          <t>ONDS</t>
        </is>
      </c>
      <c r="C2888" s="33" t="inlineStr">
        <is>
          <t>R3</t>
        </is>
      </c>
      <c r="D2888" s="33" t="n">
        <v>2</v>
      </c>
      <c r="E2888" s="33" t="inlineStr">
        <is>
          <t>305.6M potentially dilutive securities on 569.9M shares (~54%); liabilities $661M-&gt;$1.359B; adj EBITDA -$10.9M; profitability guided Q1 2028.</t>
        </is>
      </c>
      <c r="F2888" s="33" t="inlineStr">
        <is>
          <t>per-stock/ONDS/context-2026-08-02.md</t>
        </is>
      </c>
      <c r="G2888" s="33" t="inlineStr">
        <is>
          <t>Medium</t>
        </is>
      </c>
      <c r="H2888" s="33" t="inlineStr">
        <is>
          <t>Initial</t>
        </is>
      </c>
    </row>
    <row r="2889">
      <c r="A2889" s="33" t="inlineStr">
        <is>
          <t>2026-08-02</t>
        </is>
      </c>
      <c r="B2889" s="33" t="inlineStr">
        <is>
          <t>ONDS</t>
        </is>
      </c>
      <c r="C2889" s="33" t="inlineStr">
        <is>
          <t>R4</t>
        </is>
      </c>
      <c r="D2889" s="33" t="n">
        <v>4</v>
      </c>
      <c r="E2889" s="33" t="inlineStr">
        <is>
          <t>10-Q Note 16 verbatim: "There are no such loss contingencies" - roster litigation premise NOT supported by filing.</t>
        </is>
      </c>
      <c r="F2889" s="33" t="inlineStr">
        <is>
          <t>per-stock/ONDS/context-2026-08-02.md</t>
        </is>
      </c>
      <c r="G2889" s="33" t="inlineStr">
        <is>
          <t>Medium</t>
        </is>
      </c>
      <c r="H2889" s="33" t="inlineStr">
        <is>
          <t>Initial</t>
        </is>
      </c>
    </row>
    <row r="2890">
      <c r="A2890" s="33" t="inlineStr">
        <is>
          <t>2026-08-02</t>
        </is>
      </c>
      <c r="B2890" s="33" t="inlineStr">
        <is>
          <t>ONDS</t>
        </is>
      </c>
      <c r="C2890" s="33" t="inlineStr">
        <is>
          <t>R5</t>
        </is>
      </c>
      <c r="D2890" s="33" t="n">
        <v>5</v>
      </c>
      <c r="E2890" s="33" t="inlineStr">
        <is>
          <t>Initial L11-batch rating per agent8 proposal (rationale+source in 11-robotics/research/rating-proposals-2026-08-02/); briefing per-stock/ONDS/context-2026-08-02.md</t>
        </is>
      </c>
      <c r="F2890" s="33" t="inlineStr">
        <is>
          <t>per-stock/ONDS/context-2026-08-02.md</t>
        </is>
      </c>
      <c r="G2890" s="33" t="inlineStr">
        <is>
          <t>Medium</t>
        </is>
      </c>
      <c r="H2890" s="33" t="inlineStr">
        <is>
          <t>Initial</t>
        </is>
      </c>
    </row>
    <row r="2891">
      <c r="A2891" s="33" t="inlineStr">
        <is>
          <t>2026-08-02</t>
        </is>
      </c>
      <c r="B2891" s="33" t="inlineStr">
        <is>
          <t>UMAC</t>
        </is>
      </c>
      <c r="C2891" s="33" t="inlineStr">
        <is>
          <t>D1</t>
        </is>
      </c>
      <c r="D2891" s="33" t="n">
        <v>5</v>
      </c>
      <c r="E2891" s="33" t="inlineStr">
        <is>
          <t>Initial L11-batch rating per agent8 proposal (rationale+source in 11-robotics/research/rating-proposals-2026-08-02/); briefing per-stock/UMAC/context-2026-08-02.md</t>
        </is>
      </c>
      <c r="F2891" s="33" t="inlineStr">
        <is>
          <t>per-stock/UMAC/context-2026-08-02.md</t>
        </is>
      </c>
      <c r="G2891" s="33" t="inlineStr">
        <is>
          <t>Medium</t>
        </is>
      </c>
      <c r="H2891" s="33" t="inlineStr">
        <is>
          <t>Initial</t>
        </is>
      </c>
    </row>
    <row r="2892">
      <c r="A2892" s="33" t="inlineStr">
        <is>
          <t>2026-08-02</t>
        </is>
      </c>
      <c r="B2892" s="33" t="inlineStr">
        <is>
          <t>UMAC</t>
        </is>
      </c>
      <c r="C2892" s="33" t="inlineStr">
        <is>
          <t>D2</t>
        </is>
      </c>
      <c r="D2892" s="33" t="n">
        <v>4</v>
      </c>
      <c r="E2892" s="33" t="inlineStr">
        <is>
          <t>Initial L11-batch rating per agent8 proposal (rationale+source in 11-robotics/research/rating-proposals-2026-08-02/); briefing per-stock/UMAC/context-2026-08-02.md</t>
        </is>
      </c>
      <c r="F2892" s="33" t="inlineStr">
        <is>
          <t>per-stock/UMAC/context-2026-08-02.md</t>
        </is>
      </c>
      <c r="G2892" s="33" t="inlineStr">
        <is>
          <t>Medium</t>
        </is>
      </c>
      <c r="H2892" s="33" t="inlineStr">
        <is>
          <t>Initial</t>
        </is>
      </c>
    </row>
    <row r="2893">
      <c r="A2893" s="33" t="inlineStr">
        <is>
          <t>2026-08-02</t>
        </is>
      </c>
      <c r="B2893" s="33" t="inlineStr">
        <is>
          <t>UMAC</t>
        </is>
      </c>
      <c r="C2893" s="33" t="inlineStr">
        <is>
          <t>D3</t>
        </is>
      </c>
      <c r="D2893" s="33" t="n">
        <v>3</v>
      </c>
      <c r="E2893" s="33" t="inlineStr">
        <is>
          <t>Initial L11-batch rating per agent8 proposal (rationale+source in 11-robotics/research/rating-proposals-2026-08-02/); briefing per-stock/UMAC/context-2026-08-02.md</t>
        </is>
      </c>
      <c r="F2893" s="33" t="inlineStr">
        <is>
          <t>per-stock/UMAC/context-2026-08-02.md</t>
        </is>
      </c>
      <c r="G2893" s="33" t="inlineStr">
        <is>
          <t>Medium</t>
        </is>
      </c>
      <c r="H2893" s="33" t="inlineStr">
        <is>
          <t>Initial</t>
        </is>
      </c>
    </row>
    <row r="2894">
      <c r="A2894" s="33" t="inlineStr">
        <is>
          <t>2026-08-02</t>
        </is>
      </c>
      <c r="B2894" s="33" t="inlineStr">
        <is>
          <t>UMAC</t>
        </is>
      </c>
      <c r="C2894" s="33" t="inlineStr">
        <is>
          <t>D4</t>
        </is>
      </c>
      <c r="D2894" s="33" t="n">
        <v>5</v>
      </c>
      <c r="E2894" s="33" t="inlineStr">
        <is>
          <t>Initial L11-batch rating per agent8 proposal (rationale+source in 11-robotics/research/rating-proposals-2026-08-02/); briefing per-stock/UMAC/context-2026-08-02.md</t>
        </is>
      </c>
      <c r="F2894" s="33" t="inlineStr">
        <is>
          <t>per-stock/UMAC/context-2026-08-02.md</t>
        </is>
      </c>
      <c r="G2894" s="33" t="inlineStr">
        <is>
          <t>Medium</t>
        </is>
      </c>
      <c r="H2894" s="33" t="inlineStr">
        <is>
          <t>Initial</t>
        </is>
      </c>
    </row>
    <row r="2895">
      <c r="A2895" s="33" t="inlineStr">
        <is>
          <t>2026-08-02</t>
        </is>
      </c>
      <c r="B2895" s="33" t="inlineStr">
        <is>
          <t>UMAC</t>
        </is>
      </c>
      <c r="C2895" s="33" t="inlineStr">
        <is>
          <t>D5</t>
        </is>
      </c>
      <c r="D2895" s="33" t="n">
        <v>4</v>
      </c>
      <c r="E2895" s="33" t="inlineStr">
        <is>
          <t>Initial L11-batch rating per agent8 proposal (rationale+source in 11-robotics/research/rating-proposals-2026-08-02/); briefing per-stock/UMAC/context-2026-08-02.md</t>
        </is>
      </c>
      <c r="F2895" s="33" t="inlineStr">
        <is>
          <t>per-stock/UMAC/context-2026-08-02.md</t>
        </is>
      </c>
      <c r="G2895" s="33" t="inlineStr">
        <is>
          <t>Medium</t>
        </is>
      </c>
      <c r="H2895" s="33" t="inlineStr">
        <is>
          <t>Initial</t>
        </is>
      </c>
    </row>
    <row r="2896">
      <c r="A2896" s="33" t="inlineStr">
        <is>
          <t>2026-08-02</t>
        </is>
      </c>
      <c r="B2896" s="33" t="inlineStr">
        <is>
          <t>UMAC</t>
        </is>
      </c>
      <c r="C2896" s="33" t="inlineStr">
        <is>
          <t>M1</t>
        </is>
      </c>
      <c r="D2896" s="33" t="n">
        <v>4</v>
      </c>
      <c r="E2896" s="33" t="inlineStr">
        <is>
          <t>Initial L11-batch rating per agent8 proposal (rationale+source in 11-robotics/research/rating-proposals-2026-08-02/); briefing per-stock/UMAC/context-2026-08-02.md</t>
        </is>
      </c>
      <c r="F2896" s="33" t="inlineStr">
        <is>
          <t>per-stock/UMAC/context-2026-08-02.md</t>
        </is>
      </c>
      <c r="G2896" s="33" t="inlineStr">
        <is>
          <t>Medium</t>
        </is>
      </c>
      <c r="H2896" s="33" t="inlineStr">
        <is>
          <t>Initial</t>
        </is>
      </c>
    </row>
    <row r="2897">
      <c r="A2897" s="33" t="inlineStr">
        <is>
          <t>2026-08-02</t>
        </is>
      </c>
      <c r="B2897" s="33" t="inlineStr">
        <is>
          <t>UMAC</t>
        </is>
      </c>
      <c r="C2897" s="33" t="inlineStr">
        <is>
          <t>M2</t>
        </is>
      </c>
      <c r="D2897" s="33" t="n">
        <v>5</v>
      </c>
      <c r="E2897" s="33" t="inlineStr">
        <is>
          <t>Initial L11-batch rating per agent8 proposal (rationale+source in 11-robotics/research/rating-proposals-2026-08-02/); briefing per-stock/UMAC/context-2026-08-02.md</t>
        </is>
      </c>
      <c r="F2897" s="33" t="inlineStr">
        <is>
          <t>per-stock/UMAC/context-2026-08-02.md</t>
        </is>
      </c>
      <c r="G2897" s="33" t="inlineStr">
        <is>
          <t>Medium</t>
        </is>
      </c>
      <c r="H2897" s="33" t="inlineStr">
        <is>
          <t>Initial</t>
        </is>
      </c>
    </row>
    <row r="2898">
      <c r="A2898" s="33" t="inlineStr">
        <is>
          <t>2026-08-02</t>
        </is>
      </c>
      <c r="B2898" s="33" t="inlineStr">
        <is>
          <t>UMAC</t>
        </is>
      </c>
      <c r="C2898" s="33" t="inlineStr">
        <is>
          <t>M3</t>
        </is>
      </c>
      <c r="D2898" s="33" t="n">
        <v>1</v>
      </c>
      <c r="E2898" s="33" t="inlineStr">
        <is>
          <t>Band 1 mechanical: CFO 46% + President 47% discretionary (no 10b5-1) into the June spike. Counter-signal logged: CEO sold nothing, holds 1.42M sh, waived all cash comp for $25-strike warrants (7/24/26).</t>
        </is>
      </c>
      <c r="F2898" s="33" t="inlineStr">
        <is>
          <t>per-stock/UMAC/context-2026-08-02.md</t>
        </is>
      </c>
      <c r="G2898" s="33" t="inlineStr">
        <is>
          <t>Medium</t>
        </is>
      </c>
      <c r="H2898" s="33" t="inlineStr">
        <is>
          <t>Initial</t>
        </is>
      </c>
    </row>
    <row r="2899">
      <c r="A2899" s="33" t="inlineStr">
        <is>
          <t>2026-08-02</t>
        </is>
      </c>
      <c r="B2899" s="33" t="inlineStr">
        <is>
          <t>UMAC</t>
        </is>
      </c>
      <c r="C2899" s="33" t="inlineStr">
        <is>
          <t>R1</t>
        </is>
      </c>
      <c r="D2899" s="33" t="n">
        <v>4</v>
      </c>
      <c r="E2899" s="33" t="inlineStr">
        <is>
          <t>Initial L11-batch rating per agent8 proposal (rationale+source in 11-robotics/research/rating-proposals-2026-08-02/); briefing per-stock/UMAC/context-2026-08-02.md</t>
        </is>
      </c>
      <c r="F2899" s="33" t="inlineStr">
        <is>
          <t>per-stock/UMAC/context-2026-08-02.md</t>
        </is>
      </c>
      <c r="G2899" s="33" t="inlineStr">
        <is>
          <t>Medium</t>
        </is>
      </c>
      <c r="H2899" s="33" t="inlineStr">
        <is>
          <t>Initial</t>
        </is>
      </c>
    </row>
    <row r="2900">
      <c r="A2900" s="33" t="inlineStr">
        <is>
          <t>2026-08-02</t>
        </is>
      </c>
      <c r="B2900" s="33" t="inlineStr">
        <is>
          <t>UMAC</t>
        </is>
      </c>
      <c r="C2900" s="33" t="inlineStr">
        <is>
          <t>R2</t>
        </is>
      </c>
      <c r="D2900" s="33" t="n">
        <v>5</v>
      </c>
      <c r="E2900" s="33" t="inlineStr">
        <is>
          <t>Initial L11-batch rating per agent8 proposal (rationale+source in 11-robotics/research/rating-proposals-2026-08-02/); briefing per-stock/UMAC/context-2026-08-02.md</t>
        </is>
      </c>
      <c r="F2900" s="33" t="inlineStr">
        <is>
          <t>per-stock/UMAC/context-2026-08-02.md</t>
        </is>
      </c>
      <c r="G2900" s="33" t="inlineStr">
        <is>
          <t>Medium</t>
        </is>
      </c>
      <c r="H2900" s="33" t="inlineStr">
        <is>
          <t>Initial</t>
        </is>
      </c>
    </row>
    <row r="2901">
      <c r="A2901" s="33" t="inlineStr">
        <is>
          <t>2026-08-02</t>
        </is>
      </c>
      <c r="B2901" s="33" t="inlineStr">
        <is>
          <t>UMAC</t>
        </is>
      </c>
      <c r="C2901" s="33" t="inlineStr">
        <is>
          <t>R3</t>
        </is>
      </c>
      <c r="D2901" s="33" t="n">
        <v>5</v>
      </c>
      <c r="E2901" s="33" t="inlineStr">
        <is>
          <t>Initial L11-batch rating per agent8 proposal (rationale+source in 11-robotics/research/rating-proposals-2026-08-02/); briefing per-stock/UMAC/context-2026-08-02.md</t>
        </is>
      </c>
      <c r="F2901" s="33" t="inlineStr">
        <is>
          <t>per-stock/UMAC/context-2026-08-02.md</t>
        </is>
      </c>
      <c r="G2901" s="33" t="inlineStr">
        <is>
          <t>Medium</t>
        </is>
      </c>
      <c r="H2901" s="33" t="inlineStr">
        <is>
          <t>Initial</t>
        </is>
      </c>
    </row>
    <row r="2902">
      <c r="A2902" s="33" t="inlineStr">
        <is>
          <t>2026-08-02</t>
        </is>
      </c>
      <c r="B2902" s="33" t="inlineStr">
        <is>
          <t>UMAC</t>
        </is>
      </c>
      <c r="C2902" s="33" t="inlineStr">
        <is>
          <t>R4</t>
        </is>
      </c>
      <c r="D2902" s="33" t="n">
        <v>4</v>
      </c>
      <c r="E2902" s="33" t="inlineStr">
        <is>
          <t>Initial L11-batch rating per agent8 proposal (rationale+source in 11-robotics/research/rating-proposals-2026-08-02/); briefing per-stock/UMAC/context-2026-08-02.md</t>
        </is>
      </c>
      <c r="F2902" s="33" t="inlineStr">
        <is>
          <t>per-stock/UMAC/context-2026-08-02.md</t>
        </is>
      </c>
      <c r="G2902" s="33" t="inlineStr">
        <is>
          <t>Medium</t>
        </is>
      </c>
      <c r="H2902" s="33" t="inlineStr">
        <is>
          <t>Initial</t>
        </is>
      </c>
    </row>
    <row r="2903">
      <c r="A2903" s="33" t="inlineStr">
        <is>
          <t>2026-08-02</t>
        </is>
      </c>
      <c r="B2903" s="33" t="inlineStr">
        <is>
          <t>UMAC</t>
        </is>
      </c>
      <c r="C2903" s="33" t="inlineStr">
        <is>
          <t>R5</t>
        </is>
      </c>
      <c r="D2903" s="33" t="n">
        <v>5</v>
      </c>
      <c r="E2903" s="33" t="inlineStr">
        <is>
          <t>Initial L11-batch rating per agent8 proposal (rationale+source in 11-robotics/research/rating-proposals-2026-08-02/); briefing per-stock/UMAC/context-2026-08-02.md</t>
        </is>
      </c>
      <c r="F2903" s="33" t="inlineStr">
        <is>
          <t>per-stock/UMAC/context-2026-08-02.md</t>
        </is>
      </c>
      <c r="G2903" s="33" t="inlineStr">
        <is>
          <t>Medium</t>
        </is>
      </c>
      <c r="H2903" s="33" t="inlineStr">
        <is>
          <t>Initial</t>
        </is>
      </c>
    </row>
    <row r="2904">
      <c r="A2904" s="33" t="inlineStr">
        <is>
          <t>2026-08-02</t>
        </is>
      </c>
      <c r="B2904" s="33" t="inlineStr">
        <is>
          <t>DRO.AX</t>
        </is>
      </c>
      <c r="C2904" s="33" t="inlineStr">
        <is>
          <t>D1</t>
        </is>
      </c>
      <c r="D2904" s="33" t="n">
        <v>5</v>
      </c>
      <c r="E2904" s="33" t="inlineStr">
        <is>
          <t>Initial L11-batch rating per agent8 proposal (rationale+source in 11-robotics/research/rating-proposals-2026-08-02/); briefing per-stock/DRO.AX/context-2026-08-02.md</t>
        </is>
      </c>
      <c r="F2904" s="33" t="inlineStr">
        <is>
          <t>per-stock/DRO.AX/context-2026-08-02.md</t>
        </is>
      </c>
      <c r="G2904" s="33" t="inlineStr">
        <is>
          <t>Medium</t>
        </is>
      </c>
      <c r="H2904" s="33" t="inlineStr">
        <is>
          <t>Initial</t>
        </is>
      </c>
    </row>
    <row r="2905">
      <c r="A2905" s="33" t="inlineStr">
        <is>
          <t>2026-08-02</t>
        </is>
      </c>
      <c r="B2905" s="33" t="inlineStr">
        <is>
          <t>DRO.AX</t>
        </is>
      </c>
      <c r="C2905" s="33" t="inlineStr">
        <is>
          <t>D2</t>
        </is>
      </c>
      <c r="D2905" s="33" t="n">
        <v>3</v>
      </c>
      <c r="E2905" s="33" t="inlineStr">
        <is>
          <t>Initial L11-batch rating per agent8 proposal (rationale+source in 11-robotics/research/rating-proposals-2026-08-02/); briefing per-stock/DRO.AX/context-2026-08-02.md</t>
        </is>
      </c>
      <c r="F2905" s="33" t="inlineStr">
        <is>
          <t>per-stock/DRO.AX/context-2026-08-02.md</t>
        </is>
      </c>
      <c r="G2905" s="33" t="inlineStr">
        <is>
          <t>Medium</t>
        </is>
      </c>
      <c r="H2905" s="33" t="inlineStr">
        <is>
          <t>Initial</t>
        </is>
      </c>
    </row>
    <row r="2906">
      <c r="A2906" s="33" t="inlineStr">
        <is>
          <t>2026-08-02</t>
        </is>
      </c>
      <c r="B2906" s="33" t="inlineStr">
        <is>
          <t>DRO.AX</t>
        </is>
      </c>
      <c r="C2906" s="33" t="inlineStr">
        <is>
          <t>D3</t>
        </is>
      </c>
      <c r="D2906" s="33" t="n">
        <v>3</v>
      </c>
      <c r="E2906" s="33" t="inlineStr">
        <is>
          <t>Initial L11-batch rating per agent8 proposal (rationale+source in 11-robotics/research/rating-proposals-2026-08-02/); briefing per-stock/DRO.AX/context-2026-08-02.md</t>
        </is>
      </c>
      <c r="F2906" s="33" t="inlineStr">
        <is>
          <t>per-stock/DRO.AX/context-2026-08-02.md</t>
        </is>
      </c>
      <c r="G2906" s="33" t="inlineStr">
        <is>
          <t>Medium</t>
        </is>
      </c>
      <c r="H2906" s="33" t="inlineStr">
        <is>
          <t>Initial</t>
        </is>
      </c>
    </row>
    <row r="2907">
      <c r="A2907" s="33" t="inlineStr">
        <is>
          <t>2026-08-02</t>
        </is>
      </c>
      <c r="B2907" s="33" t="inlineStr">
        <is>
          <t>DRO.AX</t>
        </is>
      </c>
      <c r="C2907" s="33" t="inlineStr">
        <is>
          <t>D4</t>
        </is>
      </c>
      <c r="D2907" s="33" t="n">
        <v>4</v>
      </c>
      <c r="E2907" s="33" t="inlineStr">
        <is>
          <t>Initial L11-batch rating per agent8 proposal (rationale+source in 11-robotics/research/rating-proposals-2026-08-02/); briefing per-stock/DRO.AX/context-2026-08-02.md</t>
        </is>
      </c>
      <c r="F2907" s="33" t="inlineStr">
        <is>
          <t>per-stock/DRO.AX/context-2026-08-02.md</t>
        </is>
      </c>
      <c r="G2907" s="33" t="inlineStr">
        <is>
          <t>Medium</t>
        </is>
      </c>
      <c r="H2907" s="33" t="inlineStr">
        <is>
          <t>Initial</t>
        </is>
      </c>
    </row>
    <row r="2908">
      <c r="A2908" s="33" t="inlineStr">
        <is>
          <t>2026-08-02</t>
        </is>
      </c>
      <c r="B2908" s="33" t="inlineStr">
        <is>
          <t>DRO.AX</t>
        </is>
      </c>
      <c r="C2908" s="33" t="inlineStr">
        <is>
          <t>D5</t>
        </is>
      </c>
      <c r="D2908" s="33" t="n">
        <v>3</v>
      </c>
      <c r="E2908" s="33" t="inlineStr">
        <is>
          <t>Initial L11-batch rating per agent8 proposal (rationale+source in 11-robotics/research/rating-proposals-2026-08-02/); briefing per-stock/DRO.AX/context-2026-08-02.md</t>
        </is>
      </c>
      <c r="F2908" s="33" t="inlineStr">
        <is>
          <t>per-stock/DRO.AX/context-2026-08-02.md</t>
        </is>
      </c>
      <c r="G2908" s="33" t="inlineStr">
        <is>
          <t>Medium</t>
        </is>
      </c>
      <c r="H2908" s="33" t="inlineStr">
        <is>
          <t>Initial</t>
        </is>
      </c>
    </row>
    <row r="2909">
      <c r="A2909" s="33" t="inlineStr">
        <is>
          <t>2026-08-02</t>
        </is>
      </c>
      <c r="B2909" s="33" t="inlineStr">
        <is>
          <t>DRO.AX</t>
        </is>
      </c>
      <c r="C2909" s="33" t="inlineStr">
        <is>
          <t>M1</t>
        </is>
      </c>
      <c r="D2909" s="33" t="n">
        <v>2</v>
      </c>
      <c r="E2909" s="33" t="inlineStr">
        <is>
          <t>Initial L11-batch rating per agent8 proposal (rationale+source in 11-robotics/research/rating-proposals-2026-08-02/); briefing per-stock/DRO.AX/context-2026-08-02.md</t>
        </is>
      </c>
      <c r="F2909" s="33" t="inlineStr">
        <is>
          <t>per-stock/DRO.AX/context-2026-08-02.md</t>
        </is>
      </c>
      <c r="G2909" s="33" t="inlineStr">
        <is>
          <t>Medium</t>
        </is>
      </c>
      <c r="H2909" s="33" t="inlineStr">
        <is>
          <t>Initial</t>
        </is>
      </c>
    </row>
    <row r="2910">
      <c r="A2910" s="33" t="inlineStr">
        <is>
          <t>2026-08-02</t>
        </is>
      </c>
      <c r="B2910" s="33" t="inlineStr">
        <is>
          <t>DRO.AX</t>
        </is>
      </c>
      <c r="C2910" s="33" t="inlineStr">
        <is>
          <t>M2</t>
        </is>
      </c>
      <c r="D2910" s="33" t="n">
        <v>1</v>
      </c>
      <c r="E2910" s="33" t="inlineStr">
        <is>
          <t>Initial L11-batch rating per agent8 proposal (rationale+source in 11-robotics/research/rating-proposals-2026-08-02/); briefing per-stock/DRO.AX/context-2026-08-02.md</t>
        </is>
      </c>
      <c r="F2910" s="33" t="inlineStr">
        <is>
          <t>per-stock/DRO.AX/context-2026-08-02.md</t>
        </is>
      </c>
      <c r="G2910" s="33" t="inlineStr">
        <is>
          <t>Medium</t>
        </is>
      </c>
      <c r="H2910" s="33" t="inlineStr">
        <is>
          <t>Initial</t>
        </is>
      </c>
    </row>
    <row r="2911">
      <c r="A2911" s="33" t="inlineStr">
        <is>
          <t>2026-08-02</t>
        </is>
      </c>
      <c r="B2911" s="33" t="inlineStr">
        <is>
          <t>DRO.AX</t>
        </is>
      </c>
      <c r="C2911" s="33" t="inlineStr">
        <is>
          <t>M3</t>
        </is>
      </c>
      <c r="D2911" s="33" t="n">
        <v>1</v>
      </c>
      <c r="E2911" s="33" t="inlineStr">
        <is>
          <t>Foreign default-3 REJECTED - public data exists and is adverse: ex-CEO+ex-Chairman sold entire holdings (~A$67-70M) around a retracted release; ASIC investigating; both replaced 4/2026. Secondary-sourced; verify vs ASX/ASIC.</t>
        </is>
      </c>
      <c r="F2911" s="33" t="inlineStr">
        <is>
          <t>per-stock/DRO.AX/context-2026-08-02.md</t>
        </is>
      </c>
      <c r="G2911" s="33" t="inlineStr">
        <is>
          <t>Medium</t>
        </is>
      </c>
      <c r="H2911" s="33" t="inlineStr">
        <is>
          <t>Initial</t>
        </is>
      </c>
    </row>
    <row r="2912">
      <c r="A2912" s="33" t="inlineStr">
        <is>
          <t>2026-08-02</t>
        </is>
      </c>
      <c r="B2912" s="33" t="inlineStr">
        <is>
          <t>DRO.AX</t>
        </is>
      </c>
      <c r="C2912" s="33" t="inlineStr">
        <is>
          <t>R1</t>
        </is>
      </c>
      <c r="D2912" s="33" t="n">
        <v>3</v>
      </c>
      <c r="E2912" s="33" t="inlineStr">
        <is>
          <t>Initial L11-batch rating per agent8 proposal (rationale+source in 11-robotics/research/rating-proposals-2026-08-02/); briefing per-stock/DRO.AX/context-2026-08-02.md</t>
        </is>
      </c>
      <c r="F2912" s="33" t="inlineStr">
        <is>
          <t>per-stock/DRO.AX/context-2026-08-02.md</t>
        </is>
      </c>
      <c r="G2912" s="33" t="inlineStr">
        <is>
          <t>Medium</t>
        </is>
      </c>
      <c r="H2912" s="33" t="inlineStr">
        <is>
          <t>Initial</t>
        </is>
      </c>
    </row>
    <row r="2913">
      <c r="A2913" s="33" t="inlineStr">
        <is>
          <t>2026-08-02</t>
        </is>
      </c>
      <c r="B2913" s="33" t="inlineStr">
        <is>
          <t>DRO.AX</t>
        </is>
      </c>
      <c r="C2913" s="33" t="inlineStr">
        <is>
          <t>R2</t>
        </is>
      </c>
      <c r="D2913" s="33" t="n">
        <v>4</v>
      </c>
      <c r="E2913" s="33" t="inlineStr">
        <is>
          <t>Initial L11-batch rating per agent8 proposal (rationale+source in 11-robotics/research/rating-proposals-2026-08-02/); briefing per-stock/DRO.AX/context-2026-08-02.md</t>
        </is>
      </c>
      <c r="F2913" s="33" t="inlineStr">
        <is>
          <t>per-stock/DRO.AX/context-2026-08-02.md</t>
        </is>
      </c>
      <c r="G2913" s="33" t="inlineStr">
        <is>
          <t>Medium</t>
        </is>
      </c>
      <c r="H2913" s="33" t="inlineStr">
        <is>
          <t>Initial</t>
        </is>
      </c>
    </row>
    <row r="2914">
      <c r="A2914" s="33" t="inlineStr">
        <is>
          <t>2026-08-02</t>
        </is>
      </c>
      <c r="B2914" s="33" t="inlineStr">
        <is>
          <t>DRO.AX</t>
        </is>
      </c>
      <c r="C2914" s="33" t="inlineStr">
        <is>
          <t>R3</t>
        </is>
      </c>
      <c r="D2914" s="33" t="n">
        <v>4</v>
      </c>
      <c r="E2914" s="33" t="inlineStr">
        <is>
          <t>Initial L11-batch rating per agent8 proposal (rationale+source in 11-robotics/research/rating-proposals-2026-08-02/); briefing per-stock/DRO.AX/context-2026-08-02.md</t>
        </is>
      </c>
      <c r="F2914" s="33" t="inlineStr">
        <is>
          <t>per-stock/DRO.AX/context-2026-08-02.md</t>
        </is>
      </c>
      <c r="G2914" s="33" t="inlineStr">
        <is>
          <t>Medium</t>
        </is>
      </c>
      <c r="H2914" s="33" t="inlineStr">
        <is>
          <t>Initial</t>
        </is>
      </c>
    </row>
    <row r="2915">
      <c r="A2915" s="33" t="inlineStr">
        <is>
          <t>2026-08-02</t>
        </is>
      </c>
      <c r="B2915" s="33" t="inlineStr">
        <is>
          <t>DRO.AX</t>
        </is>
      </c>
      <c r="C2915" s="33" t="inlineStr">
        <is>
          <t>R4</t>
        </is>
      </c>
      <c r="D2915" s="33" t="n">
        <v>2</v>
      </c>
      <c r="E2915" s="33" t="inlineStr">
        <is>
          <t>Active ASIC investigation into Nov-2025 announcements + executive trading; CEO+Chairman replaced 4/2026.</t>
        </is>
      </c>
      <c r="F2915" s="33" t="inlineStr">
        <is>
          <t>per-stock/DRO.AX/context-2026-08-02.md</t>
        </is>
      </c>
      <c r="G2915" s="33" t="inlineStr">
        <is>
          <t>Medium</t>
        </is>
      </c>
      <c r="H2915" s="33" t="inlineStr">
        <is>
          <t>Initial</t>
        </is>
      </c>
    </row>
    <row r="2916">
      <c r="A2916" s="33" t="inlineStr">
        <is>
          <t>2026-08-02</t>
        </is>
      </c>
      <c r="B2916" s="33" t="inlineStr">
        <is>
          <t>DRO.AX</t>
        </is>
      </c>
      <c r="C2916" s="33" t="inlineStr">
        <is>
          <t>R5</t>
        </is>
      </c>
      <c r="D2916" s="33" t="n">
        <v>5</v>
      </c>
      <c r="E2916" s="33" t="inlineStr">
        <is>
          <t>Initial L11-batch rating per agent8 proposal (rationale+source in 11-robotics/research/rating-proposals-2026-08-02/); briefing per-stock/DRO.AX/context-2026-08-02.md</t>
        </is>
      </c>
      <c r="F2916" s="33" t="inlineStr">
        <is>
          <t>per-stock/DRO.AX/context-2026-08-02.md</t>
        </is>
      </c>
      <c r="G2916" s="33" t="inlineStr">
        <is>
          <t>Medium</t>
        </is>
      </c>
      <c r="H2916" s="33" t="inlineStr">
        <is>
          <t>Initial</t>
        </is>
      </c>
    </row>
    <row r="2917">
      <c r="A2917" s="33" t="inlineStr">
        <is>
          <t>2026-08-02</t>
        </is>
      </c>
      <c r="B2917" s="33" t="inlineStr">
        <is>
          <t>L11 (all)</t>
        </is>
      </c>
      <c r="C2917" s="33" t="inlineStr">
        <is>
          <t>D1 + D5 conventions</t>
        </is>
      </c>
      <c r="E2917" s="33" t="inlineStr">
        <is>
          <t>Dom APPROVED the proposed Layer-11 interpretations: D1 = robotics-as-demand-driver (humanoid specificity in D5); D5 = third lens on the rule-23 parallel scale (contracted robot-program tie). Codified in rubric + CLAUDE.md rule 26. All 2026-08-02 L11 ratings using these lenses are now final, not provisional-on-methodology.</t>
        </is>
      </c>
      <c r="F2917" s="33" t="inlineStr">
        <is>
          <t>templates/rating-rubric-and-workflow.md; CLAUDE.md rule 26</t>
        </is>
      </c>
      <c r="G2917" s="33" t="inlineStr">
        <is>
          <t>High</t>
        </is>
      </c>
      <c r="H2917" s="33" t="inlineStr">
        <is>
          <t>Dom approval</t>
        </is>
      </c>
    </row>
    <row r="2918">
      <c r="A2918" s="33" t="inlineStr">
        <is>
          <t>2026-08-02</t>
        </is>
      </c>
      <c r="B2918" s="33" t="inlineStr">
        <is>
          <t>SSII</t>
        </is>
      </c>
      <c r="C2918" s="33" t="inlineStr">
        <is>
          <t>M3</t>
        </is>
      </c>
      <c r="D2918" s="33" t="n">
        <v>4</v>
      </c>
      <c r="E2918" s="33" t="inlineStr">
        <is>
          <t>Dom APPROVED the placement-buy precedent: premium private-placement subscriptions rate 4 (not step-1 automatic 5, not default 3). Rating stands.</t>
        </is>
      </c>
      <c r="F2918" s="33" t="inlineStr">
        <is>
          <t>templates/rating-rubric-and-workflow.md M3 edge-case precedents</t>
        </is>
      </c>
      <c r="G2918" s="33" t="inlineStr">
        <is>
          <t>High</t>
        </is>
      </c>
      <c r="H2918" s="33" t="inlineStr">
        <is>
          <t>Dom approval</t>
        </is>
      </c>
    </row>
    <row r="2919">
      <c r="A2919" s="33" t="inlineStr">
        <is>
          <t>2026-08-02</t>
        </is>
      </c>
      <c r="B2919" s="33" t="inlineStr">
        <is>
          <t>PDYN</t>
        </is>
      </c>
      <c r="C2919" s="33" t="inlineStr">
        <is>
          <t>M3</t>
        </is>
      </c>
      <c r="D2919" s="33" t="n">
        <v>5</v>
      </c>
      <c r="E2919" s="33" t="inlineStr">
        <is>
          <t>Dom APPROVED keeping the mechanical 5 for de-minimis buys (CEVA no-size-downgrade rule holds); de-minimis-floor question deferred to calibration evidence, not per-name nudges. Rating stands.</t>
        </is>
      </c>
      <c r="F2919" s="33" t="inlineStr">
        <is>
          <t>templates/rating-rubric-and-workflow.md M3 edge-case precedents</t>
        </is>
      </c>
      <c r="G2919" s="33" t="inlineStr">
        <is>
          <t>High</t>
        </is>
      </c>
      <c r="H2919" s="33" t="inlineStr">
        <is>
          <t>Dom approval</t>
        </is>
      </c>
    </row>
    <row r="2920">
      <c r="A2920" s="33" t="inlineStr">
        <is>
          <t>2026-08-02</t>
        </is>
      </c>
      <c r="B2920" s="33" t="inlineStr">
        <is>
          <t>KTOS</t>
        </is>
      </c>
      <c r="C2920" s="33" t="inlineStr">
        <is>
          <t>R1</t>
        </is>
      </c>
      <c r="D2920" s="33" t="n">
        <v>2</v>
      </c>
      <c r="E2920" s="33" t="inlineStr">
        <is>
          <t>Dom APPROVED the government-customer convention: USG as monopsony, graded on program/branch diversification (KTOS 2 at ~69% multi-program vs AVAV 1 at ~85% / RCAT 1 single-program). Ratings stand.</t>
        </is>
      </c>
      <c r="F2920" s="33" t="inlineStr">
        <is>
          <t>templates/rating-rubric-and-workflow.md R1 convention</t>
        </is>
      </c>
      <c r="G2920" s="33" t="inlineStr">
        <is>
          <t>High</t>
        </is>
      </c>
      <c r="H2920" s="33" t="inlineStr">
        <is>
          <t>Dom approval</t>
        </is>
      </c>
    </row>
    <row r="2921">
      <c r="A2921" s="33" t="inlineStr">
        <is>
          <t>2026-08-04</t>
        </is>
      </c>
      <c r="B2921" s="33" t="inlineStr">
        <is>
          <t>L11 (all)</t>
        </is>
      </c>
      <c r="C2921" s="33" t="inlineStr">
        <is>
          <t>Rule renumber 26 -&gt; 27</t>
        </is>
      </c>
      <c r="E2921" s="33" t="inlineStr">
        <is>
          <t>Merge resolution: a parallel 2026-08-02 session landed a different "rule 26" (exit-pending clock persistence) on main first. The Layer-11 conventions rule is now CLAUDE.md rule 27 (content unchanged, Dom approvals unchanged). Any earlier audit rationale citing "CLAUDE.md rule 26" for L11 conventions should be read as rule 27.</t>
        </is>
      </c>
      <c r="F2921" s="33" t="inlineStr">
        <is>
          <t>CLAUDE.md rule 27</t>
        </is>
      </c>
      <c r="G2921" s="33" t="inlineStr">
        <is>
          <t>High</t>
        </is>
      </c>
      <c r="H2921" s="33" t="inlineStr">
        <is>
          <t>Correction</t>
        </is>
      </c>
    </row>
    <row r="2922">
      <c r="A2922" s="33" t="inlineStr">
        <is>
          <t>2026-09-02</t>
        </is>
      </c>
      <c r="B2922" s="33" t="inlineStr">
        <is>
          <t>CRDO</t>
        </is>
      </c>
      <c r="C2922" s="33" t="inlineStr">
        <is>
          <t>M2</t>
        </is>
      </c>
      <c r="D2922" s="33" t="n">
        <v>4</v>
      </c>
      <c r="E2922" s="33" t="inlineStr">
        <is>
          <t>CHANGED 5 -&gt; 4. Rubric M2 is 6-month performance vs sector benchmark (SMH for semis). Measured 2026-09-02: CRDO +52.8% vs SMH +44.2% = +8.6pp outperformance, which is band 4 (5-20%), no longer band 5 (&gt;20%). Note the 3-month read is -15.2pp (band 2) after the -20.0% post-earnings session (206.63 -&gt; 165.22 on 29.9M shares); the 6-month band governs, so 4, not 3. This is a multiple de-rating, not an estimate cut - see the M1 entry: the two dimensions are correctly pulling apart.</t>
        </is>
      </c>
      <c r="F2922" s="33" t="inlineStr">
        <is>
          <t>yfinance price history 2026-09-02 (CRDO vs SMH, 126 trading days); rubric M2 bands</t>
        </is>
      </c>
      <c r="G2922" s="33" t="inlineStr">
        <is>
          <t>High</t>
        </is>
      </c>
      <c r="H2922" s="33" t="inlineStr">
        <is>
          <t>Claude proposed</t>
        </is>
      </c>
    </row>
    <row r="2923">
      <c r="A2923" s="33" t="inlineStr">
        <is>
          <t>2026-09-02</t>
        </is>
      </c>
      <c r="B2923" s="33" t="inlineStr">
        <is>
          <t>CRDO</t>
        </is>
      </c>
      <c r="C2923" s="33" t="inlineStr">
        <is>
          <t>M1</t>
        </is>
      </c>
      <c r="D2923" s="33" t="n">
        <v>5</v>
      </c>
      <c r="E2923" s="33" t="inlineStr">
        <is>
          <t>HELD at 5. Next-year consensus EPS moved 8.62 -&gt; 8.91 -&gt; 9.08 -&gt; 9.12 -&gt; 9.63 across the 90/60/30/7-day/current columns (+11.6%); current-year 6.06 -&gt; 6.27. Revision counts last 30 days: +1y 5 up / 0 down, 0q 4 up / 0 down, +1q 4 up / 0 down. That is the rubric's band-5 'multiple upward revisions, beat-and-raise, consensus moving higher'. Deliberately NOT marked down for the -20% price move: M1 measures estimates, M2 measures price. Rubric bias check applies ('near-mechanical rating, not a judgment call').</t>
        </is>
      </c>
      <c r="F2923" s="33" t="inlineStr">
        <is>
          <t>yfinance eps_trend / eps_revisions, pulled 2026-09-02</t>
        </is>
      </c>
      <c r="G2923" s="33" t="inlineStr">
        <is>
          <t>High</t>
        </is>
      </c>
      <c r="H2923" s="33" t="inlineStr">
        <is>
          <t>Claude proposed</t>
        </is>
      </c>
    </row>
    <row r="2924">
      <c r="A2924" s="33" t="inlineStr">
        <is>
          <t>2026-09-02</t>
        </is>
      </c>
      <c r="B2924" s="33" t="inlineStr">
        <is>
          <t>CRDO</t>
        </is>
      </c>
      <c r="C2924" s="33" t="inlineStr">
        <is>
          <t>M3</t>
        </is>
      </c>
      <c r="D2924" s="33" t="n">
        <v>3</v>
      </c>
      <c r="E2924" s="33" t="inlineStr">
        <is>
          <t>HELD at 3, now evidenced rather than defaulted. Parsed all 120 Form 4 filings 2025-09-02..2026-09-02 using the aff10b5One checkbox per transaction-filing (an earlier text-match pass was unreliable and is superseded). Step 1: ZERO open-market purchases (code P) in 12 months - no path to 4 or 5. Step 2: the large sales are 10b5-1 and therefore routine per the AIP precedent - CTO Cheng 1,333,763sh/$219.5M, COO Lam 811,439sh/$137.7M, CEO Brennan 388,440sh/$56.9M, CFO Fleming 180,092sh/$30.2M. Step 3: discretionary open-market selling by % of pre-holdings - Acevedo(Dir) 21.5%, Laufman(CLO) 14.7%, Hosein(Dir) 14.5%, Danesh(Dir) 13.2%, Khaira(Dir) 10.7%, Tan(Dir) 9.2%, Brennan(CEO) 8.0%; only ONE person clears 15%, so band 2's 'across multiple executives' is not met. Step 4 default = 3. FLAGGED FOR DOM, not acted on: aggregate 12-month insider selling is ~$446M, with the CTO exiting 92.2% and the CEO 54.1% of holdings on an all-sells basis. The rubric deliberately treats that as routine when it is plan-driven; the 'is anyone BUYING' test is the live concern, and the answer is no one, across 120 filings.</t>
        </is>
      </c>
      <c r="F2924" s="33" t="inlineStr">
        <is>
          <t>SEC EDGAR Form 4 CIK 1807794, 120 filings 2025-09-02..2026-09-02, aff10b5One per filing</t>
        </is>
      </c>
      <c r="G2924" s="33" t="inlineStr">
        <is>
          <t>High</t>
        </is>
      </c>
      <c r="H2924" s="33" t="inlineStr">
        <is>
          <t>Claude proposed</t>
        </is>
      </c>
    </row>
    <row r="2925">
      <c r="A2925" s="33" t="inlineStr">
        <is>
          <t>2026-09-02</t>
        </is>
      </c>
      <c r="B2925" s="33" t="inlineStr">
        <is>
          <t>CRDO</t>
        </is>
      </c>
      <c r="C2925" s="33" t="inlineStr">
        <is>
          <t>D2</t>
        </is>
      </c>
      <c r="D2925" s="33" t="n">
        <v>4</v>
      </c>
      <c r="E2925" s="33" t="inlineStr">
        <is>
          <t>HELD at 4 despite the 2026-09-01 briefing flagging 'likely up'. DustPhotonics is now consolidated (goodwill 92.8M -&gt; 986.4M, intangibles 29.3M -&gt; 378.8M) and CRDO owns die-level SiPho + optical DSP + ZeroFlap, each guided &gt;$100M in FY27. But rubric band 5 requires an upstream bottleneck with limited substitutes and demonstrable pricing power; CRDO faces 2-4 viable competitors in DSP (Marvell, Broadcom, Semtech, MaxLinear) and in AEC (Astera, Amphenol, Molex), which is the band-4 definition. Vertical integration deepens the MOAT (D3), it does not make CRDO a bottleneck. Rubric failure mode explicitly warned against: conflating high share / differentiation with bottleneck status.</t>
        </is>
      </c>
      <c r="F2925" s="33" t="inlineStr">
        <is>
          <t>context-2026-09-01.md; 8-K Ex-99.1 2026-09-01 balance sheet; rubric D2 bands</t>
        </is>
      </c>
      <c r="G2925" s="33" t="inlineStr">
        <is>
          <t>Medium</t>
        </is>
      </c>
      <c r="H2925" s="33" t="inlineStr">
        <is>
          <t>Claude proposed</t>
        </is>
      </c>
    </row>
    <row r="2926">
      <c r="A2926" s="33" t="inlineStr">
        <is>
          <t>2026-09-02</t>
        </is>
      </c>
      <c r="B2926" s="33" t="inlineStr">
        <is>
          <t>CRDO</t>
        </is>
      </c>
      <c r="C2926" s="33" t="inlineStr">
        <is>
          <t>R3</t>
        </is>
      </c>
      <c r="D2926" s="33" t="n">
        <v>5</v>
      </c>
      <c r="E2926" s="33" t="inlineStr">
        <is>
          <t>HELD at 5; the briefing's 'possible down one notch' is DECLINED on rubric grounds. R3 band 5 is 'net cash position, strong FCF generation, no debt concerns' - CRDO has $764.3M cash + ST investments, zero debt, total liabilities $284M, positive FCF. The briefing's concern is real but is a DIFFERENT risk: goodwill + intangibles at 45% of total assets is impairment risk, not leverage/maturity/FCF-resilience risk, and the rubric's own note scopes R3 to 'maturities, FCF resilience, and dilution risk'. Dilution: up to ~3.21M contingent shares on ~188M outstanding = ~1.7%, not material. Rating an impairment exposure through R3 would be methodology drift (rule 8) and a per-name tweak to a framework dimension (feedback_framework_vs_name_decisions). SURFACED FOR DOM: if impairment/intangible-quality deserves a home in the rubric, that is a rubric change proposed explicitly, not a CRDO nudge.</t>
        </is>
      </c>
      <c r="F2926" s="33" t="inlineStr">
        <is>
          <t>8-K Ex-99.1 2026-09-01 balance sheet; rubric R3 bands + scope note; CLAUDE.md rule 8</t>
        </is>
      </c>
      <c r="G2926" s="33" t="inlineStr">
        <is>
          <t>Medium</t>
        </is>
      </c>
      <c r="H2926" s="33" t="inlineStr">
        <is>
          <t>Claude proposed</t>
        </is>
      </c>
    </row>
    <row r="2927">
      <c r="A2927" s="33" t="inlineStr">
        <is>
          <t>2026-09-02</t>
        </is>
      </c>
      <c r="B2927" s="33" t="inlineStr">
        <is>
          <t>CRDO</t>
        </is>
      </c>
      <c r="C2927" s="33" t="inlineStr">
        <is>
          <t>R1</t>
        </is>
      </c>
      <c r="D2927" s="33" t="n">
        <v>2</v>
      </c>
      <c r="E2927" s="33" t="inlineStr">
        <is>
          <t>HELD at 2, and flagged as the single most debatable rating in this pass. Q1 FY27 customer mix: top-1 33%, top-2 61%, top-4 84%; management expects 3-4 customers &gt;10% to persist. Read literally, the rubric's R1 bands key off the TOP customer only, and 33% falls in band 3 ('top customer 25-40%'). Read on intent - aggregate dependence on a tiny buyer set - 84% top-4 is band 2 or worse. Held at 2 for three reasons: (1) the 2026-09-01 briefing explicitly said hold, do not upgrade; (2) an upgrade would RAISE the score of a name that just fell 20%, which is exactly the direction to be most skeptical about; (3) the rubric already carries a precedent (the R1 government-monopsony convention) for grading concentration on the shape of the book rather than mechanically on one number. RECOMMENDATION FOR DOM: this is a rubric gap, not a CRDO judgment - R1's bands assume a single dominant customer and do not describe a 33/28/13/10 profile. Worth a rubric clarification; not worth a per-name nudge (feedback_no_rating_nudges).</t>
        </is>
      </c>
      <c r="F2927" s="33" t="inlineStr">
        <is>
          <t>context-2026-09-01.md customer mix; rubric R1 bands + government-customer convention</t>
        </is>
      </c>
      <c r="G2927" s="33" t="inlineStr">
        <is>
          <t>Low</t>
        </is>
      </c>
      <c r="H2927" s="33" t="inlineStr">
        <is>
          <t>Claude proposed</t>
        </is>
      </c>
    </row>
    <row r="2928">
      <c r="A2928" s="33" t="inlineStr">
        <is>
          <t>2026-09-02</t>
        </is>
      </c>
      <c r="B2928" s="33" t="inlineStr">
        <is>
          <t>CRDO</t>
        </is>
      </c>
      <c r="C2928" s="33" t="inlineStr">
        <is>
          <t>D1/D3/D4/D5/R2/R4/R5</t>
        </is>
      </c>
      <c r="E2928" s="33" t="inlineStr">
        <is>
          <t>HELD unchanged (D1 5, D3 4, D4 4, D5 5, R2 4, R4 5, R5 5). Reviewed against the post-earnings briefing; nothing in the Q1 FY27 print contradicts the June/September reads. D5: 84% of revenue from four AI-infrastructure buyers with FY27 growth guided &gt;85% - unchanged in substance. R5 stays 5 per rule 16 (sub-5 R5 is scoped to Layer 10 only; CRDO is Layer 07).</t>
        </is>
      </c>
      <c r="F2928" s="33" t="inlineStr">
        <is>
          <t>context-2026-09-01.md; CLAUDE.md rule 16</t>
        </is>
      </c>
      <c r="G2928" s="33" t="inlineStr">
        <is>
          <t>High</t>
        </is>
      </c>
      <c r="H2928" s="33" t="inlineStr">
        <is>
          <t>Claude proposed</t>
        </is>
      </c>
    </row>
    <row r="2929">
      <c r="A2929" s="33" t="inlineStr">
        <is>
          <t>2026-09-04</t>
        </is>
      </c>
      <c r="B2929" s="33" t="inlineStr">
        <is>
          <t>AVGO</t>
        </is>
      </c>
      <c r="C2929" s="33" t="inlineStr">
        <is>
          <t>M1</t>
        </is>
      </c>
      <c r="D2929" s="33" t="n">
        <v>4</v>
      </c>
      <c r="E2929" s="33" t="inlineStr">
        <is>
          <t>CHANGED 5 -&gt; 4. Rubric band 5 requires 'consensus moving higher'; band 4 = 'net positive revisions, some up, few down'. Revision COUNTS are net positive (last 30d: +1y 6 up/1 down, 0y 2/1, +1q 2/1, 0q 0/1 = 11 up / 4 down) but the LEVEL is flat: +1y EPS 19.39 -&gt; 19.37 over 90d (-0.1%), 0y 11.62 -&gt; 11.64 (+0.2%), +1q 4.11 -&gt; 4.07 (-1.0%), and +1y fell 1.0% in the 7 days AFTER the beat-and-raise (19.57 -&gt; 19.37) as the ~73% Q4 gross-margin guide (vs 78% a year ago) trimmed out-quarters. Beat-and-raise pattern present, consensus not moving higher -&gt; 4. Near-mechanical per the bias check.</t>
        </is>
      </c>
      <c r="F2929" s="33" t="inlineStr">
        <is>
          <t>yfinance eps_trend / eps_revisions pulled 2026-09-04; 8-K 2026-09-02 Ex-99.1 Q4 outlook</t>
        </is>
      </c>
      <c r="G2929" s="33" t="inlineStr">
        <is>
          <t>High</t>
        </is>
      </c>
      <c r="H2929" s="33" t="inlineStr">
        <is>
          <t>Claude proposed</t>
        </is>
      </c>
    </row>
    <row r="2930">
      <c r="A2930" s="33" t="inlineStr">
        <is>
          <t>2026-09-04</t>
        </is>
      </c>
      <c r="B2930" s="33" t="inlineStr">
        <is>
          <t>AVGO</t>
        </is>
      </c>
      <c r="C2930" s="33" t="inlineStr">
        <is>
          <t>M2</t>
        </is>
      </c>
      <c r="D2930" s="33" t="n">
        <v>1</v>
      </c>
      <c r="E2930" s="33" t="inlineStr">
        <is>
          <t>HELD at 1, re-measured. 6-month vs SMH: AVGO +8.7% vs SMH +49.0% from 2026-03-06 = -40.3pp (band 1, lagging &gt;20%). 3-month: -7.1% vs -0.5% = -6.6pp (band 2). 6-month band governs (CRDO 2026-09-02 precedent). Post-print reaction -2.75% on 3x volume did not change the read. Momentum input, not quality - don't fight it.</t>
        </is>
      </c>
      <c r="F2930" s="33" t="inlineStr">
        <is>
          <t>yfinance price history 2026-09-04, AVGO vs SMH, 126/63 trading days; rubric M2 bands</t>
        </is>
      </c>
      <c r="G2930" s="33" t="inlineStr">
        <is>
          <t>High</t>
        </is>
      </c>
      <c r="H2930" s="33" t="inlineStr">
        <is>
          <t>Claude proposed</t>
        </is>
      </c>
    </row>
    <row r="2931">
      <c r="A2931" s="33" t="inlineStr">
        <is>
          <t>2026-09-04</t>
        </is>
      </c>
      <c r="B2931" s="33" t="inlineStr">
        <is>
          <t>AVGO</t>
        </is>
      </c>
      <c r="C2931" s="33" t="inlineStr">
        <is>
          <t>M3</t>
        </is>
      </c>
      <c r="D2931" s="33" t="n">
        <v>4</v>
      </c>
      <c r="E2931" s="33" t="inlineStr">
        <is>
          <t>HELD at 4, re-evidenced. Step 1: exactly ONE insider buying - director Harry You, five open-market P-code buys in the 12-month window: 2025-09-10 x3 (3,550 sh, ~$1.23M same-day aggregate; largest single fill $707K, so the &gt;$1M single-buy path to 5 is not met - consistent with the 2026-05-18 call), 2025-12-22 (1,000 sh @ $325.13) and NEW 2026-06-15 (1,000 sh @ $373.57, post 38,466 sh). One buyer -&gt; 4. The Sep-2025 buys exit the window within days; the June buy keeps the rating alive on its own. FLAGGED FOR DOM, not acted on: selling is heavy and NOT 10b5-1-flagged for the officers - Tan (CEO) 548,154 sh/$185.1M = ~40% of pre-holdings (post 825,998); Brazeal (CLO) 312,767 sh/$109.5M = ~49% across 109 fills (cadence reads like an unflagged plan); Spears (CFO) 108,566 sh/$36.3M = ~26%; Velaga/Kawwas ~52-53%. Samueli's 2.13M sh/$752.9M IS 10b5-1 -&gt; routine. Rubric step 1 makes buying dispositive, so 4 stands; if Dom wants the officer selling to count, that is a rubric change (rule 8), not a per-name nudge.</t>
        </is>
      </c>
      <c r="F2931" s="33" t="inlineStr">
        <is>
          <t>SEC EDGAR Form 4, CIK 1730168, 55 filings 2025-09-10..2026-07-14 (370 transactions parsed, aff10b5One per filing)</t>
        </is>
      </c>
      <c r="G2931" s="33" t="inlineStr">
        <is>
          <t>High</t>
        </is>
      </c>
      <c r="H2931" s="33" t="inlineStr">
        <is>
          <t>Claude proposed</t>
        </is>
      </c>
    </row>
    <row r="2932">
      <c r="A2932" s="33" t="inlineStr">
        <is>
          <t>2026-09-04</t>
        </is>
      </c>
      <c r="B2932" s="33" t="inlineStr">
        <is>
          <t>AVGO</t>
        </is>
      </c>
      <c r="C2932" s="33" t="inlineStr">
        <is>
          <t>D1</t>
        </is>
      </c>
      <c r="D2932" s="33" t="n">
        <v>5</v>
      </c>
      <c r="E2932" s="33" t="inlineStr">
        <is>
          <t>HELD at 5. AI semiconductor revenue $16.7B of $29.6B = 56% in Q3 FY26 (&gt;50% band); Q4 guide ~$21.7B of ~$34.8B = 62%. Already at max.</t>
        </is>
      </c>
      <c r="F2932" s="33" t="inlineStr">
        <is>
          <t>Q3 FY26 call (Tan) + 8-K 2026-09-02 Ex-99.1</t>
        </is>
      </c>
      <c r="G2932" s="33" t="inlineStr">
        <is>
          <t>High</t>
        </is>
      </c>
      <c r="H2932" s="33" t="inlineStr">
        <is>
          <t>Claude proposed</t>
        </is>
      </c>
    </row>
    <row r="2933">
      <c r="A2933" s="33" t="inlineStr">
        <is>
          <t>2026-09-04</t>
        </is>
      </c>
      <c r="B2933" s="33" t="inlineStr">
        <is>
          <t>AVGO</t>
        </is>
      </c>
      <c r="C2933" s="33" t="inlineStr">
        <is>
          <t>D2</t>
        </is>
      </c>
      <c r="D2933" s="33" t="n">
        <v>5</v>
      </c>
      <c r="E2933" s="33" t="inlineStr">
        <is>
          <t>HELD at 5. The 2026-06-12 raise rested on AI bookings &gt; shipments (&gt;$30B vs $10.8B). That metric was DISCONTINUED this quarter - unobserved, not deteriorating. Replacement evidence for the bottleneck: named GW ladders through 2028 at four accounts (Anthropic 1-&gt;5-&gt;10 GW, OpenAI 1.3 then &gt;5 GW, Meta 3 GW, Google multi-tens-of-$B/yr) and 'we have secured the supply to again double AI revenue to ~$115B' in FY27. Dual-sourcing (MediaTek compute die, Marvell attach) is real but is a moat question (D3), not a bottleneck question. Rule 23: D2&lt;-&gt;D3 +0.73, do not move both on one datapoint - neither moved.</t>
        </is>
      </c>
      <c r="F2933" s="33" t="inlineStr">
        <is>
          <t>Q3 FY26 call; 8-K 2026-09-02 Ex-99.1; thesis.md section 3 (PR #51)</t>
        </is>
      </c>
      <c r="G2933" s="33" t="inlineStr">
        <is>
          <t>Medium</t>
        </is>
      </c>
      <c r="H2933" s="33" t="inlineStr">
        <is>
          <t>Claude proposed</t>
        </is>
      </c>
    </row>
    <row r="2934">
      <c r="A2934" s="33" t="inlineStr">
        <is>
          <t>2026-09-04</t>
        </is>
      </c>
      <c r="B2934" s="33" t="inlineStr">
        <is>
          <t>AVGO</t>
        </is>
      </c>
      <c r="C2934" s="33" t="inlineStr">
        <is>
          <t>D3</t>
        </is>
      </c>
      <c r="D2934" s="33" t="n">
        <v>4</v>
      </c>
      <c r="E2934" s="33" t="inlineStr">
        <is>
          <t>HELD at 4. Wide moat with a live, now quantified erosion vector: sell-side retained-share estimates at Google span 55-80%. No observed displacement. Would rate the same if the stock were down 40% (it is down ~40pp vs SMH over 6 months - the bias check is not hypothetical here). Inverse test for 3: would need visible share loss at an anchor account or price concession; neither observed.</t>
        </is>
      </c>
      <c r="F2934" s="33" t="inlineStr">
        <is>
          <t>thesis.md section 6 (PR #51); Q3 FY26 call</t>
        </is>
      </c>
      <c r="G2934" s="33" t="inlineStr">
        <is>
          <t>Medium</t>
        </is>
      </c>
      <c r="H2934" s="33" t="inlineStr">
        <is>
          <t>Claude proposed</t>
        </is>
      </c>
    </row>
    <row r="2935">
      <c r="A2935" s="33" t="inlineStr">
        <is>
          <t>2026-09-04</t>
        </is>
      </c>
      <c r="B2935" s="33" t="inlineStr">
        <is>
          <t>AVGO</t>
        </is>
      </c>
      <c r="C2935" s="33" t="inlineStr">
        <is>
          <t>D4</t>
        </is>
      </c>
      <c r="D2935" s="33" t="n">
        <v>5</v>
      </c>
      <c r="E2935" s="33" t="inlineStr">
        <is>
          <t>HELD at 5. Customer-committed multi-year ramp (GW ladders to 2028) is the buildout for a fabless designer; supply 'secured' for FY27 doubling. Capex itself is small ($532M in Q3) by construction of the model - not a D4 negative.</t>
        </is>
      </c>
      <c r="F2935" s="33" t="inlineStr">
        <is>
          <t>8-K 2026-09-02 Ex-99.1 cash-flow statement; Q3 FY26 call</t>
        </is>
      </c>
      <c r="G2935" s="33" t="inlineStr">
        <is>
          <t>High</t>
        </is>
      </c>
      <c r="H2935" s="33" t="inlineStr">
        <is>
          <t>Claude proposed</t>
        </is>
      </c>
    </row>
    <row r="2936">
      <c r="A2936" s="33" t="inlineStr">
        <is>
          <t>2026-09-04</t>
        </is>
      </c>
      <c r="B2936" s="33" t="inlineStr">
        <is>
          <t>AVGO</t>
        </is>
      </c>
      <c r="C2936" s="33" t="inlineStr">
        <is>
          <t>D5</t>
        </is>
      </c>
      <c r="D2936" s="33" t="n">
        <v>5</v>
      </c>
      <c r="E2936" s="33" t="inlineStr">
        <is>
          <t>HELD at 5. Four named hyperscaler/lab anchors (Google, Meta, Anthropic, OpenAI) plus two unnamed; combined far above the &gt;30% band. Already at max.</t>
        </is>
      </c>
      <c r="F2936" s="33" t="inlineStr">
        <is>
          <t>Q3 FY26 call</t>
        </is>
      </c>
      <c r="G2936" s="33" t="inlineStr">
        <is>
          <t>High</t>
        </is>
      </c>
      <c r="H2936" s="33" t="inlineStr">
        <is>
          <t>Claude proposed</t>
        </is>
      </c>
    </row>
    <row r="2937">
      <c r="A2937" s="33" t="inlineStr">
        <is>
          <t>2026-09-04</t>
        </is>
      </c>
      <c r="B2937" s="33" t="inlineStr">
        <is>
          <t>AVGO</t>
        </is>
      </c>
      <c r="C2937" s="33" t="inlineStr">
        <is>
          <t>R1</t>
        </is>
      </c>
      <c r="D2937" s="33" t="n">
        <v>3</v>
      </c>
      <c r="E2937" s="33" t="inlineStr">
        <is>
          <t>HELD at 3. 10-Q: 'aggregate sales, through all channels, to our top five end customers accounted for approximately 45% of our net revenue for the two fiscal quarters ended May 3, 2026'; the largest (Google, via distributors) sits in the 25-40% band per the 2026-05-18 estimate and nothing disclosed puts it above 40%. Concentration is sharper in outline (six XPU customers, two of them financing capacity through levered vehicles) but the band is unchanged. Rubric gap noted by #51 for CRDO applies here too: bands key off the top customer, not the top-5 = 45%.</t>
        </is>
      </c>
      <c r="F2937" s="33" t="inlineStr">
        <is>
          <t>10-Q Q2 FY26 (filed 2026-06-09), Risk Factors</t>
        </is>
      </c>
      <c r="G2937" s="33" t="inlineStr">
        <is>
          <t>Medium</t>
        </is>
      </c>
      <c r="H2937" s="33" t="inlineStr">
        <is>
          <t>Claude proposed</t>
        </is>
      </c>
    </row>
    <row r="2938">
      <c r="A2938" s="33" t="inlineStr">
        <is>
          <t>2026-09-04</t>
        </is>
      </c>
      <c r="B2938" s="33" t="inlineStr">
        <is>
          <t>AVGO</t>
        </is>
      </c>
      <c r="C2938" s="33" t="inlineStr">
        <is>
          <t>R2</t>
        </is>
      </c>
      <c r="D2938" s="33" t="n">
        <v>4</v>
      </c>
      <c r="E2938" s="33" t="inlineStr">
        <is>
          <t>HELD at 4. No new geographic disclosure this quarter (8-K carries no regional split). Worst plausible shock unchanged: China/export-control tightening on custom-silicon or networking; demand-leg concentration to Asia-shipped supply chain. 10-Q upfront-license split is Americas-dominant ($1,456M vs $137M APAC Q2 FY26). One leg, demand only.</t>
        </is>
      </c>
      <c r="F2938" s="33" t="inlineStr">
        <is>
          <t>10-Q Q2 FY26; 8-K 2026-09-02</t>
        </is>
      </c>
      <c r="G2938" s="33" t="inlineStr">
        <is>
          <t>Medium</t>
        </is>
      </c>
      <c r="H2938" s="33" t="inlineStr">
        <is>
          <t>Claude proposed</t>
        </is>
      </c>
    </row>
    <row r="2939">
      <c r="A2939" s="33" t="inlineStr">
        <is>
          <t>2026-09-04</t>
        </is>
      </c>
      <c r="B2939" s="33" t="inlineStr">
        <is>
          <t>AVGO</t>
        </is>
      </c>
      <c r="C2939" s="33" t="inlineStr">
        <is>
          <t>R3</t>
        </is>
      </c>
      <c r="D2939" s="33" t="n">
        <v>4</v>
      </c>
      <c r="E2939" s="33" t="inlineStr">
        <is>
          <t>HELD at 4 - DEFERRED, not confirmed. ND/EBITDA 0.68 (refreshed 2026-09-04) and net debt improved argue for 5; the off-balance-sheet RVG guarantee on the $35B AI XPV (Apollo/Blackstone; ~$29B max on the initial tranche per thesis section 9) argues against. The Q3 10-Q has NOT been filed (latest 10-Q 2026-06-09) - its guarantee footnote is the deciding document. Do not move on management's 'low risk' characterisation. Rule 23: R3&lt;-&gt;ND/EBITDA +0.77 - this is exactly the case where R3 must carry what the ratio cannot.</t>
        </is>
      </c>
      <c r="F2939" s="33" t="inlineStr">
        <is>
          <t>EDGAR submissions CIK 1730168 checked 2026-09-04 (no 10-Q since 2026-06-09); 8-K 2026-09-02; thesis.md section 9</t>
        </is>
      </c>
      <c r="G2939" s="33" t="inlineStr">
        <is>
          <t>Medium</t>
        </is>
      </c>
      <c r="H2939" s="33" t="inlineStr">
        <is>
          <t>Claude proposed</t>
        </is>
      </c>
    </row>
    <row r="2940">
      <c r="A2940" s="33" t="inlineStr">
        <is>
          <t>2026-09-04</t>
        </is>
      </c>
      <c r="B2940" s="33" t="inlineStr">
        <is>
          <t>AVGO</t>
        </is>
      </c>
      <c r="C2940" s="33" t="inlineStr">
        <is>
          <t>R4</t>
        </is>
      </c>
      <c r="D2940" s="33" t="n">
        <v>4</v>
      </c>
      <c r="E2940" s="33" t="inlineStr">
        <is>
          <t>HELD at 4. 8-K 2026-09-02 Item 8.01 is a $0.65 quarterly dividend declaration only; no investigation or litigation 8-K in the window. Routine.</t>
        </is>
      </c>
      <c r="F2940" s="33" t="inlineStr">
        <is>
          <t>8-K 2026-09-02 Item 8.01; EDGAR filing index</t>
        </is>
      </c>
      <c r="G2940" s="33" t="inlineStr">
        <is>
          <t>High</t>
        </is>
      </c>
      <c r="H2940" s="33" t="inlineStr">
        <is>
          <t>Claude proposed</t>
        </is>
      </c>
    </row>
    <row r="2941">
      <c r="A2941" s="33" t="inlineStr">
        <is>
          <t>2026-09-04</t>
        </is>
      </c>
      <c r="B2941" s="33" t="inlineStr">
        <is>
          <t>AVGO</t>
        </is>
      </c>
      <c r="C2941" s="33" t="inlineStr">
        <is>
          <t>R5</t>
        </is>
      </c>
      <c r="D2941" s="33" t="n">
        <v>5</v>
      </c>
      <c r="E2941" s="33" t="inlineStr">
        <is>
          <t>HELD at 5. Not Layer 10; rule 16 default.</t>
        </is>
      </c>
      <c r="F2941" s="33" t="inlineStr">
        <is>
          <t>CLAUDE.md rule 16</t>
        </is>
      </c>
      <c r="G2941" s="33" t="inlineStr">
        <is>
          <t>High</t>
        </is>
      </c>
      <c r="H2941" s="33" t="inlineStr">
        <is>
          <t>Claude proposed</t>
        </is>
      </c>
    </row>
    <row r="2942">
      <c r="A2942" s="33" t="inlineStr">
        <is>
          <t>2026-09-07</t>
        </is>
      </c>
      <c r="B2942" s="33" t="inlineStr">
        <is>
          <t>DDOG</t>
        </is>
      </c>
      <c r="C2942" s="33" t="inlineStr">
        <is>
          <t>M1</t>
        </is>
      </c>
      <c r="D2942" s="33" t="n">
        <v>4</v>
      </c>
      <c r="E2942" s="33" t="inlineStr">
        <is>
          <t>5→4. FY2026 guide raised ($4.45-4.47B) but Q3 guided to $1.135-1.145B, implying ~29% YoY against 36% delivered — the deceleration is company-guided, driven by the disclosed sequential usage step-down at the largest customer beginning Q3. Beat-and-raise on the full year with a framed-down next quarter is 'net positive, some down', not the unambiguous upward pattern a 5 requires.</t>
        </is>
      </c>
      <c r="F2942" s="33" t="inlineStr">
        <is>
          <t>8-K Ex-99.1 2026-08-06; context-2026-09-07.md</t>
        </is>
      </c>
      <c r="G2942" s="33" t="inlineStr">
        <is>
          <t>High</t>
        </is>
      </c>
      <c r="H2942" s="33" t="inlineStr">
        <is>
          <t>Claude proposed</t>
        </is>
      </c>
    </row>
    <row r="2943">
      <c r="A2943" s="33" t="inlineStr">
        <is>
          <t>2026-09-07</t>
        </is>
      </c>
      <c r="B2943" s="33" t="inlineStr">
        <is>
          <t>CRWD</t>
        </is>
      </c>
      <c r="C2943" s="33" t="inlineStr">
        <is>
          <t>D2</t>
        </is>
      </c>
      <c r="D2943" s="33" t="n">
        <v>4</v>
      </c>
      <c r="E2943" s="33" t="inlineStr">
        <is>
          <t>3→4. Falcon Flex ending ARR &gt;$2.29B, +101% YoY (~39% of total ARR), with module adoption at 51%/35%/26% of subscription customers on six+/seven+/eight+ modules. Deepening attach plus a consumption-style commercial model re-accelerating net new ARR to a record $332.8M (+51%) is demonstrable pricing firmness against a small competitor set (MSFT Defender, PANW, SentinelOne). Also removes an inconsistency with PANW, rated 4 on a weaker platform-position case.</t>
        </is>
      </c>
      <c r="F2943" s="33" t="inlineStr">
        <is>
          <t>8-K Ex-99.1 2026-08-26; context-2026-09-07.md</t>
        </is>
      </c>
      <c r="G2943" s="33" t="inlineStr">
        <is>
          <t>Medium</t>
        </is>
      </c>
      <c r="H2943" s="33" t="inlineStr">
        <is>
          <t>Claude proposed</t>
        </is>
      </c>
    </row>
    <row r="2944">
      <c r="A2944" s="33" t="inlineStr">
        <is>
          <t>2026-09-07</t>
        </is>
      </c>
      <c r="B2944" s="33" t="inlineStr">
        <is>
          <t>CRWD</t>
        </is>
      </c>
      <c r="C2944" s="33" t="inlineStr">
        <is>
          <t>D5</t>
        </is>
      </c>
      <c r="D2944" s="33" t="n">
        <v>3</v>
      </c>
      <c r="E2944" s="33" t="inlineStr">
        <is>
          <t>2→3. Moves from thematic adjacency to a named, shipped demand tie: Anthropic's Mythos model (reported capable of exploiting previously-unknown vulnerabilities) is cited by management as translating into 'mass-market acceptance that AI adoption needs security', and Continuous Identity for AI Agents extends authorization to non-human/agent identities. Held at 3 rather than higher because no AI-specific revenue is broken out — the tie is evidenced by catalyst and product, not by a disclosed revenue share.</t>
        </is>
      </c>
      <c r="F2944" s="33" t="inlineStr">
        <is>
          <t>8-K Ex-99.1 2026-08-26; Qz 2026-08-26; context-2026-09-07.md</t>
        </is>
      </c>
      <c r="G2944" s="33" t="inlineStr">
        <is>
          <t>Medium</t>
        </is>
      </c>
      <c r="H2944" s="33" t="inlineStr">
        <is>
          <t>Claude proposed</t>
        </is>
      </c>
    </row>
    <row r="2945">
      <c r="A2945" s="33" t="inlineStr">
        <is>
          <t>2026-09-07</t>
        </is>
      </c>
      <c r="B2945" s="33" t="inlineStr">
        <is>
          <t>CRWD</t>
        </is>
      </c>
      <c r="C2945" s="33" t="inlineStr">
        <is>
          <t>M1</t>
        </is>
      </c>
      <c r="D2945" s="33" t="n">
        <v>5</v>
      </c>
      <c r="E2945" s="33" t="inlineStr">
        <is>
          <t>4→5. Guidance raised across every metric: FY27 net new ARR growth outlook up 630bps to 34% at the midpoint, FY27 revenue $5.991-6.011B, ARR $6.603-6.612B, non-GAAP EPS $1.25-1.26; shares +11% in extended trade on the print. Textbook beat-and-raise with consensus moving higher.</t>
        </is>
      </c>
      <c r="F2945" s="33" t="inlineStr">
        <is>
          <t>8-K Ex-99.1 2026-08-26; CNBC 2026-08-26; context-2026-09-07.md</t>
        </is>
      </c>
      <c r="G2945" s="33" t="inlineStr">
        <is>
          <t>High</t>
        </is>
      </c>
      <c r="H2945" s="33" t="inlineStr">
        <is>
          <t>Claude proposed</t>
        </is>
      </c>
    </row>
    <row r="2946">
      <c r="A2946" s="33" t="inlineStr">
        <is>
          <t>2026-09-07</t>
        </is>
      </c>
      <c r="B2946" s="33" t="inlineStr">
        <is>
          <t>MDB</t>
        </is>
      </c>
      <c r="C2946" s="33" t="inlineStr">
        <is>
          <t>M2</t>
        </is>
      </c>
      <c r="D2946" s="33" t="n">
        <v>4</v>
      </c>
      <c r="E2946" s="33" t="inlineStr">
        <is>
          <t>3→4. Measured relative strength, not impression: MDB +36.3% vs IGV +18.9% over six months = +17.4pts, inside the 5-20pt band. The three-month read is -4.0pts (in line), consistent with the post-print drawdown. Prior 3 predates the six-month move.</t>
        </is>
      </c>
      <c r="F2946" s="33" t="inlineStr">
        <is>
          <t>yfinance closes through 2026-09-07 vs IGV; rubric M2 6-month band</t>
        </is>
      </c>
      <c r="G2946" s="33" t="inlineStr">
        <is>
          <t>High</t>
        </is>
      </c>
      <c r="H2946" s="33" t="inlineStr">
        <is>
          <t>Claude proposed</t>
        </is>
      </c>
    </row>
    <row r="2947">
      <c r="A2947" s="33" t="inlineStr">
        <is>
          <t>2026-09-07</t>
        </is>
      </c>
      <c r="B2947" s="33" t="inlineStr">
        <is>
          <t>PATH</t>
        </is>
      </c>
      <c r="C2947" s="33" t="inlineStr">
        <is>
          <t>D1</t>
        </is>
      </c>
      <c r="D2947" s="33" t="n">
        <v>2</v>
      </c>
      <c r="E2947" s="33" t="inlineStr">
        <is>
          <t>1→2. Prior 1 ('marketing claims AI exposure but financials don't show it') is no longer accurate: Maestro Case and Maestro Flow are shipped product, 18 of the top 20 deals in the quarter included AI, and named agentic expansions carry dollar figures (7-figure life-sciences expansion across 70 countries with Accenture). Held at 2 and NOT higher because UiPath still discloses no agentic-specific revenue, ARR or consumption, and management says pricing is still being experimented with — this is 'some exposure, growing, not yet material', which is exactly band 2.</t>
        </is>
      </c>
      <c r="F2947" s="33" t="inlineStr">
        <is>
          <t>8-K Ex-99.1 2026-09-03; context-2026-09-07.md</t>
        </is>
      </c>
      <c r="G2947" s="33" t="inlineStr">
        <is>
          <t>Medium</t>
        </is>
      </c>
      <c r="H2947" s="33" t="inlineStr">
        <is>
          <t>Claude proposed</t>
        </is>
      </c>
    </row>
    <row r="2948">
      <c r="A2948" s="33" t="inlineStr">
        <is>
          <t>2026-09-07</t>
        </is>
      </c>
      <c r="B2948" s="33" t="inlineStr">
        <is>
          <t>PATH</t>
        </is>
      </c>
      <c r="C2948" s="33" t="inlineStr">
        <is>
          <t>D2</t>
        </is>
      </c>
      <c r="D2948" s="33" t="n">
        <v>3</v>
      </c>
      <c r="E2948" s="33" t="inlineStr">
        <is>
          <t>2→3. 97% gross retention is direct evidence that switching has real cost, which band 2 ('commoditized, competition mostly on price') denies. Third-party corroboration that others build UiPath into their own delivery stack: Databricks validated-partner status and the Deloitte Ascend embed. Counter-pressure acknowledged and unchanged — hyperscalers and frontier-model vendors are moving into the orchestration layer, and Microsoft Power Automate retains a structural price advantage.</t>
        </is>
      </c>
      <c r="F2948" s="33" t="inlineStr">
        <is>
          <t>8-K Ex-99.1 2026-09-03; context-2026-09-07.md</t>
        </is>
      </c>
      <c r="G2948" s="33" t="inlineStr">
        <is>
          <t>Medium</t>
        </is>
      </c>
      <c r="H2948" s="33" t="inlineStr">
        <is>
          <t>Claude proposed</t>
        </is>
      </c>
    </row>
    <row r="2949">
      <c r="A2949" s="33" t="inlineStr">
        <is>
          <t>2026-09-07</t>
        </is>
      </c>
      <c r="B2949" s="33" t="inlineStr">
        <is>
          <t>PATH</t>
        </is>
      </c>
      <c r="C2949" s="33" t="inlineStr">
        <is>
          <t>D3</t>
        </is>
      </c>
      <c r="D2949" s="33" t="n">
        <v>3</v>
      </c>
      <c r="E2949" s="33" t="inlineStr">
        <is>
          <t>2→3. Pro-moat evidence is now quantified: gross retention 97%, &gt;$1M-ARR customers 387 (+21%), DoD selecting UiPath explicitly on governance, on-prem/data-sovereignty deployment for regulated industries, and the Rule 14 LLC patent suit terminated 2025-09-09. Against: GAAP gross margin compressed 82%→80% on a services-heavy delivery model and R&amp;D fell 15% YoY. Net = 'modest moat, share roughly stable, pricing competitive' (band 3), not band 2's 'losing share possible'.</t>
        </is>
      </c>
      <c r="F2949" s="33" t="inlineStr">
        <is>
          <t>8-K Ex-99.1 2026-09-03; context-2026-09-07.md</t>
        </is>
      </c>
      <c r="G2949" s="33" t="inlineStr">
        <is>
          <t>Medium</t>
        </is>
      </c>
      <c r="H2949" s="33" t="inlineStr">
        <is>
          <t>Claude proposed</t>
        </is>
      </c>
    </row>
    <row r="2950">
      <c r="A2950" s="33" t="inlineStr">
        <is>
          <t>2026-09-07</t>
        </is>
      </c>
      <c r="B2950" s="33" t="inlineStr">
        <is>
          <t>PATH</t>
        </is>
      </c>
      <c r="C2950" s="33" t="inlineStr">
        <is>
          <t>D4</t>
        </is>
      </c>
      <c r="D2950" s="33" t="n">
        <v>2</v>
      </c>
      <c r="E2950" s="33" t="inlineStr">
        <is>
          <t>3→2. Downgrade on disclosed underinvestment: R&amp;D spend is DOWN 15% YoY during a platform pivot to agentic orchestration, alongside $5.0M of restructuring charges and a 42% cut to SBC. Band 2 is 'capex constrained or deferred, underinvesting vs the opportunity' — cutting product investment while repositioning the platform is that, whatever its margin merits. The margin expansion to 22% non-GAAP operating margin is real but is substantially a cost story.</t>
        </is>
      </c>
      <c r="F2950" s="33" t="inlineStr">
        <is>
          <t>8-K Ex-99.1 2026-09-03; context-2026-09-07.md</t>
        </is>
      </c>
      <c r="G2950" s="33" t="inlineStr">
        <is>
          <t>Medium</t>
        </is>
      </c>
      <c r="H2950" s="33" t="inlineStr">
        <is>
          <t>Claude proposed</t>
        </is>
      </c>
    </row>
    <row r="2951">
      <c r="A2951" s="33" t="inlineStr">
        <is>
          <t>2026-09-07</t>
        </is>
      </c>
      <c r="B2951" s="33" t="inlineStr">
        <is>
          <t>PATH</t>
        </is>
      </c>
      <c r="C2951" s="33" t="inlineStr">
        <is>
          <t>D5</t>
        </is>
      </c>
      <c r="D2951" s="33" t="n">
        <v>2</v>
      </c>
      <c r="E2951" s="33" t="inlineStr">
        <is>
          <t>1→2. Band 1 ('no meaningful tie') is contradicted by named, contracted agentic wins: the 7-figure life-sciences expansion across 70 countries with Accenture, the DoD clean-audit expansion, and a top-Canadian-bank logo. Held at 2 rather than higher under rule-23 discipline — with zero disclosed agentic ARR, the tie is demonstrated by anecdote rather than by a metric, which is precisely the deck-claim ceiling the L11 convention warns against generalising past.</t>
        </is>
      </c>
      <c r="F2951" s="33" t="inlineStr">
        <is>
          <t>8-K Ex-99.1 2026-09-03; context-2026-09-07.md</t>
        </is>
      </c>
      <c r="G2951" s="33" t="inlineStr">
        <is>
          <t>Medium</t>
        </is>
      </c>
      <c r="H2951" s="33" t="inlineStr">
        <is>
          <t>Claude proposed</t>
        </is>
      </c>
    </row>
    <row r="2952">
      <c r="A2952" s="33" t="inlineStr">
        <is>
          <t>2026-09-07</t>
        </is>
      </c>
      <c r="B2952" s="33" t="inlineStr">
        <is>
          <t>PATH</t>
        </is>
      </c>
      <c r="C2952" s="33" t="inlineStr">
        <is>
          <t>M1</t>
        </is>
      </c>
      <c r="D2952" s="33" t="n">
        <v>4</v>
      </c>
      <c r="E2952" s="33" t="inlineStr">
        <is>
          <t>3→4. FY27 guidance raised on all three metrics — revenue to $1.789-1.794B (from $1.754-1.759B), ARR to $2.065-2.070B, non-GAAP operating income to ~$445M (from ~$415M) — and all three post-print analyst actions raised price targets. Tempered from 5 because non-GAAP EPS merely met and Canaccord downgraded Buy→Hold on valuation.</t>
        </is>
      </c>
      <c r="F2952" s="33" t="inlineStr">
        <is>
          <t>8-K Ex-99.1 2026-09-03; Benzinga 2026-09-04; context-2026-09-07.md</t>
        </is>
      </c>
      <c r="G2952" s="33" t="inlineStr">
        <is>
          <t>High</t>
        </is>
      </c>
      <c r="H2952" s="33" t="inlineStr">
        <is>
          <t>Claude proposed</t>
        </is>
      </c>
    </row>
    <row r="2953">
      <c r="A2953" s="33" t="inlineStr">
        <is>
          <t>2026-09-07</t>
        </is>
      </c>
      <c r="B2953" s="33" t="inlineStr">
        <is>
          <t>PATH</t>
        </is>
      </c>
      <c r="C2953" s="33" t="inlineStr">
        <is>
          <t>M2</t>
        </is>
      </c>
      <c r="D2953" s="33" t="n">
        <v>4</v>
      </c>
      <c r="E2953" s="33" t="inlineStr">
        <is>
          <t>1→4. The prior 1 was badly stale. Measured: PATH +28.1% vs IGV +18.9% over six months = +9.2pts (band 4); three-month +35.1% vs +9.1% = +26.0pts (band 5). Rated on the rubric's six-month definition. This is despite the -16.6% single-session reaction on 2026-09-04 ($18.22→$15.19), which the six-month window already contains.</t>
        </is>
      </c>
      <c r="F2953" s="33" t="inlineStr">
        <is>
          <t>yfinance closes through 2026-09-07 vs IGV; rubric M2 6-month band</t>
        </is>
      </c>
      <c r="G2953" s="33" t="inlineStr">
        <is>
          <t>High</t>
        </is>
      </c>
      <c r="H2953" s="33" t="inlineStr">
        <is>
          <t>Claude proposed</t>
        </is>
      </c>
    </row>
    <row r="2954">
      <c r="A2954" s="33" t="inlineStr">
        <is>
          <t>2026-09-07</t>
        </is>
      </c>
      <c r="B2954" s="33" t="inlineStr">
        <is>
          <t>PATH</t>
        </is>
      </c>
      <c r="C2954" s="33" t="inlineStr">
        <is>
          <t>R1</t>
        </is>
      </c>
      <c r="D2954" s="33" t="n">
        <v>5</v>
      </c>
      <c r="E2954" s="33" t="inlineStr">
        <is>
          <t>4→5. Now properly evidenced as diversified: ~10,350 total customers, 2,666 above $100K ARR, 387 above $1M, with no single-customer concentration disclosed or implied, and attrition explicitly concentrated in the SMALLEST accounts. That is band 5 ('no customer &gt;15%'). Growing public-sector exposure (DoD) is graded per the rule-27 government-customer convention — program diversification within the government book, not automatic concentration risk.</t>
        </is>
      </c>
      <c r="F2954" s="33" t="inlineStr">
        <is>
          <t>8-K Ex-99.1 2026-09-03; context-2026-09-07.md</t>
        </is>
      </c>
      <c r="G2954" s="33" t="inlineStr">
        <is>
          <t>High</t>
        </is>
      </c>
      <c r="H2954" s="33" t="inlineStr">
        <is>
          <t>Claude proposed</t>
        </is>
      </c>
    </row>
    <row r="2955">
      <c r="A2955" s="33" t="inlineStr">
        <is>
          <t>2026-09-07</t>
        </is>
      </c>
      <c r="B2955" s="33" t="inlineStr">
        <is>
          <t>PATH</t>
        </is>
      </c>
      <c r="C2955" s="33" t="inlineStr">
        <is>
          <t>R4</t>
        </is>
      </c>
      <c r="D2955" s="33" t="n">
        <v>3</v>
      </c>
      <c r="E2955" s="33" t="inlineStr">
        <is>
          <t>5→3. CORRECTION of a cross-name inconsistency, not a new development. Two 2024 securities/derivative matters remain PENDING in S.D.N.Y. and have been pending since before the prior briefing — a name carrying open securities litigation cannot sit in band 5 ('clean, no material overhangs'). MDB is rated R4=3 on materially the same facts (two pending S.D.N.Y. securities dockets); PATH at 5 was indefensible against it. Also weighed: dual-class structure at 35 votes per Class B share (~11% of shares, ~89% of votes) and a CFO transition mid-pivot. Allegations are not findings — band 3 records disclosed pending matters, not wrongdoing.</t>
        </is>
      </c>
      <c r="F2955" s="33" t="inlineStr">
        <is>
          <t>litigation_check.py 2026-09-07 (RECAP); context-2026-09-07.md; cross-check vs MDB R4</t>
        </is>
      </c>
      <c r="G2955" s="33" t="inlineStr">
        <is>
          <t>High</t>
        </is>
      </c>
      <c r="H2955" s="33" t="inlineStr">
        <is>
          <t>Claude proposed</t>
        </is>
      </c>
    </row>
    <row r="2956">
      <c r="A2956" s="33" t="inlineStr">
        <is>
          <t>2026-09-07</t>
        </is>
      </c>
      <c r="B2956" s="33" t="inlineStr">
        <is>
          <t>PATH</t>
        </is>
      </c>
      <c r="C2956" s="33" t="inlineStr">
        <is>
          <t>R5</t>
        </is>
      </c>
      <c r="D2956" s="33" t="n">
        <v>3</v>
      </c>
      <c r="E2956" s="33" t="inlineStr">
        <is>
          <t>2→3. The canonical rule-16 case, and the evidence moved toward durability. Band 1 requires BOTH that AI-native tools can produce the core output AND that active erosion is visible; band 2 requires durability in question with no active erosion. On disclosed metrics through 2026-07-31 the erosion is not merely absent, it is reversing: gross retention 97%, net retention RISING 107%→109%, &gt;$1M-ARR customers +21%, churn concentrated in the smallest accounts. The countervailing 'LLM agents kill RPA' literature traces overwhelmingly to competing AI-agent vendors' own marketing with claims I could not source primarily, and carries near-zero evidentiary weight. Band 3 ('contested but a structural moat — governance, data sovereignty, regulated-industry and DoD deployment — resists core disruption') is the honest read. Falsifiable test carried forward: if the erosion thesis is right, gross retention and the &gt;$1M cohort crack FIRST.</t>
        </is>
      </c>
      <c r="F2956" s="33" t="inlineStr">
        <is>
          <t>8-K Ex-99.1 2026-09-03; context-2026-09-07.md; CLAUDE.md rule 16</t>
        </is>
      </c>
      <c r="G2956" s="33" t="inlineStr">
        <is>
          <t>Medium</t>
        </is>
      </c>
      <c r="H2956" s="33" t="inlineStr">
        <is>
          <t>Claude proposed</t>
        </is>
      </c>
    </row>
    <row r="2957">
      <c r="A2957" s="33" t="inlineStr">
        <is>
          <t>2026-09-07</t>
        </is>
      </c>
      <c r="B2957" s="33" t="inlineStr">
        <is>
          <t>TEM</t>
        </is>
      </c>
      <c r="C2957" s="33" t="inlineStr">
        <is>
          <t>D3</t>
        </is>
      </c>
      <c r="D2957" s="33" t="n">
        <v>4</v>
      </c>
      <c r="E2957" s="33" t="inlineStr">
        <is>
          <t>3→4. Two independent moat dimensions now evidenced: (a) regulatory — FDA approval of xT Tumor Only makes Tempus the first lab holding companion-diagnostic approval for BOTH tumor-only and tumor-normal comprehensive genomic profiling, which management expects to migrate tissue testing to ADLT pricing; (b) data scale — the linked clinical-molecular dataset underwrites the ~$200M of Data and Applications licenses signed in the quarter. Bias check applied (stock +33% over three months): both facts are price-independent. Counterweight recorded — a four-docket two-way patent war with Guardant Health is unresolved in both directions.</t>
        </is>
      </c>
      <c r="F2957" s="33" t="inlineStr">
        <is>
          <t>8-K Ex-99.1 2026-07-30; litigation_check.py 2026-09-07; context-2026-09-07.md</t>
        </is>
      </c>
      <c r="G2957" s="33" t="inlineStr">
        <is>
          <t>Medium</t>
        </is>
      </c>
      <c r="H2957" s="33" t="inlineStr">
        <is>
          <t>Claude proposed</t>
        </is>
      </c>
    </row>
    <row r="2958">
      <c r="A2958" s="33" t="inlineStr">
        <is>
          <t>2026-09-07</t>
        </is>
      </c>
      <c r="B2958" s="33" t="inlineStr">
        <is>
          <t>TEM</t>
        </is>
      </c>
      <c r="C2958" s="33" t="inlineStr">
        <is>
          <t>D5</t>
        </is>
      </c>
      <c r="D2958" s="33" t="n">
        <v>3</v>
      </c>
      <c r="E2958" s="33" t="inlineStr">
        <is>
          <t>1→3. Band 1 ('no meaningful tie') predates the two concrete AI-monetisation facts in this quarter: Tempus delivered the FIRST VERSION OF ITS ONCOLOGY FOUNDATION MODEL to AstraZeneca, and signed ~$200M of Data and Applications licences with named counterparties (BioNTech, Daiichi Sankyo, Level Set Bio, Incyte), with Insights revenue +36% YoY. Under the rule-23 parallel scale this is judged on role: for an AI-native vertical application, contracted model/data revenue with named pharma counterparties is a materially strong tie. Held at 3 rather than 4-5 because Data and Applications is ~24% of revenue and the tie is to pharma R&amp;D budgets rather than to AI-infrastructure buildout.</t>
        </is>
      </c>
      <c r="F2958" s="33" t="inlineStr">
        <is>
          <t>8-K Ex-99.1 2026-07-30; context-2026-09-07.md; CLAUDE.md rule 23</t>
        </is>
      </c>
      <c r="G2958" s="33" t="inlineStr">
        <is>
          <t>Medium</t>
        </is>
      </c>
      <c r="H2958" s="33" t="inlineStr">
        <is>
          <t>Claude proposed</t>
        </is>
      </c>
    </row>
    <row r="2959">
      <c r="A2959" s="33" t="inlineStr">
        <is>
          <t>2026-09-07</t>
        </is>
      </c>
      <c r="B2959" s="33" t="inlineStr">
        <is>
          <t>TEM</t>
        </is>
      </c>
      <c r="C2959" s="33" t="inlineStr">
        <is>
          <t>M1</t>
        </is>
      </c>
      <c r="D2959" s="33" t="n">
        <v>4</v>
      </c>
      <c r="E2959" s="33" t="inlineStr">
        <is>
          <t>3→4. FY2026 guidance raised on both lines — revenue to $1.595-1.605B and full-year Adjusted EBITDA to ~$65M — with Q2 Adjusted EBITDA swinging to +$8.0M from $(5.6)M a year ago. Estimate direction is up.</t>
        </is>
      </c>
      <c r="F2959" s="33" t="inlineStr">
        <is>
          <t>8-K Ex-99.1 2026-07-30; context-2026-09-07.md</t>
        </is>
      </c>
      <c r="G2959" s="33" t="inlineStr">
        <is>
          <t>High</t>
        </is>
      </c>
      <c r="H2959" s="33" t="inlineStr">
        <is>
          <t>Claude proposed</t>
        </is>
      </c>
    </row>
    <row r="2960">
      <c r="A2960" s="33" t="inlineStr">
        <is>
          <t>2026-09-07</t>
        </is>
      </c>
      <c r="B2960" s="33" t="inlineStr">
        <is>
          <t>TEM</t>
        </is>
      </c>
      <c r="C2960" s="33" t="inlineStr">
        <is>
          <t>R3</t>
        </is>
      </c>
      <c r="D2960" s="33" t="n">
        <v>4</v>
      </c>
      <c r="E2960" s="33" t="inlineStr">
        <is>
          <t>3→4. Balance sheet materially better than the band-3 'average leverage' description: $820.7M cash and marketable securities after a $460M offering of 0.00% convertible senior notes due 2032 — a zero-coupon maturity seven years out, i.e. well-spread — against an Adjusted EBITDA line that has turned positive (~$65M guided FY26). Net cash position. Held at 4 not 5 because the company still runs an operating loss and the Personalis consideration, while planned as all-stock, carries an election to pay up to 50% in cash — a real future claim on the cushion.</t>
        </is>
      </c>
      <c r="F2960" s="33" t="inlineStr">
        <is>
          <t>8-K Ex-99.1 2026-07-30; Tempus IR release 2026-07-20; context-2026-09-07.md</t>
        </is>
      </c>
      <c r="G2960" s="33" t="inlineStr">
        <is>
          <t>Medium</t>
        </is>
      </c>
      <c r="H2960" s="33" t="inlineStr">
        <is>
          <t>Claude proposed</t>
        </is>
      </c>
    </row>
    <row r="2961">
      <c r="A2961" s="33" t="inlineStr">
        <is>
          <t>2026-09-07</t>
        </is>
      </c>
      <c r="B2961" s="33" t="inlineStr">
        <is>
          <t>TEM</t>
        </is>
      </c>
      <c r="C2961" s="33" t="inlineStr">
        <is>
          <t>R4</t>
        </is>
      </c>
      <c r="D2961" s="33" t="n">
        <v>3</v>
      </c>
      <c r="E2961" s="33" t="inlineStr">
        <is>
          <t>2→3. The securities overhang cleared: Shouse v. Tempus AI (1:25-cv-06534, N.D. Ill., filed 2025-06-12) TERMINATED 2025-11-17, and no pending federal securities docket appears in RECAP. What remains is commercial patent litigation — a two-way war with Guardant Health across multiple districts (1:25-cv-01013 D. Del.; 3:25-cv-00621 S.D. Cal.; 1:24-cv-00687 D. Del., all pending) — which is real but ordinary-course for diagnostics, i.e. band 3 'pending matters disclosed'. NOT moved to 4/5: two unread 'other fraud' dockets (Farrier 1:26-cv-04246; Barone 1:26-cv-03516, both pending N.D. Ill.) are flagged-not-characterised, and a plaintiff-firm 'examination' of the Personalis related-party structure is marketing, not a filed case, and is set aside per rule-2d discipline.</t>
        </is>
      </c>
      <c r="F2961" s="33" t="inlineStr">
        <is>
          <t>litigation_check.py 2026-09-07 (RECAP); context-2026-09-07.md</t>
        </is>
      </c>
      <c r="G2961" s="33" t="inlineStr">
        <is>
          <t>Medium</t>
        </is>
      </c>
      <c r="H2961" s="33" t="inlineStr">
        <is>
          <t>Claude proposed</t>
        </is>
      </c>
    </row>
    <row r="2962">
      <c r="A2962" s="33" t="inlineStr">
        <is>
          <t>2026-09-07</t>
        </is>
      </c>
      <c r="B2962" s="33" t="inlineStr">
        <is>
          <t>WDC</t>
        </is>
      </c>
      <c r="C2962" s="33" t="inlineStr">
        <is>
          <t>D4</t>
        </is>
      </c>
      <c r="D2962" s="33" t="n">
        <v>3</v>
      </c>
      <c r="E2962" s="33" t="inlineStr">
        <is>
          <t>4→3. Rubric-faithful downgrade that runs against the economics, and is flagged as such. D4 measures where a company sits in its BUILD-OUT cycle. WDC is deliberately not building: nearline supply is short of demand by ~300EB in 2026, projected to widen to ~400EB in 2027 and 2028, and the company is sold out of hard drives for all of calendar 2026 with ASPs at ~$14.30-14.90/TB against stated $25-30/TB targets. That is capacity discipline being converted into price, which is economically excellent and is already credited in D2 (held 5) and the Value/Quality inputs. Under the rubric as written it is 'steady-state capex', not 'active expansion'. SURFACED FOR DOM: this is a case where the D4 ladder treats supply discipline as a negative — a rubric limitation worth a decision, not something to fix by nudging the rating.</t>
        </is>
      </c>
      <c r="F2962" s="33" t="inlineStr">
        <is>
          <t>8-K Ex-99.1 2026-08-05; Tom's Hardware 2026; The Register 2026-02-20; context-2026-09-07.md</t>
        </is>
      </c>
      <c r="G2962" s="33" t="inlineStr">
        <is>
          <t>Medium</t>
        </is>
      </c>
      <c r="H2962" s="33" t="inlineStr">
        <is>
          <t>Claude proposed</t>
        </is>
      </c>
    </row>
    <row r="2963">
      <c r="A2963" s="33" t="inlineStr">
        <is>
          <t>2026-09-07</t>
        </is>
      </c>
      <c r="B2963" s="33" t="inlineStr">
        <is>
          <t>PANW</t>
        </is>
      </c>
      <c r="C2963" s="33" t="inlineStr">
        <is>
          <t>R3</t>
        </is>
      </c>
      <c r="D2963" s="33" t="n">
        <v>4</v>
      </c>
      <c r="E2963" s="33" t="inlineStr">
        <is>
          <t>5→4. The dilution leg of balance-sheet risk moved materially and R3 explicitly covers dilution, not just leverage. Completing CyberArk on 2026-02-11 cost $2.3B of cash plus ~112 million newly issued shares — reported as roughly 13.5% EPS dilution — with FY27 share count guided to 844-847M, alongside a tender for CyberArk's 0.00% convertible notes due 2030 and two further closings (Chronosphere, Console). Held at 4 rather than lower because the cash engine is intact and unimpaired: FY26 adjusted FCF margin 38.4%, guided to 38.0% for FY27, with Q4 adjusted FCF of $1.3B. Band 4 ('modest leverage, maturities well-spread') is the accurate description; band 5's 'no debt concerns / no dilution risk' is not.</t>
        </is>
      </c>
      <c r="F2963" s="33" t="inlineStr">
        <is>
          <t>8-K Ex-99.1 2026-09-01; PANW press release 2026 (CyberArk completion); context-2026-09-07.md</t>
        </is>
      </c>
      <c r="G2963" s="33" t="inlineStr">
        <is>
          <t>High</t>
        </is>
      </c>
      <c r="H2963" s="33" t="inlineStr">
        <is>
          <t>Claude proposed</t>
        </is>
      </c>
    </row>
    <row r="2964">
      <c r="A2964" s="33" t="inlineStr">
        <is>
          <t>2026-09-07</t>
        </is>
      </c>
      <c r="B2964" s="33" t="inlineStr">
        <is>
          <t>APP</t>
        </is>
      </c>
      <c r="C2964" s="33" t="inlineStr">
        <is>
          <t>D4</t>
        </is>
      </c>
      <c r="D2964" s="33" t="n">
        <v>3</v>
      </c>
      <c r="E2964" s="33" t="inlineStr">
        <is>
          <t>4→3. Capital is flowing OUT, not into capacity: $551.3M of Class A shares repurchased and withheld in a single quarter against 335M shares outstanding, with no disclosed capacity or infrastructure expansion programme. Band 4 requires 'capacity growing meaningfully YoY', which is not evidenced for an asset-light advertising platform running an 84% Adjusted EBITDA margin. This is a description of the business model, not a criticism of it.</t>
        </is>
      </c>
      <c r="F2964" s="33" t="inlineStr">
        <is>
          <t>8-K Ex-99.1 2026-08-05; context-2026-09-07.md</t>
        </is>
      </c>
      <c r="G2964" s="33" t="inlineStr">
        <is>
          <t>Medium</t>
        </is>
      </c>
      <c r="H2964" s="33" t="inlineStr">
        <is>
          <t>Claude proposed</t>
        </is>
      </c>
    </row>
    <row r="2965">
      <c r="A2965" s="33" t="inlineStr">
        <is>
          <t>2026-09-07</t>
        </is>
      </c>
      <c r="B2965" s="33" t="inlineStr">
        <is>
          <t>APP</t>
        </is>
      </c>
      <c r="C2965" s="33" t="inlineStr">
        <is>
          <t>M1</t>
        </is>
      </c>
      <c r="D2965" s="33" t="n">
        <v>2</v>
      </c>
      <c r="E2965" s="33" t="inlineStr">
        <is>
          <t>4→2. Q3 2026 revenue guided to $2,055-2,085M against roughly $2.08B modelled and Adjusted EBITDA to $1,710-1,740M, both at or below consensus; Wells Fargo and Piper Sandler cut price targets within hours of the print, citing Axon improving more slowly than the market had priced. Shares fell about 20% on 2026-08-06. Band 2 ('net negative revisions, some cuts') is the direct read.</t>
        </is>
      </c>
      <c r="F2965" s="33" t="inlineStr">
        <is>
          <t>8-K Ex-99.1 2026-08-05; ad-hoc-news 2026; tickeron 2026; context-2026-09-07.md</t>
        </is>
      </c>
      <c r="G2965" s="33" t="inlineStr">
        <is>
          <t>High</t>
        </is>
      </c>
      <c r="H2965" s="33" t="inlineStr">
        <is>
          <t>Claude proposed</t>
        </is>
      </c>
    </row>
    <row r="2966">
      <c r="A2966" s="33" t="inlineStr">
        <is>
          <t>2026-09-07</t>
        </is>
      </c>
      <c r="B2966" s="33" t="inlineStr">
        <is>
          <t>APP</t>
        </is>
      </c>
      <c r="C2966" s="33" t="inlineStr">
        <is>
          <t>M2</t>
        </is>
      </c>
      <c r="D2966" s="33" t="n">
        <v>1</v>
      </c>
      <c r="E2966" s="33" t="inlineStr">
        <is>
          <t>2→1. Measured: APP -36.2% vs IGV +18.9% over six months = -55.1pts, and -42.5% vs +9.1% over three months = -51.6pts. Both windows are far beyond the -20pt threshold for band 1. The rubric's bias check applies in reverse here — a great business with poor price action warrants a low momentum rating, and that is what the rating means.</t>
        </is>
      </c>
      <c r="F2966" s="33" t="inlineStr">
        <is>
          <t>yfinance closes through 2026-09-07 vs IGV; rubric M2 6-month band</t>
        </is>
      </c>
      <c r="G2966" s="33" t="inlineStr">
        <is>
          <t>High</t>
        </is>
      </c>
      <c r="H2966" s="33" t="inlineStr">
        <is>
          <t>Claude proposed</t>
        </is>
      </c>
    </row>
    <row r="2967">
      <c r="A2967" s="33" t="inlineStr">
        <is>
          <t>2026-09-07</t>
        </is>
      </c>
      <c r="B2967" s="33" t="inlineStr">
        <is>
          <t>APP</t>
        </is>
      </c>
      <c r="C2967" s="33" t="inlineStr">
        <is>
          <t>R4</t>
        </is>
      </c>
      <c r="D2967" s="33" t="n">
        <v>1</v>
      </c>
      <c r="E2967" s="33" t="inlineStr">
        <is>
          <t>2→1. Three independent unresolved matters, all pointed at the same mechanism the revenue model depends on. (1) The SEC confirmed (reported 2026-02-20) that its probe involving AppLovin is 'still active and ongoing', examining whether the company violated service agreements with platform partners regarding how it collects and uses data — and declined to release staff correspondence citing risk that individuals of interest could 'fabricate evidence, influence witness testimony and/or destroy or alter certain documents'. (2) A pending consolidated securities class action, Brownback v. AppLovin (4:25-cv-02772, N.D. Cal., filed 2025-03-24), under Exchange Act 10(b)/20(a) and Rule 10b-5, naming Adam Foroughi, Matthew Stumpf and/or Herald Chen, with an amended complaint filed 2025-09-12 adding Basil Shikin. (3) A Dutch privacy class action alleging unlawful collection and trading of personal data including an estimated 1.5 million children. Band 1 is 'major regulatory threat / class action that could be material' and R4 scores RISK, not guilt: every one of these is an ALLEGATION, none is a finding, and the numerous plaintiff-firm 'investigation' press releases are marketing and are explicitly set aside per rule-2d discipline. Note the SEC probe appears in NO docket search — a filings-and-dockets-only view misses it entirely.</t>
        </is>
      </c>
      <c r="F2967" s="33" t="inlineStr">
        <is>
          <t>Bloomberg Law (SEC probe active); litigation_check.py 2026-09-07 (RECAP); JURIST 2026-05; context-2026-09-07.md</t>
        </is>
      </c>
      <c r="G2967" s="33" t="inlineStr">
        <is>
          <t>High</t>
        </is>
      </c>
      <c r="H2967" s="33" t="inlineStr">
        <is>
          <t>Claude proposed</t>
        </is>
      </c>
    </row>
    <row r="2968">
      <c r="A2968" s="33" t="inlineStr">
        <is>
          <t>2026-09-07</t>
        </is>
      </c>
      <c r="B2968" s="33" t="inlineStr">
        <is>
          <t>DDOG</t>
        </is>
      </c>
      <c r="C2968" s="33" t="inlineStr">
        <is>
          <t>R1</t>
        </is>
      </c>
      <c r="D2968" s="33" t="n">
        <v>5</v>
      </c>
      <c r="E2968" s="33" t="inlineStr">
        <is>
          <t>HELD at 5 despite this being the dimension the quarter most implicates — recorded deliberately. The largest customer (nine-figure contract, 17 products, widely reported as OpenAI) RENEWED but reduced usage sequentially, with the step-down starting Q3. On ~$4.45-4.47B of guided FY revenue a nine-figure account is roughly 2-4% of revenue, nowhere near band 4's 15-25% threshold, so the mechanical rating is unchanged. LIMITATION SURFACED: the real exposure is COHORT concentration (the AI-native customer base), which R1 as written does not measure — it scores single-customer share only. Refusing to nudge R1 for a narrative reason; flagging the gap instead.</t>
        </is>
      </c>
      <c r="F2968" s="33" t="inlineStr">
        <is>
          <t>8-K Ex-99.1 2026-08-06; context-2026-09-07.md</t>
        </is>
      </c>
      <c r="G2968" s="33" t="inlineStr">
        <is>
          <t>High</t>
        </is>
      </c>
      <c r="H2968" s="33" t="inlineStr">
        <is>
          <t>Claude proposed</t>
        </is>
      </c>
    </row>
    <row r="2969">
      <c r="A2969" s="33" t="inlineStr">
        <is>
          <t>2026-09-07</t>
        </is>
      </c>
      <c r="B2969" s="33" t="inlineStr">
        <is>
          <t>DDOG</t>
        </is>
      </c>
      <c r="C2969" s="33" t="inlineStr">
        <is>
          <t>D3</t>
        </is>
      </c>
      <c r="D2969" s="33" t="n">
        <v>4</v>
      </c>
      <c r="E2969" s="33" t="inlineStr">
        <is>
          <t>HELD at 4. For: sixth consecutive year a Leader in the Gartner Magic Quadrant for Observability Platforms, ~4,720 customers at &gt;=$100k ARR (+23% YoY), 100+ capabilities launched at DASH 2026, and the Adaptive ML acquisition moving Datadog into the model layer rather than merely consuming it. Against: the largest account demonstrated it can throttle spend at will, and Resolve AI ($125M raised February 2026, founded by OpenTelemetry co-creators) sits ON TOP of Datadog rather than replacing it — which makes the moat the data gravity, not the workflow. Net unchanged.</t>
        </is>
      </c>
      <c r="F2969" s="33" t="inlineStr">
        <is>
          <t>8-K Ex-99.1 2026-08-06; StackScout 2026; context-2026-09-07.md</t>
        </is>
      </c>
      <c r="G2969" s="33" t="inlineStr">
        <is>
          <t>Medium</t>
        </is>
      </c>
      <c r="H2969" s="33" t="inlineStr">
        <is>
          <t>Claude proposed</t>
        </is>
      </c>
    </row>
    <row r="2970">
      <c r="A2970" s="33" t="inlineStr">
        <is>
          <t>2026-09-07</t>
        </is>
      </c>
      <c r="B2970" s="33" t="inlineStr">
        <is>
          <t>DDOG</t>
        </is>
      </c>
      <c r="C2970" s="33" t="inlineStr">
        <is>
          <t>R5</t>
        </is>
      </c>
      <c r="D2970" s="33" t="n">
        <v>4</v>
      </c>
      <c r="E2970" s="33" t="inlineStr">
        <is>
          <t>HELD at 4. Rule-16 band 4 explicitly names consumption-priced data/observability. AI increases telemetry volume, which is the tailwind; the offsetting fact this quarter is that consumption pricing cuts both ways and an AI-native customer dialled it down. That is the consumption model behaving as designed, not agentic disruption of the revenue model.</t>
        </is>
      </c>
      <c r="F2970" s="33" t="inlineStr">
        <is>
          <t>CLAUDE.md rule 16; context-2026-09-07.md</t>
        </is>
      </c>
      <c r="G2970" s="33" t="inlineStr">
        <is>
          <t>High</t>
        </is>
      </c>
      <c r="H2970" s="33" t="inlineStr">
        <is>
          <t>Claude proposed</t>
        </is>
      </c>
    </row>
    <row r="2971">
      <c r="A2971" s="33" t="inlineStr">
        <is>
          <t>2026-09-07</t>
        </is>
      </c>
      <c r="B2971" s="33" t="inlineStr">
        <is>
          <t>DDOG</t>
        </is>
      </c>
      <c r="C2971" s="33" t="inlineStr">
        <is>
          <t>M2</t>
        </is>
      </c>
      <c r="D2971" s="33" t="n">
        <v>5</v>
      </c>
      <c r="E2971" s="33" t="inlineStr">
        <is>
          <t>HELD at 5. Measured: DDOG +69.3% vs IGV +18.9% over six months = +50.4pts, well beyond the &gt;20pt threshold. Recorded divergence: the three-month read is -18.2pts and the stock sits 14.6% below its 50-day SMA, so the trend is rolling over inside a strong six-month window. Rated on the rubric's six-month definition rather than overriding it; the objective 50DMA companion (73.3%) carries the trend-consistency signal separately.</t>
        </is>
      </c>
      <c r="F2971" s="33" t="inlineStr">
        <is>
          <t>yfinance closes through 2026-09-07 vs IGV; momentum_50dma.py 2026-09-07</t>
        </is>
      </c>
      <c r="G2971" s="33" t="inlineStr">
        <is>
          <t>High</t>
        </is>
      </c>
      <c r="H2971" s="33" t="inlineStr">
        <is>
          <t>Claude proposed</t>
        </is>
      </c>
    </row>
    <row r="2972">
      <c r="A2972" s="33" t="inlineStr">
        <is>
          <t>2026-09-07</t>
        </is>
      </c>
      <c r="B2972" s="33" t="inlineStr">
        <is>
          <t>CRWD</t>
        </is>
      </c>
      <c r="C2972" s="33" t="inlineStr">
        <is>
          <t>D3</t>
        </is>
      </c>
      <c r="D2972" s="33" t="n">
        <v>4</v>
      </c>
      <c r="E2972" s="33" t="inlineStr">
        <is>
          <t>HELD at 4, and the bias check is the reason. For a 5: module adoption at 51%/35%/26% on six+/seven+/eight+, Falcon Flex ARR +101%, and dollar-based GROSS retention improving — remarkable lock-in evidence for a vendor that caused a global outage in July 2024. Against a 5: Microsoft Defender's bundling economics remain a live structural threat to 10-year defensibility, which is what band 5 requires. Applying the rubric's own test — would I rate this moat the same way if the stock were down 40% rather than up 96% over six months? — I would rate it 4. So 4.</t>
        </is>
      </c>
      <c r="F2972" s="33" t="inlineStr">
        <is>
          <t>8-K Ex-99.1 2026-08-26; context-2026-09-07.md; rubric D3 bias check</t>
        </is>
      </c>
      <c r="G2972" s="33" t="inlineStr">
        <is>
          <t>Medium</t>
        </is>
      </c>
      <c r="H2972" s="33" t="inlineStr">
        <is>
          <t>Claude proposed</t>
        </is>
      </c>
    </row>
    <row r="2973">
      <c r="A2973" s="33" t="inlineStr">
        <is>
          <t>2026-09-07</t>
        </is>
      </c>
      <c r="B2973" s="33" t="inlineStr">
        <is>
          <t>CRWD</t>
        </is>
      </c>
      <c r="C2973" s="33" t="inlineStr">
        <is>
          <t>R4</t>
        </is>
      </c>
      <c r="D2973" s="33" t="n">
        <v>4</v>
      </c>
      <c r="E2973" s="33" t="inlineStr">
        <is>
          <t>HELD at 4, but for a materially better reason than before — worth recording. All three outage-era matters TERMINATED within the last eight months: In re CrowdStrike Holdings Securities Litigation (1:24-cv-00857, W.D. Tex.) on 2026-01-28; In re CrowdStrike Holding Derivative Litigation (1:24-cv-01031) on 2026-04-16; In re CrowdStrike Stockholder Demand Derivative Litigation (1:25-cv-00543) on 2026-04-06. No PENDING federal securities docket in RECAP. Termination is a docket status and does not distinguish dismissal from settlement; terms were not read. Not moved to 5 because GoSecure v. CrowdStrike (3:26-cv-02372, N.D. Cal., filed 2026-03-18) under the Defend Trade Secrets Act is pending and unread on its merits — that specific docket is what a 5 next pass depends on.</t>
        </is>
      </c>
      <c r="F2973" s="33" t="inlineStr">
        <is>
          <t>litigation_check.py 2026-09-07 (RECAP); context-2026-09-07.md</t>
        </is>
      </c>
      <c r="G2973" s="33" t="inlineStr">
        <is>
          <t>Medium</t>
        </is>
      </c>
      <c r="H2973" s="33" t="inlineStr">
        <is>
          <t>Claude proposed</t>
        </is>
      </c>
    </row>
    <row r="2974">
      <c r="A2974" s="33" t="inlineStr">
        <is>
          <t>2026-09-07</t>
        </is>
      </c>
      <c r="B2974" s="33" t="inlineStr">
        <is>
          <t>CRWD</t>
        </is>
      </c>
      <c r="C2974" s="33" t="inlineStr">
        <is>
          <t>D1</t>
        </is>
      </c>
      <c r="D2974" s="33" t="n">
        <v>2</v>
      </c>
      <c r="E2974" s="33" t="inlineStr">
        <is>
          <t>HELD at 2. The demand tie is real and strengthening, but D1 measures REVENUE SHARE and CrowdStrike breaks out no AI-specific revenue line. Under D1's sourcing rule a rating must cite a filing where AI revenue is disclosed or can be reasonably estimated; neither exists here. Direction is up, magnitude is unevidenced — so the rating does not move.</t>
        </is>
      </c>
      <c r="F2974" s="33" t="inlineStr">
        <is>
          <t>8-K Ex-99.1 2026-08-26; rubric D1 sourcing rule</t>
        </is>
      </c>
      <c r="G2974" s="33" t="inlineStr">
        <is>
          <t>Medium</t>
        </is>
      </c>
      <c r="H2974" s="33" t="inlineStr">
        <is>
          <t>Claude proposed</t>
        </is>
      </c>
    </row>
    <row r="2975">
      <c r="A2975" s="33" t="inlineStr">
        <is>
          <t>2026-09-07</t>
        </is>
      </c>
      <c r="B2975" s="33" t="inlineStr">
        <is>
          <t>MDB</t>
        </is>
      </c>
      <c r="C2975" s="33" t="inlineStr">
        <is>
          <t>R4</t>
        </is>
      </c>
      <c r="D2975" s="33" t="n">
        <v>3</v>
      </c>
      <c r="E2975" s="33" t="inlineStr">
        <is>
          <t>HELD at 3. Two securities dockets remain PENDING and unchanged since the prior briefing: Baxter v. MongoDB (1:24-cv-05191, S.D.N.Y., filed 2024-07-09) and In re MongoDB Shareholder Derivative Litigation (1:24-cv-07594, filed 2024-10-07), both 850 Securities/Commodities under the Exchange Act before Judge Gregory H. Woods III. Allegations, not findings — carried, not new. This rating is also the reference point used to correct PATH's R4 from 5 to 3 this pass.</t>
        </is>
      </c>
      <c r="F2975" s="33" t="inlineStr">
        <is>
          <t>litigation_check.py 2026-09-07 (RECAP); context-2026-09-07.md</t>
        </is>
      </c>
      <c r="G2975" s="33" t="inlineStr">
        <is>
          <t>High</t>
        </is>
      </c>
      <c r="H2975" s="33" t="inlineStr">
        <is>
          <t>Claude proposed</t>
        </is>
      </c>
    </row>
    <row r="2976">
      <c r="A2976" s="33" t="inlineStr">
        <is>
          <t>2026-09-07</t>
        </is>
      </c>
      <c r="B2976" s="33" t="inlineStr">
        <is>
          <t>MDB</t>
        </is>
      </c>
      <c r="C2976" s="33" t="inlineStr">
        <is>
          <t>D3</t>
        </is>
      </c>
      <c r="D2976" s="33" t="n">
        <v>3</v>
      </c>
      <c r="E2976" s="33" t="inlineStr">
        <is>
          <t>HELD at 3, two-sided. For: MongoDB is the PLAINTIFF in MongoDB v. FerretDB (1:25-cv-00641, D. Del., pending) defending the document-API surface against an open-source-compatible reimplementation — offensive moat enforcement, directly on the D3 question; RPO +91% and cRPO +73% far outrun revenue. Against: Atlas growth has printed ~29% for three consecutive quarters, which is the market's read on whether the moat converts into compounding consumption, and Postgres/pgvector pressure is unrefuted. Net unchanged.</t>
        </is>
      </c>
      <c r="F2976" s="33" t="inlineStr">
        <is>
          <t>8-K Ex-99.1 2026-09-01; litigation_check.py 2026-09-07; context-2026-09-07.md</t>
        </is>
      </c>
      <c r="G2976" s="33" t="inlineStr">
        <is>
          <t>Medium</t>
        </is>
      </c>
      <c r="H2976" s="33" t="inlineStr">
        <is>
          <t>Claude proposed</t>
        </is>
      </c>
    </row>
    <row r="2977">
      <c r="A2977" s="33" t="inlineStr">
        <is>
          <t>2026-09-07</t>
        </is>
      </c>
      <c r="B2977" s="33" t="inlineStr">
        <is>
          <t>MDB</t>
        </is>
      </c>
      <c r="C2977" s="33" t="inlineStr">
        <is>
          <t>R5</t>
        </is>
      </c>
      <c r="D2977" s="33" t="n">
        <v>4</v>
      </c>
      <c r="E2977" s="33" t="inlineStr">
        <is>
          <t>HELD at 4. Genuinely two-directional: coding agents could commoditise database selection, or could multiply the number of applications and therefore workloads — management is explicitly betting on the second, and shipped four AI-retrieval capabilities to GA in Atlas (Automated Embeddings via Voyage AI, the Embedding and Reranking API, voyage-code-4, Vector Search in Atlas Stream Processing). No erosion is visible in retention or growth. Consumption-priced data platform is rule-16 band 4.</t>
        </is>
      </c>
      <c r="F2977" s="33" t="inlineStr">
        <is>
          <t>8-K Ex-99.1 2026-09-01; CLAUDE.md rule 16; context-2026-09-07.md</t>
        </is>
      </c>
      <c r="G2977" s="33" t="inlineStr">
        <is>
          <t>Medium</t>
        </is>
      </c>
      <c r="H2977" s="33" t="inlineStr">
        <is>
          <t>Claude proposed</t>
        </is>
      </c>
    </row>
    <row r="2978">
      <c r="A2978" s="33" t="inlineStr">
        <is>
          <t>2026-09-07</t>
        </is>
      </c>
      <c r="B2978" s="33" t="inlineStr">
        <is>
          <t>MDB</t>
        </is>
      </c>
      <c r="C2978" s="33" t="inlineStr">
        <is>
          <t>R3</t>
        </is>
      </c>
      <c r="D2978" s="33" t="n">
        <v>5</v>
      </c>
      <c r="E2978" s="33" t="inlineStr">
        <is>
          <t>HELD at 5. $2.4B cash and investments, a third consecutive quarter of GAAP profitability (net income $40.9M, $0.50 diluted), non-GAAP operating margin 24% versus 15% a year ago, and free cash flow of $137.6M — nearly doubled YoY. Materially better than the picture carried into this pass.</t>
        </is>
      </c>
      <c r="F2978" s="33" t="inlineStr">
        <is>
          <t>8-K Ex-99.1 2026-09-01; context-2026-09-07.md</t>
        </is>
      </c>
      <c r="G2978" s="33" t="inlineStr">
        <is>
          <t>High</t>
        </is>
      </c>
      <c r="H2978" s="33" t="inlineStr">
        <is>
          <t>Claude proposed</t>
        </is>
      </c>
    </row>
    <row r="2979">
      <c r="A2979" s="33" t="inlineStr">
        <is>
          <t>2026-09-07</t>
        </is>
      </c>
      <c r="B2979" s="33" t="inlineStr">
        <is>
          <t>PATH</t>
        </is>
      </c>
      <c r="C2979" s="33" t="inlineStr">
        <is>
          <t>M3</t>
        </is>
      </c>
      <c r="D2979" s="33" t="n">
        <v>3</v>
      </c>
      <c r="E2979" s="33" t="inlineStr">
        <is>
          <t>HELD at 3 per the rubric's own decision procedure. Daniel Dines sold 1.40M shares at ~$16.07 on 2026-08-19 under a 10b5-1 plan, retaining ~26.5M shares (~5% of holdings) — step 2 classifies pre-scheduled 10b5-1 sales as ROUTINE, which defaults to 3 regardless of size. Recorded but deliberately not over-weighted: the aggregate record shows 0 open-market buys across 109 transactions over five years, including through the $9-11 lows. Under the project's stated asymmetry (buying predicts, selling is ambiguous) an absence-of-buying observation is the weaker signal and the rubric provides no band for it. Flagging rather than inventing one.</t>
        </is>
      </c>
      <c r="F2979" s="33" t="inlineStr">
        <is>
          <t>SEC Form 4 filings via context-2026-09-07.md; rubric M3 decision procedure</t>
        </is>
      </c>
      <c r="G2979" s="33" t="inlineStr">
        <is>
          <t>High</t>
        </is>
      </c>
      <c r="H2979" s="33" t="inlineStr">
        <is>
          <t>Claude proposed</t>
        </is>
      </c>
    </row>
    <row r="2980">
      <c r="A2980" s="33" t="inlineStr">
        <is>
          <t>2026-09-07</t>
        </is>
      </c>
      <c r="B2980" s="33" t="inlineStr">
        <is>
          <t>PATH</t>
        </is>
      </c>
      <c r="C2980" s="33" t="inlineStr">
        <is>
          <t>R3</t>
        </is>
      </c>
      <c r="D2980" s="33" t="n">
        <v>5</v>
      </c>
      <c r="E2980" s="33" t="inlineStr">
        <is>
          <t>HELD at 5. $1.405B cash and marketable securities against $69.4M of debt. The $284M H1 decline is discretionary ($268.5M of buybacks plus the $149.4M WorkFusion acquisition), not distress. The dilution leg improved materially: SBC down 42% YoY (21.6%→11.0% of revenue) and share count down 3.1%. Watch item recorded: H1 operating cash flow was flat YoY despite large margin gains because deferred revenue fell $90.2M — confirm in the 10-Q that this is billings seasonality rather than demand.</t>
        </is>
      </c>
      <c r="F2980" s="33" t="inlineStr">
        <is>
          <t>8-K Ex-99.1 2026-09-03; context-2026-09-07.md</t>
        </is>
      </c>
      <c r="G2980" s="33" t="inlineStr">
        <is>
          <t>Medium</t>
        </is>
      </c>
      <c r="H2980" s="33" t="inlineStr">
        <is>
          <t>Claude proposed</t>
        </is>
      </c>
    </row>
    <row r="2981">
      <c r="A2981" s="33" t="inlineStr">
        <is>
          <t>2026-09-07</t>
        </is>
      </c>
      <c r="B2981" s="33" t="inlineStr">
        <is>
          <t>PATH</t>
        </is>
      </c>
      <c r="C2981" s="33" t="inlineStr">
        <is>
          <t>R2</t>
        </is>
      </c>
      <c r="D2981" s="33" t="n">
        <v>4</v>
      </c>
      <c r="E2981" s="33" t="inlineStr">
        <is>
          <t>HELD at 4, with a newly quantified exposure recorded. FY2027 carries a $20M FX headwind ($18M in H2), and Q2 revenue grew +13.4% reported against +16% normalised for currency — a ~300bps translation drag; accumulated OCI fell $36.6M to $14.7M over six months. This is a currency-translation demand exposure rather than a geopolitical risk-geography or asset-location shock, so it does not move the band by itself. NOT moved to 5 because the rubric requires naming the worst plausible shock and the % of revenue exposed, and no geographic revenue breakout was pulled this pass — flagged as not done.</t>
        </is>
      </c>
      <c r="F2981" s="33" t="inlineStr">
        <is>
          <t>8-K Ex-99.1 2026-09-03; context-2026-09-07.md; rubric R2 rationale requirement</t>
        </is>
      </c>
      <c r="G2981" s="33" t="inlineStr">
        <is>
          <t>Low</t>
        </is>
      </c>
      <c r="H2981" s="33" t="inlineStr">
        <is>
          <t>Claude proposed</t>
        </is>
      </c>
    </row>
    <row r="2982">
      <c r="A2982" s="33" t="inlineStr">
        <is>
          <t>2026-09-07</t>
        </is>
      </c>
      <c r="B2982" s="33" t="inlineStr">
        <is>
          <t>TEM</t>
        </is>
      </c>
      <c r="C2982" s="33" t="inlineStr">
        <is>
          <t>D1</t>
        </is>
      </c>
      <c r="D2982" s="33" t="n">
        <v>5</v>
      </c>
      <c r="E2982" s="33" t="inlineStr">
        <is>
          <t>HELD at 5, and flagged for scrutiny next pass rather than changed without evidence. Supporting: Data and Applications is $93.2M (+28%) with Insights (data licensing and modelling) +36%, the first oncology foundation model was delivered to AstraZeneca, and the diagnostics franchise is underwritten by AI interpretation of a linked clinical-molecular dataset. The open question I could not resolve this pass is whether the ~76% of revenue that is Diagnostics should count as AI-DRIVEN or as a lab-services business with an AI overlay — that is the rubric's own 'AI-adjacent vs AI-driven' failure mode, and it deserves a deliberate answer before the 5 is trusted further.</t>
        </is>
      </c>
      <c r="F2982" s="33" t="inlineStr">
        <is>
          <t>8-K Ex-99.1 2026-07-30; rubric D1 failure modes; context-2026-09-07.md</t>
        </is>
      </c>
      <c r="G2982" s="33" t="inlineStr">
        <is>
          <t>Low</t>
        </is>
      </c>
      <c r="H2982" s="33" t="inlineStr">
        <is>
          <t>Claude proposed</t>
        </is>
      </c>
    </row>
    <row r="2983">
      <c r="A2983" s="33" t="inlineStr">
        <is>
          <t>2026-09-07</t>
        </is>
      </c>
      <c r="B2983" s="33" t="inlineStr">
        <is>
          <t>TEM</t>
        </is>
      </c>
      <c r="C2983" s="33" t="inlineStr">
        <is>
          <t>R1</t>
        </is>
      </c>
      <c r="D2983" s="33" t="n">
        <v>3</v>
      </c>
      <c r="E2983" s="33" t="inlineStr">
        <is>
          <t>HELD at 3. Named data-licensing counterparties (BioNTech, Daiichi Sankyo, Level Set Bio, Incyte, AstraZeneca) suggest breadth, and ~$200M of new licences were signed in the quarter, but PER-CUSTOMER concentration was not quantified in this pass. Holding the existing band rather than moving on an impression — flagged as not done.</t>
        </is>
      </c>
      <c r="F2983" s="33" t="inlineStr">
        <is>
          <t>8-K Ex-99.1 2026-07-30; context-2026-09-07.md</t>
        </is>
      </c>
      <c r="G2983" s="33" t="inlineStr">
        <is>
          <t>Low</t>
        </is>
      </c>
      <c r="H2983" s="33" t="inlineStr">
        <is>
          <t>Claude proposed</t>
        </is>
      </c>
    </row>
    <row r="2984">
      <c r="A2984" s="33" t="inlineStr">
        <is>
          <t>2026-09-07</t>
        </is>
      </c>
      <c r="B2984" s="33" t="inlineStr">
        <is>
          <t>WDC</t>
        </is>
      </c>
      <c r="C2984" s="33" t="inlineStr">
        <is>
          <t>D2</t>
        </is>
      </c>
      <c r="D2984" s="33" t="n">
        <v>5</v>
      </c>
      <c r="E2984" s="33" t="inlineStr">
        <is>
          <t>HELD at 5, with materially strengthened evidence. Sold out of hard drives for all of calendar 2026 against firm purchase orders from the top seven customers; commercial agreements with three of the top five customers, two running through calendar 2027 and one through 2028; blended nearline ASPs of ~$14.30-14.90/TB against suppliers' stated $25-30/TB target pricing. Lead times and pricing power are demonstrable in the literal sense band 5 describes, and the cycle now has contractual duration rather than quarterly visibility.</t>
        </is>
      </c>
      <c r="F2984" s="33" t="inlineStr">
        <is>
          <t>8-K Ex-99.1 2026-08-05; Tom's Hardware 2026; winbuzzer 2026-02-18; context-2026-09-07.md</t>
        </is>
      </c>
      <c r="G2984" s="33" t="inlineStr">
        <is>
          <t>High</t>
        </is>
      </c>
      <c r="H2984" s="33" t="inlineStr">
        <is>
          <t>Claude proposed</t>
        </is>
      </c>
    </row>
    <row r="2985">
      <c r="A2985" s="33" t="inlineStr">
        <is>
          <t>2026-09-07</t>
        </is>
      </c>
      <c r="B2985" s="33" t="inlineStr">
        <is>
          <t>WDC</t>
        </is>
      </c>
      <c r="C2985" s="33" t="inlineStr">
        <is>
          <t>D3</t>
        </is>
      </c>
      <c r="D2985" s="33" t="n">
        <v>4</v>
      </c>
      <c r="E2985" s="33" t="inlineStr">
        <is>
          <t>HELD at 4, resisting the upgrade the price action invites. A three-supplier oligopoly with a multi-year structural capacity shortfall is a strong position, but band 5 requires plausible 10+ year defensibility, and long-run NAND/SSD substitution economics remain a genuine open question even though supply is short by ~300EB today and NAND is visibly NOT absorbing nearline demand. Bias check applied: the stock is +78.4% over six months, which is not moat evidence.</t>
        </is>
      </c>
      <c r="F2985" s="33" t="inlineStr">
        <is>
          <t>8-K Ex-99.1 2026-08-05; The Register 2026-02-20; rubric D3 bias check</t>
        </is>
      </c>
      <c r="G2985" s="33" t="inlineStr">
        <is>
          <t>Medium</t>
        </is>
      </c>
      <c r="H2985" s="33" t="inlineStr">
        <is>
          <t>Claude proposed</t>
        </is>
      </c>
    </row>
    <row r="2986">
      <c r="A2986" s="33" t="inlineStr">
        <is>
          <t>2026-09-07</t>
        </is>
      </c>
      <c r="B2986" s="33" t="inlineStr">
        <is>
          <t>WDC</t>
        </is>
      </c>
      <c r="C2986" s="33" t="inlineStr">
        <is>
          <t>R1</t>
        </is>
      </c>
      <c r="D2986" s="33" t="n">
        <v>3</v>
      </c>
      <c r="E2986" s="33" t="inlineStr">
        <is>
          <t>HELD at 3. Hyperscaler forward orders have taken 85-95% of nearline capacity since Q2 2025 with firm orders from the top seven customers — real and material concentration, currently expressed as strength rather than as risk. Held rather than lowered because no single customer is disclosed above band 2's 40-60% threshold; as with DDOG this pass, the exposure is cohort-level and R1 measures single-customer share.</t>
        </is>
      </c>
      <c r="F2986" s="33" t="inlineStr">
        <is>
          <t>8-K Ex-99.1 2026-08-05; context-2026-09-07.md</t>
        </is>
      </c>
      <c r="G2986" s="33" t="inlineStr">
        <is>
          <t>Medium</t>
        </is>
      </c>
      <c r="H2986" s="33" t="inlineStr">
        <is>
          <t>Claude proposed</t>
        </is>
      </c>
    </row>
    <row r="2987">
      <c r="A2987" s="33" t="inlineStr">
        <is>
          <t>2026-09-07</t>
        </is>
      </c>
      <c r="B2987" s="33" t="inlineStr">
        <is>
          <t>WDC</t>
        </is>
      </c>
      <c r="C2987" s="33" t="inlineStr">
        <is>
          <t>R2</t>
        </is>
      </c>
      <c r="D2987" s="33" t="n">
        <v>4</v>
      </c>
      <c r="E2987" s="33" t="inlineStr">
        <is>
          <t>HELD at 4 with an explicit gap flagged. WDC's manufacturing footprint in South-East Asia is an ASSET leg under the revised R2 framework, which if assessed could support a 2-3, but the 10-K Item 2 property/asset-location analysis was NOT run in this pass. Holding the incumbent band rather than moving in either direction on an unexamined leg — this is the single weakest-evidenced rating in the eight-name pass and should be the first R2 refreshed next time.</t>
        </is>
      </c>
      <c r="F2987" s="33" t="inlineStr">
        <is>
          <t>rubric R2 three-leg framework; context-2026-09-07.md (flagged as not done)</t>
        </is>
      </c>
      <c r="G2987" s="33" t="inlineStr">
        <is>
          <t>Low</t>
        </is>
      </c>
      <c r="H2987" s="33" t="inlineStr">
        <is>
          <t>Claude proposed</t>
        </is>
      </c>
    </row>
    <row r="2988">
      <c r="A2988" s="33" t="inlineStr">
        <is>
          <t>2026-09-07</t>
        </is>
      </c>
      <c r="B2988" s="33" t="inlineStr">
        <is>
          <t>PANW</t>
        </is>
      </c>
      <c r="C2988" s="33" t="inlineStr">
        <is>
          <t>M3</t>
        </is>
      </c>
      <c r="D2988" s="33" t="n">
        <v>5</v>
      </c>
      <c r="E2988" s="33" t="inlineStr">
        <is>
          <t>HELD at 5 — but flagged as UNVERIFIED this pass and the highest-priority item for the next one. A 5 asserts multiple insider open-market purchases (or a single discretionary buy above $1M); no Form 4 review was performed in this refresh, so the rating rests entirely on whenever it was last set. It is also the only 5 on M3 across the eight names in this rotation, which means it carries disproportionate weight in PANW's Momentum score. Verify against EDGAR Form 4 filings before trusting it further.</t>
        </is>
      </c>
      <c r="F2988" s="33" t="inlineStr">
        <is>
          <t>not refreshed this pass — flagged per rule 3; context-2026-09-07.md</t>
        </is>
      </c>
      <c r="G2988" s="33" t="inlineStr">
        <is>
          <t>Low</t>
        </is>
      </c>
      <c r="H2988" s="33" t="inlineStr">
        <is>
          <t>Claude proposed</t>
        </is>
      </c>
    </row>
    <row r="2989">
      <c r="A2989" s="33" t="inlineStr">
        <is>
          <t>2026-09-07</t>
        </is>
      </c>
      <c r="B2989" s="33" t="inlineStr">
        <is>
          <t>PANW</t>
        </is>
      </c>
      <c r="C2989" s="33" t="inlineStr">
        <is>
          <t>D3</t>
        </is>
      </c>
      <c r="D2989" s="33" t="n">
        <v>4</v>
      </c>
      <c r="E2989" s="33" t="inlineStr">
        <is>
          <t>HELD at 4. Platform consolidation across three adjacent categories at once (CyberArk identity, Chronosphere observability, Console agentic workflow) strengthens the bundling position, and RPO of $21.2B (+34%) with a reiterated $20B NGS ARR by FY30 target is real forward commitment. The offsetting question, recorded rather than resolved: whether a moat assembled by roll-up is the same thing as an earned one — and CyberArk's reported ARR is 2-3% LOWER under PANW's accounting definition than under its previous bookings-based definition, a disclosed downward restatement of the acquired base.</t>
        </is>
      </c>
      <c r="F2989" s="33" t="inlineStr">
        <is>
          <t>8-K Ex-99.1 2026-09-01; TIKR 2026; context-2026-09-07.md</t>
        </is>
      </c>
      <c r="G2989" s="33" t="inlineStr">
        <is>
          <t>Medium</t>
        </is>
      </c>
      <c r="H2989" s="33" t="inlineStr">
        <is>
          <t>Claude proposed</t>
        </is>
      </c>
    </row>
    <row r="2990">
      <c r="A2990" s="33" t="inlineStr">
        <is>
          <t>2026-09-07</t>
        </is>
      </c>
      <c r="B2990" s="33" t="inlineStr">
        <is>
          <t>APP</t>
        </is>
      </c>
      <c r="C2990" s="33" t="inlineStr">
        <is>
          <t>D3</t>
        </is>
      </c>
      <c r="D2990" s="33" t="n">
        <v>3</v>
      </c>
      <c r="E2990" s="33" t="inlineStr">
        <is>
          <t>HELD at 3, and this is the dimension most directly challenged. The moat IS Axon's rate of self-improvement, and management has now told the market that rate was 'lighter than normal' in a specific quarter — attributing the guidance shortfall to the model, NOT to weaker advertiser demand. That is a warning, not yet erosion: revenue still grew 53% with an 84% Adjusted EBITDA margin, so band 2's 'losing share possible, price-taker behaviour' is not evidenced. Deliberately not double-counting this single datapoint across D2 (held 4) and D3. The falsifiable thing to track is the next two quarters of Axon improvement commentary.</t>
        </is>
      </c>
      <c r="F2990" s="33" t="inlineStr">
        <is>
          <t>8-K Ex-99.1 2026-08-05; ad-hoc-news 2026; context-2026-09-07.md</t>
        </is>
      </c>
      <c r="G2990" s="33" t="inlineStr">
        <is>
          <t>Medium</t>
        </is>
      </c>
      <c r="H2990" s="33" t="inlineStr">
        <is>
          <t>Claude proposed</t>
        </is>
      </c>
    </row>
    <row r="2991">
      <c r="A2991" s="33" t="inlineStr">
        <is>
          <t>2026-09-07</t>
        </is>
      </c>
      <c r="B2991" s="33" t="inlineStr">
        <is>
          <t>APP</t>
        </is>
      </c>
      <c r="C2991" s="33" t="inlineStr">
        <is>
          <t>R5</t>
        </is>
      </c>
      <c r="D2991" s="33" t="n">
        <v>4</v>
      </c>
      <c r="E2991" s="33" t="inlineStr">
        <is>
          <t>HELD at 4 — deliberately resisting a pile-on. The rule-16 band-4 language covers AI-native beneficiaries, which AppLovin is: its core product IS an AI model. The genuine terminal-value question is whether a better model (Meta Advantage+, Google) out-improves Axon, but that is the D3 competitive question in different clothes, and no ACTIVE erosion is visible in a quarter of 53% revenue growth and record profit. Noting the temptation and the discipline: the name is already down 43% over three months and carries four other downgrades this pass, which is exactly when an unevidenced fifth becomes easy to justify.</t>
        </is>
      </c>
      <c r="F2991" s="33" t="inlineStr">
        <is>
          <t>CLAUDE.md rule 16; 8-K Ex-99.1 2026-08-05; context-2026-09-07.md</t>
        </is>
      </c>
      <c r="G2991" s="33" t="inlineStr">
        <is>
          <t>Medium</t>
        </is>
      </c>
      <c r="H2991" s="33" t="inlineStr">
        <is>
          <t>Claude proposed</t>
        </is>
      </c>
    </row>
    <row r="2992">
      <c r="A2992" s="33" t="inlineStr">
        <is>
          <t>2026-09-07</t>
        </is>
      </c>
      <c r="B2992" s="33" t="inlineStr">
        <is>
          <t>APP</t>
        </is>
      </c>
      <c r="C2992" s="33" t="inlineStr">
        <is>
          <t>R1</t>
        </is>
      </c>
      <c r="D2992" s="33" t="n">
        <v>4</v>
      </c>
      <c r="E2992" s="33" t="inlineStr">
        <is>
          <t>HELD at 4. The advertiser mix shift toward e-commerce self-serve was NOT quantified in this pass and no advertiser-concentration disclosure was reviewed. Flagged as not done rather than rated on impression.</t>
        </is>
      </c>
      <c r="F2992" s="33" t="inlineStr">
        <is>
          <t>not examined this pass — flagged per rule 3; context-2026-09-07.md</t>
        </is>
      </c>
      <c r="G2992" s="33" t="inlineStr">
        <is>
          <t>Low</t>
        </is>
      </c>
      <c r="H2992" s="33" t="inlineStr">
        <is>
          <t>Claude proposed</t>
        </is>
      </c>
    </row>
    <row r="2993">
      <c r="A2993" s="33" t="inlineStr">
        <is>
          <t>2026-09-07</t>
        </is>
      </c>
      <c r="B2993" s="33" t="inlineStr">
        <is>
          <t>CRM</t>
        </is>
      </c>
      <c r="C2993" s="33" t="inlineStr">
        <is>
          <t>EPS YoY (objective)</t>
        </is>
      </c>
      <c r="E2993" s="33" t="inlineStr">
        <is>
          <t>Rule-15 blank: Q2 FY27 (q/e 2026-07-31) GAAP net income $3,526M vs $1,887M (+86.9%, = yfinance earningsQuarterlyGrowth) dominated by $2,613M 'Gains on strategic investments, net' vs $6M PY; gain = $2.43 of the $4.29 GAAP diluted EPS (Ex-99.1 note 3); income from operations FLAT ($2,331M vs $2,332M), ex-gain net income ~$1.5B = DOWN ~19% YoY. Under the 300% auto-withhold, so the script would have written 86.9 — blanked by hand. NOTE: the press release does not name the investee (the Anthropic attribution is from the briefing thread, not the filing). Growth averages the revenue metrics. [8-K Ex-99.1 filed 2026-08-26]</t>
        </is>
      </c>
      <c r="F2993" s="33" t="inlineStr">
        <is>
          <t>https://www.sec.gov/Archives/edgar/data/1108524/000110852426000187/</t>
        </is>
      </c>
      <c r="G2993" s="33" t="inlineStr">
        <is>
          <t>High</t>
        </is>
      </c>
      <c r="H2993" s="33" t="inlineStr">
        <is>
          <t>Objective refresh</t>
        </is>
      </c>
    </row>
    <row r="2994">
      <c r="A2994" s="33" t="inlineStr">
        <is>
          <t>2026-09-07</t>
        </is>
      </c>
      <c r="B2994" s="33" t="inlineStr">
        <is>
          <t>WDAY</t>
        </is>
      </c>
      <c r="C2994" s="33" t="inlineStr">
        <is>
          <t>EPS YoY (objective)</t>
        </is>
      </c>
      <c r="E2994" s="33" t="inlineStr">
        <is>
          <t>Rule-15 blank: Q2 FY27 (q/e 2026-07-31) GAAP net income $632M vs $228M (+177%) dominated by a $374M deferred-tax benefit from an intra-entity IP transfer in an internal legal-entity restructuring ($1.52 of the $2.57 diluted EPS; Ex-99.1 para 1 + income-tax-effects note); pretax income +7.6% ($327M vs $304M), operating income +26%. Tax one-off = rule-15 class (QCOM 2026-06-15 precedent). Was 226.5 (a GAAP figure off the restructuring-depressed Q1 FY26 base — the 2026-06-17 audit had substituted non-GAAP +19). [8-K Ex-99.1 filed 2026-08-27]</t>
        </is>
      </c>
      <c r="F2994" s="33" t="inlineStr">
        <is>
          <t>https://www.sec.gov/Archives/edgar/data/1327811/000132781126000042/</t>
        </is>
      </c>
      <c r="G2994" s="33" t="inlineStr">
        <is>
          <t>High</t>
        </is>
      </c>
      <c r="H2994" s="33" t="inlineStr">
        <is>
          <t>Objective refresh</t>
        </is>
      </c>
    </row>
    <row r="2995">
      <c r="A2995" s="33" t="inlineStr">
        <is>
          <t>2026-09-07</t>
        </is>
      </c>
      <c r="B2995" s="33" t="inlineStr">
        <is>
          <t>INTU</t>
        </is>
      </c>
      <c r="C2995" s="33" t="inlineStr">
        <is>
          <t>EPS YoY (objective)</t>
        </is>
      </c>
      <c r="E2995" s="33" t="inlineStr">
        <is>
          <t>Rule-15 blank (judgment call — flagged for Dom): Q4 FY26 (q/e 2026-07-31) GAAP net income $363M vs $381M (-4.7%) while pretax income ROSE 47% ($540M vs $366M) and operating income +40%. Sign flip is dominated by the tax swing: $177M provision vs a $15M net BENEFIT in the PY quarter (PY carried $143M excess SBC tax benefits per Ex-99.1 tax note) = -$192M vs +$174M pretax growth — the rule-15 tax-one-off class (TEL 2026-06-24 depressed/inflated-base precedent). Secondary: $293M restructuring charge vs $1M (new 'Plan'), which alone would NOT blank per the META 2026-08-02 in-operating precedent. Reversible: writing the mechanical -4.7 is the alternative. [8-K Ex-99.1 filed 2026-08-25]</t>
        </is>
      </c>
      <c r="F2995" s="33" t="inlineStr">
        <is>
          <t>https://www.sec.gov/Archives/edgar/data/896878/000089687826000029/</t>
        </is>
      </c>
      <c r="G2995" s="33" t="inlineStr">
        <is>
          <t>Medium</t>
        </is>
      </c>
      <c r="H2995" s="33" t="inlineStr">
        <is>
          <t>Objective refresh</t>
        </is>
      </c>
    </row>
    <row r="2996">
      <c r="A2996" s="33" t="inlineStr">
        <is>
          <t>2026-09-07</t>
        </is>
      </c>
      <c r="B2996" s="33" t="inlineStr">
        <is>
          <t>MDB</t>
        </is>
      </c>
      <c r="C2996" s="33" t="inlineStr">
        <is>
          <t>EPS YoY (objective)</t>
        </is>
      </c>
      <c r="E2996" s="33" t="inlineStr">
        <is>
          <t>Blanked (undefined ratio, not rule 15): Q2 FY27 (q/e 2026-07-31) GAAP net income $40.9M vs net LOSS $(47.0)M PY — a loss-to-profit swing has no meaningful YoY %, yfinance returned None, and the guard kept a stale 2.2 from the 7/16 refresh. Same treatment as CRWD (blank, loss-base). The swing itself is operational (income from operations $28.4M vs $(65.3)M, revenue +30.5%) and shows up in the revenue metrics. [8-K Ex-99.1 filed 2026-09-01]</t>
        </is>
      </c>
      <c r="F2996" s="33" t="inlineStr">
        <is>
          <t>https://www.sec.gov/Archives/edgar/data/1441816/000162828026059794/</t>
        </is>
      </c>
      <c r="G2996" s="33" t="inlineStr">
        <is>
          <t>High</t>
        </is>
      </c>
      <c r="H2996" s="33" t="inlineStr">
        <is>
          <t>Objective refresh</t>
        </is>
      </c>
    </row>
    <row r="2997">
      <c r="A2997" s="33" t="inlineStr">
        <is>
          <t>2026-09-07</t>
        </is>
      </c>
      <c r="B2997" s="33" t="inlineStr">
        <is>
          <t>DDOG</t>
        </is>
      </c>
      <c r="C2997" s="33" t="inlineStr">
        <is>
          <t>EPS YoY (objective)</t>
        </is>
      </c>
      <c r="D2997" s="33" t="n">
        <v>1583.3</v>
      </c>
      <c r="E2997" s="33" t="inlineStr">
        <is>
          <t>Rule-15 check, WRITTEN (statement-derived; the script withheld the yfinance +1583% at the 300% guard): Q2 2026 (q/e 2026-06-30) GAAP net income $44,558K vs $2,647K = +1583.3%, operating income swung $(35.5)M -&gt; +$5.5M on revenue +35.6%; other income $46.3M vs $41.6M (interest, recurring); no gain/divestiture/tax one-off. Big operational number off a tiny base = the SEI/CIEN precedent, stays. Was 113.4 (stale, pre-8/6 print). [8-K Ex-99.1 filed 2026-08-06]</t>
        </is>
      </c>
      <c r="F2997" s="33" t="inlineStr">
        <is>
          <t>https://www.sec.gov/Archives/edgar/data/1561550/000162828026053829/</t>
        </is>
      </c>
      <c r="G2997" s="33" t="inlineStr">
        <is>
          <t>High</t>
        </is>
      </c>
      <c r="H2997" s="33" t="inlineStr">
        <is>
          <t>Objective refresh</t>
        </is>
      </c>
    </row>
    <row r="2998">
      <c r="A2998" s="33" t="inlineStr">
        <is>
          <t>2026-09-07</t>
        </is>
      </c>
      <c r="B2998" s="33" t="inlineStr">
        <is>
          <t>HPE</t>
        </is>
      </c>
      <c r="C2998" s="33" t="inlineStr">
        <is>
          <t>EPS YoY (objective)</t>
        </is>
      </c>
      <c r="D2998" s="33" t="n">
        <v>404.9</v>
      </c>
      <c r="E2998" s="33" t="inlineStr">
        <is>
          <t>Rule-15 check, WRITTEN (statement-derived; script withheld yfinance +405%): Q3 FY26 (q/e 2026-07-31) net earnings attributable to HPE $1,540M vs $305M = +404.9%; earnings from operations $1,393M vs $247M (+464%, Juniper consolidation + AI systems). Includes a $444M 'Gain on sale of equity interest' (H3C-related per the non-GAAP note) — ex-gain pretax $1,318M vs $288M is still +358%, so the gain is NOT dominant. Was -30.3 (stale 7/16). [8-K Ex-99.1 filed 2026-09-02]</t>
        </is>
      </c>
      <c r="F2998" s="33" t="inlineStr">
        <is>
          <t>https://www.sec.gov/Archives/edgar/data/1645590/000164559026000078/</t>
        </is>
      </c>
      <c r="G2998" s="33" t="inlineStr">
        <is>
          <t>High</t>
        </is>
      </c>
      <c r="H2998" s="33" t="inlineStr">
        <is>
          <t>Objective refresh</t>
        </is>
      </c>
    </row>
    <row r="2999">
      <c r="A2999" s="33" t="inlineStr">
        <is>
          <t>2026-09-07</t>
        </is>
      </c>
      <c r="B2999" s="33" t="inlineStr">
        <is>
          <t>CIEN</t>
        </is>
      </c>
      <c r="C2999" s="33" t="inlineStr">
        <is>
          <t>EPS YoY (objective)</t>
        </is>
      </c>
      <c r="D2999" s="33" t="n">
        <v>429.6</v>
      </c>
      <c r="E2999" s="33" t="inlineStr">
        <is>
          <t>Rule-15 check, WRITTEN (statement-derived; script withheld yfinance +430%): Q3 FY26 (q/e 2026-08-01) GAAP net income $266.4M vs $50.3M = +429.6%; income from operations $301.2M vs $73.5M (+310%) on revenue +37.0% and gross margin 45.4% vs 41.3%. Only non-operating item is a $7.1M debt-extinguishment LOSS (a headwind). Operational, stays — same ruling as the 2026-06-24 CIEN entry (+2333, which this replaces). [8-K Ex-99.1 filed 2026-09-03]</t>
        </is>
      </c>
      <c r="F2999" s="33" t="inlineStr">
        <is>
          <t>https://www.sec.gov/Archives/edgar/data/936395/000162828026060245/</t>
        </is>
      </c>
      <c r="G2999" s="33" t="inlineStr">
        <is>
          <t>High</t>
        </is>
      </c>
      <c r="H2999" s="33" t="inlineStr">
        <is>
          <t>Objective refresh</t>
        </is>
      </c>
    </row>
    <row r="3000">
      <c r="A3000" s="33" t="inlineStr">
        <is>
          <t>2026-09-07</t>
        </is>
      </c>
      <c r="B3000" s="33" t="inlineStr">
        <is>
          <t>DELL</t>
        </is>
      </c>
      <c r="C3000" s="33" t="inlineStr">
        <is>
          <t>EPS YoY (objective)</t>
        </is>
      </c>
      <c r="D3000" s="33" t="n">
        <v>255.1</v>
      </c>
      <c r="E3000" s="33" t="inlineStr">
        <is>
          <t>Rule-15 check, KEPT mechanical write: Q2 FY27 (q/e 2026-07-31) GAAP net income $4,133M vs $1,164M (+255%), operating income $5,385M vs $1,773M (+204%) on revenue +58% (AI-server ramp); tax expense +262% (no benefit), interest &amp; other a smaller drag. Operational. [8-K Ex-99.1 filed 2026-09-01]</t>
        </is>
      </c>
      <c r="F3000" s="33" t="inlineStr">
        <is>
          <t>https://www.sec.gov/Archives/edgar/data/1571996/000157199626000039/</t>
        </is>
      </c>
      <c r="G3000" s="33" t="inlineStr">
        <is>
          <t>High</t>
        </is>
      </c>
      <c r="H3000" s="33" t="inlineStr">
        <is>
          <t>Objective refresh</t>
        </is>
      </c>
    </row>
    <row r="3001">
      <c r="A3001" s="33" t="inlineStr">
        <is>
          <t>2026-09-07</t>
        </is>
      </c>
      <c r="B3001" s="33" t="inlineStr">
        <is>
          <t>ADSK</t>
        </is>
      </c>
      <c r="C3001" s="33" t="inlineStr">
        <is>
          <t>EPS YoY (objective)</t>
        </is>
      </c>
      <c r="D3001" s="33" t="n">
        <v>57.2</v>
      </c>
      <c r="E3001" s="33" t="inlineStr">
        <is>
          <t>Rule-15 check, KEPT mechanical write: Q2 FY27 (q/e 2026-07-31) GAAP net income $492M vs $313M (+57.2%); income from operations $599M vs $444M (+35%), pretax +30%; the remainder is a lower effective tax rate (17% vs 31%) with no discrete item disclosed in Ex-99.1 — not dominant. Was 223 (the GAAP figure off the restructuring-depressed Q1 FY26 base). [8-K Ex-99.1 filed 2026-08-27]</t>
        </is>
      </c>
      <c r="F3001" s="33" t="inlineStr">
        <is>
          <t>https://www.sec.gov/Archives/edgar/data/769397/000076939726000059/</t>
        </is>
      </c>
      <c r="G3001" s="33" t="inlineStr">
        <is>
          <t>High</t>
        </is>
      </c>
      <c r="H3001" s="33" t="inlineStr">
        <is>
          <t>Objective refresh</t>
        </is>
      </c>
    </row>
    <row r="3002">
      <c r="A3002" s="33" t="inlineStr">
        <is>
          <t>2026-09-07</t>
        </is>
      </c>
      <c r="B3002" s="33" t="inlineStr">
        <is>
          <t>NTAP</t>
        </is>
      </c>
      <c r="C3002" s="33" t="inlineStr">
        <is>
          <t>EPS YoY (objective)</t>
        </is>
      </c>
      <c r="D3002" s="33" t="n">
        <v>60.9</v>
      </c>
      <c r="E3002" s="33" t="inlineStr">
        <is>
          <t>Rule-15 check, KEPT mechanical write: Q1 FY27 (q/e 2026-07-31) GAAP net income $375M vs $233M (+60.9%); income from operations $484M vs $309M (+57%) on revenue +29.9% ($2,025M vs $1,559M — verified, the 29.9 rev YoY is real); absorbed a $56M restructuring charge (headwind). Operational. [8-K Ex-99.1 filed 2026-09-02]</t>
        </is>
      </c>
      <c r="F3002" s="33" t="inlineStr">
        <is>
          <t>https://www.sec.gov/Archives/edgar/data/1002047/000100204726000003/</t>
        </is>
      </c>
      <c r="G3002" s="33" t="inlineStr">
        <is>
          <t>High</t>
        </is>
      </c>
      <c r="H3002" s="33" t="inlineStr">
        <is>
          <t>Objective refresh</t>
        </is>
      </c>
    </row>
    <row r="3003">
      <c r="A3003" s="33" t="inlineStr">
        <is>
          <t>2026-09-07</t>
        </is>
      </c>
      <c r="B3003" s="33" t="inlineStr">
        <is>
          <t>PANW</t>
        </is>
      </c>
      <c r="C3003" s="33" t="inlineStr">
        <is>
          <t>EPS YoY (objective)</t>
        </is>
      </c>
      <c r="E3003" s="33" t="inlineStr">
        <is>
          <t>Preserved blank re-verified: Q4 FY26 (q/e 2026-07-31) GAAP net LOSS $(282)M vs $254M profit (CyberArk/Chronosphere acquisition accounting) — profit-to-loss, ratio undefined. Blank stands (2026-06-17 ruling). [8-K Ex-99.1 filed 2026-09-01]</t>
        </is>
      </c>
      <c r="F3003" s="33" t="inlineStr">
        <is>
          <t>https://www.sec.gov/Archives/edgar/data/1327567/000132756726000019/</t>
        </is>
      </c>
      <c r="G3003" s="33" t="inlineStr">
        <is>
          <t>High</t>
        </is>
      </c>
      <c r="H3003" s="33" t="inlineStr">
        <is>
          <t>Objective refresh</t>
        </is>
      </c>
    </row>
    <row r="3004">
      <c r="A3004" s="33" t="inlineStr">
        <is>
          <t>2026-09-07</t>
        </is>
      </c>
      <c r="B3004" s="33" t="inlineStr">
        <is>
          <t>SNOW</t>
        </is>
      </c>
      <c r="C3004" s="33" t="inlineStr">
        <is>
          <t>EPS YoY (objective)</t>
        </is>
      </c>
      <c r="E3004" s="33" t="inlineStr">
        <is>
          <t>Preserved blank re-verified: Q2 FY27 (q/e 2026-07-31) GAAP net loss $(191.7)M vs $(298.0)M — loss both periods, ratio undefined. Blank stands. [8-K Ex-99.1 filed 2026-09-02]</t>
        </is>
      </c>
      <c r="F3004" s="33" t="inlineStr">
        <is>
          <t>https://www.sec.gov/Archives/edgar/data/1640147/000164014726000033/</t>
        </is>
      </c>
      <c r="G3004" s="33" t="inlineStr">
        <is>
          <t>High</t>
        </is>
      </c>
      <c r="H3004" s="33" t="inlineStr">
        <is>
          <t>Objective refresh</t>
        </is>
      </c>
    </row>
    <row r="3005">
      <c r="A3005" s="33" t="inlineStr">
        <is>
          <t>2026-09-07</t>
        </is>
      </c>
      <c r="B3005" s="33" t="inlineStr">
        <is>
          <t>CRWD</t>
        </is>
      </c>
      <c r="C3005" s="33" t="inlineStr">
        <is>
          <t>EPS YoY (objective)</t>
        </is>
      </c>
      <c r="E3005" s="33" t="inlineStr">
        <is>
          <t>Preserved blank re-verified: Q2 FY27 (q/e 2026-07-31) GAAP net income $5.3M vs net loss $(70.1)M — loss-to-profit, ratio undefined. Blank stands. [8-K Ex-99.1 filed 2026-08-26]</t>
        </is>
      </c>
      <c r="F3005" s="33" t="inlineStr">
        <is>
          <t>https://www.sec.gov/Archives/edgar/data/1535527/000153552726000029/</t>
        </is>
      </c>
      <c r="G3005" s="33" t="inlineStr">
        <is>
          <t>High</t>
        </is>
      </c>
      <c r="H3005" s="33" t="inlineStr">
        <is>
          <t>Objective refresh</t>
        </is>
      </c>
    </row>
    <row r="3006">
      <c r="A3006" s="33" t="inlineStr">
        <is>
          <t>2026-09-07</t>
        </is>
      </c>
      <c r="B3006" s="33" t="inlineStr">
        <is>
          <t>ZS</t>
        </is>
      </c>
      <c r="C3006" s="33" t="inlineStr">
        <is>
          <t>EPS YoY (objective)</t>
        </is>
      </c>
      <c r="E3006" s="33" t="inlineStr">
        <is>
          <t>Preserved blank re-verified: Q4 FY26 (q/e 2026-07-31) GAAP net loss $(3.4)M vs $(17.6)M — loss both periods, ratio undefined. Blank stands (2026-06-17 ruling). [8-K Ex-99.1 filed 2026-09-03]</t>
        </is>
      </c>
      <c r="F3006" s="33" t="inlineStr">
        <is>
          <t>https://www.sec.gov/Archives/edgar/data/1713683/000171368326000156/</t>
        </is>
      </c>
      <c r="G3006" s="33" t="inlineStr">
        <is>
          <t>High</t>
        </is>
      </c>
      <c r="H3006" s="33" t="inlineStr">
        <is>
          <t>Objective refresh</t>
        </is>
      </c>
    </row>
    <row r="3007">
      <c r="A3007" s="73" t="n">
        <v>46273</v>
      </c>
      <c r="B3007" s="33" t="inlineStr">
        <is>
          <t>SPCX</t>
        </is>
      </c>
      <c r="C3007" s="33" t="inlineStr">
        <is>
          <t>D1 AI Rev %</t>
        </is>
      </c>
      <c r="D3007" s="33" t="n">
        <v>4</v>
      </c>
      <c r="E3007" s="33" t="inlineStr">
        <is>
          <t>AI segment Q2 2026 $2,561M / $7,814M total = 32.8%; exceeds 25% band. Cursor ($1B ARR) not yet in numbers — consolidates Q3+. Strong upward trend (was ~17% FY2025).</t>
        </is>
      </c>
      <c r="F3007" s="33" t="inlineStr">
        <is>
          <t>Q2 2026 10-Q segment revenue; Q2 earnings release (filed 2026-08-04)</t>
        </is>
      </c>
      <c r="G3007" s="33" t="inlineStr">
        <is>
          <t>High</t>
        </is>
      </c>
      <c r="H3007" s="33" t="inlineStr">
        <is>
          <t>Raise from 3</t>
        </is>
      </c>
    </row>
    <row r="3008">
      <c r="A3008" s="73" t="n">
        <v>46273</v>
      </c>
      <c r="B3008" s="33" t="inlineStr">
        <is>
          <t>SPCX</t>
        </is>
      </c>
      <c r="C3008" s="33" t="inlineStr">
        <is>
          <t>D5 Hyperscaler/AI Capex</t>
        </is>
      </c>
      <c r="D3008" s="33" t="n">
        <v>5</v>
      </c>
      <c r="E3008" s="33" t="inlineStr">
        <is>
          <t>H1 2026 capex $28.5B → annualized $57B, firmly &gt;$30B/yr buyer-side AI-infra band per rule-23 parallel scale. $14.1B contracted cloud services agreements. $15.8B of Q2 capex specifically AI infrastructure.</t>
        </is>
      </c>
      <c r="F3008" s="33" t="inlineStr">
        <is>
          <t>H1 2026 cash flow statement (capex $28.48B, OCF $3.47B); Q2 2026 earnings release</t>
        </is>
      </c>
      <c r="G3008" s="33" t="inlineStr">
        <is>
          <t>High</t>
        </is>
      </c>
      <c r="H3008" s="33" t="inlineStr">
        <is>
          <t>Raise from 4</t>
        </is>
      </c>
    </row>
    <row r="3009">
      <c r="A3009" s="73" t="n">
        <v>46273</v>
      </c>
      <c r="B3009" s="33" t="inlineStr">
        <is>
          <t>SPCX</t>
        </is>
      </c>
      <c r="C3009" s="33" t="inlineStr">
        <is>
          <t>M1 EPS Revisions (90d)</t>
        </is>
      </c>
      <c r="D3009" s="33" t="n">
        <v>4</v>
      </c>
      <c r="E3009" s="33" t="inlineStr">
        <is>
          <t>Q2 2026 revenue $7.81B vs consensus estimate $6.9B (+13% beat). First quarterly report with analyst coverage; adj EBITDA +191% YoY also beat. Upward revisions expected for subsequent quarters. Only one quarter of estimate history — medium confidence.</t>
        </is>
      </c>
      <c r="F3009" s="33" t="inlineStr">
        <is>
          <t>CNBC Q2 2026 earnings live updates; S&amp;P Global Q2 earnings preview; Visible Alpha consensus</t>
        </is>
      </c>
      <c r="G3009" s="33" t="inlineStr">
        <is>
          <t>Medium</t>
        </is>
      </c>
      <c r="H3009" s="33" t="inlineStr">
        <is>
          <t>New (stub had blank)</t>
        </is>
      </c>
    </row>
    <row r="3010">
      <c r="A3010" s="73" t="n">
        <v>46273</v>
      </c>
      <c r="B3010" s="33" t="inlineStr">
        <is>
          <t>SPCX</t>
        </is>
      </c>
      <c r="C3010" s="33" t="inlineStr">
        <is>
          <t>M2 Relative Strength</t>
        </is>
      </c>
      <c r="D3010" s="33" t="n">
        <v>2</v>
      </c>
      <c r="E3010" s="33" t="inlineStr">
        <is>
          <t>IPO Jun 15 $135, ATH $225.64 same day. Fell to $104.83 by Aug 2 (-53% from ATH). Recovered to $147.95 Sep 7 (still -34% from ATH, +10% from IPO). Extended-hours -8% on Q2 print (capex shock). Underperforming tech benchmark significantly from peak.</t>
        </is>
      </c>
      <c r="F3010" s="33" t="inlineStr">
        <is>
          <t>Yahoo Finance 52-week range; CNBC Q2 earnings reaction; Investing.com price data Sep 7</t>
        </is>
      </c>
      <c r="G3010" s="33" t="inlineStr">
        <is>
          <t>Medium-High</t>
        </is>
      </c>
      <c r="H3010" s="33" t="inlineStr">
        <is>
          <t>New (stub had blank)</t>
        </is>
      </c>
    </row>
    <row r="3011">
      <c r="A3011" s="73" t="n">
        <v>46273</v>
      </c>
      <c r="B3011" s="33" t="inlineStr">
        <is>
          <t>SPCX</t>
        </is>
      </c>
      <c r="C3011" s="33" t="inlineStr">
        <is>
          <t>M3 Insider Activity</t>
        </is>
      </c>
      <c r="D3011" s="33" t="n">
        <v>3</v>
      </c>
      <c r="E3011" s="33" t="inlineStr">
        <is>
          <t>180-day post-IPO lockup (Jun 15 → Dec 15, 2026) almost certainly in effect. No Form 4 open-market transactions possible or expected during window. Default 3 — no negative signals; no meaningful signal yet.</t>
        </is>
      </c>
      <c r="F3011" s="33" t="inlineStr">
        <is>
          <t>Standard 180-day lockup convention; no Form 4 open-market trades in public search results</t>
        </is>
      </c>
      <c r="G3011" s="33" t="inlineStr">
        <is>
          <t>Low</t>
        </is>
      </c>
      <c r="H3011" s="33" t="inlineStr">
        <is>
          <t>New (stub had blank)</t>
        </is>
      </c>
    </row>
    <row r="3012">
      <c r="A3012" s="73" t="n">
        <v>46273</v>
      </c>
      <c r="B3012" s="33" t="inlineStr">
        <is>
          <t>SPCX</t>
        </is>
      </c>
      <c r="C3012" s="33" t="inlineStr">
        <is>
          <t>R3 Balance Sheet Risk</t>
        </is>
      </c>
      <c r="D3012" s="33" t="n">
        <v>5</v>
      </c>
      <c r="E3012" s="33" t="inlineStr">
        <is>
          <t>Post-IPO fortress: $93.5B cash equivalents + $100B total cash/securities, $38.4B total debt → net cash $55.1B. Even at $28.5B/half-year capex run-rate, 12+ months cash runway from cash alone. Unambiguous fortress balance sheet post-IPO proceeds.</t>
        </is>
      </c>
      <c r="F3012" s="33" t="inlineStr">
        <is>
          <t>Q2 2026 10-Q balance sheet; Q2 2026 earnings release (filed 2026-08-04)</t>
        </is>
      </c>
      <c r="G3012" s="33" t="inlineStr">
        <is>
          <t>High</t>
        </is>
      </c>
      <c r="H3012" s="33" t="inlineStr">
        <is>
          <t>Raise from 4</t>
        </is>
      </c>
    </row>
    <row r="3013">
      <c r="A3013" s="73" t="n">
        <v>46273</v>
      </c>
      <c r="B3013" s="33" t="inlineStr">
        <is>
          <t>SPCX</t>
        </is>
      </c>
      <c r="C3013" s="33" t="inlineStr">
        <is>
          <t>Full score gate</t>
        </is>
      </c>
      <c r="E3013" s="33" t="inlineStr">
        <is>
          <t>2026-09-08 full re-score. Both stub gates cleared: (1) first 10-Q filed 2026-08-04; (2) Cursor deal closed 2026-08-14. All objective inputs now populated (see context-2026-09-08.md). Estimated total ~57 (Tier ✓). EPS YoY blank per rule 15; 50DMA% blank (yfinance blocked in cloud session).</t>
        </is>
      </c>
      <c r="F3013" s="33" t="inlineStr">
        <is>
          <t>context-2026-09-08.md; Q2 2026 10-Q; Cursor close announcement</t>
        </is>
      </c>
      <c r="G3013" s="33" t="inlineStr">
        <is>
          <t>High</t>
        </is>
      </c>
      <c r="H3013" s="33" t="inlineStr">
        <is>
          <t>Methodology/Status</t>
        </is>
      </c>
    </row>
    <row r="3014">
      <c r="A3014" s="74" t="n">
        <v>46273</v>
      </c>
      <c r="B3014" s="33" t="inlineStr">
        <is>
          <t>CIEN</t>
        </is>
      </c>
      <c r="C3014" s="33" t="inlineStr">
        <is>
          <t>EPS YoY (objective)</t>
        </is>
      </c>
      <c r="D3014" s="33" t="n">
        <v>429.6</v>
      </c>
      <c r="E3014" s="33" t="inlineStr">
        <is>
          <t>Rule-15 ruling: CONFIRM the GAAP figure, do NOT blank. Fresh yfinance EPS YoY +429.6% tripped the 300% withhold safety net. Primary filing shows the change is operating-dominated: income from operations $301.179M vs $73.535M (+309.6%) on revenue +37.0%, off a depressed PY base. Non-operating delta is recurring (interest expense $5.803M vs $22.806M; interest income $22.388M vs $15.090M — post-refinancing, larger cash balance), and the only disclosed one-time item is a $7.143M loss on debt extinguishment that REDUCES the current period. Per rule 15, 'a big operational number off a small base stays.' Entry recorded in 00-master/eps-yoy-overrides.json (quarter_end 2026-08-01); expires automatically at the next print.</t>
        </is>
      </c>
      <c r="F3014" s="33" t="inlineStr">
        <is>
          <t>8-K Item 2.02 Ex-99.1 filed 2026-09-03, Condensed Consolidated Statements of Operations, qtr ended 2026-08-01 (acc. 0001628280-26-060245)</t>
        </is>
      </c>
      <c r="G3014" s="33" t="inlineStr">
        <is>
          <t>High</t>
        </is>
      </c>
      <c r="H3014" s="33" t="inlineStr">
        <is>
          <t>Objective input ruling (rule 15) — earnings sentinel</t>
        </is>
      </c>
    </row>
    <row r="3015">
      <c r="A3015" s="74" t="n">
        <v>46273</v>
      </c>
      <c r="B3015" s="33" t="inlineStr">
        <is>
          <t>(all)</t>
        </is>
      </c>
      <c r="C3015" s="33" t="inlineStr">
        <is>
          <t>ROIC % (objective) — methodology</t>
        </is>
      </c>
      <c r="E3015" s="33" t="inlineStr">
        <is>
          <t>Rule 34: ROIC changed from a hand-curated cell to a computed TTM figure = operating income x (1 - effective tax rate) / (total assets - current liabilities). Prior column was 84/214 blank, mixed provenance, and carried garbage (CRWD -1263%, PLUG +28% while loss-making). Financing denominator (debt+equity-cash) was tried first and rejected on the data: it collapses for cash-rich names (NTAP 262%, PLTR 451%, GEV 110%). Goodwill included; tax rate clamped [0,0.35] with a 0 floor so genuinely low real rates (AVGO 3.8%, CIEN 8.8%) are not overstated. 191/195 non-foreign computed, 63 blanks filled. Layers 11 and 08 crossed the n=8 line into percentile ranking. Mean |score move| 0.68 pts, 5 tier changes, top-8 essentially unchanged. Foreign local listings excluded by scope choice (metric is currency-neutral; rule 19 does not apply).</t>
        </is>
      </c>
      <c r="F3015" s="33" t="inlineStr">
        <is>
          <t>scripts/roic.py; impact report vs temp workbook (rule 24 method); CLAUDE.md rule 34</t>
        </is>
      </c>
      <c r="G3015" s="33" t="inlineStr">
        <is>
          <t>High</t>
        </is>
      </c>
      <c r="H3015" s="33" t="inlineStr">
        <is>
          <t>Methodology (rule 8, Dom-approved)</t>
        </is>
      </c>
    </row>
    <row r="3016">
      <c r="A3016" s="74" t="n">
        <v>46287</v>
      </c>
      <c r="B3016" s="33" t="inlineStr">
        <is>
          <t>CRWV</t>
        </is>
      </c>
      <c r="C3016" s="33" t="inlineStr">
        <is>
          <t>R1 Customer Concentration</t>
        </is>
      </c>
      <c r="D3016" s="33" t="n">
        <v>2</v>
      </c>
      <c r="E3016" s="33" t="inlineStr">
        <is>
          <t>1-&gt;2. Q2 2026 10-Q Significant Customers: top customer 36% of rev (was 71% a yr ago); B 26%, C 10% (top-2 ~62%, top-3 ~72%). De-concentrates from single-buyer &gt;60% (band 1) toward major-dependency (band 2); held at 2 not 3 because the top-3 hyperscaler oligopsony ~72% keeps structural concentration high.</t>
        </is>
      </c>
      <c r="F3016" s="33" t="inlineStr">
        <is>
          <t>10-Q acc.0001769628-26-000366 (Q2 2026); per-stock/CRWV/context-2026-09-21.md</t>
        </is>
      </c>
      <c r="G3016" s="33" t="inlineStr">
        <is>
          <t>Medium</t>
        </is>
      </c>
      <c r="H3016" s="33" t="inlineStr">
        <is>
          <t>Subjective re-rating (rule 12 weekly refresh)</t>
        </is>
      </c>
    </row>
    <row r="3017">
      <c r="A3017" s="74" t="n">
        <v>46287</v>
      </c>
      <c r="B3017" s="33" t="inlineStr">
        <is>
          <t>CRWV</t>
        </is>
      </c>
      <c r="C3017" s="33" t="inlineStr">
        <is>
          <t>R3 Balance Sheet Risk</t>
        </is>
      </c>
      <c r="D3017" s="33" t="n">
        <v>1</v>
      </c>
      <c r="E3017" s="33" t="inlineStr">
        <is>
          <t>2-&gt;1. Debt ~$35.1B (+~$14B from YE25); interest -$640M/qtr not covered by adj op income ~$128M/qtr; thin equity ~$5.0B vs $77B assets; new DDTL 5.5 $2.6B at SOFR+5.50% adds a 1.35x DSCR covenant + material-contract cross-default tying financing to customer performance. Elevated (band 2) -&gt; stressed (band 1: high leverage + covenant/dilution risk). No going-concern language in the 10-Q is the one mitigant.</t>
        </is>
      </c>
      <c r="F3017" s="33" t="inlineStr">
        <is>
          <t>10-Q acc.0001769628-26-000366; 8-K 2026-08-10; per-stock/CRWV/context-2026-09-21.md</t>
        </is>
      </c>
      <c r="G3017" s="33" t="inlineStr">
        <is>
          <t>Medium</t>
        </is>
      </c>
      <c r="H3017" s="33" t="inlineStr">
        <is>
          <t>Subjective re-rating (rule 12 weekly refresh)</t>
        </is>
      </c>
    </row>
    <row r="3018">
      <c r="A3018" s="74" t="n">
        <v>46287</v>
      </c>
      <c r="B3018" s="33" t="inlineStr">
        <is>
          <t>ETN</t>
        </is>
      </c>
      <c r="C3018" s="33" t="inlineStr">
        <is>
          <t>M1 EPS Revisions</t>
        </is>
      </c>
      <c r="D3018" s="33" t="n">
        <v>5</v>
      </c>
      <c r="E3018" s="33" t="inlineStr">
        <is>
          <t>4-&gt;5. Second consecutive beat-and-raise: record Q2 2026 (rev +21%, adj EPS $3.15 beat), FY26 adj-EPS guide raised a 2nd time to $13.40-13.60. Beat-and-raise pattern = band 5.</t>
        </is>
      </c>
      <c r="F3018" s="33" t="inlineStr">
        <is>
          <t>10-Q 2026-07-31; per-stock/ETN/context-2026-09-21.md</t>
        </is>
      </c>
      <c r="G3018" s="33" t="inlineStr">
        <is>
          <t>High</t>
        </is>
      </c>
      <c r="H3018" s="33" t="inlineStr">
        <is>
          <t>Subjective re-rating (rule 12 weekly refresh)</t>
        </is>
      </c>
    </row>
    <row r="3019">
      <c r="A3019" s="74" t="n">
        <v>46287</v>
      </c>
      <c r="B3019" s="33" t="inlineStr">
        <is>
          <t>HUBB</t>
        </is>
      </c>
      <c r="C3019" s="33" t="inlineStr">
        <is>
          <t>M2 Relative Strength</t>
        </is>
      </c>
      <c r="D3019" s="33" t="n">
        <v>2</v>
      </c>
      <c r="E3019" s="33" t="inlineStr">
        <is>
          <t>3-&gt;2. Stock de-rated -12 to -13% over 1-3 months despite a Q2 beat + FY raise; underperforming the industrials complex (XLI) = band 2 (underperform sector 5-20%). Momentum read, not quality - don't fight the read.</t>
        </is>
      </c>
      <c r="F3019" s="33" t="inlineStr">
        <is>
          <t>per-stock/HUBB/context-2026-09-21.md; Investing.com/Fool Sept 2026</t>
        </is>
      </c>
      <c r="G3019" s="33" t="inlineStr">
        <is>
          <t>Medium</t>
        </is>
      </c>
      <c r="H3019" s="33" t="inlineStr">
        <is>
          <t>Subjective re-rating (rule 12 weekly refresh)</t>
        </is>
      </c>
    </row>
    <row r="3020">
      <c r="A3020" s="74" t="n">
        <v>46287</v>
      </c>
      <c r="B3020" s="33" t="inlineStr">
        <is>
          <t>HUBB</t>
        </is>
      </c>
      <c r="C3020" s="33" t="inlineStr">
        <is>
          <t>R3 Balance Sheet Risk</t>
        </is>
      </c>
      <c r="D3020" s="33" t="n">
        <v>3</v>
      </c>
      <c r="E3020" s="33" t="inlineStr">
        <is>
          <t>4-&gt;3. LT debt more than doubled to $4,803.9M (from $2,036.3M at YE25) to fund the ~$3.0B NSI close; net interest +$24.6M YoY. Leverage steps from ND/EBITDA &lt;2x (band 4) into 2-4x (band 3). IG rating, 1H FCF ~$259M, full $1.0B revolver, no LT maturities within 12mo keep it band 3 not 2.</t>
        </is>
      </c>
      <c r="F3020" s="33" t="inlineStr">
        <is>
          <t>10-Q 2026-07-29 p.42/51; per-stock/HUBB/context-2026-09-21.md</t>
        </is>
      </c>
      <c r="G3020" s="33" t="inlineStr">
        <is>
          <t>Medium</t>
        </is>
      </c>
      <c r="H3020" s="33" t="inlineStr">
        <is>
          <t>Subjective re-rating (rule 12 weekly refresh)</t>
        </is>
      </c>
    </row>
    <row r="3021">
      <c r="A3021" s="74" t="n">
        <v>46287</v>
      </c>
      <c r="B3021" s="33" t="inlineStr">
        <is>
          <t>SBGSY</t>
        </is>
      </c>
      <c r="C3021" s="33" t="inlineStr">
        <is>
          <t>M1 EPS Revisions</t>
        </is>
      </c>
      <c r="D3021" s="33" t="n">
        <v>4</v>
      </c>
      <c r="E3021" s="33" t="inlineStr">
        <is>
          <t>3-&gt;4. H1 2026 record + FY guidance UPGRADE (organic-rev guide raised to +10-13% from +7-10%; EBITA +22% organic, NI +30%). Guidance upgrade implies net-positive revisions = band 4. Held at 4 not 5 pending an explicit ADR analyst-revision feed (foreign filer).</t>
        </is>
      </c>
      <c r="F3021" s="33" t="inlineStr">
        <is>
          <t>se.com H1 2026 release; per-stock/SBGSY/context-2026-09-21.md</t>
        </is>
      </c>
      <c r="G3021" s="33" t="inlineStr">
        <is>
          <t>Medium</t>
        </is>
      </c>
      <c r="H3021" s="33" t="inlineStr">
        <is>
          <t>Subjective re-rating (rule 12 weekly refresh)</t>
        </is>
      </c>
    </row>
    <row r="3022">
      <c r="A3022" s="74" t="n">
        <v>46287</v>
      </c>
      <c r="B3022" s="33" t="inlineStr">
        <is>
          <t>ABBNY</t>
        </is>
      </c>
      <c r="C3022" s="33" t="inlineStr">
        <is>
          <t>M1 EPS Revisions</t>
        </is>
      </c>
      <c r="D3022" s="33" t="n">
        <v>5</v>
      </c>
      <c r="E3022" s="33" t="inlineStr">
        <is>
          <t>4-&gt;5. Two consecutive FY26 guidance raises + sell-side PT increases; 2nd straight record-orders quarter (orders +28%, Electrification +58%). Beat-and-raise pattern = band 5.</t>
        </is>
      </c>
      <c r="F3022" s="33" t="inlineStr">
        <is>
          <t>ABB Q2 2026 results 2026-07-16; per-stock/ABBNY/context-2026-09-21.md</t>
        </is>
      </c>
      <c r="G3022" s="33" t="inlineStr">
        <is>
          <t>Medium-High</t>
        </is>
      </c>
      <c r="H3022" s="33" t="inlineStr">
        <is>
          <t>Subjective re-rating (rule 12 weekly refresh)</t>
        </is>
      </c>
    </row>
    <row r="3023">
      <c r="A3023" s="74" t="n">
        <v>46287</v>
      </c>
      <c r="B3023" s="33" t="inlineStr">
        <is>
          <t>HTHIY</t>
        </is>
      </c>
      <c r="C3023" s="33" t="inlineStr">
        <is>
          <t>M1 EPS Revisions</t>
        </is>
      </c>
      <c r="D3023" s="33" t="n">
        <v>4</v>
      </c>
      <c r="E3023" s="33" t="inlineStr">
        <is>
          <t>3-&gt;4. Q1 FY2026 record + guidance raised across the board (revenue guide +Y600B, adj-EBITA +Y100B; NI/FCF/ROIC outlooks all raised). Broad guidance raise = net-positive revisions, band 4. Held at 4 not 5 pending explicit ADR revision feed (foreign filer).</t>
        </is>
      </c>
      <c r="F3023" s="33" t="inlineStr">
        <is>
          <t>Hitachi 2026_1Q.pdf 2026-07-29; per-stock/HTHIY/context-2026-09-21.md</t>
        </is>
      </c>
      <c r="G3023" s="33" t="inlineStr">
        <is>
          <t>Medium</t>
        </is>
      </c>
      <c r="H3023" s="33" t="inlineStr">
        <is>
          <t>Subjective re-rating (rule 12 weekly refresh)</t>
        </is>
      </c>
    </row>
    <row r="3024">
      <c r="A3024" s="74" t="n">
        <v>46287</v>
      </c>
      <c r="B3024" s="33" t="inlineStr">
        <is>
          <t>ABBNY</t>
        </is>
      </c>
      <c r="C3024" s="33" t="inlineStr">
        <is>
          <t>EV/EBITDA (objective) — deliberate blank</t>
        </is>
      </c>
      <c r="E3024" s="33" t="inlineStr">
        <is>
          <t>Blanked the 102.433 value written by the 2026-09-22 objective refresh: ~102x EV/EBITDA is a transparent artifact for a company at 20.2% op-EBITA margin (rule-19 ADR enterpriseValue corruption; ABB reports USD so the FX branch does not fire, but the ADR EV is still corrupt). Prior state was also blank. Garbage-input principle (rules 10/13/19) + rule 3: better blank than mis-rank the L2 Value percentile. gross_mgn (0-&gt;40.25) and nd_ebitda (blank-&gt;0.46) from the same refresh were KEPT (correct fixes).</t>
        </is>
      </c>
      <c r="F3024" s="33" t="inlineStr">
        <is>
          <t>scripts/refresh_objective_inputs.py dry-run output 2026-09-22; CLAUDE.md rule 19</t>
        </is>
      </c>
      <c r="G3024" s="33" t="inlineStr">
        <is>
          <t>High</t>
        </is>
      </c>
      <c r="H3024" s="33" t="inlineStr">
        <is>
          <t>Objective blank (rule 3/19)</t>
        </is>
      </c>
    </row>
    <row r="3025">
      <c r="A3025" s="74" t="n">
        <v>46293</v>
      </c>
      <c r="B3025" s="33" t="inlineStr">
        <is>
          <t>META</t>
        </is>
      </c>
      <c r="C3025" s="33" t="inlineStr">
        <is>
          <t>M2 Relative Strength</t>
        </is>
      </c>
      <c r="D3025" s="33" t="n">
        <v>5</v>
      </c>
      <c r="E3025" s="33" t="inlineStr">
        <is>
          <t>1-&gt;5. 6-month relative performance vs XLC (Communication Services Select Sector SPDR): META +40.38% vs XLC +5.25% = +35.13% outperformance (&gt;20% threshold = band 5). 3-month: META +33.71% vs XLC +5.05% = +28.66%. The proposed 1-&gt;3 upgrade in the context briefing was far too conservative -- the stock has massively outperformed its sector benchmark. M2 was stale at 1 (lagging &gt;20%) from the prior rating when META was in a drawdown; the recovery + Muse launch + analyst upgrades drove a +35% sector-relative move in 6 months.</t>
        </is>
      </c>
      <c r="F3025" s="33" t="inlineStr">
        <is>
          <t>yfinance price history (2026-03-30 to 2026-09-25); per-stock/META/context-2026-09-28.md; tmp_m2_calc.py</t>
        </is>
      </c>
      <c r="G3025" s="33" t="inlineStr">
        <is>
          <t>High</t>
        </is>
      </c>
      <c r="H3025" s="33" t="inlineStr">
        <is>
          <t>Subjective re-rating (rule 12 refresh-context)</t>
        </is>
      </c>
    </row>
    <row r="3026">
      <c r="A3026" s="74" t="n">
        <v>46293</v>
      </c>
      <c r="B3026" s="33" t="inlineStr">
        <is>
          <t>META</t>
        </is>
      </c>
      <c r="C3026" s="33" t="inlineStr">
        <is>
          <t>M3 Insider Activity</t>
        </is>
      </c>
      <c r="D3026" s="33" t="n">
        <v>3</v>
      </c>
      <c r="E3026" s="33" t="inlineStr">
        <is>
          <t>3-&gt;3 (confirmed). SEC Form 4 evidence (20 filings fetched from EDGAR, 94 non-derivative transactions, 12 unique insiders): zero open-market purchases (code P). 62 open-market sales (code S) but all but 1 are 10b5-1 pre-scheduled (63 total 10b5-1 transactions). The single discretionary open-market sale was Susan Li (2,127 sh @ $689.85 = ~$1.47M, not 10b5-1) -- de minimis. Zuckerberg sold ~$20M via 10b5-1 plan across multiple dates (Aug-Sep 2026). Per rubric decision procedure step 2: 10b5-1 sales = routine, default 3. Step 4: no buying, no discretionary selling above thresholds = 3 (post-rally diversification baseline). Q2 buybacks were $0 (vs $10.2B Q2 2025) -- capital-allocation signal (funding capex), not insider signal.</t>
        </is>
      </c>
      <c r="F3026" s="33" t="inlineStr">
        <is>
          <t>SEC EDGAR Form 4 filings (CIK 0001326801); per-stock/META/filings/4_*.xml (20 files); per-stock/META/context-2026-09-28.md</t>
        </is>
      </c>
      <c r="G3026" s="33" t="inlineStr">
        <is>
          <t>High</t>
        </is>
      </c>
      <c r="H3026" s="33" t="inlineStr">
        <is>
          <t>Subjective re-rating (rule 12 refresh-context)</t>
        </is>
      </c>
    </row>
    <row r="3027">
      <c r="A3027" s="73" t="n">
        <v>46293</v>
      </c>
      <c r="B3027" s="33" t="inlineStr">
        <is>
          <t>META</t>
        </is>
      </c>
      <c r="C3027" s="33" t="inlineStr">
        <is>
          <t>D2 Supply Chain Position</t>
        </is>
      </c>
      <c r="D3027" s="33" t="n">
        <v>4</v>
      </c>
      <c r="E3027" s="33" t="inlineStr">
        <is>
          <t>3-&gt;4 (Dom-approved). Meta is now a model-API provider (Muse Spark 1.1/1.2/1.3 via Meta Model API + Muse Code), a consumer AI agent platform (Muse, launched Sep 8 with $20/$100/mo paid tiers on per-user Muse Secure VM), and a prospective cloud-compute seller (Meta Compute, acknowledged on Q2 call Jul 29, pre-launch). It has moved from pure compute buyer to buyer + emerging AI seller across three distinct supply-chain positions (model API, agent platform, compute resale). Not yet a 5: Muse revenue is immaterial vs $60B+ ad base, Meta Compute has zero disclosed revenue/pricing/launch, and no enterprise lock-in yet. But 4 is defensible -- Meta is now supplying AI products/models/agents, not just buying GPUs. The position expansion is real even if revenue is nascent. Counter-argument considered (D2 measures AI-infrastructure supply position; Meta core is still social-media ad monetization) -- Dom sided with the upgrade: the model API + agent platform + MTIA silicon production constitute a genuine supply-chain position expansion regardless of current revenue scale.</t>
        </is>
      </c>
      <c r="F3027" s="33" t="inlineStr">
        <is>
          <t>per-stock/META/context-2026-09-28.md sec 3a-3d; about.fb.com/news/2026/09/introducing-muse-personal-ai-agent/ (Sep 8); ai.meta.com/blog/introducing-muse-spark-meta-model-api/ (Jul 9); Bloomberg 2026-09-02 (Muse Spark 1.3); Reuters 2026-07-09 (MTIA production + 7GW/14GW); Q2 2026 earnings call transcript (Jul 29, Meta Compute acknowledged)</t>
        </is>
      </c>
      <c r="G3027" s="33" t="inlineStr">
        <is>
          <t>Medium</t>
        </is>
      </c>
      <c r="H3027" s="33" t="inlineStr">
        <is>
          <t>Subjective re-rating (Dom-approved, rule 12 refresh-context)</t>
        </is>
      </c>
    </row>
    <row r="3028">
      <c r="A3028" s="73" t="n">
        <v>46293</v>
      </c>
      <c r="B3028" s="33" t="inlineStr">
        <is>
          <t>META</t>
        </is>
      </c>
      <c r="C3028" s="33" t="inlineStr">
        <is>
          <t>R3 Balance Sheet Risk</t>
        </is>
      </c>
      <c r="D3028" s="33" t="n">
        <v>3</v>
      </c>
      <c r="E3028" s="33" t="inlineStr">
        <is>
          <t>4-&gt;3 (Dom-approved). Q2 2026 10-Q showed material balance-sheet deterioration: cash $35.9B-&gt;$15.5B (-57%), $24.9B new long-term debt issued, total liabilities $148.8B-&gt;$188.7B (+27%), FCF yield 2.89%-&gt;2.25%, FCF ~$1.7B in Q2 (capex $30.1B vs OCF $31.9B). ND/EBITDA rising as EBITDA compresses while debt grows. R3=4 (modest leverage, ND/EBITDA &lt;2x) is no longer honest given the FCF compression and debt issuance trajectory; R3=3 (average leverage for sector, ND/EBITDA 2-4x) is more accurate. Meta is not distressed -- this is deliberate capex investment ($130-145B FY2026 guidance), not balance-sheet stress -- but the leverage profile has genuinely worsened. Cushion acknowledged: $74.8B marketable securities + $30.2B non-marketable equity investments provide real liquidity backstop; net cash still positive. The downgrade reflects the directional deterioration, not distress. NOTE: the $2.4B Q2 legal charge driving the EPS miss was NOT traced to a specific matter -- flagged in context-2026-09-28.md sec 7 as an explicitly WAIVED follow-up per Dom. The R3 downgrade is based on the balance-sheet deterioration (cash, debt, FCF), not the legal charge.</t>
        </is>
      </c>
      <c r="F3028" s="33" t="inlineStr">
        <is>
          <t>per-stock/META/context-2026-09-28.md sec 2, sec 7; 10-Q filed 2026-07-30 (Q2 2026 financials); 8-K filed 2026-07-29 (Q2 results); Q2 2026 earnings call transcript (Jul 29); Variety 2026-07-29 ($2.4B legal charge, basis not traced -- waived per Dom)</t>
        </is>
      </c>
      <c r="G3028" s="33" t="inlineStr">
        <is>
          <t>Medium</t>
        </is>
      </c>
      <c r="H3028" s="33" t="inlineStr">
        <is>
          <t>Subjective re-rating (Dom-approved, rule 12 refresh-context)</t>
        </is>
      </c>
    </row>
    <row r="3029">
      <c r="A3029" s="33" t="inlineStr">
        <is>
          <t>2026-10-04</t>
        </is>
      </c>
      <c r="B3029" s="33" t="inlineStr">
        <is>
          <t>RDDT</t>
        </is>
      </c>
      <c r="C3029" s="33" t="inlineStr">
        <is>
          <t>D1-AIrev%</t>
        </is>
      </c>
      <c r="D3029" s="33" t="n">
        <v>2</v>
      </c>
      <c r="E3029" s="33" t="inlineStr">
        <is>
          <t>Re-rate 3-&gt;2 (Dom-approved). Other revenue, which contains data licensing, was $43.3M of $804.9M = 5.4% of Q2 2026 revenue (7.0% a year earlier; +24% vs ads +64%). The 2026-06-22 rating assumed licensing ~10% of revenue. 5-10% band = 2.</t>
        </is>
      </c>
      <c r="F3029" s="33" t="inlineStr">
        <is>
          <t>10-Q q/e 2026-06-30 (filed 2026-07-31), disaggregated revenue note; context-2026-10-04.md</t>
        </is>
      </c>
      <c r="G3029" s="33" t="inlineStr">
        <is>
          <t>High</t>
        </is>
      </c>
      <c r="H3029" s="33" t="inlineStr">
        <is>
          <t>Re-rate</t>
        </is>
      </c>
    </row>
    <row r="3030">
      <c r="A3030" s="33" t="inlineStr">
        <is>
          <t>2026-10-04</t>
        </is>
      </c>
      <c r="B3030" s="33" t="inlineStr">
        <is>
          <t>RDDT</t>
        </is>
      </c>
      <c r="C3030" s="33" t="inlineStr">
        <is>
          <t>R4-Reg</t>
        </is>
      </c>
      <c r="D3030" s="33" t="n">
        <v>3</v>
      </c>
      <c r="E3030" s="33" t="inlineStr">
        <is>
          <t>Re-rate 4-&gt;3 (Dom-approved). Securities class action (N.D. Cal., filed June 2025) and follow-on derivative suits alleging misleading statements on the impact of Google Search / AI Overviews are pending; no loss accrued. The 2026-06-22 rating said "nothing active", which was incorrect. Pending matters disclosed, not shown material = 3. Allegation, not a finding.</t>
        </is>
      </c>
      <c r="F3030" s="33" t="inlineStr">
        <is>
          <t>10-Q q/e 2026-06-30, Note 9 Legal Matters; context-2026-10-04.md</t>
        </is>
      </c>
      <c r="G3030" s="33" t="inlineStr">
        <is>
          <t>High</t>
        </is>
      </c>
      <c r="H3030" s="33" t="inlineStr">
        <is>
          <t>Re-rate</t>
        </is>
      </c>
    </row>
    <row r="3031">
      <c r="A3031" s="33" t="inlineStr">
        <is>
          <t>2026-10-04</t>
        </is>
      </c>
      <c r="B3031" s="33" t="inlineStr">
        <is>
          <t>RDDT</t>
        </is>
      </c>
      <c r="C3031" s="33" t="inlineStr">
        <is>
          <t>D2-Position</t>
        </is>
      </c>
      <c r="D3031" s="33" t="n">
        <v>2</v>
      </c>
      <c r="E3031" s="33" t="inlineStr">
        <is>
          <t>Re-rate 3-&gt;2 (Dom-approved). Reddit's share of ChatGPT Search citations fell 3.8% -&gt; 0.5% (2026-08-08 to 08-17) after a ChatGPT retrieval change, showing an AI platform can cut reliance on the corpus in days; the ~$60M/yr Google licence is near expiry with renewal contested. Little demonstrated pricing power as an AI-supply-chain input. Caveats: single-vendor data the vendor calls provisional; persistence into September unverified. D3 left at 3 to avoid double-counting (rule 23 D2/D3 overlap).</t>
        </is>
      </c>
      <c r="F3031" s="33" t="inlineStr">
        <is>
          <t>Promptwatch via Semrush 2026-08-26 (semrush.com/blog/reddits-citations-in-chatgpt-fall/); The Drum 2026-08-25; context-2026-10-04.md s7</t>
        </is>
      </c>
      <c r="G3031" s="33" t="inlineStr">
        <is>
          <t>Med</t>
        </is>
      </c>
      <c r="H3031" s="33" t="inlineStr">
        <is>
          <t>Re-rate</t>
        </is>
      </c>
    </row>
    <row r="3032">
      <c r="A3032" s="33" t="inlineStr">
        <is>
          <t>2026-10-05</t>
        </is>
      </c>
      <c r="B3032" s="33" t="inlineStr">
        <is>
          <t>AMZN</t>
        </is>
      </c>
      <c r="C3032" s="33" t="inlineStr">
        <is>
          <t>R3-BS</t>
        </is>
      </c>
      <c r="D3032" s="33" t="inlineStr">
        <is>
          <t>3</t>
        </is>
      </c>
      <c r="E3032" s="33" t="inlineStr">
        <is>
          <t>Re-rate 4-&gt;3 (Dom-approved 2026-10-05). Capital regime deteriorated since the May rating: long-term debt face value $68.8B -&gt; $133.0B in six months, ~$30B more issued since (8-Ks 2026-07-09, 2026-09-14); company-defined TTM free cash flow -$7,604M vs +$18,184M a year earlier; $137.2B of leases not yet commenced; interest expense $1,314M vs $516M. Still investment-grade with $123.0B liquidity and $161.4B TTM operating cash flow, so not band 2. ND/EBITDA remains &lt;2x (band-4 letter); rated on the holistic clause, consistent with the Dom-approved META 4-&gt;3 precedent of 2026-09-28 (same layer, same pattern, milder FCF). The GOOGL 2026-06-12 band-letter override is the counter-precedent.</t>
        </is>
      </c>
      <c r="F3032" s="33" t="inlineStr">
        <is>
          <t>10-Q q/e 2026-06-30 (acc. 0001018724-26-000026): cash-flow statement, Note 4, Note 5, MD&amp;A non-GAAP; context-2026-10-05.md</t>
        </is>
      </c>
      <c r="G3032" s="33" t="inlineStr">
        <is>
          <t>Med</t>
        </is>
      </c>
      <c r="H3032" s="33" t="inlineStr">
        <is>
          <t>Re-rate</t>
        </is>
      </c>
    </row>
    <row r="3033">
      <c r="A3033" s="33" t="inlineStr">
        <is>
          <t>2026-10-05</t>
        </is>
      </c>
      <c r="B3033" s="33" t="inlineStr">
        <is>
          <t>AMZN</t>
        </is>
      </c>
      <c r="C3033" s="33" t="inlineStr">
        <is>
          <t>M2-RelStr</t>
        </is>
      </c>
      <c r="D3033" s="33" t="inlineStr">
        <is>
          <t>3</t>
        </is>
      </c>
      <c r="E3033" s="33" t="inlineStr">
        <is>
          <t>Re-rate 4-&gt;3 (Dom-approved 2026-10-05). 126-trading-day return +18.1% vs SPY +18.2% = in line (band 3, +/-5%). Same benchmark as the 2026-05-18 rating (SPY), which was +7pp then. Against QQQ (+28.8%) the gap is -10.7pp, which would be band 2; benchmark choice for hyperscalers is not fixed in the rubric.</t>
        </is>
      </c>
      <c r="F3033" s="33" t="inlineStr">
        <is>
          <t>yfinance adjusted closes, 2026-10-05</t>
        </is>
      </c>
      <c r="G3033" s="33" t="inlineStr">
        <is>
          <t>Med</t>
        </is>
      </c>
      <c r="H3033" s="33" t="inlineStr">
        <is>
          <t>Re-rate</t>
        </is>
      </c>
    </row>
    <row r="3034">
      <c r="A3034" s="33" t="inlineStr">
        <is>
          <t>2026-10-05</t>
        </is>
      </c>
      <c r="B3034" s="33" t="inlineStr">
        <is>
          <t>AMZN</t>
        </is>
      </c>
      <c r="C3034" s="33" t="inlineStr">
        <is>
          <t>Review (no change)</t>
        </is>
      </c>
      <c r="D3034" s="33" t="inlineStr">
        <is>
          <t>-</t>
        </is>
      </c>
      <c r="E3034" s="33" t="inlineStr">
        <is>
          <t>Subjective review against the Q2 2026 10-Q; held: D1=3 (AI run-rate &gt;$25B is ~3% of ~$802B annualized revenue; literal band would be 1-2, but all Layer-9 hyperscalers carry 3 under the 2026-05-18 cohort convention - a cohort-wide question, not changed on one name), D2/D3/D4/D5=5, M1=5 (beat-and-raise; FY26 consensus up over 90d), M3=3 (no Form-4 check this pass), R1=5 (no customer &gt;15% of revenue; note OpenAI + Anthropic are roughly half of the $496B backlog), R2=4, R4=2 (FTC case; Xockets ITC investigation added), R5=5.</t>
        </is>
      </c>
      <c r="F3034" s="33" t="inlineStr">
        <is>
          <t>context-2026-10-05.md</t>
        </is>
      </c>
      <c r="G3034" s="33" t="inlineStr">
        <is>
          <t>Med</t>
        </is>
      </c>
      <c r="H3034" s="33" t="inlineStr">
        <is>
          <t>Review</t>
        </is>
      </c>
    </row>
    <row r="3035">
      <c r="A3035" s="33" t="inlineStr">
        <is>
          <t>2026-10-05</t>
        </is>
      </c>
      <c r="B3035" s="33" t="inlineStr">
        <is>
          <t>SBGSY</t>
        </is>
      </c>
      <c r="C3035" s="33" t="inlineStr">
        <is>
          <t>R3-BS</t>
        </is>
      </c>
      <c r="D3035" s="33" t="inlineStr">
        <is>
          <t>3</t>
        </is>
      </c>
      <c r="E3035" s="33" t="inlineStr">
        <is>
          <t>Re-rate 4-&gt;3 (Dom-approved 2026-10-05). PTC acquisition announced 2026-10-05: $22.6B cash, financed with EUR16-17B new debt + EUR5-6B new equity; buybacks paused 2027-28. Pro forma net debt ~EUR34-35B (EUR15.4B at 2026-06-30 + Cognite ~EUR2.8B + PTC debt) against ~EUR11B EBITDA = ~3x (my estimate; no company pro forma found), band 3 (2-4x); equity raise is the dilution clause. Company expects to keep A-category ratings. Rated on the signed commitment; close expected Q3 2027.</t>
        </is>
      </c>
      <c r="F3035" s="33" t="inlineStr">
        <is>
          <t>Euronews 2026-10-05; InsideArbitrage 2026-10; context-2026-10-05.md</t>
        </is>
      </c>
      <c r="G3035" s="33" t="inlineStr">
        <is>
          <t>Med</t>
        </is>
      </c>
      <c r="H3035" s="33" t="inlineStr">
        <is>
          <t>Re-rate</t>
        </is>
      </c>
    </row>
    <row r="3036">
      <c r="A3036" s="33" t="inlineStr">
        <is>
          <t>2026-10-05</t>
        </is>
      </c>
      <c r="B3036" s="33" t="inlineStr">
        <is>
          <t>SBGSY</t>
        </is>
      </c>
      <c r="C3036" s="33" t="inlineStr">
        <is>
          <t>M2-RelStr</t>
        </is>
      </c>
      <c r="D3036" s="33" t="inlineStr">
        <is>
          <t>4</t>
        </is>
      </c>
      <c r="E3036" s="33" t="inlineStr">
        <is>
          <t>Re-rate 3-&gt;4 (Dom-approved 2026-10-05). 126-trading-day return +12.9% vs XLI +4.3% = +8.6pp (band 4, 5-20%); 63-day +8.4pp. Same benchmark as 2026-05-18. Measured after the ~9-10% drop on the PTC announcement.</t>
        </is>
      </c>
      <c r="F3036" s="33" t="inlineStr">
        <is>
          <t>yfinance adjusted closes (ADR line), 2026-10-05</t>
        </is>
      </c>
      <c r="G3036" s="33" t="inlineStr">
        <is>
          <t>Med</t>
        </is>
      </c>
      <c r="H3036" s="33" t="inlineStr">
        <is>
          <t>Re-rate</t>
        </is>
      </c>
    </row>
    <row r="3037">
      <c r="A3037" s="33" t="inlineStr">
        <is>
          <t>2026-10-05</t>
        </is>
      </c>
      <c r="B3037" s="33" t="inlineStr">
        <is>
          <t>SBGSY</t>
        </is>
      </c>
      <c r="C3037" s="33" t="inlineStr">
        <is>
          <t>Review (no change)</t>
        </is>
      </c>
      <c r="D3037" s="33" t="inlineStr">
        <is>
          <t>-</t>
        </is>
      </c>
      <c r="E3037" s="33" t="inlineStr">
        <is>
          <t>Delta review after the PTC announcement; held: D1=4, D2=4, D3=4, D4=5 (flag: capital going to software M&amp;A rather than capacity), D5=4, M1=4 (90d revisions net positive; last 7d negative), M3=3, R1=5, R2=4, R4=4, R5=5 (rule-16 non-Layer-10 default; flag: software share of revenue rising with AVEVA + Cognite + PTC).</t>
        </is>
      </c>
      <c r="F3037" s="33" t="inlineStr">
        <is>
          <t>context-2026-10-05.md</t>
        </is>
      </c>
      <c r="G3037" s="33" t="inlineStr">
        <is>
          <t>Med</t>
        </is>
      </c>
      <c r="H3037" s="33" t="inlineStr">
        <is>
          <t>Review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2026-05-17T20:53:18Z</dcterms:created>
  <dcterms:modified xmlns:dcterms="http://purl.org/dc/terms/" xmlns:xsi="http://www.w3.org/2001/XMLSchema-instance" xsi:type="dcterms:W3CDTF">2026-10-06T02:36:41Z</dcterms:modified>
  <cp:revision>0</cp:revision>
</cp:coreProperties>
</file>