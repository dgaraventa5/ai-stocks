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80.8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24.3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2026-06-12</t>
        </is>
      </c>
      <c r="E5" s="61" t="n">
        <v>38.376133</v>
      </c>
      <c r="F5" s="61" t="n">
        <v>69.926</v>
      </c>
      <c r="G5" s="62" t="n">
        <v>2.98</v>
      </c>
      <c r="H5" s="61" t="n">
        <v>6.419661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0.91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17.69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64.2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56.7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69.2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49.2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56.7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51.7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33.3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36.7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42.5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72.5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51.7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88.3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89.2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94.2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86.7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63.3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90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86.7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2.07</v>
      </c>
      <c r="H48" s="33" t="n">
        <v>6.5384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70.8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58.3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78.3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76.7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78.3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50.8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73.3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47.62</v>
      </c>
      <c r="H70" s="33" t="n">
        <v>16.38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61.9</v>
      </c>
      <c r="M70" s="33" t="n">
        <v>25.52</v>
      </c>
      <c r="N70" s="33" t="n">
        <v>-0.65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82.5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1.81</v>
      </c>
      <c r="H75" s="33" t="n">
        <v>24.167109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0.53</v>
      </c>
      <c r="H77" s="33" t="n">
        <v>54.5524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1.51</v>
      </c>
      <c r="H78" s="33" t="n">
        <v>17.8547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93.3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81.7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99.2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2.55</v>
      </c>
      <c r="H84" s="33" t="n">
        <v>20.4906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57.5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92.5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29.2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67.5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2026-06-19</t>
        </is>
      </c>
      <c r="E92" s="33" t="n">
        <v>11.858815</v>
      </c>
      <c r="F92" s="33" t="n">
        <v>14.232</v>
      </c>
      <c r="G92" s="33" t="n">
        <v>6.35</v>
      </c>
      <c r="H92" s="33" t="n">
        <v>1.6183041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2.53</v>
      </c>
      <c r="H93" s="33" t="n">
        <v>9.710100000000001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1.46</v>
      </c>
      <c r="H94" s="33" t="n">
        <v>11.1514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3.35</v>
      </c>
      <c r="H96" s="33" t="n">
        <v>7.230944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39.2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16.3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80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13.4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5.2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66.7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7.6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14.7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55.8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3.1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50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2.4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10.1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4.6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43.3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6.2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27.7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80.8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71.3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30.1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19.2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11.4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2026-06-12</t>
        </is>
      </c>
      <c r="E115" s="33" t="n">
        <v>52.300385</v>
      </c>
      <c r="F115" s="33" t="n">
        <v>89.533</v>
      </c>
      <c r="G115" s="33" t="n">
        <v>0.8100000000000001</v>
      </c>
      <c r="H115" s="33" t="n">
        <v>26.206078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2026-06-19</t>
        </is>
      </c>
      <c r="E116" s="33" t="n">
        <v>31.277687</v>
      </c>
      <c r="F116" s="33" t="n">
        <v>90.03400000000001</v>
      </c>
      <c r="G116" s="33" t="n">
        <v>0.8</v>
      </c>
      <c r="H116" s="33" t="n">
        <v>37.966953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42.5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40.8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83.3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48.3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23.3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45.8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22.5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56.7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71.7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67.5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67.5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57.5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-43.6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19.2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2026-06-12</t>
        </is>
      </c>
      <c r="E137" s="33" t="n">
        <v>29.13</v>
      </c>
      <c r="F137" s="33" t="n">
        <v>24.4</v>
      </c>
      <c r="G137" s="33" t="n">
        <v>-8.44</v>
      </c>
      <c r="H137" s="33" t="n">
        <v>9.99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81.7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2026-06-12</t>
        </is>
      </c>
      <c r="G138" s="33" t="n">
        <v>-1.81</v>
      </c>
      <c r="H138" s="33" t="n">
        <v>2.7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2026-06-12</t>
        </is>
      </c>
      <c r="E139" s="33" t="n">
        <v>12.27</v>
      </c>
      <c r="F139" s="33" t="n">
        <v>10.36</v>
      </c>
      <c r="G139" s="33" t="n">
        <v>2.77</v>
      </c>
      <c r="H139" s="33" t="n">
        <v>1.31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2026-06-12</t>
        </is>
      </c>
      <c r="E140" s="33" t="n">
        <v>36.73</v>
      </c>
      <c r="F140" s="33" t="n">
        <v>11.63</v>
      </c>
      <c r="G140" s="33" t="n">
        <v>-0.48</v>
      </c>
      <c r="H140" s="33" t="n">
        <v>1.61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82.5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2026-06-12</t>
        </is>
      </c>
      <c r="E141" s="33" t="n">
        <v>33.85</v>
      </c>
      <c r="G141" s="33" t="n">
        <v>-2.6</v>
      </c>
      <c r="H141" s="33" t="n">
        <v>3.66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90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2026-06-12</t>
        </is>
      </c>
      <c r="E142" s="33" t="n">
        <v>46.17</v>
      </c>
      <c r="F142" s="33" t="n">
        <v>16.1</v>
      </c>
      <c r="G142" s="33" t="n">
        <v>-35.2</v>
      </c>
      <c r="H142" s="33" t="n">
        <v>11.53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61.9</v>
      </c>
      <c r="M142" s="33" t="n">
        <v>-398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31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2026-06-12</t>
        </is>
      </c>
      <c r="F143" s="33" t="n">
        <v>9.300000000000001</v>
      </c>
      <c r="G143" s="33" t="n">
        <v>-5.91</v>
      </c>
      <c r="H143" s="33" t="n">
        <v>685.4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2026-06-12</t>
        </is>
      </c>
      <c r="E144" s="33" t="n">
        <v>15.54</v>
      </c>
      <c r="F144" s="33" t="n">
        <v>1.8</v>
      </c>
      <c r="G144" s="33" t="n">
        <v>-11.64</v>
      </c>
      <c r="H144" s="33" t="n">
        <v>3.88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38.56</v>
      </c>
      <c r="M144" s="33" t="n">
        <v>-45.15</v>
      </c>
      <c r="N144" s="33" t="n">
        <v>-0.21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218.6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44.2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2026-06-15</t>
        </is>
      </c>
      <c r="E145" s="33" t="n">
        <v>33.3</v>
      </c>
      <c r="F145" s="33" t="n">
        <v>32.7</v>
      </c>
      <c r="G145" s="33" t="n">
        <v>1.3</v>
      </c>
      <c r="H145" s="33" t="n">
        <v>15.5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</v>
      </c>
      <c r="M145" s="33" t="n">
        <v>20.2</v>
      </c>
      <c r="N145" s="33" t="n">
        <v>1.06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-4.1</v>
      </c>
      <c r="Q145" s="33" t="n">
        <v>18.6</v>
      </c>
      <c r="R145" s="33" t="n">
        <v>31.3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2026-06-15</t>
        </is>
      </c>
      <c r="E146" s="33" t="n">
        <v>20.7</v>
      </c>
      <c r="F146" s="33" t="n">
        <v>17.6</v>
      </c>
      <c r="G146" s="33" t="n">
        <v>5.4</v>
      </c>
      <c r="H146" s="33" t="n">
        <v>5.23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0.1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2026-06-15</t>
        </is>
      </c>
      <c r="E147" s="33" t="n">
        <v>28.9</v>
      </c>
      <c r="F147" s="33" t="n">
        <v>33.9</v>
      </c>
      <c r="G147" s="33" t="n">
        <v>2.19</v>
      </c>
      <c r="H147" s="33" t="n">
        <v>16.3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64.5</v>
      </c>
      <c r="M147" s="33" t="n">
        <v>35.8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</v>
      </c>
      <c r="Q147" s="33" t="n">
        <v>37.2</v>
      </c>
      <c r="R147" s="33" t="n">
        <v>110.5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2026-06-15</t>
        </is>
      </c>
      <c r="E148" s="33" t="n">
        <v>32.1</v>
      </c>
      <c r="F148" s="33" t="n">
        <v>27</v>
      </c>
      <c r="G148" s="33" t="n">
        <v>-0.1</v>
      </c>
      <c r="H148" s="33" t="n">
        <v>5.67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31.7</v>
      </c>
      <c r="M148" s="33" t="n">
        <v>-0.5</v>
      </c>
      <c r="N148" s="33" t="n">
        <v>-0.7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-9.9</v>
      </c>
      <c r="Q148" s="33" t="n">
        <v>23</v>
      </c>
      <c r="R148" s="33" t="n">
        <v>-33.3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2026-06-15</t>
        </is>
      </c>
      <c r="E149" s="33" t="n">
        <v>17.9</v>
      </c>
      <c r="F149" s="33" t="n">
        <v>20.5</v>
      </c>
      <c r="G149" s="33" t="n">
        <v>3.2</v>
      </c>
      <c r="H149" s="33" t="n">
        <v>6.3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</v>
      </c>
      <c r="M149" s="33" t="n">
        <v>20.2</v>
      </c>
      <c r="N149" s="33" t="n">
        <v>1.9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2026-06-15</t>
        </is>
      </c>
      <c r="E150" s="33" t="n">
        <v>24.5</v>
      </c>
      <c r="F150" s="33" t="n">
        <v>49</v>
      </c>
      <c r="G150" s="33" t="n">
        <v>1.6</v>
      </c>
      <c r="H150" s="33" t="n">
        <v>11.5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</v>
      </c>
      <c r="M150" s="33" t="n">
        <v>18.5</v>
      </c>
      <c r="N150" s="33" t="n">
        <v>4.3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2026-06-15</t>
        </is>
      </c>
      <c r="E151" s="33" t="n">
        <v>29.4</v>
      </c>
      <c r="F151" s="33" t="n">
        <v>24.5</v>
      </c>
      <c r="G151" s="33" t="n">
        <v>2.4</v>
      </c>
      <c r="H151" s="33" t="n">
        <v>8.07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37.5</v>
      </c>
      <c r="M151" s="33" t="n">
        <v>19.5</v>
      </c>
      <c r="N151" s="33" t="n">
        <v>0.4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-10.4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2026-06-15</t>
        </is>
      </c>
      <c r="E152" s="33" t="n">
        <v>14.8</v>
      </c>
      <c r="F152" s="33" t="n">
        <v>13.5</v>
      </c>
      <c r="G152" s="33" t="n">
        <v>5.9</v>
      </c>
      <c r="H152" s="33" t="n">
        <v>2.84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41.1</v>
      </c>
      <c r="M152" s="33" t="n">
        <v>16.6</v>
      </c>
      <c r="N152" s="33" t="n">
        <v>-0.28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-9.300000000000001</v>
      </c>
      <c r="Q152" s="33" t="n">
        <v>-1</v>
      </c>
      <c r="R152" s="33" t="n">
        <v>-44.2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39.2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2026-06-17</t>
        </is>
      </c>
      <c r="E153" s="33" t="n">
        <v>39.4</v>
      </c>
      <c r="F153" s="33" t="n">
        <v>59.4</v>
      </c>
      <c r="G153" s="33" t="n">
        <v>1.18</v>
      </c>
      <c r="H153" s="33" t="n">
        <v>20.8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</v>
      </c>
      <c r="M153" s="33" t="n">
        <v>24.7</v>
      </c>
      <c r="N153" s="33" t="n">
        <v>-0.11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2026-06-19</t>
        </is>
      </c>
      <c r="E154" s="33" t="n">
        <v>69.908905</v>
      </c>
      <c r="F154" s="33" t="n">
        <v>59.9</v>
      </c>
      <c r="G154" s="33" t="n">
        <v>1.62</v>
      </c>
      <c r="H154" s="33" t="n">
        <v>22.11292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2026-06-17</t>
        </is>
      </c>
      <c r="E155" s="33" t="n">
        <v>21.9</v>
      </c>
      <c r="F155" s="33" t="n">
        <v>39.4</v>
      </c>
      <c r="G155" s="33" t="n">
        <v>2.75</v>
      </c>
      <c r="H155" s="33" t="n">
        <v>26.1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88.40000000000001</v>
      </c>
      <c r="M155" s="33" t="n">
        <v>71.8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Q155" s="33" t="n">
        <v>58.9</v>
      </c>
      <c r="R155" s="33" t="n">
        <v>69.5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2026-06-17</t>
        </is>
      </c>
      <c r="E156" s="33" t="n">
        <v>8</v>
      </c>
      <c r="F156" s="33" t="n">
        <v>8.199999999999999</v>
      </c>
      <c r="G156" s="33" t="n">
        <v>13.2</v>
      </c>
      <c r="H156" s="33" t="n">
        <v>3.1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</v>
      </c>
      <c r="Q156" s="33" t="n">
        <v>12.7</v>
      </c>
      <c r="R156" s="33" t="n">
        <v>8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19.2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2026-06-17</t>
        </is>
      </c>
      <c r="E157" s="33" t="n">
        <v>42.1</v>
      </c>
      <c r="F157" s="33" t="n">
        <v>43.1</v>
      </c>
      <c r="G157" s="33" t="n">
        <v>2.31</v>
      </c>
      <c r="H157" s="33" t="n">
        <v>14.85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34.3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15.5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66.7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2026-06-17</t>
        </is>
      </c>
      <c r="E158" s="33" t="n">
        <v>27.1</v>
      </c>
      <c r="F158" s="33" t="n">
        <v>20.7</v>
      </c>
      <c r="G158" s="33" t="n">
        <v>4.4</v>
      </c>
      <c r="H158" s="33" t="n">
        <v>6.3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</v>
      </c>
      <c r="M158" s="33" t="n">
        <v>28.1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2026-06-17</t>
        </is>
      </c>
      <c r="E159" s="33" t="n">
        <v>11.3</v>
      </c>
      <c r="F159" s="33" t="n">
        <v>10</v>
      </c>
      <c r="G159" s="33" t="n">
        <v>10.48</v>
      </c>
      <c r="H159" s="33" t="n">
        <v>3.52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10.5</v>
      </c>
      <c r="R159" s="33" t="n">
        <v>11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2026-06-17</t>
        </is>
      </c>
      <c r="E160" s="33" t="n">
        <v>9.6</v>
      </c>
      <c r="F160" s="33" t="n">
        <v>10.4</v>
      </c>
      <c r="G160" s="33" t="n">
        <v>9.9</v>
      </c>
      <c r="H160" s="33" t="n">
        <v>3.05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75.8</v>
      </c>
      <c r="M160" s="33" t="n">
        <v>30.2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19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2026-06-17</t>
        </is>
      </c>
      <c r="E161" s="33" t="n">
        <v>15.4</v>
      </c>
      <c r="F161" s="33" t="n">
        <v>15.7</v>
      </c>
      <c r="G161" s="33" t="n">
        <v>6.61</v>
      </c>
      <c r="H161" s="33" t="n">
        <v>5.43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92.40000000000001</v>
      </c>
      <c r="M161" s="33" t="n">
        <v>35.9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</v>
      </c>
      <c r="Q161" s="33" t="n">
        <v>18.4</v>
      </c>
      <c r="R161" s="33" t="n">
        <v>31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20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2026-06-17</t>
        </is>
      </c>
      <c r="E162" s="33" t="n">
        <v>158.6</v>
      </c>
      <c r="F162" s="33" t="n">
        <v>213.1</v>
      </c>
      <c r="G162" s="33" t="n">
        <v>0.47</v>
      </c>
      <c r="H162" s="33" t="n">
        <v>15.2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19.1</v>
      </c>
      <c r="M162" s="33" t="n">
        <v>7.2</v>
      </c>
      <c r="N162" s="33" t="n">
        <v>-2.39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5.2</v>
      </c>
      <c r="Q162" s="33" t="n">
        <v>15.8</v>
      </c>
      <c r="R162" s="33" t="n">
        <v>8.300000000000001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2026-06-17</t>
        </is>
      </c>
      <c r="E163" s="33" t="n">
        <v>30.84</v>
      </c>
      <c r="F163" s="33" t="n">
        <v>34.2</v>
      </c>
      <c r="G163" s="33" t="n">
        <v>2.97</v>
      </c>
      <c r="H163" s="33" t="n">
        <v>9.630000000000001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</v>
      </c>
      <c r="Q163" s="33" t="n">
        <v>17</v>
      </c>
      <c r="R163" s="33" t="n">
        <v>22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2026-06-17</t>
        </is>
      </c>
      <c r="H164" s="33" t="n">
        <v>131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2026-06-20</t>
        </is>
      </c>
      <c r="E165" s="33" t="n">
        <v>40.450817</v>
      </c>
      <c r="F165" s="33" t="n">
        <v>50.556</v>
      </c>
      <c r="G165" s="33" t="n">
        <v>1.54</v>
      </c>
      <c r="H165" s="33" t="n">
        <v>6.817185</v>
      </c>
      <c r="I165" s="33">
        <f>IF(OR(E165="",R165="",R165&lt;=0,E165&lt;0),"",E165/R165)</f>
        <v/>
      </c>
      <c r="J165" s="33">
        <f>IFERROR(AVERAGE(IFERROR(IF(E165="","",IF(E165&lt;0,5,IF(E165&lt;=15,90,IF(E165&lt;=20,75,IF(E165&lt;=25,60,IF(E165&lt;=30,45,IF(E165&lt;=40,30,IF(E165&lt;=60,15,5)))))))),""),IFERROR(IF(F165="","",IF(F165&lt;0,5,IF(F165&lt;=10,90,IF(F165&lt;=15,75,IF(F165&lt;=20,60,IF(F165&lt;=25,45,IF(F165&lt;=35,30,IF(F165&lt;=50,15,5)))))))),""),IFERROR(IF(G165="","",IF(G165&gt;=8,100,IF(G165&gt;=6,90,IF(G165&gt;=4,75,IF(G165&gt;=2,60,IF(G165&gt;=1,45,IF(G165&gt;=0,30,15))))))),""),IFERROR(IF(H165="","",IF(H165&lt;=2,90,IF(H165&lt;=4,75,IF(H165&lt;=7,60,IF(H165&lt;=10,45,IF(H165&lt;=15,30,IF(H165&lt;=25,15,5))))))),""),IFERROR(IF(I165="","",IF(I165&lt;=0.5,100,IF(I165&lt;=1,90,IF(I165&lt;=1.5,75,IF(I165&lt;=2,60,IF(I165&lt;=2.5,45,IF(I165&lt;=3,30,15))))))),"")),"")</f>
        <v/>
      </c>
      <c r="L165" s="33" t="n">
        <v>43.61</v>
      </c>
      <c r="M165" s="33" t="n">
        <v>10.46</v>
      </c>
      <c r="N165" s="33" t="n">
        <v>-2.74</v>
      </c>
      <c r="O165" s="33">
        <f>IFERROR(AVERAGE(IFERROR(IF(K165="","",IF(K165&gt;=25,100,IF(K165&gt;=20,90,IF(K165&gt;=15,75,IF(K165&gt;=10,60,IF(K165&gt;=5,45,IF(K165&gt;=0,30,15))))))),""),IFERROR(IF(L165="","",IF(L165&gt;=60,100,IF(L165&gt;=50,90,IF(L165&gt;=40,75,IF(L165&gt;=30,60,IF(L165&gt;=20,45,IF(L165&gt;=10,30,15))))))),""),IFERROR(IF(M165="","",IF(M165&gt;=25,100,IF(M165&gt;=20,90,IF(M165&gt;=15,75,IF(M165&gt;=10,60,IF(M165&gt;=5,45,IF(M165&gt;=0,30,15))))))),""),IFERROR(IF(N165="","",IF(N165&lt;=0,100,IF(N165&lt;=1,90,IF(N165&lt;=2,75,IF(N165&lt;=3,60,IF(N165&lt;=4,45,IF(N165&lt;=5,30,15))))))),"")),"")</f>
        <v/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t="n">
        <v>2</v>
      </c>
      <c r="U165" t="n">
        <v>4</v>
      </c>
      <c r="V165" t="n">
        <v>4</v>
      </c>
      <c r="W165" t="n">
        <v>3</v>
      </c>
      <c r="X165" t="n">
        <v>2</v>
      </c>
      <c r="Y165" s="33">
        <f>IFERROR(AVERAGE(T165,U165,V165,W165,X165)*20,"")</f>
        <v/>
      </c>
      <c r="Z165" t="n">
        <v>3</v>
      </c>
      <c r="AA165" t="n">
        <v>5</v>
      </c>
      <c r="AB165" t="n">
        <v>3</v>
      </c>
      <c r="AC165" s="33" t="n">
        <v>72.5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t="n">
        <v>4</v>
      </c>
      <c r="AF165" t="n">
        <v>2</v>
      </c>
      <c r="AG165" t="n">
        <v>5</v>
      </c>
      <c r="AH165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2026-06-20</t>
        </is>
      </c>
      <c r="E166" s="33" t="n">
        <v>46.937244</v>
      </c>
      <c r="G166" s="33" t="n">
        <v>1.23</v>
      </c>
      <c r="H166" s="33" t="n">
        <v>6.8026567</v>
      </c>
      <c r="I166" s="33">
        <f>IF(OR(E166="",R166="",R166&lt;=0,E166&lt;0),"",E166/R166)</f>
        <v/>
      </c>
      <c r="J166" s="33">
        <f>IFERROR(AVERAGE(IFERROR(IF(E166="","",IF(E166&lt;0,5,IF(E166&lt;=15,90,IF(E166&lt;=20,75,IF(E166&lt;=25,60,IF(E166&lt;=30,45,IF(E166&lt;=40,30,IF(E166&lt;=60,15,5)))))))),""),IFERROR(IF(F166="","",IF(F166&lt;0,5,IF(F166&lt;=10,90,IF(F166&lt;=15,75,IF(F166&lt;=20,60,IF(F166&lt;=25,45,IF(F166&lt;=35,30,IF(F166&lt;=50,15,5)))))))),""),IFERROR(IF(G166="","",IF(G166&gt;=8,100,IF(G166&gt;=6,90,IF(G166&gt;=4,75,IF(G166&gt;=2,60,IF(G166&gt;=1,45,IF(G166&gt;=0,30,15))))))),""),IFERROR(IF(H166="","",IF(H166&lt;=2,90,IF(H166&lt;=4,75,IF(H166&lt;=7,60,IF(H166&lt;=10,45,IF(H166&lt;=15,30,IF(H166&lt;=25,15,5))))))),""),IFERROR(IF(I166="","",IF(I166&lt;=0.5,100,IF(I166&lt;=1,90,IF(I166&lt;=1.5,75,IF(I166&lt;=2,60,IF(I166&lt;=2.5,45,IF(I166&lt;=3,30,15))))))),"")),"")</f>
        <v/>
      </c>
      <c r="L166" s="33" t="n">
        <v>43.47</v>
      </c>
      <c r="M166" s="33" t="n">
        <v>8.35</v>
      </c>
      <c r="O166" s="33">
        <f>IFERROR(AVERAGE(IFERROR(IF(K166="","",IF(K166&gt;=25,100,IF(K166&gt;=20,90,IF(K166&gt;=15,75,IF(K166&gt;=10,60,IF(K166&gt;=5,45,IF(K166&gt;=0,30,15))))))),""),IFERROR(IF(L166="","",IF(L166&gt;=60,100,IF(L166&gt;=50,90,IF(L166&gt;=40,75,IF(L166&gt;=30,60,IF(L166&gt;=20,45,IF(L166&gt;=10,30,15))))))),""),IFERROR(IF(M166="","",IF(M166&gt;=25,100,IF(M166&gt;=20,90,IF(M166&gt;=15,75,IF(M166&gt;=10,60,IF(M166&gt;=5,45,IF(M166&gt;=0,30,15))))))),""),IFERROR(IF(N166="","",IF(N166&lt;=0,100,IF(N166&lt;=1,90,IF(N166&lt;=2,75,IF(N166&lt;=3,60,IF(N166&lt;=4,45,IF(N166&lt;=5,30,15))))))),"")),"")</f>
        <v/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t="n">
        <v>3</v>
      </c>
      <c r="U166" t="n">
        <v>3</v>
      </c>
      <c r="V166" t="n">
        <v>3</v>
      </c>
      <c r="W166" t="n">
        <v>4</v>
      </c>
      <c r="X166" t="n">
        <v>2</v>
      </c>
      <c r="Y166" s="33">
        <f>IFERROR(AVERAGE(T166,U166,V166,W166,X166)*20,"")</f>
        <v/>
      </c>
      <c r="Z166" t="n">
        <v>5</v>
      </c>
      <c r="AA166" t="n">
        <v>3</v>
      </c>
      <c r="AB166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t="n">
        <v>4</v>
      </c>
      <c r="AF166" t="n">
        <v>3</v>
      </c>
      <c r="AG166" t="n">
        <v>4</v>
      </c>
      <c r="AH166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2026-06-20</t>
        </is>
      </c>
      <c r="E167" s="33" t="n">
        <v>36.893085</v>
      </c>
      <c r="F167" s="33" t="n">
        <v>18.598</v>
      </c>
      <c r="G167" s="33" t="n">
        <v>0.75</v>
      </c>
      <c r="H167" s="33" t="n">
        <v>3.1710093</v>
      </c>
      <c r="I167" s="33">
        <f>IF(OR(E167="",R167="",R167&lt;=0,E167&lt;0),"",E167/R167)</f>
        <v/>
      </c>
      <c r="J167" s="33">
        <f>IFERROR(AVERAGE(IFERROR(IF(E167="","",IF(E167&lt;0,5,IF(E167&lt;=15,90,IF(E167&lt;=20,75,IF(E167&lt;=25,60,IF(E167&lt;=30,45,IF(E167&lt;=40,30,IF(E167&lt;=60,15,5)))))))),""),IFERROR(IF(F167="","",IF(F167&lt;0,5,IF(F167&lt;=10,90,IF(F167&lt;=15,75,IF(F167&lt;=20,60,IF(F167&lt;=25,45,IF(F167&lt;=35,30,IF(F167&lt;=50,15,5)))))))),""),IFERROR(IF(G167="","",IF(G167&gt;=8,100,IF(G167&gt;=6,90,IF(G167&gt;=4,75,IF(G167&gt;=2,60,IF(G167&gt;=1,45,IF(G167&gt;=0,30,15))))))),""),IFERROR(IF(H167="","",IF(H167&lt;=2,90,IF(H167&lt;=4,75,IF(H167&lt;=7,60,IF(H167&lt;=10,45,IF(H167&lt;=15,30,IF(H167&lt;=25,15,5))))))),""),IFERROR(IF(I167="","",IF(I167&lt;=0.5,100,IF(I167&lt;=1,90,IF(I167&lt;=1.5,75,IF(I167&lt;=2,60,IF(I167&lt;=2.5,45,IF(I167&lt;=3,30,15))))))),"")),"")</f>
        <v/>
      </c>
      <c r="L167" s="33" t="n">
        <v>14.43</v>
      </c>
      <c r="M167" s="33" t="n">
        <v>2.36</v>
      </c>
      <c r="N167" s="33" t="n">
        <v>-0.19</v>
      </c>
      <c r="O167" s="33">
        <f>IFERROR(AVERAGE(IFERROR(IF(K167="","",IF(K167&gt;=25,100,IF(K167&gt;=20,90,IF(K167&gt;=15,75,IF(K167&gt;=10,60,IF(K167&gt;=5,45,IF(K167&gt;=0,30,15))))))),""),IFERROR(IF(L167="","",IF(L167&gt;=60,100,IF(L167&gt;=50,90,IF(L167&gt;=40,75,IF(L167&gt;=30,60,IF(L167&gt;=20,45,IF(L167&gt;=10,30,15))))))),""),IFERROR(IF(M167="","",IF(M167&gt;=25,100,IF(M167&gt;=20,90,IF(M167&gt;=15,75,IF(M167&gt;=10,60,IF(M167&gt;=5,45,IF(M167&gt;=0,30,15))))))),""),IFERROR(IF(N167="","",IF(N167&lt;=0,100,IF(N167&lt;=1,90,IF(N167&lt;=2,75,IF(N167&lt;=3,60,IF(N167&lt;=4,45,IF(N167&lt;=5,30,15))))))),"")),"")</f>
        <v/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t="n">
        <v>3</v>
      </c>
      <c r="U167" t="n">
        <v>3</v>
      </c>
      <c r="V167" t="n">
        <v>3</v>
      </c>
      <c r="W167" t="n">
        <v>5</v>
      </c>
      <c r="X167" t="n">
        <v>2</v>
      </c>
      <c r="Y167" s="33">
        <f>IFERROR(AVERAGE(T167,U167,V167,W167,X167)*20,"")</f>
        <v/>
      </c>
      <c r="Z167" t="n">
        <v>5</v>
      </c>
      <c r="AA167" t="n">
        <v>5</v>
      </c>
      <c r="AB167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t="n">
        <v>3</v>
      </c>
      <c r="AF167" t="n">
        <v>2</v>
      </c>
      <c r="AG167" t="n">
        <v>4</v>
      </c>
      <c r="AH167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2026-06-20</t>
        </is>
      </c>
      <c r="E168" s="33" t="n">
        <v>28.319674</v>
      </c>
      <c r="I168" s="33">
        <f>IF(OR(E168="",R168="",R168&lt;=0,E168&lt;0),"",E168/R168)</f>
        <v/>
      </c>
      <c r="J168" s="33">
        <f>IFERROR(AVERAGE(IFERROR(IF(E168="","",IF(E168&lt;0,5,IF(E168&lt;=15,90,IF(E168&lt;=20,75,IF(E168&lt;=25,60,IF(E168&lt;=30,45,IF(E168&lt;=40,30,IF(E168&lt;=60,15,5)))))))),""),IFERROR(IF(F168="","",IF(F168&lt;0,5,IF(F168&lt;=10,90,IF(F168&lt;=15,75,IF(F168&lt;=20,60,IF(F168&lt;=25,45,IF(F168&lt;=35,30,IF(F168&lt;=50,15,5)))))))),""),IFERROR(IF(G168="","",IF(G168&gt;=8,100,IF(G168&gt;=6,90,IF(G168&gt;=4,75,IF(G168&gt;=2,60,IF(G168&gt;=1,45,IF(G168&gt;=0,30,15))))))),""),IFERROR(IF(H168="","",IF(H168&lt;=2,90,IF(H168&lt;=4,75,IF(H168&lt;=7,60,IF(H168&lt;=10,45,IF(H168&lt;=15,30,IF(H168&lt;=25,15,5))))))),""),IFERROR(IF(I168="","",IF(I168&lt;=0.5,100,IF(I168&lt;=1,90,IF(I168&lt;=1.5,75,IF(I168&lt;=2,60,IF(I168&lt;=2.5,45,IF(I168&lt;=3,30,15))))))),"")),"")</f>
        <v/>
      </c>
      <c r="L168" s="33" t="n">
        <v>18.5</v>
      </c>
      <c r="M168" s="33" t="n">
        <v>-2.56</v>
      </c>
      <c r="N168" s="33" t="n">
        <v>1.14</v>
      </c>
      <c r="O168" s="33">
        <f>IFERROR(AVERAGE(IFERROR(IF(K168="","",IF(K168&gt;=25,100,IF(K168&gt;=20,90,IF(K168&gt;=15,75,IF(K168&gt;=10,60,IF(K168&gt;=5,45,IF(K168&gt;=0,30,15))))))),""),IFERROR(IF(L168="","",IF(L168&gt;=60,100,IF(L168&gt;=50,90,IF(L168&gt;=40,75,IF(L168&gt;=30,60,IF(L168&gt;=20,45,IF(L168&gt;=10,30,15))))))),""),IFERROR(IF(M168="","",IF(M168&gt;=25,100,IF(M168&gt;=20,90,IF(M168&gt;=15,75,IF(M168&gt;=10,60,IF(M168&gt;=5,45,IF(M168&gt;=0,30,15))))))),""),IFERROR(IF(N168="","",IF(N168&lt;=0,100,IF(N168&lt;=1,90,IF(N168&lt;=2,75,IF(N168&lt;=3,60,IF(N168&lt;=4,45,IF(N168&lt;=5,30,15))))))),"")),"")</f>
        <v/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t="n">
        <v>3</v>
      </c>
      <c r="U168" t="n">
        <v>4</v>
      </c>
      <c r="V168" t="n">
        <v>3</v>
      </c>
      <c r="W168" t="n">
        <v>5</v>
      </c>
      <c r="X168" t="n">
        <v>3</v>
      </c>
      <c r="Y168" s="33">
        <f>IFERROR(AVERAGE(T168,U168,V168,W168,X168)*20,"")</f>
        <v/>
      </c>
      <c r="Z168" t="n">
        <v>3</v>
      </c>
      <c r="AA168" t="n">
        <v>4</v>
      </c>
      <c r="AB168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t="n">
        <v>3</v>
      </c>
      <c r="AF168" t="n">
        <v>2</v>
      </c>
      <c r="AG168" t="n">
        <v>3</v>
      </c>
      <c r="AH168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9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t="inlineStr">
        <is>
          <t>2026-06-20</t>
        </is>
      </c>
      <c r="B2245" t="inlineStr">
        <is>
          <t>ACLS</t>
        </is>
      </c>
      <c r="C2245" t="inlineStr">
        <is>
          <t>D1</t>
        </is>
      </c>
      <c r="D2245" t="n">
        <v>2</v>
      </c>
      <c r="E2245" t="inlineStr">
        <is>
          <t>No disclosed AI-rev line; AI exposure indirect/minority via DRAM/HBM memory-capacity + nascent SiC datacenter-power; leading-edge logic ~nil; inferentially &lt;25%.</t>
        </is>
      </c>
      <c r="F2245" t="inlineStr">
        <is>
          <t>Q1 2026 call; 10-K FY2025; context-2026-06-20.md</t>
        </is>
      </c>
      <c r="G2245" t="inlineStr">
        <is>
          <t>Medium</t>
        </is>
      </c>
      <c r="H2245" t="inlineStr">
        <is>
          <t>Initial</t>
        </is>
      </c>
    </row>
    <row r="2246">
      <c r="A2246" t="inlineStr">
        <is>
          <t>2026-06-20</t>
        </is>
      </c>
      <c r="B2246" t="inlineStr">
        <is>
          <t>ACLS</t>
        </is>
      </c>
      <c r="C2246" t="inlineStr">
        <is>
          <t>D2</t>
        </is>
      </c>
      <c r="D2246" t="n">
        <v>4</v>
      </c>
      <c r="E2246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t="inlineStr">
        <is>
          <t>10-K FY2025; context-2026-06-20.md</t>
        </is>
      </c>
      <c r="G2246" t="inlineStr">
        <is>
          <t>High</t>
        </is>
      </c>
      <c r="H2246" t="inlineStr">
        <is>
          <t>Initial</t>
        </is>
      </c>
    </row>
    <row r="2247">
      <c r="A2247" t="inlineStr">
        <is>
          <t>2026-06-20</t>
        </is>
      </c>
      <c r="B2247" t="inlineStr">
        <is>
          <t>ACLS</t>
        </is>
      </c>
      <c r="C2247" t="inlineStr">
        <is>
          <t>D3</t>
        </is>
      </c>
      <c r="D2247" t="n">
        <v>4</v>
      </c>
      <c r="E2247" t="inlineStr">
        <is>
          <t>Durable process know-how + installed base + switching costs in implant; not multi-dimensional / leading-edge-critical enough for 5.</t>
        </is>
      </c>
      <c r="F2247" t="inlineStr">
        <is>
          <t>10-K FY2025; context-2026-06-20.md</t>
        </is>
      </c>
      <c r="G2247" t="inlineStr">
        <is>
          <t>Medium</t>
        </is>
      </c>
      <c r="H2247" t="inlineStr">
        <is>
          <t>Initial</t>
        </is>
      </c>
    </row>
    <row r="2248">
      <c r="A2248" t="inlineStr">
        <is>
          <t>2026-06-20</t>
        </is>
      </c>
      <c r="B2248" t="inlineStr">
        <is>
          <t>ACLS</t>
        </is>
      </c>
      <c r="C2248" t="inlineStr">
        <is>
          <t>D4</t>
        </is>
      </c>
      <c r="D2248" t="n">
        <v>3</v>
      </c>
      <c r="E2248" t="inlineStr">
        <is>
          <t>Asset-light, in a demand trough (capex ~$11M, FY26 guided flat); product/market scope expanding via the Veeco merger. Net steady-state.</t>
        </is>
      </c>
      <c r="F2248" t="inlineStr">
        <is>
          <t>10-K cash flow; Q1'26 guide; context</t>
        </is>
      </c>
      <c r="G2248" t="inlineStr">
        <is>
          <t>Medium</t>
        </is>
      </c>
      <c r="H2248" t="inlineStr">
        <is>
          <t>Initial</t>
        </is>
      </c>
    </row>
    <row r="2249">
      <c r="A2249" t="inlineStr">
        <is>
          <t>2026-06-20</t>
        </is>
      </c>
      <c r="B2249" t="inlineStr">
        <is>
          <t>ACLS</t>
        </is>
      </c>
      <c r="C2249" t="inlineStr">
        <is>
          <t>D5</t>
        </is>
      </c>
      <c r="D2249" t="n">
        <v>2</v>
      </c>
      <c r="E2249" t="inlineStr">
        <is>
          <t>Sells to chipmakers, not hyperscalers; only the AI-memory slice is downstream-AI-tied; no hyperscaler customer.</t>
        </is>
      </c>
      <c r="F2249" t="inlineStr">
        <is>
          <t>10-K customer disclosure; Q1'26 call; context</t>
        </is>
      </c>
      <c r="G2249" t="inlineStr">
        <is>
          <t>Medium</t>
        </is>
      </c>
      <c r="H2249" t="inlineStr">
        <is>
          <t>Initial</t>
        </is>
      </c>
    </row>
    <row r="2250">
      <c r="A2250" t="inlineStr">
        <is>
          <t>2026-06-20</t>
        </is>
      </c>
      <c r="B2250" t="inlineStr">
        <is>
          <t>ACLS</t>
        </is>
      </c>
      <c r="C2250" t="inlineStr">
        <is>
          <t>M1</t>
        </is>
      </c>
      <c r="D2250" t="n">
        <v>3</v>
      </c>
      <c r="E2250" t="inlineStr">
        <is>
          <t>Mixed: Q2'26 guide above consensus + a B.Riley upgrade, but a standing BofA underperform and FY26 only flat — not a clean beat-and-raise.</t>
        </is>
      </c>
      <c r="F2250" t="inlineStr">
        <is>
          <t>analyst PT actions; Q1'26 guide; context</t>
        </is>
      </c>
      <c r="G2250" t="inlineStr">
        <is>
          <t>Low-Med</t>
        </is>
      </c>
      <c r="H2250" t="inlineStr">
        <is>
          <t>Initial</t>
        </is>
      </c>
    </row>
    <row r="2251">
      <c r="A2251" t="inlineStr">
        <is>
          <t>2026-06-20</t>
        </is>
      </c>
      <c r="B2251" t="inlineStr">
        <is>
          <t>ACLS</t>
        </is>
      </c>
      <c r="C2251" t="inlineStr">
        <is>
          <t>M2</t>
        </is>
      </c>
      <c r="D2251" t="n">
        <v>5</v>
      </c>
      <c r="E2251" t="inlineStr">
        <is>
          <t>+109% YTD vs SOXX +89% (&gt;20pp, 6mo). FLAG: merger/sentiment-driven on flat fundamentals (rule-14 crowding).</t>
        </is>
      </c>
      <c r="F2251" t="inlineStr">
        <is>
          <t>investing.com; public.com; context</t>
        </is>
      </c>
      <c r="G2251" t="inlineStr">
        <is>
          <t>High</t>
        </is>
      </c>
      <c r="H2251" t="inlineStr">
        <is>
          <t>Initial</t>
        </is>
      </c>
    </row>
    <row r="2252">
      <c r="A2252" t="inlineStr">
        <is>
          <t>2026-06-20</t>
        </is>
      </c>
      <c r="B2252" t="inlineStr">
        <is>
          <t>ACLS</t>
        </is>
      </c>
      <c r="C2252" t="inlineStr">
        <is>
          <t>M3</t>
        </is>
      </c>
      <c r="D2252" t="n">
        <v>3</v>
      </c>
      <c r="E2252" t="inlineStr">
        <is>
          <t>Routine small open-market sells, no open-market buys; per rubric, absence of buying caps at the diversification default of 3.</t>
        </is>
      </c>
      <c r="F2252" t="inlineStr">
        <is>
          <t>SEC Form 4s 2026; context</t>
        </is>
      </c>
      <c r="G2252" t="inlineStr">
        <is>
          <t>High</t>
        </is>
      </c>
      <c r="H2252" t="inlineStr">
        <is>
          <t>Initial</t>
        </is>
      </c>
    </row>
    <row r="2253">
      <c r="A2253" t="inlineStr">
        <is>
          <t>2026-06-20</t>
        </is>
      </c>
      <c r="B2253" t="inlineStr">
        <is>
          <t>ACLS</t>
        </is>
      </c>
      <c r="C2253" t="inlineStr">
        <is>
          <t>R1</t>
        </is>
      </c>
      <c r="D2253" t="n">
        <v>4</v>
      </c>
      <c r="E2253" t="inlineStr">
        <is>
          <t>One customer 11.0%, top-10 = 55.2% (FY2025); manageable.</t>
        </is>
      </c>
      <c r="F2253" t="inlineStr">
        <is>
          <t>10-K FY2025 Item 1A + Note</t>
        </is>
      </c>
      <c r="G2253" t="inlineStr">
        <is>
          <t>High</t>
        </is>
      </c>
      <c r="H2253" t="inlineStr">
        <is>
          <t>Initial</t>
        </is>
      </c>
    </row>
    <row r="2254">
      <c r="A2254" t="inlineStr">
        <is>
          <t>2026-06-20</t>
        </is>
      </c>
      <c r="B2254" t="inlineStr">
        <is>
          <t>ACLS</t>
        </is>
      </c>
      <c r="C2254" t="inlineStr">
        <is>
          <t>R2</t>
        </is>
      </c>
      <c r="D2254" t="n">
        <v>2</v>
      </c>
      <c r="E2254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t="inlineStr">
        <is>
          <t>10-K FY2025 risk factors; Q1'26 call</t>
        </is>
      </c>
      <c r="G2254" t="inlineStr">
        <is>
          <t>High</t>
        </is>
      </c>
      <c r="H2254" t="inlineStr">
        <is>
          <t>Initial</t>
        </is>
      </c>
    </row>
    <row r="2255">
      <c r="A2255" t="inlineStr">
        <is>
          <t>2026-06-20</t>
        </is>
      </c>
      <c r="B2255" t="inlineStr">
        <is>
          <t>ACLS</t>
        </is>
      </c>
      <c r="C2255" t="inlineStr">
        <is>
          <t>R3</t>
        </is>
      </c>
      <c r="D2255" t="n">
        <v>5</v>
      </c>
      <c r="E2255" t="inlineStr">
        <is>
          <t>Net cash ~$570M, no funded debt, positive FCF.</t>
        </is>
      </c>
      <c r="F2255" t="inlineStr">
        <is>
          <t>10-K FY2025 balance sheet</t>
        </is>
      </c>
      <c r="G2255" t="inlineStr">
        <is>
          <t>High</t>
        </is>
      </c>
      <c r="H2255" t="inlineStr">
        <is>
          <t>Initial</t>
        </is>
      </c>
    </row>
    <row r="2256">
      <c r="A2256" t="inlineStr">
        <is>
          <t>2026-06-20</t>
        </is>
      </c>
      <c r="B2256" t="inlineStr">
        <is>
          <t>ACLS</t>
        </is>
      </c>
      <c r="C2256" t="inlineStr">
        <is>
          <t>R4</t>
        </is>
      </c>
      <c r="D2256" t="n">
        <v>3</v>
      </c>
      <c r="E2256" t="inlineStr">
        <is>
          <t>Live items: export-control (in R2) + pending cross-border merger/antitrust (SAMR) + a $5M customer settlement; not clean enough for 4-5.</t>
        </is>
      </c>
      <c r="F2256" t="inlineStr">
        <is>
          <t>10-K; Q1'26 8-K</t>
        </is>
      </c>
      <c r="G2256" t="inlineStr">
        <is>
          <t>Medium</t>
        </is>
      </c>
      <c r="H2256" t="inlineStr">
        <is>
          <t>Initial</t>
        </is>
      </c>
    </row>
    <row r="2257">
      <c r="A2257" t="inlineStr">
        <is>
          <t>2026-06-20</t>
        </is>
      </c>
      <c r="B2257" t="inlineStr">
        <is>
          <t>ACLS</t>
        </is>
      </c>
      <c r="C2257" t="inlineStr">
        <is>
          <t>R5</t>
        </is>
      </c>
      <c r="D2257" t="n">
        <v>5</v>
      </c>
      <c r="E2257" t="inlineStr">
        <is>
          <t>Non-Layer-10 physical process-equipment maker; ion implant is a durable, irreplaceable doping step; rule-16 default.</t>
        </is>
      </c>
      <c r="F2257" t="inlineStr">
        <is>
          <t>CLAUDE.md rule 16</t>
        </is>
      </c>
      <c r="G2257" t="inlineStr">
        <is>
          <t>High</t>
        </is>
      </c>
      <c r="H2257" t="inlineStr">
        <is>
          <t>Initial</t>
        </is>
      </c>
    </row>
    <row r="2258">
      <c r="A2258" t="inlineStr">
        <is>
          <t>2026-06-20</t>
        </is>
      </c>
      <c r="B2258" t="inlineStr">
        <is>
          <t>COHU</t>
        </is>
      </c>
      <c r="C2258" t="inlineStr">
        <is>
          <t>D1</t>
        </is>
      </c>
      <c r="D2258" t="n">
        <v>3</v>
      </c>
      <c r="E2258" t="inlineStr">
        <is>
          <t>HPC/AI ~$80-100M of FY26 rev (~15-19%), trending up; plus HBM inspection in the pipeline. Company gives no single "AI revenue" line.</t>
        </is>
      </c>
      <c r="F2258" t="inlineStr">
        <is>
          <t>Q1'26 call (HPC guide); 10-K; context</t>
        </is>
      </c>
      <c r="G2258" t="inlineStr">
        <is>
          <t>Medium</t>
        </is>
      </c>
      <c r="H2258" t="inlineStr">
        <is>
          <t>Initial</t>
        </is>
      </c>
    </row>
    <row r="2259">
      <c r="A2259" t="inlineStr">
        <is>
          <t>2026-06-20</t>
        </is>
      </c>
      <c r="B2259" t="inlineStr">
        <is>
          <t>COHU</t>
        </is>
      </c>
      <c r="C2259" t="inlineStr">
        <is>
          <t>D2</t>
        </is>
      </c>
      <c r="D2259" t="n">
        <v>3</v>
      </c>
      <c r="E2259" t="inlineStr">
        <is>
          <t>Differentiated back-end breadth (handler+ATE+contactor+thermal+inspection) + large consumables installed base, but a #3-ish player behind Advantest/Teradyne facing Asia price competition.</t>
        </is>
      </c>
      <c r="F2259" t="inlineStr">
        <is>
          <t>10-K Item 1/1A; context</t>
        </is>
      </c>
      <c r="G2259" t="inlineStr">
        <is>
          <t>Med-High</t>
        </is>
      </c>
      <c r="H2259" t="inlineStr">
        <is>
          <t>Initial</t>
        </is>
      </c>
    </row>
    <row r="2260">
      <c r="A2260" t="inlineStr">
        <is>
          <t>2026-06-20</t>
        </is>
      </c>
      <c r="B2260" t="inlineStr">
        <is>
          <t>COHU</t>
        </is>
      </c>
      <c r="C2260" t="inlineStr">
        <is>
          <t>D3</t>
        </is>
      </c>
      <c r="D2260" t="n">
        <v>3</v>
      </c>
      <c r="E2260" t="inlineStr">
        <is>
          <t>Recurring/consumables installed base (&gt;25,000 systems; device-specific interface products) + IP give a modest real moat; share contested, pricing competitive.</t>
        </is>
      </c>
      <c r="F2260" t="inlineStr">
        <is>
          <t>10-K Item 1; context</t>
        </is>
      </c>
      <c r="G2260" t="inlineStr">
        <is>
          <t>Medium</t>
        </is>
      </c>
      <c r="H2260" t="inlineStr">
        <is>
          <t>Initial</t>
        </is>
      </c>
    </row>
    <row r="2261">
      <c r="A2261" t="inlineStr">
        <is>
          <t>2026-06-20</t>
        </is>
      </c>
      <c r="B2261" t="inlineStr">
        <is>
          <t>COHU</t>
        </is>
      </c>
      <c r="C2261" t="inlineStr">
        <is>
          <t>D4</t>
        </is>
      </c>
      <c r="D2261" t="n">
        <v>4</v>
      </c>
      <c r="E2261" t="inlineStr">
        <is>
          <t>Actively ramping Eclipse production capacity to meet HPC demand (absorbing initial ramp costs through 2026).</t>
        </is>
      </c>
      <c r="F2261" t="inlineStr">
        <is>
          <t>Q1'26 call; context</t>
        </is>
      </c>
      <c r="G2261" t="inlineStr">
        <is>
          <t>Med-High</t>
        </is>
      </c>
      <c r="H2261" t="inlineStr">
        <is>
          <t>Initial</t>
        </is>
      </c>
    </row>
    <row r="2262">
      <c r="A2262" t="inlineStr">
        <is>
          <t>2026-06-20</t>
        </is>
      </c>
      <c r="B2262" t="inlineStr">
        <is>
          <t>COHU</t>
        </is>
      </c>
      <c r="C2262" t="inlineStr">
        <is>
          <t>D5</t>
        </is>
      </c>
      <c r="D2262" t="n">
        <v>2</v>
      </c>
      <c r="E2262" t="inlineStr">
        <is>
          <t>Indirect exposure — sells to IDMs/OSATs/foundries serving the AI buildout; no hyperscaler customer; none &gt;10%.</t>
        </is>
      </c>
      <c r="F2262" t="inlineStr">
        <is>
          <t>10-K Item 1; 10-Q; context</t>
        </is>
      </c>
      <c r="G2262" t="inlineStr">
        <is>
          <t>Med-High</t>
        </is>
      </c>
      <c r="H2262" t="inlineStr">
        <is>
          <t>Initial</t>
        </is>
      </c>
    </row>
    <row r="2263">
      <c r="A2263" t="inlineStr">
        <is>
          <t>2026-06-20</t>
        </is>
      </c>
      <c r="B2263" t="inlineStr">
        <is>
          <t>COHU</t>
        </is>
      </c>
      <c r="C2263" t="inlineStr">
        <is>
          <t>M1</t>
        </is>
      </c>
      <c r="D2263" t="n">
        <v>5</v>
      </c>
      <c r="E2263" t="inlineStr">
        <is>
          <t>Beat-and-raise; multiple PT hikes (TD Cowen $60-&gt;$80; B.Riley $35-&gt;$53) and a raised FY26 guide.</t>
        </is>
      </c>
      <c r="F2263" t="inlineStr">
        <is>
          <t>analyst notes; Q1'26 call; context</t>
        </is>
      </c>
      <c r="G2263" t="inlineStr">
        <is>
          <t>High</t>
        </is>
      </c>
      <c r="H2263" t="inlineStr">
        <is>
          <t>Initial</t>
        </is>
      </c>
    </row>
    <row r="2264">
      <c r="A2264" t="inlineStr">
        <is>
          <t>2026-06-20</t>
        </is>
      </c>
      <c r="B2264" t="inlineStr">
        <is>
          <t>COHU</t>
        </is>
      </c>
      <c r="C2264" t="inlineStr">
        <is>
          <t>M2</t>
        </is>
      </c>
      <c r="D2264" t="n">
        <v>3</v>
      </c>
      <c r="E2264" t="inlineStr">
        <is>
          <t>+280% 1yr / +85-92% YTD but ~in line with SOXX ~+99% YTD; on a relative-to-sector basis not a clear &gt;20% outperformer (could argue 4).</t>
        </is>
      </c>
      <c r="F2264" t="inlineStr">
        <is>
          <t>Investing.com; SOXX YTD; context</t>
        </is>
      </c>
      <c r="G2264" t="inlineStr">
        <is>
          <t>Medium</t>
        </is>
      </c>
      <c r="H2264" t="inlineStr">
        <is>
          <t>Initial</t>
        </is>
      </c>
    </row>
    <row r="2265">
      <c r="A2265" t="inlineStr">
        <is>
          <t>2026-06-20</t>
        </is>
      </c>
      <c r="B2265" t="inlineStr">
        <is>
          <t>COHU</t>
        </is>
      </c>
      <c r="C2265" t="inlineStr">
        <is>
          <t>M3</t>
        </is>
      </c>
      <c r="D2265" t="n">
        <v>3</v>
      </c>
      <c r="E2265" t="inlineStr">
        <is>
          <t>0 buys / 9 open-market sells in 6mo, all small (&lt;5%) into a +280% run = routine post-rally diversification; no buying caps at 3.</t>
        </is>
      </c>
      <c r="F2265" t="inlineStr">
        <is>
          <t>Quiver/StockTitan Form 4; context</t>
        </is>
      </c>
      <c r="G2265" t="inlineStr">
        <is>
          <t>Medium</t>
        </is>
      </c>
      <c r="H2265" t="inlineStr">
        <is>
          <t>Initial</t>
        </is>
      </c>
    </row>
    <row r="2266">
      <c r="A2266" t="inlineStr">
        <is>
          <t>2026-06-20</t>
        </is>
      </c>
      <c r="B2266" t="inlineStr">
        <is>
          <t>COHU</t>
        </is>
      </c>
      <c r="C2266" t="inlineStr">
        <is>
          <t>R1</t>
        </is>
      </c>
      <c r="D2266" t="n">
        <v>4</v>
      </c>
      <c r="E2266" t="inlineStr">
        <is>
          <t>Top-10 = 60%, no customer &gt;10% (FY25).</t>
        </is>
      </c>
      <c r="F2266" t="inlineStr">
        <is>
          <t>10-K Item 1A; 10-Q</t>
        </is>
      </c>
      <c r="G2266" t="inlineStr">
        <is>
          <t>High</t>
        </is>
      </c>
      <c r="H2266" t="inlineStr">
        <is>
          <t>Initial</t>
        </is>
      </c>
    </row>
    <row r="2267">
      <c r="A2267" t="inlineStr">
        <is>
          <t>2026-06-20</t>
        </is>
      </c>
      <c r="B2267" t="inlineStr">
        <is>
          <t>COHU</t>
        </is>
      </c>
      <c r="C2267" t="inlineStr">
        <is>
          <t>R2</t>
        </is>
      </c>
      <c r="D2267" t="n">
        <v>3</v>
      </c>
      <c r="E2267" t="inlineStr">
        <is>
          <t>Asia test/assembly hub concentration + China ~11% policy overhang; 90% international; impact limited/absorbed.</t>
        </is>
      </c>
      <c r="F2267" t="inlineStr">
        <is>
          <t>10-Q geographic; 10-K</t>
        </is>
      </c>
      <c r="G2267" t="inlineStr">
        <is>
          <t>Medium</t>
        </is>
      </c>
      <c r="H2267" t="inlineStr">
        <is>
          <t>Initial</t>
        </is>
      </c>
    </row>
    <row r="2268">
      <c r="A2268" t="inlineStr">
        <is>
          <t>2026-06-20</t>
        </is>
      </c>
      <c r="B2268" t="inlineStr">
        <is>
          <t>COHU</t>
        </is>
      </c>
      <c r="C2268" t="inlineStr">
        <is>
          <t>R3</t>
        </is>
      </c>
      <c r="D2268" t="n">
        <v>4</v>
      </c>
      <c r="E2268" t="inlineStr">
        <is>
          <t>Net cash ~+$184M, $489M cash+investments, positive FCF even in trough; modest offsetting $287.5M convertible due 2031 (capped-call).</t>
        </is>
      </c>
      <c r="F2268" t="inlineStr">
        <is>
          <t>10-Q; 10-K Borrowings</t>
        </is>
      </c>
      <c r="G2268" t="inlineStr">
        <is>
          <t>High</t>
        </is>
      </c>
      <c r="H2268" t="inlineStr">
        <is>
          <t>Initial</t>
        </is>
      </c>
    </row>
    <row r="2269">
      <c r="A2269" t="inlineStr">
        <is>
          <t>2026-06-20</t>
        </is>
      </c>
      <c r="B2269" t="inlineStr">
        <is>
          <t>COHU</t>
        </is>
      </c>
      <c r="C2269" t="inlineStr">
        <is>
          <t>R4</t>
        </is>
      </c>
      <c r="D2269" t="n">
        <v>4</v>
      </c>
      <c r="E2269" t="inlineStr">
        <is>
          <t>Clean; 10-K states trade-compliance costs immaterial, no material proceedings flagged.</t>
        </is>
      </c>
      <c r="F2269" t="inlineStr">
        <is>
          <t>10-K</t>
        </is>
      </c>
      <c r="G2269" t="inlineStr">
        <is>
          <t>Med-High</t>
        </is>
      </c>
      <c r="H2269" t="inlineStr">
        <is>
          <t>Initial</t>
        </is>
      </c>
    </row>
    <row r="2270">
      <c r="A2270" t="inlineStr">
        <is>
          <t>2026-06-20</t>
        </is>
      </c>
      <c r="B2270" t="inlineStr">
        <is>
          <t>COHU</t>
        </is>
      </c>
      <c r="C2270" t="inlineStr">
        <is>
          <t>R5</t>
        </is>
      </c>
      <c r="D2270" t="n">
        <v>5</v>
      </c>
      <c r="E2270" t="inlineStr">
        <is>
          <t>Back-end semi-test equipment / physical infra; not Layer 10; rule-16 default.</t>
        </is>
      </c>
      <c r="F2270" t="inlineStr">
        <is>
          <t>CLAUDE.md rule 16</t>
        </is>
      </c>
      <c r="G2270" t="inlineStr">
        <is>
          <t>High</t>
        </is>
      </c>
      <c r="H2270" t="inlineStr">
        <is>
          <t>Initial</t>
        </is>
      </c>
    </row>
    <row r="2271">
      <c r="A2271" t="inlineStr">
        <is>
          <t>2026-06-20</t>
        </is>
      </c>
      <c r="B2271" t="inlineStr">
        <is>
          <t>AMKR</t>
        </is>
      </c>
      <c r="C2271" t="inlineStr">
        <is>
          <t>D1</t>
        </is>
      </c>
      <c r="D2271" t="n">
        <v>3</v>
      </c>
      <c r="E2271" t="inlineStr">
        <is>
          <t>Advanced products 81-83% of sales, but advanced packaging != AI revenue (Comms/mobile 44-46%); genuinely AI-infra-tied ~10-25% and rising. No disclosed "AI revenue".</t>
        </is>
      </c>
      <c r="F2271" t="inlineStr">
        <is>
          <t>10-K FY2025 product/end-market; Q1'26 10-Q; context</t>
        </is>
      </c>
      <c r="G2271" t="inlineStr">
        <is>
          <t>Medium</t>
        </is>
      </c>
      <c r="H2271" t="inlineStr">
        <is>
          <t>Initial</t>
        </is>
      </c>
    </row>
    <row r="2272">
      <c r="A2272" t="inlineStr">
        <is>
          <t>2026-06-20</t>
        </is>
      </c>
      <c r="B2272" t="inlineStr">
        <is>
          <t>AMKR</t>
        </is>
      </c>
      <c r="C2272" t="inlineStr">
        <is>
          <t>D2</t>
        </is>
      </c>
      <c r="D2272" t="n">
        <v>3</v>
      </c>
      <c r="E2272" t="inlineStr">
        <is>
          <t>#2 OSAT with scale + advanced IP, but mid-chain service provider — thin ~14% GM, materials pass-through, customer leverage (Apple/Qualcomm), foundry in-housing threat.</t>
        </is>
      </c>
      <c r="F2272" t="inlineStr">
        <is>
          <t>10-K FY2025; OSAT share data; context</t>
        </is>
      </c>
      <c r="G2272" t="inlineStr">
        <is>
          <t>High</t>
        </is>
      </c>
      <c r="H2272" t="inlineStr">
        <is>
          <t>Initial</t>
        </is>
      </c>
    </row>
    <row r="2273">
      <c r="A2273" t="inlineStr">
        <is>
          <t>2026-06-20</t>
        </is>
      </c>
      <c r="B2273" t="inlineStr">
        <is>
          <t>AMKR</t>
        </is>
      </c>
      <c r="C2273" t="inlineStr">
        <is>
          <t>D3</t>
        </is>
      </c>
      <c r="D2273" t="n">
        <v>3</v>
      </c>
      <c r="E2273" t="inlineStr">
        <is>
          <t>HDFO/2.5D process know-how + customer entanglement give some defensibility, but TSMC 3DFabric + Chinese OSATs erode the high end; limited pricing power.</t>
        </is>
      </c>
      <c r="F2273" t="inlineStr">
        <is>
          <t>trade press; 10-K competition; context</t>
        </is>
      </c>
      <c r="G2273" t="inlineStr">
        <is>
          <t>Medium</t>
        </is>
      </c>
      <c r="H2273" t="inlineStr">
        <is>
          <t>Initial</t>
        </is>
      </c>
    </row>
    <row r="2274">
      <c r="A2274" t="inlineStr">
        <is>
          <t>2026-06-20</t>
        </is>
      </c>
      <c r="B2274" t="inlineStr">
        <is>
          <t>AMKR</t>
        </is>
      </c>
      <c r="C2274" t="inlineStr">
        <is>
          <t>D4</t>
        </is>
      </c>
      <c r="D2274" t="n">
        <v>5</v>
      </c>
      <c r="E2274" t="inlineStr">
        <is>
          <t>$7B Arizona buildout (broken ground, Apple-anchored, CHIPS-supported) + advanced-packaging capacity tripling in 2026; funded and underway.</t>
        </is>
      </c>
      <c r="F2274" t="inlineStr">
        <is>
          <t>10-K FY2025; ir.amkor.com 2025-10-06; context</t>
        </is>
      </c>
      <c r="G2274" t="inlineStr">
        <is>
          <t>High</t>
        </is>
      </c>
      <c r="H2274" t="inlineStr">
        <is>
          <t>Initial</t>
        </is>
      </c>
    </row>
    <row r="2275">
      <c r="A2275" t="inlineStr">
        <is>
          <t>2026-06-20</t>
        </is>
      </c>
      <c r="B2275" t="inlineStr">
        <is>
          <t>AMKR</t>
        </is>
      </c>
      <c r="C2275" t="inlineStr">
        <is>
          <t>D5</t>
        </is>
      </c>
      <c r="D2275" t="n">
        <v>2</v>
      </c>
      <c r="E2275" t="inlineStr">
        <is>
          <t>Named large customers are Apple/Qualcomm, not hyperscalers; AI exposure indirect via merchant accelerator/CPU vendors and Apple silicon.</t>
        </is>
      </c>
      <c r="F2275" t="inlineStr">
        <is>
          <t>10-K FY2025 customers; context</t>
        </is>
      </c>
      <c r="G2275" t="inlineStr">
        <is>
          <t>Medium</t>
        </is>
      </c>
      <c r="H2275" t="inlineStr">
        <is>
          <t>Initial</t>
        </is>
      </c>
    </row>
    <row r="2276">
      <c r="A2276" t="inlineStr">
        <is>
          <t>2026-06-20</t>
        </is>
      </c>
      <c r="B2276" t="inlineStr">
        <is>
          <t>AMKR</t>
        </is>
      </c>
      <c r="C2276" t="inlineStr">
        <is>
          <t>M1</t>
        </is>
      </c>
      <c r="D2276" t="n">
        <v>5</v>
      </c>
      <c r="E2276" t="inlineStr">
        <is>
          <t>Beat-and-raise; Needham $65-&gt;$90, MS $45-&gt;$69; FY26 EPS consensus $1.74-&gt;$2.11.</t>
        </is>
      </c>
      <c r="F2276" t="inlineStr">
        <is>
          <t>analyst notes Jun 2026; context</t>
        </is>
      </c>
      <c r="G2276" t="inlineStr">
        <is>
          <t>High</t>
        </is>
      </c>
      <c r="H2276" t="inlineStr">
        <is>
          <t>Initial</t>
        </is>
      </c>
    </row>
    <row r="2277">
      <c r="A2277" t="inlineStr">
        <is>
          <t>2026-06-20</t>
        </is>
      </c>
      <c r="B2277" t="inlineStr">
        <is>
          <t>AMKR</t>
        </is>
      </c>
      <c r="C2277" t="inlineStr">
        <is>
          <t>M2</t>
        </is>
      </c>
      <c r="D2277" t="n">
        <v>5</v>
      </c>
      <c r="E2277" t="inlineStr">
        <is>
          <t>All-time highs, large outperformance, +8.25% single day (Jun 12). Note: also rule-14 crowding risk.</t>
        </is>
      </c>
      <c r="F2277" t="inlineStr">
        <is>
          <t>market data; expectations_flag; context</t>
        </is>
      </c>
      <c r="G2277" t="inlineStr">
        <is>
          <t>High</t>
        </is>
      </c>
      <c r="H2277" t="inlineStr">
        <is>
          <t>Initial</t>
        </is>
      </c>
    </row>
    <row r="2278">
      <c r="A2278" t="inlineStr">
        <is>
          <t>2026-06-20</t>
        </is>
      </c>
      <c r="B2278" t="inlineStr">
        <is>
          <t>AMKR</t>
        </is>
      </c>
      <c r="C2278" t="inlineStr">
        <is>
          <t>M3</t>
        </is>
      </c>
      <c r="D2278" t="n">
        <v>3</v>
      </c>
      <c r="E2278" t="inlineStr">
        <is>
          <t>Ex-CEO routine post-retirement trim (~9% of holdings); no open-market buying; Kim-family secondary is a diversification-flavored overhang. Default post-rally baseline.</t>
        </is>
      </c>
      <c r="F2278" t="inlineStr">
        <is>
          <t>stocktitan Form 4; 13D/A; context</t>
        </is>
      </c>
      <c r="G2278" t="inlineStr">
        <is>
          <t>Medium</t>
        </is>
      </c>
      <c r="H2278" t="inlineStr">
        <is>
          <t>Initial</t>
        </is>
      </c>
    </row>
    <row r="2279">
      <c r="A2279" t="inlineStr">
        <is>
          <t>2026-06-20</t>
        </is>
      </c>
      <c r="B2279" t="inlineStr">
        <is>
          <t>AMKR</t>
        </is>
      </c>
      <c r="C2279" t="inlineStr">
        <is>
          <t>R1</t>
        </is>
      </c>
      <c r="D2279" t="n">
        <v>3</v>
      </c>
      <c r="E2279" t="inlineStr">
        <is>
          <t>Apple 29.8% (band 3: top customer 25-40%); top-10 = 72%. Real, not existential.</t>
        </is>
      </c>
      <c r="F2279" t="inlineStr">
        <is>
          <t>10-K FY2025</t>
        </is>
      </c>
      <c r="G2279" t="inlineStr">
        <is>
          <t>High</t>
        </is>
      </c>
      <c r="H2279" t="inlineStr">
        <is>
          <t>Initial</t>
        </is>
      </c>
    </row>
    <row r="2280">
      <c r="A2280" t="inlineStr">
        <is>
          <t>2026-06-20</t>
        </is>
      </c>
      <c r="B2280" t="inlineStr">
        <is>
          <t>AMKR</t>
        </is>
      </c>
      <c r="C2280" t="inlineStr">
        <is>
          <t>R2</t>
        </is>
      </c>
      <c r="D2280" t="n">
        <v>2</v>
      </c>
      <c r="E2280" t="inlineStr">
        <is>
          <t>Worst plausible shock: Taiwan-strait/China conflict impairing Asian production assets (Korea, China 1.4M sq ft, Taiwan); point-of-billing "US 65.6%" is misleading.</t>
        </is>
      </c>
      <c r="F2280" t="inlineStr">
        <is>
          <t>10-K FY2025 Item 2 + geographic note</t>
        </is>
      </c>
      <c r="G2280" t="inlineStr">
        <is>
          <t>Medium</t>
        </is>
      </c>
      <c r="H2280" t="inlineStr">
        <is>
          <t>Initial</t>
        </is>
      </c>
    </row>
    <row r="2281">
      <c r="A2281" t="inlineStr">
        <is>
          <t>2026-06-20</t>
        </is>
      </c>
      <c r="B2281" t="inlineStr">
        <is>
          <t>AMKR</t>
        </is>
      </c>
      <c r="C2281" t="inlineStr">
        <is>
          <t>R3</t>
        </is>
      </c>
      <c r="D2281" t="n">
        <v>4</v>
      </c>
      <c r="E2281" t="inlineStr">
        <is>
          <t>Net cash (cash+STI ~$1.99B vs debt ~$1.46B; ND/EBITDA ~-0.2x), but the $7B Arizona capex is a real forward call on FCF (so not 5).</t>
        </is>
      </c>
      <c r="F2281" t="inlineStr">
        <is>
          <t>10-K FY2025 balance sheet</t>
        </is>
      </c>
      <c r="G2281" t="inlineStr">
        <is>
          <t>High</t>
        </is>
      </c>
      <c r="H2281" t="inlineStr">
        <is>
          <t>Initial</t>
        </is>
      </c>
    </row>
    <row r="2282">
      <c r="A2282" t="inlineStr">
        <is>
          <t>2026-06-20</t>
        </is>
      </c>
      <c r="B2282" t="inlineStr">
        <is>
          <t>AMKR</t>
        </is>
      </c>
      <c r="C2282" t="inlineStr">
        <is>
          <t>R4</t>
        </is>
      </c>
      <c r="D2282" t="n">
        <v>4</v>
      </c>
      <c r="E2282" t="inlineStr">
        <is>
          <t>No major disclosed litigation; watch items = CHIPS-incentive clawback conditions + export-control overhang.</t>
        </is>
      </c>
      <c r="F2282" t="inlineStr">
        <is>
          <t>10-K FY2025 legal/risk</t>
        </is>
      </c>
      <c r="G2282" t="inlineStr">
        <is>
          <t>Medium</t>
        </is>
      </c>
      <c r="H2282" t="inlineStr">
        <is>
          <t>Initial</t>
        </is>
      </c>
    </row>
    <row r="2283">
      <c r="A2283" t="inlineStr">
        <is>
          <t>2026-06-20</t>
        </is>
      </c>
      <c r="B2283" t="inlineStr">
        <is>
          <t>AMKR</t>
        </is>
      </c>
      <c r="C2283" t="inlineStr">
        <is>
          <t>R5</t>
        </is>
      </c>
      <c r="D2283" t="n">
        <v>5</v>
      </c>
      <c r="E2283" t="inlineStr">
        <is>
          <t>Physical back-end manufacturing; non-Layer-10 default; AI is a tailwind (TSMC in-housing is a D2/D3 issue, not R5 obsolescence).</t>
        </is>
      </c>
      <c r="F2283" t="inlineStr">
        <is>
          <t>CLAUDE.md rule 16</t>
        </is>
      </c>
      <c r="G2283" t="inlineStr">
        <is>
          <t>High</t>
        </is>
      </c>
      <c r="H2283" t="inlineStr">
        <is>
          <t>Initial</t>
        </is>
      </c>
    </row>
    <row r="2284">
      <c r="A2284" t="inlineStr">
        <is>
          <t>2026-06-20</t>
        </is>
      </c>
      <c r="B2284" t="inlineStr">
        <is>
          <t>ASX</t>
        </is>
      </c>
      <c r="C2284" t="inlineStr">
        <is>
          <t>D1</t>
        </is>
      </c>
      <c r="D2284" t="n">
        <v>3</v>
      </c>
      <c r="E2284" t="inlineStr">
        <is>
          <t>AI is the explicit driver but not yet majority; LEAP &gt;$3.5B (2026E) on ~$20B rev ~= high-teens % directly AI-tied, plus AI-test/peripherals; EMS+wirebond dilute.</t>
        </is>
      </c>
      <c r="F2284" t="inlineStr">
        <is>
          <t>20-F AI risk factor; Q1'26 call (LEAP); context</t>
        </is>
      </c>
      <c r="G2284" t="inlineStr">
        <is>
          <t>Medium</t>
        </is>
      </c>
      <c r="H2284" t="inlineStr">
        <is>
          <t>Initial</t>
        </is>
      </c>
    </row>
    <row r="2285">
      <c r="A2285" t="inlineStr">
        <is>
          <t>2026-06-20</t>
        </is>
      </c>
      <c r="B2285" t="inlineStr">
        <is>
          <t>ASX</t>
        </is>
      </c>
      <c r="C2285" t="inlineStr">
        <is>
          <t>D2</t>
        </is>
      </c>
      <c r="D2285" t="n">
        <v>4</v>
      </c>
      <c r="E2285" t="inlineStr">
        <is>
          <t>#1 OSAT globally; upstream-of-finished-chip with limited peers (Amkor, JCET); widening lead times. Not 5 — complement to TSMC in CoWoS.</t>
        </is>
      </c>
      <c r="F2285" t="inlineStr">
        <is>
          <t>20-F; rubric anchors; context</t>
        </is>
      </c>
      <c r="G2285" t="inlineStr">
        <is>
          <t>High</t>
        </is>
      </c>
      <c r="H2285" t="inlineStr">
        <is>
          <t>Initial</t>
        </is>
      </c>
    </row>
    <row r="2286">
      <c r="A2286" t="inlineStr">
        <is>
          <t>2026-06-20</t>
        </is>
      </c>
      <c r="B2286" t="inlineStr">
        <is>
          <t>ASX</t>
        </is>
      </c>
      <c r="C2286" t="inlineStr">
        <is>
          <t>D3</t>
        </is>
      </c>
      <c r="D2286" t="n">
        <v>3</v>
      </c>
      <c r="E2286" t="inlineStr">
        <is>
          <t>Scale + capital intensity + qualification switching costs, but contestable (TSMC forward-integration, substrate dependence). Took 3 of a 3-4 range (ruthless).</t>
        </is>
      </c>
      <c r="F2286" t="inlineStr">
        <is>
          <t>20-F Customers/Qualification; context</t>
        </is>
      </c>
      <c r="G2286" t="inlineStr">
        <is>
          <t>Medium</t>
        </is>
      </c>
      <c r="H2286" t="inlineStr">
        <is>
          <t>Initial</t>
        </is>
      </c>
    </row>
    <row r="2287">
      <c r="A2287" t="inlineStr">
        <is>
          <t>2026-06-20</t>
        </is>
      </c>
      <c r="B2287" t="inlineStr">
        <is>
          <t>ASX</t>
        </is>
      </c>
      <c r="C2287" t="inlineStr">
        <is>
          <t>D4</t>
        </is>
      </c>
      <c r="D2287" t="n">
        <v>5</v>
      </c>
      <c r="E2287" t="inlineStr">
        <is>
          <t>Multi-year funded customer-backed buildout; capex raised twice to US$8.5B; new test hub.</t>
        </is>
      </c>
      <c r="F2287" t="inlineStr">
        <is>
          <t>Q1'26 PR; trade press; context</t>
        </is>
      </c>
      <c r="G2287" t="inlineStr">
        <is>
          <t>High</t>
        </is>
      </c>
      <c r="H2287" t="inlineStr">
        <is>
          <t>Initial</t>
        </is>
      </c>
    </row>
    <row r="2288">
      <c r="A2288" t="inlineStr">
        <is>
          <t>2026-06-20</t>
        </is>
      </c>
      <c r="B2288" t="inlineStr">
        <is>
          <t>ASX</t>
        </is>
      </c>
      <c r="C2288" t="inlineStr">
        <is>
          <t>D5</t>
        </is>
      </c>
      <c r="D2288" t="n">
        <v>3</v>
      </c>
      <c r="E2288" t="inlineStr">
        <is>
          <t>Packages/tests AI accelerators for the fabless/hyperscaler-silicon ecosystem, but named &gt;10% customer is Apple (consumer); much exposure one step removed.</t>
        </is>
      </c>
      <c r="F2288" t="inlineStr">
        <is>
          <t>20-F major-customer note; context</t>
        </is>
      </c>
      <c r="G2288" t="inlineStr">
        <is>
          <t>Medium</t>
        </is>
      </c>
      <c r="H2288" t="inlineStr">
        <is>
          <t>Initial</t>
        </is>
      </c>
    </row>
    <row r="2289">
      <c r="A2289" t="inlineStr">
        <is>
          <t>2026-06-20</t>
        </is>
      </c>
      <c r="B2289" t="inlineStr">
        <is>
          <t>ASX</t>
        </is>
      </c>
      <c r="C2289" t="inlineStr">
        <is>
          <t>M1</t>
        </is>
      </c>
      <c r="D2289" t="n">
        <v>3</v>
      </c>
      <c r="E2289" t="inlineStr">
        <is>
          <t>Net-positive: Q1'26 beat ~15%, targets nudged up; not a violent beat-and-raise. Took 3 of a 3-4 range.</t>
        </is>
      </c>
      <c r="F2289" t="inlineStr">
        <is>
          <t>WallStreetZen; TradingView 3711; context</t>
        </is>
      </c>
      <c r="G2289" t="inlineStr">
        <is>
          <t>Medium</t>
        </is>
      </c>
      <c r="H2289" t="inlineStr">
        <is>
          <t>Initial</t>
        </is>
      </c>
    </row>
    <row r="2290">
      <c r="A2290" t="inlineStr">
        <is>
          <t>2026-06-20</t>
        </is>
      </c>
      <c r="B2290" t="inlineStr">
        <is>
          <t>ASX</t>
        </is>
      </c>
      <c r="C2290" t="inlineStr">
        <is>
          <t>M2</t>
        </is>
      </c>
      <c r="D2290" t="n">
        <v>4</v>
      </c>
      <c r="E2290" t="inlineStr">
        <is>
          <t>Strong outperformer vs SOXX (6-12mo). LOW CONFIDENCE — circulating "+257%" is TWSE 3711, likely overstated for the ADR; verify on ADR series. Took 4 of a 4-5 range.</t>
        </is>
      </c>
      <c r="F2290" t="inlineStr">
        <is>
          <t>U.S. News SOXX YTD; context</t>
        </is>
      </c>
      <c r="G2290" t="inlineStr">
        <is>
          <t>Low</t>
        </is>
      </c>
      <c r="H2290" t="inlineStr">
        <is>
          <t>Initial</t>
        </is>
      </c>
    </row>
    <row r="2291">
      <c r="A2291" t="inlineStr">
        <is>
          <t>2026-06-20</t>
        </is>
      </c>
      <c r="B2291" t="inlineStr">
        <is>
          <t>ASX</t>
        </is>
      </c>
      <c r="C2291" t="inlineStr">
        <is>
          <t>M3</t>
        </is>
      </c>
      <c r="D2291" t="n">
        <v>3</v>
      </c>
      <c r="E2291" t="inlineStr">
        <is>
          <t>DATA GAP — no Form-4/Section-16 for a foreign filer; rubric default for no-visible-activity = 3 (here it is absence of data, not a read).</t>
        </is>
      </c>
      <c r="F2291" t="inlineStr">
        <is>
          <t>yfinance heldPctInsiders 0.0; context</t>
        </is>
      </c>
      <c r="G2291" t="inlineStr">
        <is>
          <t>Low</t>
        </is>
      </c>
      <c r="H2291" t="inlineStr">
        <is>
          <t>Initial</t>
        </is>
      </c>
    </row>
    <row r="2292">
      <c r="A2292" t="inlineStr">
        <is>
          <t>2026-06-20</t>
        </is>
      </c>
      <c r="B2292" t="inlineStr">
        <is>
          <t>ASX</t>
        </is>
      </c>
      <c r="C2292" t="inlineStr">
        <is>
          <t>R1</t>
        </is>
      </c>
      <c r="D2292" t="n">
        <v>3</v>
      </c>
      <c r="E2292" t="inlineStr">
        <is>
          <t>One customer ~25%, top-5 = 46.5% -&gt; real dependence, not existential.</t>
        </is>
      </c>
      <c r="F2292" t="inlineStr">
        <is>
          <t>20-F major-customer note</t>
        </is>
      </c>
      <c r="G2292" t="inlineStr">
        <is>
          <t>High</t>
        </is>
      </c>
      <c r="H2292" t="inlineStr">
        <is>
          <t>Initial</t>
        </is>
      </c>
    </row>
    <row r="2293">
      <c r="A2293" t="inlineStr">
        <is>
          <t>2026-06-20</t>
        </is>
      </c>
      <c r="B2293" t="inlineStr">
        <is>
          <t>ASX</t>
        </is>
      </c>
      <c r="C2293" t="inlineStr">
        <is>
          <t>R2</t>
        </is>
      </c>
      <c r="D2293" t="n">
        <v>2</v>
      </c>
      <c r="E2293" t="inlineStr">
        <is>
          <t>Asset leg dominant — ~58.9% of revenue produced in Taiwan (non-substitutable) + a standalone power-disruption risk; worst shock = Taiwan Strait/seismic/grid. Same logic as TSM=2.</t>
        </is>
      </c>
      <c r="F2293" t="inlineStr">
        <is>
          <t>20-F Taiwan risk factors</t>
        </is>
      </c>
      <c r="G2293" t="inlineStr">
        <is>
          <t>High</t>
        </is>
      </c>
      <c r="H2293" t="inlineStr">
        <is>
          <t>Initial</t>
        </is>
      </c>
    </row>
    <row r="2294">
      <c r="A2294" t="inlineStr">
        <is>
          <t>2026-06-20</t>
        </is>
      </c>
      <c r="B2294" t="inlineStr">
        <is>
          <t>ASX</t>
        </is>
      </c>
      <c r="C2294" t="inlineStr">
        <is>
          <t>R3</t>
        </is>
      </c>
      <c r="D2294" t="n">
        <v>3</v>
      </c>
      <c r="E2294" t="inlineStr">
        <is>
          <t>ND/equity 0.40, ND/EBITDA ~2x, strong OCF, large unused credit lines; FCF negative on the capex ramp. Took 3 of a 3-4 range.</t>
        </is>
      </c>
      <c r="F2294" t="inlineStr">
        <is>
          <t>Q1'26 PR balance sheet; context</t>
        </is>
      </c>
      <c r="G2294" t="inlineStr">
        <is>
          <t>Medium</t>
        </is>
      </c>
      <c r="H2294" t="inlineStr">
        <is>
          <t>Initial</t>
        </is>
      </c>
    </row>
    <row r="2295">
      <c r="A2295" t="inlineStr">
        <is>
          <t>2026-06-20</t>
        </is>
      </c>
      <c r="B2295" t="inlineStr">
        <is>
          <t>ASX</t>
        </is>
      </c>
      <c r="C2295" t="inlineStr">
        <is>
          <t>R4</t>
        </is>
      </c>
      <c r="D2295" t="n">
        <v>4</v>
      </c>
      <c r="E2295" t="inlineStr">
        <is>
          <t>No major disclosed regulatory threat surfaced; routine matters. Preliminary — full Legal Proceedings not fully extracted from the 20-F.</t>
        </is>
      </c>
      <c r="F2295" t="inlineStr">
        <is>
          <t>20-F (partial); context</t>
        </is>
      </c>
      <c r="G2295" t="inlineStr">
        <is>
          <t>Low</t>
        </is>
      </c>
      <c r="H2295" t="inlineStr">
        <is>
          <t>Initial</t>
        </is>
      </c>
    </row>
    <row r="2296">
      <c r="A2296" t="inlineStr">
        <is>
          <t>2026-06-20</t>
        </is>
      </c>
      <c r="B2296" t="inlineStr">
        <is>
          <t>ASX</t>
        </is>
      </c>
      <c r="C2296" t="inlineStr">
        <is>
          <t>R5</t>
        </is>
      </c>
      <c r="D2296" t="n">
        <v>5</v>
      </c>
      <c r="E2296" t="inlineStr">
        <is>
          <t>Physical back-end manufacturing; advanced packaging becoming more essential as value shifts to the package; non-Layer-10 default; AI tailwind.</t>
        </is>
      </c>
      <c r="F2296" t="inlineStr">
        <is>
          <t>CLAUDE.md rule 16</t>
        </is>
      </c>
      <c r="G2296" t="inlineStr">
        <is>
          <t>High</t>
        </is>
      </c>
      <c r="H2296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2026-06-20T21:28:32Z</dcterms:modified>
  <cp:revision>0</cp:revision>
</cp:coreProperties>
</file>