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2026-06-24</t>
        </is>
      </c>
      <c r="E2" s="61" t="n">
        <v>74.75387000000001</v>
      </c>
      <c r="F2" s="61" t="n">
        <v>402.74</v>
      </c>
      <c r="G2" s="62" t="n">
        <v>0.25</v>
      </c>
      <c r="H2" s="61" t="n">
        <v>37.885555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70" t="n">
        <v>84.2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IFERROR(AVERAGE(AE2,AF2,AG2,AH2,AL2)*20,"")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2026-06-24</t>
        </is>
      </c>
      <c r="E3" s="61" t="n">
        <v>-124.50785</v>
      </c>
      <c r="F3" s="61" t="n">
        <v>25.1</v>
      </c>
      <c r="G3" s="62" t="n">
        <v>-19.29</v>
      </c>
      <c r="H3" s="61" t="n">
        <v>8.838468000000001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=2,100,IF(F3&lt;=4,90,IF(F3&lt;=6,75,IF(F3&lt;=9,60,IF(F3&lt;=12,45,IF(F3&lt;=18,30,15)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70" t="n">
        <v>60.8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IFERROR(AVERAGE(AE3,AF3,AG3,AH3,AL3)*20,"")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2026-06-24</t>
        </is>
      </c>
      <c r="E4" s="61" t="n">
        <v>35.750195</v>
      </c>
      <c r="F4" s="61" t="n">
        <v>51.325</v>
      </c>
      <c r="G4" s="62" t="n">
        <v>1.87</v>
      </c>
      <c r="H4" s="61" t="n">
        <v>11.208988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70" t="n">
        <v>85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IFERROR(AVERAGE(AE4,AF4,AG4,AH4,AL4)*20,"")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2026-06-24</t>
        </is>
      </c>
      <c r="E5" s="61" t="n">
        <v>43.148483</v>
      </c>
      <c r="F5" s="61" t="n">
        <v>81.797</v>
      </c>
      <c r="G5" s="62" t="n">
        <v>2.65</v>
      </c>
      <c r="H5" s="61" t="n">
        <v>7.2180753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70" t="n">
        <v>88.3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IFERROR(AVERAGE(AE5,AF5,AG5,AH5,AL5)*20,"")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2026-06-24</t>
        </is>
      </c>
      <c r="E6" s="61" t="n">
        <v>8.610863</v>
      </c>
      <c r="F6" s="61" t="n">
        <v>32.026</v>
      </c>
      <c r="G6" s="62" t="n">
        <v>0.87</v>
      </c>
      <c r="H6" s="61" t="n">
        <v>20.34516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35.5556</v>
      </c>
      <c r="L6" s="62" t="n">
        <v>58.44</v>
      </c>
      <c r="M6" s="62" t="n">
        <v>17.69</v>
      </c>
      <c r="N6" s="61" t="n">
        <v>-0.1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6.71</v>
      </c>
      <c r="Q6" s="62" t="n">
        <v>196.3</v>
      </c>
      <c r="R6" s="62" t="n">
        <v>770.8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IFERROR(AVERAGE(T6,U6,V6,W6,X6)*20,"")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IFERROR(AVERAGE(AE6,AF6,AG6,AH6,AL6)*20,"")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2026-06-24</t>
        </is>
      </c>
      <c r="E7" s="33" t="n">
        <v>19.814491</v>
      </c>
      <c r="F7" s="33" t="n">
        <v>14.921</v>
      </c>
      <c r="G7" s="33" t="n">
        <v>1.19</v>
      </c>
      <c r="H7" s="33" t="n">
        <v>3.2039585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71" t="n">
        <v>26.7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IFERROR(AVERAGE(AE7,AF7,AG7,AH7,AL7)*20,"")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2026-06-24</t>
        </is>
      </c>
      <c r="E8" s="33" t="n">
        <v>15.633581</v>
      </c>
      <c r="F8" s="33" t="n">
        <v>28.852</v>
      </c>
      <c r="G8" s="33" t="n">
        <v>2.47</v>
      </c>
      <c r="H8" s="33" t="n">
        <v>19.014399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71" t="n">
        <v>61.7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IFERROR(AVERAGE(AE8,AF8,AG8,AH8,AL8)*20,"")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2026-06-24</t>
        </is>
      </c>
      <c r="E9" s="33" t="n">
        <v>39.46948</v>
      </c>
      <c r="F9" s="33" t="n">
        <v>112.772</v>
      </c>
      <c r="G9" s="33" t="n">
        <v>1.01</v>
      </c>
      <c r="H9" s="33" t="n">
        <v>22.627445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71" t="n">
        <v>60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IFERROR(AVERAGE(AE9,AF9,AG9,AH9,AL9)*20,"")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2026-06-24</t>
        </is>
      </c>
      <c r="E10" s="33" t="n">
        <v>18.154749</v>
      </c>
      <c r="F10" s="33" t="n">
        <v>14.36</v>
      </c>
      <c r="G10" s="33" t="n">
        <v>-12.13</v>
      </c>
      <c r="H10" s="33" t="n">
        <v>3.491033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71" t="n">
        <v>72.5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IFERROR(AVERAGE(AE10,AF10,AG10,AH10,AL10)*20,"")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2026-06-24</t>
        </is>
      </c>
      <c r="E11" s="33" t="n">
        <v>19.669828</v>
      </c>
      <c r="F11" s="33" t="n">
        <v>13.772</v>
      </c>
      <c r="G11" s="33" t="n">
        <v>-4.41</v>
      </c>
      <c r="H11" s="33" t="n">
        <v>3.2734106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71" t="n">
        <v>65.8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IFERROR(AVERAGE(AE11,AF11,AG11,AH11,AL11)*20,"")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2026-06-24</t>
        </is>
      </c>
      <c r="E12" s="33" t="n">
        <v>17.650341</v>
      </c>
      <c r="F12" s="33" t="n">
        <v>11.573</v>
      </c>
      <c r="G12" s="33" t="n">
        <v>-3.34</v>
      </c>
      <c r="H12" s="33" t="n">
        <v>3.0148327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71" t="n">
        <v>50.8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IFERROR(AVERAGE(AE12,AF12,AG12,AH12,AL12)*20,"")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2026-06-24</t>
        </is>
      </c>
      <c r="E13" s="33" t="n">
        <v>19.477337</v>
      </c>
      <c r="F13" s="33" t="n">
        <v>13.295</v>
      </c>
      <c r="G13" s="33" t="n">
        <v>-3.21</v>
      </c>
      <c r="H13" s="33" t="n">
        <v>3.5782237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71" t="n">
        <v>59.2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IFERROR(AVERAGE(AE13,AF13,AG13,AH13,AL13)*20,"")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2026-06-24</t>
        </is>
      </c>
      <c r="E14" s="33" t="n">
        <v>19.910877</v>
      </c>
      <c r="F14" s="33" t="n">
        <v>20.943</v>
      </c>
      <c r="G14" s="33" t="n">
        <v>1.29</v>
      </c>
      <c r="H14" s="33" t="n">
        <v>6.5578394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IFERROR(AVERAGE(AE14,AF14,AG14,AH14,AL14)*20,"")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2026-06-24</t>
        </is>
      </c>
      <c r="E15" s="33" t="n">
        <v>22.623846</v>
      </c>
      <c r="F15" s="33" t="n">
        <v>15.173</v>
      </c>
      <c r="G15" s="33" t="n">
        <v>-5.89</v>
      </c>
      <c r="H15" s="33" t="n">
        <v>4.027397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71" t="n">
        <v>75.8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IFERROR(AVERAGE(AE15,AF15,AG15,AH15,AL15)*20,"")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2026-06-24</t>
        </is>
      </c>
      <c r="E16" s="33" t="n">
        <v>17.445953</v>
      </c>
      <c r="F16" s="33" t="n">
        <v>12.823</v>
      </c>
      <c r="G16" s="33" t="n">
        <v>-5.84</v>
      </c>
      <c r="H16" s="33" t="n">
        <v>2.9829009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71" t="n">
        <v>59.2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IFERROR(AVERAGE(AE16,AF16,AG16,AH16,AL16)*20,"")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2026-06-24</t>
        </is>
      </c>
      <c r="E17" s="33" t="n">
        <v>17.976889</v>
      </c>
      <c r="F17" s="33" t="n">
        <v>14.577</v>
      </c>
      <c r="G17" s="33" t="n">
        <v>-14.14</v>
      </c>
      <c r="H17" s="33" t="n">
        <v>3.4401543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71" t="n">
        <v>53.3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IFERROR(AVERAGE(AE17,AF17,AG17,AH17,AL17)*20,"")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2026-06-24</t>
        </is>
      </c>
      <c r="E18" s="33" t="n">
        <v>14.830294</v>
      </c>
      <c r="F18" s="33" t="n">
        <v>11.292</v>
      </c>
      <c r="G18" s="33" t="n">
        <v>3.28</v>
      </c>
      <c r="H18" s="33" t="n">
        <v>2.8242173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9.27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71" t="n">
        <v>36.7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IFERROR(AVERAGE(AE18,AF18,AG18,AH18,AL18)*20,"")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2026-06-24</t>
        </is>
      </c>
      <c r="E19" s="33" t="n">
        <v>13.512776</v>
      </c>
      <c r="F19" s="33" t="n">
        <v>37.03</v>
      </c>
      <c r="G19" s="33" t="n">
        <v>4.3</v>
      </c>
      <c r="H19" s="33" t="n">
        <v>5.9949055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71" t="n">
        <v>50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IFERROR(AVERAGE(AE19,AF19,AG19,AH19,AL19)*20,"")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2026-06-24</t>
        </is>
      </c>
      <c r="E20" s="33" t="n">
        <v>12.279066</v>
      </c>
      <c r="F20" s="33" t="n">
        <v>23.842</v>
      </c>
      <c r="G20" s="33" t="n">
        <v>-1.19</v>
      </c>
      <c r="H20" s="33" t="n">
        <v>0.9265188600000001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71" t="n">
        <v>24.2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IFERROR(AVERAGE(AE20,AF20,AG20,AH20,AL20)*20,"")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2026-06-24</t>
        </is>
      </c>
      <c r="E21" s="33" t="n">
        <v>56.971214</v>
      </c>
      <c r="F21" s="33" t="n"/>
      <c r="G21" s="33" t="n"/>
      <c r="H21" s="33" t="n"/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71" t="n">
        <v>60.8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IFERROR(AVERAGE(AE21,AF21,AG21,AH21,AL21)*20,"")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2026-06-24</t>
        </is>
      </c>
      <c r="E22" s="33" t="n">
        <v>-105.48727</v>
      </c>
      <c r="F22" s="33" t="n">
        <v>-40.642</v>
      </c>
      <c r="G22" s="33" t="n">
        <v>-2.25</v>
      </c>
      <c r="H22" s="33" t="n">
        <v>264.52505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-595.22</v>
      </c>
      <c r="N22" s="33" t="n"/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IFERROR(AVERAGE(AE22,AF22,AG22,AH22,AL22)*20,"")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2026-06-24</t>
        </is>
      </c>
      <c r="E23" s="33" t="n">
        <v>43.105793</v>
      </c>
      <c r="F23" s="33" t="n">
        <v>78.27500000000001</v>
      </c>
      <c r="G23" s="33" t="n">
        <v>-1.82</v>
      </c>
      <c r="H23" s="33" t="n">
        <v>7.4433017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71" t="n">
        <v>31.7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IFERROR(AVERAGE(AE23,AF23,AG23,AH23,AL23)*20,"")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2026-06-24</t>
        </is>
      </c>
      <c r="E24" s="33" t="n">
        <v>39.593304</v>
      </c>
      <c r="F24" s="33" t="n">
        <v>43.794</v>
      </c>
      <c r="G24" s="33" t="n">
        <v>1.74</v>
      </c>
      <c r="H24" s="33" t="n">
        <v>5.580097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71" t="n">
        <v>62.5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IFERROR(AVERAGE(AE24,AF24,AG24,AH24,AL24)*20,"")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2026-06-24</t>
        </is>
      </c>
      <c r="E25" s="33" t="n">
        <v>-15.236305</v>
      </c>
      <c r="F25" s="33" t="n">
        <v>-12.758</v>
      </c>
      <c r="G25" s="33" t="n">
        <v>-4.58</v>
      </c>
      <c r="H25" s="33" t="n">
        <v>189.28384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/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71" t="n">
        <v>26.7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IFERROR(AVERAGE(AE25,AF25,AG25,AH25,AL25)*20,"")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2026-06-24</t>
        </is>
      </c>
      <c r="E26" s="33" t="n">
        <v>-64.84036</v>
      </c>
      <c r="F26" s="33" t="n">
        <v>-41.834</v>
      </c>
      <c r="G26" s="33" t="n">
        <v>-1.63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/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IFERROR(AVERAGE(AE26,AF26,AG26,AH26,AL26)*20,"")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2026-06-24</t>
        </is>
      </c>
      <c r="E27" s="33" t="n">
        <v>-23.502537</v>
      </c>
      <c r="F27" s="33" t="n">
        <v>-14.185</v>
      </c>
      <c r="G27" s="33" t="n">
        <v>-3.05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/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71" t="n">
        <v>38.3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IFERROR(AVERAGE(AE27,AF27,AG27,AH27,AL27)*20,"")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2026-06-24</t>
        </is>
      </c>
      <c r="E28" s="33" t="n">
        <v>11.30996</v>
      </c>
      <c r="F28" s="33" t="n">
        <v>5.418</v>
      </c>
      <c r="G28" s="33" t="n">
        <v>12.59</v>
      </c>
      <c r="H28" s="33" t="n">
        <v>3.438613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IFERROR(AVERAGE(AE28,AF28,AG28,AH28,AL28)*20,"")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2026-06-24</t>
        </is>
      </c>
      <c r="E29" s="33" t="n">
        <v>7.841766</v>
      </c>
      <c r="F29" s="33" t="n">
        <v>5.653</v>
      </c>
      <c r="G29" s="33" t="n">
        <v>9.51</v>
      </c>
      <c r="H29" s="33" t="n">
        <v>2.6659749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IFERROR(AVERAGE(AE29,AF29,AG29,AH29,AL29)*20,"")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2026-06-24</t>
        </is>
      </c>
      <c r="E30" s="33" t="n">
        <v>7.4088144</v>
      </c>
      <c r="F30" s="33" t="n"/>
      <c r="G30" s="33" t="n">
        <v>15.31</v>
      </c>
      <c r="H30" s="33" t="n">
        <v>1.9116669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10</v>
      </c>
      <c r="L30" s="33" t="n">
        <v>67.23</v>
      </c>
      <c r="M30" s="33" t="n">
        <v>29.26</v>
      </c>
      <c r="N30" s="33" t="n"/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71" t="n">
        <v>39.2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IFERROR(AVERAGE(AE30,AF30,AG30,AH30,AL30)*20,"")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2026-06-24</t>
        </is>
      </c>
      <c r="E31" s="33" t="n">
        <v>9.248144</v>
      </c>
      <c r="F31" s="33" t="n">
        <v>3.237</v>
      </c>
      <c r="G31" s="33" t="n">
        <v>13.22</v>
      </c>
      <c r="H31" s="33" t="n">
        <v>1.6359737</v>
      </c>
      <c r="I31" s="33">
        <f>IF(OR(E32="",R32="",R32&lt;=0,E32&lt;0),"",E32/R32)</f>
        <v/>
      </c>
      <c r="J31" s="66">
        <f>IFERROR(AVERAGE(IFERROR(IF(E31="","",IF(E31&lt;0,5,IF(E31&lt;=15,90,IF(E31&lt;=20,75,IF(E31&lt;=25,60,IF(E31&lt;=30,45,IF(E31&lt;=40,30,IF(E31&lt;=60,15,5)))))))),""),IFERROR(IF(F31="","",IF(F31&lt;0,5,IF(F31&lt;=10,90,IF(F31&lt;=15,75,IF(F31&lt;=20,60,IF(F31&lt;=25,45,IF(F31&lt;=35,30,IF(F31&lt;=50,15,5)))))))),""),IFERROR(IF(G31="","",IF(G31&gt;=8,100,IF(G31&gt;=6,90,IF(G31&gt;=4,75,IF(G31&gt;=2,60,IF(G31&gt;=1,45,IF(G31&gt;=0,30,15))))))),""),IFERROR(IF(H31="","",IF(H31&lt;=2,90,IF(H31&lt;=4,75,IF(H31&lt;=7,60,IF(H31&lt;=10,45,IF(H31&lt;=15,30,IF(H31&lt;=25,15,5))))))),""),IFERROR(IF(I31="","",IF(I31&lt;=0.5,100,IF(I31&lt;=1,90,IF(I31&lt;=1.5,75,IF(I31&lt;=2,60,IF(I31&lt;=2.5,45,IF(I31&lt;=3,30,15))))))),"")),"")</f>
        <v/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>
        <f>IFERROR(AVERAGE(IFERROR(IF(K31="","",IF(K31&gt;=25,100,IF(K31&gt;=20,90,IF(K31&gt;=15,75,IF(K31&gt;=10,60,IF(K31&gt;=5,45,IF(K31&gt;=0,30,15))))))),""),IFERROR(IF(L31="","",IF(L31&gt;=60,100,IF(L31&gt;=50,90,IF(L31&gt;=40,75,IF(L31&gt;=30,60,IF(L31&gt;=20,45,IF(L31&gt;=10,30,15))))))),""),IFERROR(IF(M31="","",IF(M31&gt;=25,100,IF(M31&gt;=20,90,IF(M31&gt;=15,75,IF(M31&gt;=10,60,IF(M31&gt;=5,45,IF(M31&gt;=0,30,15))))))),""),IFERROR(IF(N31="","",IF(N31&lt;=0,100,IF(N31&lt;=1,90,IF(N31&lt;=2,75,IF(N31&lt;=3,60,IF(N31&lt;=4,45,IF(N31&lt;=5,30,15))))))),"")),"")</f>
        <v/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IFERROR(AVERAGE(T31,U31,V31,W31,X31)*20,"")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IFERROR(AVERAGE(AE31,AF31,AG31,AH31,AL31)*20,"")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2026-06-24</t>
        </is>
      </c>
      <c r="E32" s="33" t="n">
        <v>-15.886541</v>
      </c>
      <c r="F32" s="33" t="n">
        <v>-7.23</v>
      </c>
      <c r="G32" s="33" t="n">
        <v>-18.35</v>
      </c>
      <c r="H32" s="33" t="n">
        <v>4.9220552</v>
      </c>
      <c r="I32" s="33">
        <f>IF(OR(E33="",R33="",R33&lt;=0,E33&lt;0),"",E33/R33)</f>
        <v/>
      </c>
      <c r="J32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2" s="33" t="n">
        <v>28.3</v>
      </c>
      <c r="L32" s="33" t="n">
        <v>-31.24</v>
      </c>
      <c r="M32" s="33" t="n">
        <v>-90.3</v>
      </c>
      <c r="N32" s="33" t="n"/>
      <c r="O32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IFERROR(AVERAGE(T32,U32,V32,W32,X32)*20,"")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IFERROR(AVERAGE(AE32,AF32,AG32,AH32,AL32)*20,"")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2026-06-24</t>
        </is>
      </c>
      <c r="E33" s="33" t="n">
        <v>20.482456</v>
      </c>
      <c r="F33" s="33" t="n">
        <v>20.376</v>
      </c>
      <c r="G33" s="33" t="n">
        <v>2.79</v>
      </c>
      <c r="H33" s="33" t="n">
        <v>2.8289511</v>
      </c>
      <c r="I33" s="33">
        <f>IF(OR(E34="",R34="",R34&lt;=0,E34&lt;0),"",E34/R34)</f>
        <v/>
      </c>
      <c r="J33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IFERROR(AVERAGE(T33,U33,V33,W33,X33)*20,"")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IFERROR(AVERAGE(AE33,AF33,AG33,AH33,AL33)*20,"")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2026-06-24</t>
        </is>
      </c>
      <c r="E34" s="33" t="n">
        <v>25.424898</v>
      </c>
      <c r="F34" s="33" t="n">
        <v>33.849</v>
      </c>
      <c r="G34" s="33" t="n">
        <v>1.98</v>
      </c>
      <c r="H34" s="33" t="n">
        <v>3.866259</v>
      </c>
      <c r="I34" s="33">
        <f>IF(OR(E35="",R35="",R35&lt;=0,E35&lt;0),"",E35/R35)</f>
        <v/>
      </c>
      <c r="J34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IFERROR(AVERAGE(T34,U34,V34,W34,X34)*20,"")</f>
        <v/>
      </c>
      <c r="Z34" s="33" t="n">
        <v>5</v>
      </c>
      <c r="AA34" s="33" t="n">
        <v>5</v>
      </c>
      <c r="AB34" s="33" t="n">
        <v>3</v>
      </c>
      <c r="AC34" s="71" t="n">
        <v>84.2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IFERROR(AVERAGE(AE34,AF34,AG34,AH34,AL34)*20,"")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2026-06-24</t>
        </is>
      </c>
      <c r="E35" s="33" t="n">
        <v>25.709654</v>
      </c>
      <c r="F35" s="33" t="n">
        <v>28.098</v>
      </c>
      <c r="G35" s="33" t="n">
        <v>2.4</v>
      </c>
      <c r="H35" s="33" t="n">
        <v>5.508109</v>
      </c>
      <c r="I35" s="33">
        <f>IF(OR(E36="",R36="",R36&lt;=0,E36&lt;0),"",E36/R36)</f>
        <v/>
      </c>
      <c r="J35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IFERROR(AVERAGE(T35,U35,V35,W35,X35)*20,"")</f>
        <v/>
      </c>
      <c r="Z35" s="33" t="n">
        <v>4</v>
      </c>
      <c r="AA35" s="33" t="n">
        <v>3</v>
      </c>
      <c r="AB35" s="33" t="n">
        <v>3</v>
      </c>
      <c r="AC35" s="71" t="n">
        <v>74.2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IFERROR(AVERAGE(AE35,AF35,AG35,AH35,AL35)*20,"")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2026-06-24</t>
        </is>
      </c>
      <c r="E36" s="33" t="n">
        <v>24.496155</v>
      </c>
      <c r="F36" s="33" t="n"/>
      <c r="G36" s="33" t="n"/>
      <c r="H36" s="33" t="n"/>
      <c r="I36" s="33">
        <f>IF(OR(E37="",R37="",R37&lt;=0,E37&lt;0),"",E37/R37)</f>
        <v/>
      </c>
      <c r="J36" s="33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IFERROR(AVERAGE(T36,U36,V36,W36,X36)*20,"")</f>
        <v/>
      </c>
      <c r="Z36" s="33" t="n">
        <v>3</v>
      </c>
      <c r="AA36" s="33" t="n">
        <v>3</v>
      </c>
      <c r="AB36" s="33" t="n">
        <v>3</v>
      </c>
      <c r="AC36" s="71" t="n">
        <v>74.2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IFERROR(AVERAGE(AE36,AF36,AG36,AH36,AL36)*20,"")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2026-06-24</t>
        </is>
      </c>
      <c r="E37" s="33" t="n">
        <v>30.451149</v>
      </c>
      <c r="F37" s="33" t="n">
        <v>110.164</v>
      </c>
      <c r="G37" s="33" t="n">
        <v>1.94</v>
      </c>
      <c r="H37" s="33" t="n">
        <v>5.5631847</v>
      </c>
      <c r="I37" s="33">
        <f>IF(OR(E38="",R38="",R38&lt;=0,E38&lt;0),"",E38/R38)</f>
        <v/>
      </c>
      <c r="J37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7" s="33" t="n">
        <v>18.7</v>
      </c>
      <c r="L37" s="33" t="n">
        <v>40.37</v>
      </c>
      <c r="M37" s="33" t="n">
        <v>10.77</v>
      </c>
      <c r="N37" s="33" t="n">
        <v>0.46</v>
      </c>
      <c r="O37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IFERROR(AVERAGE(T37,U37,V37,W37,X37)*20,"")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IFERROR(AVERAGE(AE37,AF37,AG37,AH37,AL37)*20,"")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2026-06-24</t>
        </is>
      </c>
      <c r="E38" s="33" t="n">
        <v>11.846774</v>
      </c>
      <c r="F38" s="33" t="n"/>
      <c r="G38" s="33" t="n"/>
      <c r="H38" s="33" t="n"/>
      <c r="I38" s="33">
        <f>IF(OR(E39="",R39="",R39&lt;=0,E39&lt;0),"",E39/R39)</f>
        <v/>
      </c>
      <c r="J38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8" s="33" t="n">
        <v>9.800000000000001</v>
      </c>
      <c r="L38" s="33" t="n">
        <v>30.03</v>
      </c>
      <c r="M38" s="33" t="n">
        <v>10.82</v>
      </c>
      <c r="N38" s="33" t="n">
        <v>-0.4</v>
      </c>
      <c r="O38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IFERROR(AVERAGE(T38,U38,V38,W38,X38)*20,"")</f>
        <v/>
      </c>
      <c r="Z38" s="33" t="n">
        <v>3</v>
      </c>
      <c r="AA38" s="33" t="n">
        <v>2</v>
      </c>
      <c r="AB38" s="33" t="n">
        <v>3</v>
      </c>
      <c r="AC38" s="71" t="n">
        <v>50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IFERROR(AVERAGE(AE38,AF38,AG38,AH38,AL38)*20,"")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2026-06-24</t>
        </is>
      </c>
      <c r="E39" s="33" t="n">
        <v>23.079971</v>
      </c>
      <c r="F39" s="33" t="n">
        <v>20.191</v>
      </c>
      <c r="G39" s="33" t="n">
        <v>3.32</v>
      </c>
      <c r="H39" s="33" t="n">
        <v>4.5665603</v>
      </c>
      <c r="I39" s="33">
        <f>IF(OR(E40="",R40="",R40&lt;=0,E40&lt;0),"",E40/R40)</f>
        <v/>
      </c>
      <c r="J39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IFERROR(AVERAGE(T39,U39,V39,W39,X39)*20,"")</f>
        <v/>
      </c>
      <c r="Z39" s="33" t="n">
        <v>4</v>
      </c>
      <c r="AA39" s="33" t="n">
        <v>3</v>
      </c>
      <c r="AB39" s="33" t="n">
        <v>3</v>
      </c>
      <c r="AC39" s="71" t="n">
        <v>60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IFERROR(AVERAGE(AE39,AF39,AG39,AH39,AL39)*20,"")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2026-06-24</t>
        </is>
      </c>
      <c r="E40" s="33" t="n">
        <v>42.64088</v>
      </c>
      <c r="F40" s="33" t="n">
        <v>41.885</v>
      </c>
      <c r="G40" s="33" t="n">
        <v>1.6</v>
      </c>
      <c r="H40" s="33" t="n">
        <v>3.4966865</v>
      </c>
      <c r="I40" s="33">
        <f>IF(OR(E41="",R41="",R41&lt;=0,E41&lt;0),"",E41/R41)</f>
        <v/>
      </c>
      <c r="J40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IFERROR(AVERAGE(T40,U40,V40,W40,X40)*20,"")</f>
        <v/>
      </c>
      <c r="Z40" s="33" t="n">
        <v>5</v>
      </c>
      <c r="AA40" s="33" t="n">
        <v>5</v>
      </c>
      <c r="AB40" s="33" t="n">
        <v>3</v>
      </c>
      <c r="AC40" s="71" t="n">
        <v>91.7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IFERROR(AVERAGE(AE40,AF40,AG40,AH40,AL40)*20,"")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2026-06-24</t>
        </is>
      </c>
      <c r="E41" s="33" t="n">
        <v>33.399914</v>
      </c>
      <c r="F41" s="33" t="n">
        <v>27.886</v>
      </c>
      <c r="G41" s="33" t="n">
        <v>0.83</v>
      </c>
      <c r="H41" s="33" t="n">
        <v>2.0330393</v>
      </c>
      <c r="I41" s="33">
        <f>IF(OR(E42="",R42="",R42&lt;=0,E42&lt;0),"",E42/R42)</f>
        <v/>
      </c>
      <c r="J41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IFERROR(AVERAGE(T41,U41,V41,W41,X41)*20,"")</f>
        <v/>
      </c>
      <c r="Z41" s="33" t="n">
        <v>5</v>
      </c>
      <c r="AA41" s="33" t="n">
        <v>5</v>
      </c>
      <c r="AB41" s="33" t="n">
        <v>3</v>
      </c>
      <c r="AC41" s="71" t="n">
        <v>88.3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IFERROR(AVERAGE(AE41,AF41,AG41,AH41,AL41)*20,"")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2026-06-24</t>
        </is>
      </c>
      <c r="E42" s="33" t="n">
        <v>42.838024</v>
      </c>
      <c r="F42" s="33" t="n">
        <v>43.934</v>
      </c>
      <c r="G42" s="33" t="n">
        <v>1.79</v>
      </c>
      <c r="H42" s="33" t="n">
        <v>9.477238</v>
      </c>
      <c r="I42" s="33">
        <f>IF(OR(E43="",R43="",R43&lt;=0,E43&lt;0),"",E43/R43)</f>
        <v/>
      </c>
      <c r="J42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IFERROR(AVERAGE(T42,U42,V42,W42,X42)*20,"")</f>
        <v/>
      </c>
      <c r="Z42" s="33" t="n">
        <v>4</v>
      </c>
      <c r="AA42" s="33" t="n">
        <v>5</v>
      </c>
      <c r="AB42" s="33" t="n">
        <v>3</v>
      </c>
      <c r="AC42" s="71" t="n">
        <v>97.5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IFERROR(AVERAGE(AE42,AF42,AG42,AH42,AL42)*20,"")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2026-06-24</t>
        </is>
      </c>
      <c r="E43" s="33" t="n">
        <v>29.732119</v>
      </c>
      <c r="F43" s="33" t="n">
        <v>30.95</v>
      </c>
      <c r="G43" s="33" t="n">
        <v>1.41</v>
      </c>
      <c r="H43" s="33" t="n">
        <v>6.2638726</v>
      </c>
      <c r="I43" s="33">
        <f>IF(OR(E44="",R44="",R44&lt;=0,E44&lt;0),"",E44/R44)</f>
        <v/>
      </c>
      <c r="J43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IFERROR(AVERAGE(T43,U43,V43,W43,X43)*20,"")</f>
        <v/>
      </c>
      <c r="Z43" s="33" t="n">
        <v>5</v>
      </c>
      <c r="AA43" s="33" t="n">
        <v>5</v>
      </c>
      <c r="AB43" s="33" t="n">
        <v>3</v>
      </c>
      <c r="AC43" s="71" t="n">
        <v>90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IFERROR(AVERAGE(AE43,AF43,AG43,AH43,AL43)*20,"")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2026-06-24</t>
        </is>
      </c>
      <c r="E44" s="33" t="n">
        <v>12.658043</v>
      </c>
      <c r="F44" s="33" t="n">
        <v>10.853</v>
      </c>
      <c r="G44" s="33" t="n">
        <v>5.51</v>
      </c>
      <c r="H44" s="33" t="n">
        <v>0.91515297</v>
      </c>
      <c r="I44" s="33">
        <f>IF(OR(E45="",R45="",R45&lt;=0,E45&lt;0),"",E45/R45)</f>
        <v/>
      </c>
      <c r="J44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IFERROR(AVERAGE(T44,U44,V44,W44,X44)*20,"")</f>
        <v/>
      </c>
      <c r="Z44" s="33" t="n">
        <v>4</v>
      </c>
      <c r="AA44" s="33" t="n">
        <v>3</v>
      </c>
      <c r="AB44" s="33" t="n">
        <v>3</v>
      </c>
      <c r="AC44" s="71" t="n">
        <v>66.7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IFERROR(AVERAGE(AE44,AF44,AG44,AH44,AL44)*20,"")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2026-06-24</t>
        </is>
      </c>
      <c r="E45" s="33" t="n">
        <v>67.39196</v>
      </c>
      <c r="F45" s="33" t="n">
        <v>30.317</v>
      </c>
      <c r="G45" s="33" t="n">
        <v>4.75</v>
      </c>
      <c r="H45" s="33" t="n">
        <v>10.934835</v>
      </c>
      <c r="I45" s="33">
        <f>IF(OR(E46="",R46="",R46&lt;=0,E46&lt;0),"",E46/R46)</f>
        <v/>
      </c>
      <c r="J45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IFERROR(AVERAGE(T45,U45,V45,W45,X45)*20,"")</f>
        <v/>
      </c>
      <c r="Z45" s="33" t="n">
        <v>2</v>
      </c>
      <c r="AA45" s="33" t="n">
        <v>4</v>
      </c>
      <c r="AB45" s="33" t="n">
        <v>3</v>
      </c>
      <c r="AC45" s="71" t="n">
        <v>80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IFERROR(AVERAGE(AE45,AF45,AG45,AH45,AL45)*20,"")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2026-06-24</t>
        </is>
      </c>
      <c r="E46" s="33" t="n">
        <v>56.962036</v>
      </c>
      <c r="F46" s="33" t="n">
        <v>30.357</v>
      </c>
      <c r="G46" s="33" t="n">
        <v>-0.92</v>
      </c>
      <c r="H46" s="33" t="n">
        <v>11.336717</v>
      </c>
      <c r="I46" s="33">
        <f>IF(OR(E47="",R47="",R47&lt;=0,E47&lt;0),"",E47/R47)</f>
        <v/>
      </c>
      <c r="J46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IFERROR(AVERAGE(T46,U46,V46,W46,X46)*20,"")</f>
        <v/>
      </c>
      <c r="Z46" s="33" t="n">
        <v>4</v>
      </c>
      <c r="AA46" s="33" t="n">
        <v>5</v>
      </c>
      <c r="AB46" s="33" t="n">
        <v>3</v>
      </c>
      <c r="AC46" s="71" t="n">
        <v>93.3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IFERROR(AVERAGE(AE46,AF46,AG46,AH46,AL46)*20,"")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2026-06-24</t>
        </is>
      </c>
      <c r="E47" s="33" t="n">
        <v>48.842243</v>
      </c>
      <c r="F47" s="33" t="n">
        <v>23.945</v>
      </c>
      <c r="G47" s="33" t="n">
        <v>-1.81</v>
      </c>
      <c r="H47" s="33" t="n">
        <v>5.3625717</v>
      </c>
      <c r="I47" s="33">
        <f>IF(OR(E48="",R48="",R48&lt;=0,E48&lt;0),"",E48/R48)</f>
        <v/>
      </c>
      <c r="J47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IFERROR(AVERAGE(T47,U47,V47,W47,X47)*20,"")</f>
        <v/>
      </c>
      <c r="Z47" s="33" t="n">
        <v>4</v>
      </c>
      <c r="AA47" s="33" t="n">
        <v>5</v>
      </c>
      <c r="AB47" s="33" t="n">
        <v>3</v>
      </c>
      <c r="AC47" s="71" t="n">
        <v>90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IFERROR(AVERAGE(AE47,AF47,AG47,AH47,AL47)*20,"")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2026-06-24</t>
        </is>
      </c>
      <c r="E48" s="33" t="n">
        <v>36.570866</v>
      </c>
      <c r="F48" s="33" t="n">
        <v>41.103</v>
      </c>
      <c r="G48" s="33" t="n">
        <v>2.01</v>
      </c>
      <c r="H48" s="33" t="n">
        <v>6.784543</v>
      </c>
      <c r="I48" s="33">
        <f>IF(OR(E49="",R49="",R49&lt;=0,E49&lt;0),"",E49/R49)</f>
        <v/>
      </c>
      <c r="J48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8" s="33" t="n">
        <v>58.4</v>
      </c>
      <c r="L48" s="33" t="n">
        <v>25.13</v>
      </c>
      <c r="M48" s="33" t="n">
        <v>13.64</v>
      </c>
      <c r="N48" s="33" t="n">
        <v>0.13</v>
      </c>
      <c r="O48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8" s="33" t="n">
        <v>30.03</v>
      </c>
      <c r="Q48" s="33" t="n">
        <v>1</v>
      </c>
      <c r="R48" s="33" t="n">
        <v>38.2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IFERROR(AVERAGE(T48,U48,V48,W48,X48)*20,"")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IFERROR(AVERAGE(AE48,AF48,AG48,AH48,AL48)*20,"")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2026-06-24</t>
        </is>
      </c>
      <c r="E49" s="33" t="n">
        <v>25.932741</v>
      </c>
      <c r="F49" s="33" t="n">
        <v>20.126</v>
      </c>
      <c r="G49" s="33" t="n">
        <v>2.86</v>
      </c>
      <c r="H49" s="33" t="n">
        <v>2.1257706</v>
      </c>
      <c r="I49" s="33">
        <f>IF(OR(E50="",R50="",R50&lt;=0,E50&lt;0),"",E50/R50)</f>
        <v/>
      </c>
      <c r="J49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9" s="33" t="n">
        <v>38.9</v>
      </c>
      <c r="L49" s="33" t="n">
        <v>19.29</v>
      </c>
      <c r="M49" s="33" t="n">
        <v>6.08</v>
      </c>
      <c r="N49" s="33" t="n">
        <v>-0.22</v>
      </c>
      <c r="O49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9" s="33" t="n">
        <v>15.32</v>
      </c>
      <c r="Q49" s="33" t="n">
        <v>19.7</v>
      </c>
      <c r="R49" s="33" t="n">
        <v>26.9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IFERROR(AVERAGE(T49,U49,V49,W49,X49)*20,"")</f>
        <v/>
      </c>
      <c r="Z49" s="33" t="n">
        <v>5</v>
      </c>
      <c r="AA49" s="33" t="n">
        <v>4</v>
      </c>
      <c r="AB49" s="33" t="n">
        <v>3</v>
      </c>
      <c r="AC49" s="71" t="n">
        <v>79.2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IFERROR(AVERAGE(AE49,AF49,AG49,AH49,AL49)*20,"")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2026-06-24</t>
        </is>
      </c>
      <c r="E50" s="33" t="n">
        <v>24.349594</v>
      </c>
      <c r="F50" s="33" t="n">
        <v>33.733</v>
      </c>
      <c r="G50" s="33" t="n">
        <v>0.72</v>
      </c>
      <c r="H50" s="33" t="n">
        <v>4.5940485</v>
      </c>
      <c r="I50" s="33">
        <f>IF(OR(E51="",R51="",R51&lt;=0,E51&lt;0),"",E51/R51)</f>
        <v/>
      </c>
      <c r="J50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IFERROR(AVERAGE(T50,U50,V50,W50,X50)*20,"")</f>
        <v/>
      </c>
      <c r="Z50" s="33" t="n">
        <v>4</v>
      </c>
      <c r="AA50" s="33" t="n">
        <v>5</v>
      </c>
      <c r="AB50" s="33" t="n">
        <v>3</v>
      </c>
      <c r="AC50" s="71" t="n">
        <v>88.3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IFERROR(AVERAGE(AE50,AF50,AG50,AH50,AL50)*20,"")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2026-06-24</t>
        </is>
      </c>
      <c r="E51" s="33" t="n">
        <v>23.112764</v>
      </c>
      <c r="F51" s="33" t="n">
        <v>23.261</v>
      </c>
      <c r="G51" s="33" t="n">
        <v>2.74</v>
      </c>
      <c r="H51" s="33" t="n">
        <v>2.8126557</v>
      </c>
      <c r="I51" s="33">
        <f>IF(OR(E52="",R52="",R52&lt;=0,E52&lt;0),"",E52/R52)</f>
        <v/>
      </c>
      <c r="J51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IFERROR(AVERAGE(T51,U51,V51,W51,X51)*20,"")</f>
        <v/>
      </c>
      <c r="Z51" s="33" t="n">
        <v>3</v>
      </c>
      <c r="AA51" s="33" t="n">
        <v>4</v>
      </c>
      <c r="AB51" s="33" t="n">
        <v>3</v>
      </c>
      <c r="AC51" s="71" t="n">
        <v>74.2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IFERROR(AVERAGE(AE51,AF51,AG51,AH51,AL51)*20,"")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2026-06-24</t>
        </is>
      </c>
      <c r="E52" s="33" t="n">
        <v>28.378588</v>
      </c>
      <c r="F52" s="33" t="n">
        <v>26.07</v>
      </c>
      <c r="G52" s="33" t="n">
        <v>2.94</v>
      </c>
      <c r="H52" s="33" t="n">
        <v>4.94394</v>
      </c>
      <c r="I52" s="33">
        <f>IF(OR(E53="",R53="",R53&lt;=0,E53&lt;0),"",E53/R53)</f>
        <v/>
      </c>
      <c r="J52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IFERROR(AVERAGE(T52,U52,V52,W52,X52)*20,"")</f>
        <v/>
      </c>
      <c r="Z52" s="33" t="n">
        <v>5</v>
      </c>
      <c r="AA52" s="33" t="n">
        <v>3</v>
      </c>
      <c r="AB52" s="33" t="n">
        <v>3</v>
      </c>
      <c r="AC52" s="71" t="n">
        <v>61.7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IFERROR(AVERAGE(AE52,AF52,AG52,AH52,AL52)*20,"")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2026-06-24</t>
        </is>
      </c>
      <c r="E53" s="33" t="n">
        <v>24.812227</v>
      </c>
      <c r="F53" s="33" t="n">
        <v>22.218</v>
      </c>
      <c r="G53" s="33" t="n">
        <v>1.57</v>
      </c>
      <c r="H53" s="33" t="n">
        <v>3.5661032</v>
      </c>
      <c r="I53" s="33">
        <f>IF(OR(E54="",R54="",R54&lt;=0,E54&lt;0),"",E54/R54)</f>
        <v/>
      </c>
      <c r="J53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IFERROR(AVERAGE(T53,U53,V53,W53,X53)*20,"")</f>
        <v/>
      </c>
      <c r="Z53" s="33" t="n">
        <v>5</v>
      </c>
      <c r="AA53" s="33" t="n">
        <v>4</v>
      </c>
      <c r="AB53" s="33" t="n">
        <v>3</v>
      </c>
      <c r="AC53" s="71" t="n">
        <v>76.7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IFERROR(AVERAGE(AE53,AF53,AG53,AH53,AL53)*20,"")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2026-06-24</t>
        </is>
      </c>
      <c r="E54" s="33" t="n">
        <v>36.81584</v>
      </c>
      <c r="F54" s="33" t="n"/>
      <c r="G54" s="33" t="n"/>
      <c r="H54" s="33" t="n"/>
      <c r="I54" s="33">
        <f>IF(OR(E55="",R55="",R55&lt;=0,E55&lt;0),"",E55/R55)</f>
        <v/>
      </c>
      <c r="J54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4" s="33" t="n">
        <v>65.1571</v>
      </c>
      <c r="L54" s="33" t="n">
        <v>52.6</v>
      </c>
      <c r="M54" s="33" t="n">
        <v>26.51</v>
      </c>
      <c r="N54" s="33" t="n">
        <v>-0.45</v>
      </c>
      <c r="O54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IFERROR(AVERAGE(T54,U54,V54,W54,X54)*20,"")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IFERROR(AVERAGE(AE54,AF54,AG54,AH54,AL54)*20,"")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2026-06-24</t>
        </is>
      </c>
      <c r="E55" s="33" t="n">
        <v>36.14091</v>
      </c>
      <c r="F55" s="33" t="n">
        <v>50.312</v>
      </c>
      <c r="G55" s="33" t="n">
        <v>1.14</v>
      </c>
      <c r="H55" s="33" t="n">
        <v>16.111435</v>
      </c>
      <c r="I55" s="33">
        <f>IF(OR(E56="",R56="",R56&lt;=0,E56&lt;0),"",E56/R56)</f>
        <v/>
      </c>
      <c r="J55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IFERROR(AVERAGE(T55,U55,V55,W55,X55)*20,"")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IFERROR(AVERAGE(AE55,AF55,AG55,AH55,AL55)*20,"")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2026-06-24</t>
        </is>
      </c>
      <c r="E56" s="33" t="n">
        <v>46.803192</v>
      </c>
      <c r="F56" s="33" t="n">
        <v>59.599</v>
      </c>
      <c r="G56" s="33" t="n">
        <v>1.28</v>
      </c>
      <c r="H56" s="33" t="n">
        <v>21.617811</v>
      </c>
      <c r="I56" s="33">
        <f>IF(OR(E57="",R57="",R57&lt;=0,E57&lt;0),"",E57/R57)</f>
        <v/>
      </c>
      <c r="J56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IFERROR(AVERAGE(T56,U56,V56,W56,X56)*20,"")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IFERROR(AVERAGE(AE56,AF56,AG56,AH56,AL56)*20,"")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2026-06-24</t>
        </is>
      </c>
      <c r="E57" s="33" t="n">
        <v>47.5102</v>
      </c>
      <c r="F57" s="33" t="n">
        <v>53.899</v>
      </c>
      <c r="G57" s="33" t="n">
        <v>1.28</v>
      </c>
      <c r="H57" s="33" t="n">
        <v>23.985737</v>
      </c>
      <c r="I57" s="33">
        <f>IF(OR(E58="",R58="",R58&lt;=0,E58&lt;0),"",E58/R58)</f>
        <v/>
      </c>
      <c r="J57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IFERROR(AVERAGE(T57,U57,V57,W57,X57)*20,"")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IFERROR(AVERAGE(AE57,AF57,AG57,AH57,AL57)*20,"")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2026-06-24</t>
        </is>
      </c>
      <c r="E58" s="33" t="n"/>
      <c r="F58" s="33" t="n"/>
      <c r="G58" s="33" t="n"/>
      <c r="H58" s="33" t="n"/>
      <c r="I58" s="33">
        <f>IF(OR(E59="",R59="",R59&lt;=0,E59&lt;0),"",E59/R59)</f>
        <v/>
      </c>
      <c r="J58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8" s="33" t="n"/>
      <c r="L58" s="33" t="n">
        <v>45.34</v>
      </c>
      <c r="M58" s="33" t="n">
        <v>9.380000000000001</v>
      </c>
      <c r="N58" s="33" t="n">
        <v>-0.72</v>
      </c>
      <c r="O58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IFERROR(AVERAGE(T58,U58,V58,W58,X58)*20,"")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IFERROR(AVERAGE(AE58,AF58,AG58,AH58,AL58)*20,"")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2026-06-24</t>
        </is>
      </c>
      <c r="E59" s="33" t="n">
        <v>44.73392</v>
      </c>
      <c r="F59" s="33" t="n">
        <v>57.439</v>
      </c>
      <c r="G59" s="33" t="n">
        <v>0.83</v>
      </c>
      <c r="H59" s="33" t="n">
        <v>17.659803</v>
      </c>
      <c r="I59" s="33">
        <f>IF(OR(E60="",R60="",R60&lt;=0,E60&lt;0),"",E60/R60)</f>
        <v/>
      </c>
      <c r="J59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IFERROR(AVERAGE(T59,U59,V59,W59,X59)*20,"")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IFERROR(AVERAGE(AE59,AF59,AG59,AH59,AL59)*20,"")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2026-06-24</t>
        </is>
      </c>
      <c r="E60" s="33" t="n">
        <v>32.401463</v>
      </c>
      <c r="F60" s="33" t="n">
        <v>57.603</v>
      </c>
      <c r="G60" s="33" t="n">
        <v>1.49</v>
      </c>
      <c r="H60" s="33" t="n">
        <v>15.553357</v>
      </c>
      <c r="I60" s="33">
        <f>IF(OR(E61="",R61="",R61&lt;=0,E61&lt;0),"",E61/R61)</f>
        <v/>
      </c>
      <c r="J60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60" s="33" t="n"/>
      <c r="L60" s="33" t="n">
        <v>54.19</v>
      </c>
      <c r="M60" s="33" t="n">
        <v>23.17</v>
      </c>
      <c r="N60" s="33" t="n">
        <v>-2.45</v>
      </c>
      <c r="O60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IFERROR(AVERAGE(T60,U60,V60,W60,X60)*20,"")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IFERROR(AVERAGE(AE60,AF60,AG60,AH60,AL60)*20,"")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2026-06-24</t>
        </is>
      </c>
      <c r="E61" s="33" t="n">
        <v>36.885365</v>
      </c>
      <c r="F61" s="33" t="n">
        <v>54.157</v>
      </c>
      <c r="G61" s="33" t="n"/>
      <c r="H61" s="33" t="n">
        <v>15.397576</v>
      </c>
      <c r="I61" s="33">
        <f>IF(OR(E62="",R62="",R62&lt;=0,E62&lt;0),"",E62/R62)</f>
        <v/>
      </c>
      <c r="J61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1" s="33" t="n">
        <v>5.9344</v>
      </c>
      <c r="L61" s="33" t="n">
        <v>50.97</v>
      </c>
      <c r="M61" s="33" t="n"/>
      <c r="N61" s="33" t="n">
        <v>-1.32</v>
      </c>
      <c r="O61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IFERROR(AVERAGE(T61,U61,V61,W61,X61)*20,"")</f>
        <v/>
      </c>
      <c r="Z61" s="33" t="n">
        <v>3</v>
      </c>
      <c r="AA61" s="33" t="n">
        <v>2</v>
      </c>
      <c r="AB61" s="33" t="n">
        <v>3</v>
      </c>
      <c r="AC61" s="71" t="n">
        <v>80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IFERROR(AVERAGE(AE61,AF61,AG61,AH61,AL61)*20,"")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2026-06-24</t>
        </is>
      </c>
      <c r="E62" s="33" t="n">
        <v>29.098324</v>
      </c>
      <c r="F62" s="33" t="n">
        <v>68.048</v>
      </c>
      <c r="G62" s="33" t="n">
        <v>0.07000000000000001</v>
      </c>
      <c r="H62" s="33" t="n">
        <v>8.398144</v>
      </c>
      <c r="I62" s="33">
        <f>IF(OR(E63="",R63="",R63&lt;=0,E63&lt;0),"",E63/R63)</f>
        <v/>
      </c>
      <c r="J62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IFERROR(AVERAGE(T62,U62,V62,W62,X62)*20,"")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IFERROR(AVERAGE(AE62,AF62,AG62,AH62,AL62)*20,"")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2026-06-24</t>
        </is>
      </c>
      <c r="E63" s="33" t="n">
        <v>37.085743</v>
      </c>
      <c r="F63" s="33" t="n">
        <v>33.449</v>
      </c>
      <c r="G63" s="33" t="n">
        <v>1.94</v>
      </c>
      <c r="H63" s="33" t="n">
        <v>8.071387</v>
      </c>
      <c r="I63" s="33">
        <f>IF(OR(E64="",R64="",R64&lt;=0,E64&lt;0),"",E64/R64)</f>
        <v/>
      </c>
      <c r="J63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IFERROR(AVERAGE(T63,U63,V63,W63,X63)*20,"")</f>
        <v/>
      </c>
      <c r="Z63" s="33" t="n">
        <v>4</v>
      </c>
      <c r="AA63" s="33" t="n">
        <v>3</v>
      </c>
      <c r="AB63" s="33" t="n">
        <v>3</v>
      </c>
      <c r="AC63" s="71" t="n">
        <v>77.5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IFERROR(AVERAGE(AE63,AF63,AG63,AH63,AL63)*20,"")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2026-06-24</t>
        </is>
      </c>
      <c r="E64" s="33" t="n">
        <v>25.533815</v>
      </c>
      <c r="F64" s="33" t="n">
        <v>31.349</v>
      </c>
      <c r="G64" s="33" t="n">
        <v>1.56</v>
      </c>
      <c r="H64" s="33" t="n">
        <v>6.3285513</v>
      </c>
      <c r="I64" s="33">
        <f>IF(OR(E65="",R65="",R65&lt;=0,E65&lt;0),"",E65/R65)</f>
        <v/>
      </c>
      <c r="J64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IFERROR(AVERAGE(T64,U64,V64,W64,X64)*20,"")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IFERROR(AVERAGE(AE64,AF64,AG64,AH64,AL64)*20,"")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2026-06-24</t>
        </is>
      </c>
      <c r="E65" s="33" t="n">
        <v>15.629629</v>
      </c>
      <c r="F65" s="33" t="n">
        <v>6.141</v>
      </c>
      <c r="G65" s="33" t="n">
        <v>5.16</v>
      </c>
      <c r="H65" s="33" t="n">
        <v>2.167053</v>
      </c>
      <c r="I65" s="33">
        <f>IF(OR(E66="",R66="",R66&lt;=0,E66&lt;0),"",E66/R66)</f>
        <v/>
      </c>
      <c r="J65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IFERROR(AVERAGE(T65,U65,V65,W65,X65)*20,"")</f>
        <v/>
      </c>
      <c r="Z65" s="33" t="n">
        <v>3</v>
      </c>
      <c r="AA65" s="33" t="n">
        <v>5</v>
      </c>
      <c r="AB65" s="33" t="n">
        <v>3</v>
      </c>
      <c r="AC65" s="71" t="n">
        <v>75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IFERROR(AVERAGE(AE65,AF65,AG65,AH65,AL65)*20,"")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2026-06-24</t>
        </is>
      </c>
      <c r="E66" s="33" t="n">
        <v>27.535238</v>
      </c>
      <c r="F66" s="33" t="n">
        <v>45.535</v>
      </c>
      <c r="G66" s="33" t="n">
        <v>-0.89</v>
      </c>
      <c r="H66" s="33" t="n">
        <v>2.3489876</v>
      </c>
      <c r="I66" s="33">
        <f>IF(OR(E67="",R67="",R67&lt;=0,E67&lt;0),"",E67/R67)</f>
        <v/>
      </c>
      <c r="J66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IFERROR(AVERAGE(T66,U66,V66,W66,X66)*20,"")</f>
        <v/>
      </c>
      <c r="Z66" s="33" t="n">
        <v>4</v>
      </c>
      <c r="AA66" s="33" t="n">
        <v>5</v>
      </c>
      <c r="AB66" s="33" t="n">
        <v>3</v>
      </c>
      <c r="AC66" s="71" t="n">
        <v>99.2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IFERROR(AVERAGE(AE66,AF66,AG66,AH66,AL66)*20,"")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2026-06-24</t>
        </is>
      </c>
      <c r="E67" s="33" t="n">
        <v>39.617947</v>
      </c>
      <c r="F67" s="33" t="n">
        <v>51.764</v>
      </c>
      <c r="G67" s="33" t="n">
        <v>1.39</v>
      </c>
      <c r="H67" s="33" t="n">
        <v>18.578598</v>
      </c>
      <c r="I67" s="33">
        <f>IF(OR(E68="",R68="",R68&lt;=0,E68&lt;0),"",E68/R68)</f>
        <v/>
      </c>
      <c r="J67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IFERROR(AVERAGE(T67,U67,V67,W67,X67)*20,"")</f>
        <v/>
      </c>
      <c r="Z67" s="33" t="n">
        <v>3</v>
      </c>
      <c r="AA67" s="33" t="n">
        <v>1</v>
      </c>
      <c r="AB67" s="33" t="n">
        <v>3</v>
      </c>
      <c r="AC67" s="71" t="n">
        <v>49.2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IFERROR(AVERAGE(AE67,AF67,AG67,AH67,AL67)*20,"")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2026-06-24</t>
        </is>
      </c>
      <c r="E68" s="33" t="n">
        <v>26.87673</v>
      </c>
      <c r="F68" s="33" t="n">
        <v>57.307</v>
      </c>
      <c r="G68" s="33" t="n">
        <v>2.96</v>
      </c>
      <c r="H68" s="33" t="n">
        <v>10.234947</v>
      </c>
      <c r="I68" s="33">
        <f>IF(OR(E69="",R69="",R69&lt;=0,E69&lt;0),"",E69/R69)</f>
        <v/>
      </c>
      <c r="J68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IFERROR(AVERAGE(T68,U68,V68,W68,X68)*20,"")</f>
        <v/>
      </c>
      <c r="Z68" s="33" t="n">
        <v>4</v>
      </c>
      <c r="AA68" s="33" t="n">
        <v>2</v>
      </c>
      <c r="AB68" s="33" t="n">
        <v>3</v>
      </c>
      <c r="AC68" s="71" t="n">
        <v>47.5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IFERROR(AVERAGE(AE68,AF68,AG68,AH68,AL68)*20,"")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2026-06-24</t>
        </is>
      </c>
      <c r="E69" s="33" t="n">
        <v>116.34454</v>
      </c>
      <c r="F69" s="33" t="n">
        <v>357.334</v>
      </c>
      <c r="G69" s="33" t="n">
        <v>0.25</v>
      </c>
      <c r="H69" s="33" t="n">
        <v>77.95238500000001</v>
      </c>
      <c r="I69" s="33">
        <f>IF(OR(E70="",R70="",R70&lt;=0,E70&lt;0),"",E70/R70)</f>
        <v/>
      </c>
      <c r="J69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IFERROR(AVERAGE(T69,U69,V69,W69,X69)*20,"")</f>
        <v/>
      </c>
      <c r="Z69" s="33" t="n">
        <v>4</v>
      </c>
      <c r="AA69" s="33" t="n">
        <v>2</v>
      </c>
      <c r="AB69" s="33" t="n">
        <v>3</v>
      </c>
      <c r="AC69" s="71" t="n">
        <v>76.7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IFERROR(AVERAGE(AE69,AF69,AG69,AH69,AL69)*20,"")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2026-06-24</t>
        </is>
      </c>
      <c r="E70" s="33" t="n">
        <v>22.083448</v>
      </c>
      <c r="F70" s="33" t="n"/>
      <c r="G70" s="33" t="n"/>
      <c r="H70" s="33" t="n"/>
      <c r="I70" s="33">
        <f>IF(OR(E71="",R71="",R71&lt;=0,E71&lt;0),"",E71/R71)</f>
        <v/>
      </c>
      <c r="J70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70" s="33" t="n">
        <v>48.6</v>
      </c>
      <c r="L70" s="33" t="n">
        <v>61.87</v>
      </c>
      <c r="M70" s="33" t="n">
        <v>25.52</v>
      </c>
      <c r="N70" s="33" t="n">
        <v>-0.8</v>
      </c>
      <c r="O70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IFERROR(AVERAGE(T70,U70,V70,W70,X70)*20,"")</f>
        <v/>
      </c>
      <c r="Z70" s="33" t="n">
        <v>5</v>
      </c>
      <c r="AA70" s="33" t="n">
        <v>1</v>
      </c>
      <c r="AB70" s="33" t="n">
        <v>5</v>
      </c>
      <c r="AC70" s="71" t="n">
        <v>85.8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IFERROR(AVERAGE(AE70,AF70,AG70,AH70,AL70)*20,"")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2026-06-24</t>
        </is>
      </c>
      <c r="E71" s="33" t="n">
        <v>85.12826</v>
      </c>
      <c r="F71" s="33" t="n">
        <v>48.597</v>
      </c>
      <c r="G71" s="33" t="n">
        <v>-0.47</v>
      </c>
      <c r="H71" s="33" t="n">
        <v>12.307216</v>
      </c>
      <c r="I71" s="33">
        <f>IF(OR(E72="",R72="",R72&lt;=0,E72&lt;0),"",E72/R72)</f>
        <v/>
      </c>
      <c r="J71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IFERROR(AVERAGE(T71,U71,V71,W71,X71)*20,"")</f>
        <v/>
      </c>
      <c r="Z71" s="33" t="n">
        <v>5</v>
      </c>
      <c r="AA71" s="33" t="n">
        <v>5</v>
      </c>
      <c r="AB71" s="33" t="n">
        <v>3</v>
      </c>
      <c r="AC71" s="71" t="n">
        <v>85.8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IFERROR(AVERAGE(AE71,AF71,AG71,AH71,AL71)*20,"")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2026-06-24</t>
        </is>
      </c>
      <c r="E72" s="33" t="n">
        <v>33.09818</v>
      </c>
      <c r="F72" s="33" t="n">
        <v>21.977</v>
      </c>
      <c r="G72" s="33" t="n">
        <v>2.34</v>
      </c>
      <c r="H72" s="33" t="n">
        <v>6.7143655</v>
      </c>
      <c r="I72" s="33">
        <f>IF(OR(E73="",R73="",R73&lt;=0,E73&lt;0),"",E73/R73)</f>
        <v/>
      </c>
      <c r="J72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IFERROR(AVERAGE(T72,U72,V72,W72,X72)*20,"")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IFERROR(AVERAGE(AE72,AF72,AG72,AH72,AL72)*20,"")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2026-06-24</t>
        </is>
      </c>
      <c r="E73" s="33" t="n">
        <v>47.981876</v>
      </c>
      <c r="F73" s="33" t="n">
        <v>55.121</v>
      </c>
      <c r="G73" s="33" t="n">
        <v>0.98</v>
      </c>
      <c r="H73" s="33" t="n">
        <v>20.202742</v>
      </c>
      <c r="I73" s="33">
        <f>IF(OR(E74="",R74="",R74&lt;=0,E74&lt;0),"",E74/R74)</f>
        <v/>
      </c>
      <c r="J73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IFERROR(AVERAGE(T73,U73,V73,W73,X73)*20,"")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IFERROR(AVERAGE(AE73,AF73,AG73,AH73,AL73)*20,"")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2026-06-24</t>
        </is>
      </c>
      <c r="E74" s="33" t="n">
        <v>34.35461</v>
      </c>
      <c r="F74" s="33" t="n"/>
      <c r="G74" s="33" t="n"/>
      <c r="H74" s="33" t="n"/>
      <c r="I74" s="33">
        <f>IF(OR(E75="",R75="",R75&lt;=0,E75&lt;0),"",E75/R75)</f>
        <v/>
      </c>
      <c r="J74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IFERROR(AVERAGE(T74,U74,V74,W74,X74)*20,"")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IFERROR(AVERAGE(AE74,AF74,AG74,AH74,AL74)*20,"")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2026-06-24</t>
        </is>
      </c>
      <c r="E75" s="33" t="n">
        <v>19.698614</v>
      </c>
      <c r="F75" s="33" t="n">
        <v>44.27</v>
      </c>
      <c r="G75" s="33" t="n">
        <v>1.8</v>
      </c>
      <c r="H75" s="33" t="n">
        <v>24.087044</v>
      </c>
      <c r="I75" s="33">
        <f>IF(OR(E76="",R76="",R76&lt;=0,E76&lt;0),"",E76/R76)</f>
        <v/>
      </c>
      <c r="J75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IFERROR(AVERAGE(T75,U75,V75,W75,X75)*20,"")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IFERROR(AVERAGE(AE75,AF75,AG75,AH75,AL75)*20,"")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2026-06-24</t>
        </is>
      </c>
      <c r="E76" s="33" t="n">
        <v>44.81785</v>
      </c>
      <c r="F76" s="33" t="n">
        <v>89.78100000000001</v>
      </c>
      <c r="G76" s="33" t="n">
        <v>0.6899999999999999</v>
      </c>
      <c r="H76" s="33" t="n">
        <v>27.791992</v>
      </c>
      <c r="I76" s="33">
        <f>IF(OR(E77="",R77="",R77&lt;=0,E77&lt;0),"",E77/R77)</f>
        <v/>
      </c>
      <c r="J76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IFERROR(AVERAGE(T76,U76,V76,W76,X76)*20,"")</f>
        <v/>
      </c>
      <c r="Z76" s="33" t="n">
        <v>4</v>
      </c>
      <c r="AA76" s="33" t="n">
        <v>5</v>
      </c>
      <c r="AB76" s="33" t="n">
        <v>5</v>
      </c>
      <c r="AC76" s="71" t="n">
        <v>65.8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IFERROR(AVERAGE(AE76,AF76,AG76,AH76,AL76)*20,"")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2026-06-24</t>
        </is>
      </c>
      <c r="E77" s="33" t="n">
        <v>94.15199</v>
      </c>
      <c r="F77" s="33" t="n">
        <v>288.822</v>
      </c>
      <c r="G77" s="33" t="n">
        <v>0.5</v>
      </c>
      <c r="H77" s="33" t="n">
        <v>68.45062</v>
      </c>
      <c r="I77" s="33">
        <f>IF(OR(E78="",R78="",R78&lt;=0,E78&lt;0),"",E78/R78)</f>
        <v/>
      </c>
      <c r="J77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IFERROR(AVERAGE(T77,U77,V77,W77,X77)*20,"")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IFERROR(AVERAGE(AE77,AF77,AG77,AH77,AL77)*20,"")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2026-06-24</t>
        </is>
      </c>
      <c r="E78" s="33" t="n">
        <v>10.4589</v>
      </c>
      <c r="F78" s="33" t="n">
        <v>49.713</v>
      </c>
      <c r="G78" s="33" t="n">
        <v>1.57</v>
      </c>
      <c r="H78" s="33" t="n">
        <v>21.504242</v>
      </c>
      <c r="I78" s="33">
        <f>IF(OR(E79="",R79="",R79&lt;=0,E79&lt;0),"",E79/R79)</f>
        <v/>
      </c>
      <c r="J78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8" s="33" t="n">
        <v>45</v>
      </c>
      <c r="L78" s="33" t="n">
        <v>56.04</v>
      </c>
      <c r="M78" s="33" t="n">
        <v>33.83</v>
      </c>
      <c r="N78" s="33" t="n">
        <v>-0.63</v>
      </c>
      <c r="O78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IFERROR(AVERAGE(T78,U78,V78,W78,X78)*20,"")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IFERROR(AVERAGE(AE78,AF78,AG78,AH78,AL78)*20,"")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2026-06-24</t>
        </is>
      </c>
      <c r="E79" s="33" t="n">
        <v>48.00172</v>
      </c>
      <c r="F79" s="33" t="n">
        <v>59.471</v>
      </c>
      <c r="G79" s="33" t="n">
        <v>-0.7</v>
      </c>
      <c r="H79" s="33" t="n">
        <v>11.630939</v>
      </c>
      <c r="I79" s="33">
        <f>IF(OR(E80="",R80="",R80&lt;=0,E80&lt;0),"",E80/R80)</f>
        <v/>
      </c>
      <c r="J79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IFERROR(AVERAGE(T79,U79,V79,W79,X79)*20,"")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IFERROR(AVERAGE(AE79,AF79,AG79,AH79,AL79)*20,"")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2026-06-24</t>
        </is>
      </c>
      <c r="E80" s="33" t="n">
        <v>46.467827</v>
      </c>
      <c r="F80" s="33" t="n">
        <v>119.007</v>
      </c>
      <c r="G80" s="33" t="n">
        <v>0.17</v>
      </c>
      <c r="H80" s="33" t="n">
        <v>26.341763</v>
      </c>
      <c r="I80" s="33">
        <f>IF(OR(E81="",R81="",R81&lt;=0,E81&lt;0),"",E81/R81)</f>
        <v/>
      </c>
      <c r="J80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IFERROR(AVERAGE(T80,U80,V80,W80,X80)*20,"")</f>
        <v/>
      </c>
      <c r="Z80" s="33" t="n">
        <v>5</v>
      </c>
      <c r="AA80" s="33" t="n">
        <v>5</v>
      </c>
      <c r="AB80" s="33" t="n">
        <v>3</v>
      </c>
      <c r="AC80" s="71" t="n">
        <v>90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IFERROR(AVERAGE(AE80,AF80,AG80,AH80,AL80)*20,"")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2026-06-24</t>
        </is>
      </c>
      <c r="E81" s="33" t="n">
        <v>32.90338</v>
      </c>
      <c r="F81" s="33" t="n">
        <v>40.475</v>
      </c>
      <c r="G81" s="33" t="n">
        <v>0.22</v>
      </c>
      <c r="H81" s="33" t="n">
        <v>4.8069367</v>
      </c>
      <c r="I81" s="33">
        <f>IF(OR(E82="",R82="",R82&lt;=0,E82&lt;0),"",E82/R82)</f>
        <v/>
      </c>
      <c r="J81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IFERROR(AVERAGE(T81,U81,V81,W81,X81)*20,"")</f>
        <v/>
      </c>
      <c r="Z81" s="33" t="n">
        <v>4</v>
      </c>
      <c r="AA81" s="33" t="n">
        <v>3</v>
      </c>
      <c r="AB81" s="33" t="n">
        <v>3</v>
      </c>
      <c r="AC81" s="71" t="n">
        <v>78.3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IFERROR(AVERAGE(AE81,AF81,AG81,AH81,AL81)*20,"")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2026-06-24</t>
        </is>
      </c>
      <c r="E82" s="33" t="n">
        <v>30.798409</v>
      </c>
      <c r="F82" s="33" t="n">
        <v>-423.732</v>
      </c>
      <c r="G82" s="33" t="n">
        <v>-3.55</v>
      </c>
      <c r="H82" s="33" t="n">
        <v>23.260908</v>
      </c>
      <c r="I82" s="33">
        <f>IF(OR(E83="",R83="",R83&lt;=0,E83&lt;0),"",E83/R83)</f>
        <v/>
      </c>
      <c r="J82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2" s="33" t="n">
        <v>-3.9503</v>
      </c>
      <c r="L82" s="33" t="n">
        <v>29.64</v>
      </c>
      <c r="M82" s="33" t="n">
        <v>-82.5</v>
      </c>
      <c r="N82" s="33" t="n"/>
      <c r="O82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IFERROR(AVERAGE(T82,U82,V82,W82,X82)*20,"")</f>
        <v/>
      </c>
      <c r="Z82" s="33" t="n">
        <v>4</v>
      </c>
      <c r="AA82" s="33" t="n">
        <v>5</v>
      </c>
      <c r="AB82" s="33" t="n">
        <v>3</v>
      </c>
      <c r="AC82" s="71" t="n">
        <v>96.7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IFERROR(AVERAGE(AE82,AF82,AG82,AH82,AL82)*20,"")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2026-06-24</t>
        </is>
      </c>
      <c r="E83" s="33" t="n">
        <v>-62.70588</v>
      </c>
      <c r="F83" s="33" t="n">
        <v>-25.767</v>
      </c>
      <c r="G83" s="33" t="n">
        <v>-1.98</v>
      </c>
      <c r="H83" s="33" t="n">
        <v>1303.489</v>
      </c>
      <c r="I83" s="33">
        <f>IF(OR(E84="",R84="",R84&lt;=0,E84&lt;0),"",E84/R84)</f>
        <v/>
      </c>
      <c r="J83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3" s="33" t="n">
        <v>-14.6604</v>
      </c>
      <c r="L83" s="33" t="n">
        <v>100</v>
      </c>
      <c r="M83" s="33" t="n">
        <v>-2578.29</v>
      </c>
      <c r="N83" s="33" t="n"/>
      <c r="O83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IFERROR(AVERAGE(T83,U83,V83,W83,X83)*20,"")</f>
        <v/>
      </c>
      <c r="Z83" s="33" t="n">
        <v>1</v>
      </c>
      <c r="AA83" s="33" t="n">
        <v>3</v>
      </c>
      <c r="AB83" s="33" t="n">
        <v>2</v>
      </c>
      <c r="AC83" s="71" t="n">
        <v>65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IFERROR(AVERAGE(AE83,AF83,AG83,AH83,AL83)*20,"")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2026-06-24</t>
        </is>
      </c>
      <c r="E84" s="33" t="n">
        <v>36.310658</v>
      </c>
      <c r="F84" s="33" t="n">
        <v>45.15</v>
      </c>
      <c r="G84" s="33" t="n">
        <v>2.59</v>
      </c>
      <c r="H84" s="33" t="n">
        <v>20.974272</v>
      </c>
      <c r="I84" s="33">
        <f>IF(OR(E85="",R85="",R85&lt;=0,E85&lt;0),"",E85/R85)</f>
        <v/>
      </c>
      <c r="J84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L84" s="33" t="n">
        <v>63.54</v>
      </c>
      <c r="M84" s="33" t="n">
        <v>54.36</v>
      </c>
      <c r="N84" s="33" t="n">
        <v>-2.92</v>
      </c>
      <c r="O84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4" s="33" t="n">
        <v>27.15</v>
      </c>
      <c r="Q84" s="33" t="n">
        <v>35.1</v>
      </c>
      <c r="R84" s="33" t="n">
        <v>25.7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IFERROR(AVERAGE(T84,U84,V84,W84,X84)*20,"")</f>
        <v/>
      </c>
      <c r="Z84" s="33" t="n">
        <v>5</v>
      </c>
      <c r="AA84" s="33" t="n">
        <v>2</v>
      </c>
      <c r="AB84" s="33" t="n">
        <v>3</v>
      </c>
      <c r="AC84" s="71" t="n">
        <v>60.8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IFERROR(AVERAGE(AE84,AF84,AG84,AH84,AL84)*20,"")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2026-06-24</t>
        </is>
      </c>
      <c r="E85" s="33" t="n">
        <v>25.067364</v>
      </c>
      <c r="F85" s="33" t="n">
        <v>28.71</v>
      </c>
      <c r="G85" s="33" t="n">
        <v>2.5</v>
      </c>
      <c r="H85" s="33" t="n">
        <v>7.7685447</v>
      </c>
      <c r="I85" s="33">
        <f>IF(OR(E86="",R86="",R86&lt;=0,E86&lt;0),"",E86/R86)</f>
        <v/>
      </c>
      <c r="J85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IFERROR(AVERAGE(T85,U85,V85,W85,X85)*20,"")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IFERROR(AVERAGE(AE85,AF85,AG85,AH85,AL85)*20,"")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2026-06-24</t>
        </is>
      </c>
      <c r="E86" s="33" t="n">
        <v>48.091133</v>
      </c>
      <c r="F86" s="33" t="n">
        <v>83.983</v>
      </c>
      <c r="G86" s="33" t="n">
        <v>1.27</v>
      </c>
      <c r="H86" s="33" t="n">
        <v>11.781187</v>
      </c>
      <c r="I86" s="33">
        <f>IF(OR(E87="",R87="",R87&lt;=0,E87&lt;0),"",E87/R87)</f>
        <v/>
      </c>
      <c r="J86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IFERROR(AVERAGE(T86,U86,V86,W86,X86)*20,"")</f>
        <v/>
      </c>
      <c r="Z86" s="33" t="n">
        <v>5</v>
      </c>
      <c r="AA86" s="33" t="n">
        <v>5</v>
      </c>
      <c r="AB86" s="33" t="n">
        <v>3</v>
      </c>
      <c r="AC86" s="71" t="n">
        <v>89.2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IFERROR(AVERAGE(AE86,AF86,AG86,AH86,AL86)*20,"")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2026-06-24</t>
        </is>
      </c>
      <c r="E87" s="33" t="n">
        <v>28.62826</v>
      </c>
      <c r="F87" s="33" t="n">
        <v>26.255</v>
      </c>
      <c r="G87" s="33" t="n">
        <v>2.31</v>
      </c>
      <c r="H87" s="33" t="n">
        <v>7.7308183</v>
      </c>
      <c r="I87" s="33">
        <f>IF(OR(E88="",R88="",R88&lt;=0,E88&lt;0),"",E88/R88)</f>
        <v/>
      </c>
      <c r="J87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IFERROR(AVERAGE(T87,U87,V87,W87,X87)*20,"")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IFERROR(AVERAGE(AE87,AF87,AG87,AH87,AL87)*20,"")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2026-06-24</t>
        </is>
      </c>
      <c r="E88" s="33" t="n">
        <v>15.736418</v>
      </c>
      <c r="F88" s="33" t="n">
        <v>13.286</v>
      </c>
      <c r="G88" s="33" t="n">
        <v>5.85</v>
      </c>
      <c r="H88" s="33" t="n">
        <v>3.0999098</v>
      </c>
      <c r="I88" s="33">
        <f>IF(OR(E89="",R89="",R89&lt;=0,E89&lt;0),"",E89/R89)</f>
        <v/>
      </c>
      <c r="J88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IFERROR(AVERAGE(T88,U88,V88,W88,X88)*20,"")</f>
        <v/>
      </c>
      <c r="Z88" s="33" t="n">
        <v>4</v>
      </c>
      <c r="AA88" s="33" t="n">
        <v>2</v>
      </c>
      <c r="AB88" s="33" t="n">
        <v>3</v>
      </c>
      <c r="AC88" s="71" t="n">
        <v>30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IFERROR(AVERAGE(AE88,AF88,AG88,AH88,AL88)*20,"")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2026-06-24</t>
        </is>
      </c>
      <c r="E89" s="33" t="n">
        <v>48.97438</v>
      </c>
      <c r="F89" s="33" t="n">
        <v>47.569</v>
      </c>
      <c r="G89" s="33" t="n">
        <v>0.85</v>
      </c>
      <c r="H89" s="33" t="n">
        <v>10.853813</v>
      </c>
      <c r="I89" s="33">
        <f>IF(OR(E90="",R90="",R90&lt;=0,E90&lt;0),"",E90/R90)</f>
        <v/>
      </c>
      <c r="J89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IFERROR(AVERAGE(T89,U89,V89,W89,X89)*20,"")</f>
        <v/>
      </c>
      <c r="Z89" s="33" t="n">
        <v>4</v>
      </c>
      <c r="AA89" s="33" t="n">
        <v>5</v>
      </c>
      <c r="AB89" s="33" t="n">
        <v>3</v>
      </c>
      <c r="AC89" s="71" t="n">
        <v>95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IFERROR(AVERAGE(AE89,AF89,AG89,AH89,AL89)*20,"")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2026-06-24</t>
        </is>
      </c>
      <c r="E90" s="33" t="n">
        <v>10.231397</v>
      </c>
      <c r="F90" s="33" t="n">
        <v>17.333</v>
      </c>
      <c r="G90" s="33" t="n">
        <v>-32.63</v>
      </c>
      <c r="H90" s="33" t="n">
        <v>0.6228754</v>
      </c>
      <c r="I90" s="33">
        <f>IF(OR(E91="",R91="",R91&lt;=0,E91&lt;0),"",E91/R91)</f>
        <v/>
      </c>
      <c r="J90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IFERROR(AVERAGE(T90,U90,V90,W90,X90)*20,"")</f>
        <v/>
      </c>
      <c r="Z90" s="33" t="n">
        <v>5</v>
      </c>
      <c r="AA90" s="33" t="n">
        <v>1</v>
      </c>
      <c r="AB90" s="33" t="n">
        <v>3</v>
      </c>
      <c r="AC90" s="71" t="n">
        <v>45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IFERROR(AVERAGE(AE90,AF90,AG90,AH90,AL90)*20,"")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2026-06-24</t>
        </is>
      </c>
      <c r="E91" s="33" t="n">
        <v>20.280487</v>
      </c>
      <c r="F91" s="33" t="n">
        <v>21.448</v>
      </c>
      <c r="G91" s="33" t="n">
        <v>3.37</v>
      </c>
      <c r="H91" s="33" t="n">
        <v>2.0929878</v>
      </c>
      <c r="I91" s="33">
        <f>IF(OR(E92="",R92="",R92&lt;=0,E92&lt;0),"",E92/R92)</f>
        <v/>
      </c>
      <c r="J91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IFERROR(AVERAGE(T91,U91,V91,W91,X91)*20,"")</f>
        <v/>
      </c>
      <c r="Z91" s="33" t="n">
        <v>4</v>
      </c>
      <c r="AA91" s="33" t="n">
        <v>4</v>
      </c>
      <c r="AB91" s="33" t="n">
        <v>3</v>
      </c>
      <c r="AC91" s="71" t="n">
        <v>70.8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IFERROR(AVERAGE(AE91,AF91,AG91,AH91,AL91)*20,"")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2026-06-24</t>
        </is>
      </c>
      <c r="E92" s="33" t="n">
        <v>12.192377</v>
      </c>
      <c r="F92" s="33" t="n">
        <v>14.319</v>
      </c>
      <c r="G92" s="33" t="n">
        <v>6.18</v>
      </c>
      <c r="H92" s="33" t="n">
        <v>1.664044</v>
      </c>
      <c r="I92" s="33">
        <f>IF(OR(E93="",R93="",R93&lt;=0,E93&lt;0),"",E93/R93)</f>
        <v/>
      </c>
      <c r="J92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IFERROR(AVERAGE(T92,U92,V92,W92,X92)*20,"")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IFERROR(AVERAGE(AE92,AF92,AG92,AH92,AL92)*20,"")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2026-06-24</t>
        </is>
      </c>
      <c r="E93" s="33" t="n">
        <v>18.890825</v>
      </c>
      <c r="F93" s="33" t="n">
        <v>14.973</v>
      </c>
      <c r="G93" s="33" t="n">
        <v>2.69</v>
      </c>
      <c r="H93" s="33" t="n">
        <v>8.529771</v>
      </c>
      <c r="I93" s="33">
        <f>IF(OR(E94="",R94="",R94&lt;=0,E94&lt;0),"",E94/R94)</f>
        <v/>
      </c>
      <c r="J93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K93" s="33" t="n">
        <v>29</v>
      </c>
      <c r="L93" s="33" t="n">
        <v>68.31</v>
      </c>
      <c r="M93" s="33" t="n">
        <v>22.91</v>
      </c>
      <c r="N93" s="33" t="n">
        <v>0.26</v>
      </c>
      <c r="O93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3" s="33" t="n">
        <v>12.42</v>
      </c>
      <c r="Q93" s="33" t="n">
        <v>18.3</v>
      </c>
      <c r="R93" s="33" t="n">
        <v>23.1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IFERROR(AVERAGE(T93,U93,V93,W93,X93)*20,"")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IFERROR(AVERAGE(AE93,AF93,AG93,AH93,AL93)*20,"")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2026-06-24</t>
        </is>
      </c>
      <c r="E94" s="33" t="n">
        <v>23.725615</v>
      </c>
      <c r="F94" s="33" t="n">
        <v>25.742</v>
      </c>
      <c r="G94" s="33" t="n">
        <v>1.53</v>
      </c>
      <c r="H94" s="33" t="n">
        <v>9.972652999999999</v>
      </c>
      <c r="I94" s="33">
        <f>IF(OR(E95="",R95="",R95&lt;=0,E95&lt;0),"",E95/R95)</f>
        <v/>
      </c>
      <c r="J94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4" s="33" t="n">
        <v>30.4</v>
      </c>
      <c r="L94" s="33" t="n">
        <v>60.37</v>
      </c>
      <c r="M94" s="33" t="n">
        <v>15.25</v>
      </c>
      <c r="N94" s="33" t="n">
        <v>-0.19</v>
      </c>
      <c r="O94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4" s="33" t="n">
        <v>12.51</v>
      </c>
      <c r="Q94" s="33" t="n">
        <v>21.8</v>
      </c>
      <c r="R94" s="33" t="n">
        <v>81.2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IFERROR(AVERAGE(T94,U94,V94,W94,X94)*20,"")</f>
        <v/>
      </c>
      <c r="Z94" s="33" t="n">
        <v>4</v>
      </c>
      <c r="AA94" s="33" t="n">
        <v>3</v>
      </c>
      <c r="AB94" s="33" t="n">
        <v>3</v>
      </c>
      <c r="AC94" s="71" t="n">
        <v>61.7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IFERROR(AVERAGE(AE94,AF94,AG94,AH94,AL94)*20,"")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2026-06-24</t>
        </is>
      </c>
      <c r="E95" s="33" t="n">
        <v>23.710243</v>
      </c>
      <c r="F95" s="33" t="n">
        <v>16.762</v>
      </c>
      <c r="G95" s="33" t="n">
        <v>-0.1</v>
      </c>
      <c r="H95" s="33" t="n">
        <v>3.39277</v>
      </c>
      <c r="I95" s="33">
        <f>IF(OR(E96="",R96="",R96&lt;=0,E96&lt;0),"",E96/R96)</f>
        <v/>
      </c>
      <c r="J95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5" s="33" t="n">
        <v>12.3</v>
      </c>
      <c r="L95" s="33" t="n">
        <v>50.6</v>
      </c>
      <c r="M95" s="33" t="n">
        <v>-0.33</v>
      </c>
      <c r="N95" s="33" t="n">
        <v>0.59</v>
      </c>
      <c r="O95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5" s="33" t="n">
        <v>11.73</v>
      </c>
      <c r="Q95" s="33" t="n">
        <v>16.6</v>
      </c>
      <c r="R95" s="33" t="n">
        <v>76.7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IFERROR(AVERAGE(T95,U95,V95,W95,X95)*20,"")</f>
        <v/>
      </c>
      <c r="Z95" s="33" t="n">
        <v>5</v>
      </c>
      <c r="AA95" s="33" t="n">
        <v>4</v>
      </c>
      <c r="AB95" s="33" t="n">
        <v>3</v>
      </c>
      <c r="AC95" s="71" t="n">
        <v>50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IFERROR(AVERAGE(AE95,AF95,AG95,AH95,AL95)*20,"")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2026-06-24</t>
        </is>
      </c>
      <c r="E96" s="33" t="n">
        <v>15.385715</v>
      </c>
      <c r="F96" s="33" t="n">
        <v>13.002</v>
      </c>
      <c r="G96" s="33" t="n">
        <v>3.41</v>
      </c>
      <c r="H96" s="33" t="n">
        <v>6.585331</v>
      </c>
      <c r="I96" s="33">
        <f>IF(OR(E97="",R97="",R97&lt;=0,E97&lt;0),"",E97/R97)</f>
        <v/>
      </c>
      <c r="J96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6" s="33" t="n">
        <v>22.8</v>
      </c>
      <c r="L96" s="33" t="n">
        <v>81.94</v>
      </c>
      <c r="M96" s="33" t="n">
        <v>22.45</v>
      </c>
      <c r="N96" s="33" t="n">
        <v>0.05</v>
      </c>
      <c r="O96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6" s="33" t="n">
        <v>19.89</v>
      </c>
      <c r="Q96" s="33" t="n">
        <v>33.1</v>
      </c>
      <c r="R96" s="33" t="n">
        <v>60.9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IFERROR(AVERAGE(T96,U96,V96,W96,X96)*20,"")</f>
        <v/>
      </c>
      <c r="Z96" s="33" t="n">
        <v>5</v>
      </c>
      <c r="AA96" s="33" t="n">
        <v>1</v>
      </c>
      <c r="AB96" s="33" t="n">
        <v>3</v>
      </c>
      <c r="AC96" s="71" t="n">
        <v>35.8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IFERROR(AVERAGE(AE96,AF96,AG96,AH96,AL96)*20,"")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2026-06-24</t>
        </is>
      </c>
      <c r="E97" s="33" t="n">
        <v>14.42704</v>
      </c>
      <c r="F97" s="33" t="n">
        <v>19.505</v>
      </c>
      <c r="G97" s="33" t="n">
        <v>-5.22</v>
      </c>
      <c r="H97" s="33" t="n">
        <v>6.7366514</v>
      </c>
      <c r="I97" s="33">
        <f>IF(OR(E98="",R98="",R98&lt;=0,E98&lt;0),"",E98/R98)</f>
        <v/>
      </c>
      <c r="J97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IFERROR(AVERAGE(T97,U97,V97,W97,X97)*20,"")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IFERROR(AVERAGE(AE97,AF97,AG97,AH97,AL97)*20,"")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2026-06-24</t>
        </is>
      </c>
      <c r="E98" s="33" t="n">
        <v>718.84174</v>
      </c>
      <c r="F98" s="33" t="n">
        <v>19.1</v>
      </c>
      <c r="G98" s="33" t="n">
        <v>-4.79</v>
      </c>
      <c r="H98" s="33" t="n">
        <v>75.09648</v>
      </c>
      <c r="I98" s="33">
        <f>IF(OR(E99="",R99="",R99&lt;=0,E99&lt;0),"",E99/R99)</f>
        <v/>
      </c>
      <c r="J98" s="33">
        <f>IFERROR(AVERAGE(IFERROR(IF(E98="","",IF(E98&lt;0,5,IF(E98&lt;=15,90,IF(E98&lt;=20,75,IF(E98&lt;=25,60,IF(E98&lt;=30,45,IF(E98&lt;=40,30,IF(E98&lt;=60,15,5)))))))),""),IFERROR(IF(F98="","",IF(F98&lt;=2,100,IF(F98&lt;=4,90,IF(F98&lt;=6,75,IF(F98&lt;=9,60,IF(F98&lt;=12,45,IF(F98&lt;=18,30,15)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8" s="33" t="n">
        <v>-8.199999999999999</v>
      </c>
      <c r="L98" s="33" t="n">
        <v>72.06</v>
      </c>
      <c r="M98" s="33" t="n">
        <v>-359.35</v>
      </c>
      <c r="N98" s="33" t="n"/>
      <c r="O98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IFERROR(AVERAGE(T98,U98,V98,W98,X98)*20,"")</f>
        <v/>
      </c>
      <c r="Z98" s="33" t="n">
        <v>3</v>
      </c>
      <c r="AA98" s="33" t="n">
        <v>5</v>
      </c>
      <c r="AB98" s="33" t="n">
        <v>3</v>
      </c>
      <c r="AC98" s="71" t="n">
        <v>83.3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IFERROR(AVERAGE(AE98,AF98,AG98,AH98,AL98)*20,"")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2026-06-24</t>
        </is>
      </c>
      <c r="E99" s="33" t="n">
        <v>-43.50259</v>
      </c>
      <c r="F99" s="33" t="n">
        <v>6.9</v>
      </c>
      <c r="G99" s="33" t="n">
        <v>-15.1</v>
      </c>
      <c r="H99" s="33" t="n">
        <v>37.57605</v>
      </c>
      <c r="I99" s="33">
        <f>IF(OR(E100="",R100="",R100&lt;=0,E100&lt;0),"",E100/R100)</f>
        <v/>
      </c>
      <c r="J99" s="33">
        <f>IFERROR(AVERAGE(IFERROR(IF(E99="","",IF(E99&lt;0,5,IF(E99&lt;=15,90,IF(E99&lt;=20,75,IF(E99&lt;=25,60,IF(E99&lt;=30,45,IF(E99&lt;=40,30,IF(E99&lt;=60,15,5)))))))),""),IFERROR(IF(F99="","",IF(F99&lt;=2,100,IF(F99&lt;=4,90,IF(F99&lt;=6,75,IF(F99&lt;=9,60,IF(F99&lt;=12,45,IF(F99&lt;=18,30,15)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IFERROR(AVERAGE(T99,U99,V99,W99,X99)*20,"")</f>
        <v/>
      </c>
      <c r="Z99" s="33" t="n">
        <v>2</v>
      </c>
      <c r="AA99" s="33" t="n">
        <v>5</v>
      </c>
      <c r="AB99" s="33" t="n">
        <v>3</v>
      </c>
      <c r="AC99" s="71" t="n">
        <v>66.7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IFERROR(AVERAGE(AE99,AF99,AG99,AH99,AL99)*20,"")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2026-06-24</t>
        </is>
      </c>
      <c r="E100" s="33" t="n">
        <v>93.67310999999999</v>
      </c>
      <c r="F100" s="33" t="n">
        <v>5.3</v>
      </c>
      <c r="G100" s="33" t="n">
        <v>-5.22</v>
      </c>
      <c r="H100" s="33" t="n">
        <v>24.902979</v>
      </c>
      <c r="I100" s="33">
        <f>IF(OR(E101="",R101="",R101&lt;=0,E101&lt;0),"",E101/R101)</f>
        <v/>
      </c>
      <c r="J100" s="33">
        <f>IFERROR(AVERAGE(IFERROR(IF(E100="","",IF(E100&lt;0,5,IF(E100&lt;=15,90,IF(E100&lt;=20,75,IF(E100&lt;=25,60,IF(E100&lt;=30,45,IF(E100&lt;=40,30,IF(E100&lt;=60,15,5)))))))),""),IFERROR(IF(F100="","",IF(F100&lt;=2,100,IF(F100&lt;=4,90,IF(F100&lt;=6,75,IF(F100&lt;=9,60,IF(F100&lt;=12,45,IF(F100&lt;=18,30,15)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L100" s="33" t="n">
        <v>21.56</v>
      </c>
      <c r="M100" s="33" t="n">
        <v>-130</v>
      </c>
      <c r="N100" s="33" t="n"/>
      <c r="O100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IFERROR(AVERAGE(T100,U100,V100,W100,X100)*20,"")</f>
        <v/>
      </c>
      <c r="Z100" s="33" t="n">
        <v>3</v>
      </c>
      <c r="AA100" s="33" t="n">
        <v>3</v>
      </c>
      <c r="AB100" s="33" t="n">
        <v>3</v>
      </c>
      <c r="AC100" s="71" t="n">
        <v>70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IFERROR(AVERAGE(AE100,AF100,AG100,AH100,AL100)*20,"")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2026-06-24</t>
        </is>
      </c>
      <c r="E101" s="33" t="n">
        <v>-53.51064</v>
      </c>
      <c r="F101" s="33" t="n">
        <v>6.8</v>
      </c>
      <c r="G101" s="33" t="n">
        <v>-13.62</v>
      </c>
      <c r="H101" s="33" t="n">
        <v>23.744242</v>
      </c>
      <c r="I101" s="33">
        <f>IF(OR(E102="",R102="",R102&lt;=0,E102&lt;0),"",E102/R102)</f>
        <v/>
      </c>
      <c r="J101" s="33">
        <f>IFERROR(AVERAGE(IFERROR(IF(E101="","",IF(E101&lt;0,5,IF(E101&lt;=15,90,IF(E101&lt;=20,75,IF(E101&lt;=25,60,IF(E101&lt;=30,45,IF(E101&lt;=40,30,IF(E101&lt;=60,15,5)))))))),""),IFERROR(IF(F101="","",IF(F101&lt;=2,100,IF(F101&lt;=4,90,IF(F101&lt;=6,75,IF(F101&lt;=9,60,IF(F101&lt;=12,45,IF(F101&lt;=18,30,15)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IFERROR(AVERAGE(T101,U101,V101,W101,X101)*20,"")</f>
        <v/>
      </c>
      <c r="Z101" s="33" t="n">
        <v>3</v>
      </c>
      <c r="AA101" s="33" t="n">
        <v>5</v>
      </c>
      <c r="AB101" s="33" t="n">
        <v>3</v>
      </c>
      <c r="AC101" s="71" t="n">
        <v>55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IFERROR(AVERAGE(AE101,AF101,AG101,AH101,AL101)*20,"")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2026-06-24</t>
        </is>
      </c>
      <c r="E102" s="33" t="n">
        <v>39.134327</v>
      </c>
      <c r="F102" s="33" t="n">
        <v>16.3</v>
      </c>
      <c r="G102" s="33" t="n">
        <v>-9.49</v>
      </c>
      <c r="H102" s="33" t="n">
        <v>51.116283</v>
      </c>
      <c r="I102" s="33">
        <f>IF(OR(E103="",R103="",R103&lt;=0,E103&lt;0),"",E103/R103)</f>
        <v/>
      </c>
      <c r="J102" s="33">
        <f>IFERROR(AVERAGE(IFERROR(IF(E102="","",IF(E102&lt;0,5,IF(E102&lt;=15,90,IF(E102&lt;=20,75,IF(E102&lt;=25,60,IF(E102&lt;=30,45,IF(E102&lt;=40,30,IF(E102&lt;=60,15,5)))))))),""),IFERROR(IF(F102="","",IF(F102&lt;=2,100,IF(F102&lt;=4,90,IF(F102&lt;=6,75,IF(F102&lt;=9,60,IF(F102&lt;=12,45,IF(F102&lt;=18,30,15)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IFERROR(AVERAGE(T102,U102,V102,W102,X102)*20,"")</f>
        <v/>
      </c>
      <c r="Z102" s="33" t="n">
        <v>2</v>
      </c>
      <c r="AA102" s="33" t="n">
        <v>5</v>
      </c>
      <c r="AB102" s="33" t="n">
        <v>3</v>
      </c>
      <c r="AC102" s="71" t="n">
        <v>59.2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IFERROR(AVERAGE(AE102,AF102,AG102,AH102,AL102)*20,"")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2026-06-24</t>
        </is>
      </c>
      <c r="E103" s="33" t="n">
        <v>-22.386206</v>
      </c>
      <c r="F103" s="33" t="n">
        <v>3.1</v>
      </c>
      <c r="G103" s="33" t="n">
        <v>-25.74</v>
      </c>
      <c r="H103" s="33" t="n">
        <v>5.628933</v>
      </c>
      <c r="I103" s="33">
        <f>IF(OR(E104="",R104="",R104&lt;=0,E104&lt;0),"",E104/R104)</f>
        <v/>
      </c>
      <c r="J103" s="33">
        <f>IFERROR(AVERAGE(IFERROR(IF(E103="","",IF(E103&lt;0,5,IF(E103&lt;=15,90,IF(E103&lt;=20,75,IF(E103&lt;=25,60,IF(E103&lt;=30,45,IF(E103&lt;=40,30,IF(E103&lt;=60,15,5)))))))),""),IFERROR(IF(F103="","",IF(F103&lt;=2,100,IF(F103&lt;=4,90,IF(F103&lt;=6,75,IF(F103&lt;=9,60,IF(F103&lt;=12,45,IF(F103&lt;=18,30,15)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K103" s="33" t="n">
        <v>-8.4</v>
      </c>
      <c r="L103" s="33" t="n">
        <v>50.71</v>
      </c>
      <c r="M103" s="33" t="n">
        <v>-144.92</v>
      </c>
      <c r="N103" s="33" t="n"/>
      <c r="O103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IFERROR(AVERAGE(T103,U103,V103,W103,X103)*20,"")</f>
        <v/>
      </c>
      <c r="Z103" s="33" t="n">
        <v>2</v>
      </c>
      <c r="AA103" s="33" t="n">
        <v>1</v>
      </c>
      <c r="AB103" s="33" t="n">
        <v>3</v>
      </c>
      <c r="AC103" s="71" t="n">
        <v>53.3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IFERROR(AVERAGE(AE103,AF103,AG103,AH103,AL103)*20,"")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2026-06-24</t>
        </is>
      </c>
      <c r="E104" s="33" t="n">
        <v>-49.352116</v>
      </c>
      <c r="F104" s="33" t="n">
        <v>2.4</v>
      </c>
      <c r="G104" s="33" t="n">
        <v>-49.67</v>
      </c>
      <c r="H104" s="33" t="n">
        <v>5.767981</v>
      </c>
      <c r="I104" s="33">
        <f>IF(OR(E105="",R105="",R105&lt;=0,E105&lt;0),"",E105/R105)</f>
        <v/>
      </c>
      <c r="J104" s="33">
        <f>IFERROR(AVERAGE(IFERROR(IF(E104="","",IF(E104&lt;0,5,IF(E104&lt;=15,90,IF(E104&lt;=20,75,IF(E104&lt;=25,60,IF(E104&lt;=30,45,IF(E104&lt;=40,30,IF(E104&lt;=60,15,5)))))))),""),IFERROR(IF(F104="","",IF(F104&lt;=2,100,IF(F104&lt;=4,90,IF(F104&lt;=6,75,IF(F104&lt;=9,60,IF(F104&lt;=12,45,IF(F104&lt;=18,30,15)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IFERROR(AVERAGE(T104,U104,V104,W104,X104)*20,"")</f>
        <v/>
      </c>
      <c r="Z104" s="33" t="n">
        <v>2</v>
      </c>
      <c r="AA104" s="33" t="n">
        <v>1</v>
      </c>
      <c r="AB104" s="33" t="n">
        <v>3</v>
      </c>
      <c r="AC104" s="71" t="n">
        <v>59.2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IFERROR(AVERAGE(AE104,AF104,AG104,AH104,AL104)*20,"")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2026-06-24</t>
        </is>
      </c>
      <c r="E105" s="33" t="n">
        <v>-62.503365</v>
      </c>
      <c r="F105" s="33" t="n">
        <v>7.6</v>
      </c>
      <c r="G105" s="33" t="n">
        <v>-6.23</v>
      </c>
      <c r="H105" s="33" t="n">
        <v>45.976986</v>
      </c>
      <c r="I105" s="33">
        <f>IF(OR(E106="",R106="",R106&lt;=0,E106&lt;0),"",E106/R106)</f>
        <v/>
      </c>
      <c r="J105" s="33">
        <f>IFERROR(AVERAGE(IFERROR(IF(E105="","",IF(E105&lt;0,5,IF(E105&lt;=15,90,IF(E105&lt;=20,75,IF(E105&lt;=25,60,IF(E105&lt;=30,45,IF(E105&lt;=40,30,IF(E105&lt;=60,15,5)))))))),""),IFERROR(IF(F105="","",IF(F105&lt;=2,100,IF(F105&lt;=4,90,IF(F105&lt;=6,75,IF(F105&lt;=9,60,IF(F105&lt;=12,45,IF(F105&lt;=18,30,15)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K105" s="33" t="n">
        <v>-6.7</v>
      </c>
      <c r="L105" s="33" t="n">
        <v>59.67</v>
      </c>
      <c r="M105" s="33" t="n">
        <v>-286.43</v>
      </c>
      <c r="N105" s="33" t="n"/>
      <c r="O105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IFERROR(AVERAGE(T105,U105,V105,W105,X105)*20,"")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IFERROR(AVERAGE(AE105,AF105,AG105,AH105,AL105)*20,"")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2026-06-24</t>
        </is>
      </c>
      <c r="E106" s="33" t="n">
        <v>-94.15385000000001</v>
      </c>
      <c r="F106" s="33" t="n">
        <v>5.1</v>
      </c>
      <c r="G106" s="33" t="n">
        <v>-11.02</v>
      </c>
      <c r="H106" s="33" t="n">
        <v>16.903679</v>
      </c>
      <c r="I106" s="33">
        <f>IF(OR(E107="",R107="",R107&lt;=0,E107&lt;0),"",E107/R107)</f>
        <v/>
      </c>
      <c r="J106" s="33">
        <f>IFERROR(AVERAGE(IFERROR(IF(E106="","",IF(E106&lt;0,5,IF(E106&lt;=15,90,IF(E106&lt;=20,75,IF(E106&lt;=25,60,IF(E106&lt;=30,45,IF(E106&lt;=40,30,IF(E106&lt;=60,15,5)))))))),""),IFERROR(IF(F106="","",IF(F106&lt;=2,100,IF(F106&lt;=4,90,IF(F106&lt;=6,75,IF(F106&lt;=9,60,IF(F106&lt;=12,45,IF(F106&lt;=18,30,15)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K106" s="33" t="n">
        <v>-15.81</v>
      </c>
      <c r="L106" s="33" t="n">
        <v>-20.81</v>
      </c>
      <c r="M106" s="33" t="n">
        <v>-186.29</v>
      </c>
      <c r="N106" s="33" t="n"/>
      <c r="O106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IFERROR(AVERAGE(T106,U106,V106,W106,X106)*20,"")</f>
        <v/>
      </c>
      <c r="Z106" s="33" t="n">
        <v>3</v>
      </c>
      <c r="AA106" s="33" t="n">
        <v>3</v>
      </c>
      <c r="AB106" s="33" t="n">
        <v>3</v>
      </c>
      <c r="AC106" s="71" t="n">
        <v>46.7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IFERROR(AVERAGE(AE106,AF106,AG106,AH106,AL106)*20,"")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2026-06-24</t>
        </is>
      </c>
      <c r="E107" s="33" t="n">
        <v>-46.43365</v>
      </c>
      <c r="F107" s="33" t="n">
        <v>6.5</v>
      </c>
      <c r="G107" s="33" t="n">
        <v>-12.27</v>
      </c>
      <c r="H107" s="33" t="n">
        <v>15.872388</v>
      </c>
      <c r="I107" s="33">
        <f>IF(OR(E108="",R108="",R108&lt;=0,E108&lt;0),"",E108/R108)</f>
        <v/>
      </c>
      <c r="J107" s="33">
        <f>IFERROR(AVERAGE(IFERROR(IF(E107="","",IF(E107&lt;0,5,IF(E107&lt;=15,90,IF(E107&lt;=20,75,IF(E107&lt;=25,60,IF(E107&lt;=30,45,IF(E107&lt;=40,30,IF(E107&lt;=60,15,5)))))))),""),IFERROR(IF(F107="","",IF(F107&lt;=2,100,IF(F107&lt;=4,90,IF(F107&lt;=6,75,IF(F107&lt;=9,60,IF(F107&lt;=12,45,IF(F107&lt;=18,30,15)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K107" s="33" t="n">
        <v>-10</v>
      </c>
      <c r="L107" s="33" t="n">
        <v>32.35</v>
      </c>
      <c r="M107" s="33" t="n">
        <v>-194.81</v>
      </c>
      <c r="N107" s="33" t="n"/>
      <c r="O107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IFERROR(AVERAGE(T107,U107,V107,W107,X107)*20,"")</f>
        <v/>
      </c>
      <c r="Z107" s="33" t="n">
        <v>3</v>
      </c>
      <c r="AA107" s="33" t="n">
        <v>3</v>
      </c>
      <c r="AB107" s="33" t="n">
        <v>3</v>
      </c>
      <c r="AC107" s="71" t="n">
        <v>69.2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IFERROR(AVERAGE(AE107,AF107,AG107,AH107,AL107)*20,"")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2026-06-24</t>
        </is>
      </c>
      <c r="E108" s="33" t="n">
        <v>145.78378</v>
      </c>
      <c r="F108" s="33" t="n">
        <v>24.6</v>
      </c>
      <c r="G108" s="33" t="n">
        <v>-12.62</v>
      </c>
      <c r="H108" s="33" t="n">
        <v>79.52134</v>
      </c>
      <c r="I108" s="33">
        <f>IF(OR(E109="",R109="",R109&lt;=0,E109&lt;0),"",E109/R109)</f>
        <v/>
      </c>
      <c r="J108" s="33">
        <f>IFERROR(AVERAGE(IFERROR(IF(E108="","",IF(E108&lt;0,5,IF(E108&lt;=15,90,IF(E108&lt;=20,75,IF(E108&lt;=25,60,IF(E108&lt;=30,45,IF(E108&lt;=40,30,IF(E108&lt;=60,15,5)))))))),""),IFERROR(IF(F108="","",IF(F108&lt;=2,100,IF(F108&lt;=4,90,IF(F108&lt;=6,75,IF(F108&lt;=9,60,IF(F108&lt;=12,45,IF(F108&lt;=18,30,15)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K108" s="33" t="n">
        <v>-7.5</v>
      </c>
      <c r="L108" s="33" t="n">
        <v>64.02</v>
      </c>
      <c r="M108" s="33" t="n">
        <v>-1003.63</v>
      </c>
      <c r="N108" s="33" t="n"/>
      <c r="O108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IFERROR(AVERAGE(T108,U108,V108,W108,X108)*20,"")</f>
        <v/>
      </c>
      <c r="Z108" s="33" t="n">
        <v>4</v>
      </c>
      <c r="AA108" s="33" t="n">
        <v>5</v>
      </c>
      <c r="AB108" s="33" t="n">
        <v>3</v>
      </c>
      <c r="AC108" s="71" t="n">
        <v>84.2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IFERROR(AVERAGE(AE108,AF108,AG108,AH108,AL108)*20,"")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2026-06-24</t>
        </is>
      </c>
      <c r="E109" s="33" t="n">
        <v>54.513054</v>
      </c>
      <c r="F109" s="33" t="n">
        <v>98.40000000000001</v>
      </c>
      <c r="G109" s="33" t="n">
        <v>0.99</v>
      </c>
      <c r="H109" s="33" t="n">
        <v>52.083813</v>
      </c>
      <c r="I109" s="33">
        <f>IF(OR(E110="",R110="",R110&lt;=0,E110&lt;0),"",E110/R110)</f>
        <v/>
      </c>
      <c r="J109" s="33">
        <f>IFERROR(AVERAGE(IFERROR(IF(E109="","",IF(E109&lt;0,5,IF(E109&lt;=15,90,IF(E109&lt;=20,75,IF(E109&lt;=25,60,IF(E109&lt;=30,45,IF(E109&lt;=40,30,IF(E109&lt;=60,15,5)))))))),""),IFERROR(IF(F109="","",IF(F109&lt;0,5,IF(F109&lt;=20,100,IF(F109&lt;=30,90,IF(F109&lt;=40,75,IF(F109&lt;=55,60,IF(F109&lt;=75,45,IF(F109&lt;=100,30,15)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IFERROR(AVERAGE(T109,U109,V109,W109,X109)*20,"")</f>
        <v/>
      </c>
      <c r="Z109" s="33" t="n">
        <v>5</v>
      </c>
      <c r="AA109" s="33" t="n">
        <v>4</v>
      </c>
      <c r="AB109" s="33" t="n">
        <v>3</v>
      </c>
      <c r="AC109" s="71" t="n">
        <v>17.5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IFERROR(AVERAGE(AE109,AF109,AG109,AH109,AL109)*20,"")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2026-06-24</t>
        </is>
      </c>
      <c r="E110" s="33" t="n">
        <v>84.10101</v>
      </c>
      <c r="F110" s="33" t="n">
        <v>67</v>
      </c>
      <c r="G110" s="33" t="n">
        <v>1.49</v>
      </c>
      <c r="H110" s="33" t="n">
        <v>15.560704</v>
      </c>
      <c r="I110" s="33">
        <f>IF(OR(E111="",R111="",R111&lt;=0,E111&lt;0),"",E111/R111)</f>
        <v/>
      </c>
      <c r="J110" s="33">
        <f>IFERROR(AVERAGE(IFERROR(IF(E110="","",IF(E110&lt;0,5,IF(E110&lt;=15,90,IF(E110&lt;=20,75,IF(E110&lt;=25,60,IF(E110&lt;=30,45,IF(E110&lt;=40,30,IF(E110&lt;=60,15,5)))))))),""),IFERROR(IF(F110="","",IF(F110&lt;0,5,IF(F110&lt;=20,100,IF(F110&lt;=30,90,IF(F110&lt;=40,75,IF(F110&lt;=55,60,IF(F110&lt;=75,45,IF(F110&lt;=100,30,15)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K110" s="33" t="n">
        <v>-61.7</v>
      </c>
      <c r="L110" s="33" t="n">
        <v>67.14</v>
      </c>
      <c r="M110" s="33" t="n">
        <v>23.18</v>
      </c>
      <c r="N110" s="33" t="n"/>
      <c r="O110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IFERROR(AVERAGE(T110,U110,V110,W110,X110)*20,"")</f>
        <v/>
      </c>
      <c r="Z110" s="33" t="n">
        <v>2</v>
      </c>
      <c r="AA110" s="33" t="n">
        <v>3</v>
      </c>
      <c r="AB110" s="33" t="n">
        <v>3</v>
      </c>
      <c r="AC110" s="71" t="n">
        <v>22.5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IFERROR(AVERAGE(AE110,AF110,AG110,AH110,AL110)*20,"")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2026-06-24</t>
        </is>
      </c>
      <c r="E111" s="33" t="n">
        <v>18.66039</v>
      </c>
      <c r="F111" s="33" t="n">
        <v>20.3</v>
      </c>
      <c r="G111" s="33" t="n">
        <v>4.78</v>
      </c>
      <c r="H111" s="33" t="n">
        <v>6.929563</v>
      </c>
      <c r="I111" s="33">
        <f>IF(OR(E112="",R112="",R112&lt;=0,E112&lt;0),"",E112/R112)</f>
        <v/>
      </c>
      <c r="J111" s="33">
        <f>IFERROR(AVERAGE(IFERROR(IF(E111="","",IF(E111&lt;0,5,IF(E111&lt;=15,90,IF(E111&lt;=20,75,IF(E111&lt;=25,60,IF(E111&lt;=30,45,IF(E111&lt;=40,30,IF(E111&lt;=60,15,5)))))))),""),IFERROR(IF(F111="","",IF(F111&lt;0,5,IF(F111&lt;=20,100,IF(F111&lt;=30,90,IF(F111&lt;=40,75,IF(F111&lt;=55,60,IF(F111&lt;=75,45,IF(F111&lt;=100,30,15)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IFERROR(AVERAGE(T111,U111,V111,W111,X111)*20,"")</f>
        <v/>
      </c>
      <c r="Z111" s="33" t="n">
        <v>2</v>
      </c>
      <c r="AA111" s="33" t="n">
        <v>1</v>
      </c>
      <c r="AB111" s="33" t="n">
        <v>3</v>
      </c>
      <c r="AC111" s="71" t="n">
        <v>17.5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IFERROR(AVERAGE(AE111,AF111,AG111,AH111,AL111)*20,"")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2026-06-24</t>
        </is>
      </c>
      <c r="E112" s="33" t="n">
        <v>9.858402999999999</v>
      </c>
      <c r="F112" s="33" t="n">
        <v>10.6</v>
      </c>
      <c r="G112" s="33" t="n">
        <v>11.72</v>
      </c>
      <c r="H112" s="33" t="n">
        <v>2.9211617</v>
      </c>
      <c r="I112" s="33">
        <f>IF(OR(E113="",R113="",R113&lt;=0,E113&lt;0),"",E113/R113)</f>
        <v/>
      </c>
      <c r="J112" s="33">
        <f>IFERROR(AVERAGE(IFERROR(IF(E112="","",IF(E112&lt;0,5,IF(E112&lt;=15,90,IF(E112&lt;=20,75,IF(E112&lt;=25,60,IF(E112&lt;=30,45,IF(E112&lt;=40,30,IF(E112&lt;=60,15,5)))))))),""),IFERROR(IF(F112="","",IF(F112&lt;0,5,IF(F112&lt;=20,100,IF(F112&lt;=30,90,IF(F112&lt;=40,75,IF(F112&lt;=55,60,IF(F112&lt;=75,45,IF(F112&lt;=100,30,15)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IFERROR(AVERAGE(T112,U112,V112,W112,X112)*20,"")</f>
        <v/>
      </c>
      <c r="Z112" s="33" t="n">
        <v>4</v>
      </c>
      <c r="AA112" s="33" t="n">
        <v>2</v>
      </c>
      <c r="AB112" s="33" t="n">
        <v>3</v>
      </c>
      <c r="AC112" s="71" t="n">
        <v>14.2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IFERROR(AVERAGE(AE112,AF112,AG112,AH112,AL112)*20,"")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2026-06-24</t>
        </is>
      </c>
      <c r="E113" s="33" t="n">
        <v>29.629665</v>
      </c>
      <c r="F113" s="33" t="n">
        <v>42.228</v>
      </c>
      <c r="G113" s="33" t="n">
        <v>2.26</v>
      </c>
      <c r="H113" s="33" t="n">
        <v>9.861291</v>
      </c>
      <c r="I113" s="33">
        <f>IF(OR(E114="",R114="",R114&lt;=0,E114&lt;0),"",E114/R114)</f>
        <v/>
      </c>
      <c r="J113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K113" s="33" t="n"/>
      <c r="L113" s="33" t="n">
        <v>62.14</v>
      </c>
      <c r="M113" s="33" t="n">
        <v>22.29</v>
      </c>
      <c r="N113" s="33" t="n">
        <v>0.25</v>
      </c>
      <c r="O113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IFERROR(AVERAGE(T113,U113,V113,W113,X113)*20,"")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IFERROR(AVERAGE(AE113,AF113,AG113,AH113,AL113)*20,"")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2026-06-24</t>
        </is>
      </c>
      <c r="E114" s="33" t="n">
        <v>38.84074</v>
      </c>
      <c r="F114" s="33" t="n">
        <v>51.074</v>
      </c>
      <c r="G114" s="33" t="n">
        <v>-0.05</v>
      </c>
      <c r="H114" s="33" t="n">
        <v>7.018024</v>
      </c>
      <c r="I114" s="33">
        <f>IF(OR(E115="",R115="",R115&lt;=0,E115&lt;0),"",E115/R115)</f>
        <v/>
      </c>
      <c r="J114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IFERROR(AVERAGE(T114,U114,V114,W114,X114)*20,"")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IFERROR(AVERAGE(AE114,AF114,AG114,AH114,AL114)*20,"")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2026-06-24</t>
        </is>
      </c>
      <c r="E115" s="33" t="n">
        <v>47.30647</v>
      </c>
      <c r="F115" s="33" t="n">
        <v>80.672</v>
      </c>
      <c r="G115" s="33" t="n">
        <v>0.89</v>
      </c>
      <c r="H115" s="33" t="n">
        <v>23.840698</v>
      </c>
      <c r="I115" s="33">
        <f>IF(OR(E116="",R116="",R116&lt;=0,E116&lt;0),"",E116/R116)</f>
        <v/>
      </c>
      <c r="J115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IFERROR(AVERAGE(T115,U115,V115,W115,X115)*20,"")</f>
        <v/>
      </c>
      <c r="Z115" s="33" t="n">
        <v>4</v>
      </c>
      <c r="AA115" s="33" t="n">
        <v>5</v>
      </c>
      <c r="AB115" s="33" t="n">
        <v>2</v>
      </c>
      <c r="AC115" s="71" t="n">
        <v>77.5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IFERROR(AVERAGE(AE115,AF115,AG115,AH115,AL115)*20,"")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2026-06-24</t>
        </is>
      </c>
      <c r="E116" s="33" t="n">
        <v>30.181307</v>
      </c>
      <c r="F116" s="33" t="n">
        <v>101.705</v>
      </c>
      <c r="G116" s="33" t="n">
        <v>0.8100000000000001</v>
      </c>
      <c r="H116" s="33" t="n">
        <v>37.570286</v>
      </c>
      <c r="I116" s="33">
        <f>IF(OR(E117="",R117="",R117&lt;=0,E117&lt;0),"",E117/R117)</f>
        <v/>
      </c>
      <c r="J116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IFERROR(AVERAGE(T116,U116,V116,W116,X116)*20,"")</f>
        <v/>
      </c>
      <c r="Z116" s="33" t="n">
        <v>5</v>
      </c>
      <c r="AA116" s="33" t="n">
        <v>5</v>
      </c>
      <c r="AB116" s="33" t="n">
        <v>3</v>
      </c>
      <c r="AC116" s="71" t="n">
        <v>45.8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IFERROR(AVERAGE(AE116,AF116,AG116,AH116,AL116)*20,"")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2026-06-24</t>
        </is>
      </c>
      <c r="E117" s="33" t="n">
        <v>21.696165</v>
      </c>
      <c r="F117" s="33" t="n">
        <v>27.803</v>
      </c>
      <c r="G117" s="33" t="n">
        <v>1.91</v>
      </c>
      <c r="H117" s="33" t="n">
        <v>1.9782361</v>
      </c>
      <c r="I117" s="33">
        <f>IF(OR(E118="",R118="",R118&lt;=0,E118&lt;0),"",E118/R118)</f>
        <v/>
      </c>
      <c r="J117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IFERROR(AVERAGE(T117,U117,V117,W117,X117)*20,"")</f>
        <v/>
      </c>
      <c r="Z117" s="33" t="n">
        <v>5</v>
      </c>
      <c r="AA117" s="33" t="n">
        <v>5</v>
      </c>
      <c r="AB117" s="33" t="n">
        <v>3</v>
      </c>
      <c r="AC117" s="71" t="n">
        <v>80.8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IFERROR(AVERAGE(AE117,AF117,AG117,AH117,AL117)*20,"")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2026-06-24</t>
        </is>
      </c>
      <c r="E118" s="33" t="n">
        <v>24.200037</v>
      </c>
      <c r="F118" s="33" t="n">
        <v>74.13200000000001</v>
      </c>
      <c r="G118" s="33" t="n">
        <v>2.13</v>
      </c>
      <c r="H118" s="33" t="n">
        <v>6.146182</v>
      </c>
      <c r="I118" s="33">
        <f>IF(OR(E119="",R119="",R119&lt;=0,E119&lt;0),"",E119/R119)</f>
        <v/>
      </c>
      <c r="J118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IFERROR(AVERAGE(T118,U118,V118,W118,X118)*20,"")</f>
        <v/>
      </c>
      <c r="Z118" s="33" t="n">
        <v>4</v>
      </c>
      <c r="AA118" s="33" t="n">
        <v>3</v>
      </c>
      <c r="AB118" s="33" t="n">
        <v>3</v>
      </c>
      <c r="AC118" s="71" t="n">
        <v>42.5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IFERROR(AVERAGE(AE118,AF118,AG118,AH118,AL118)*20,"")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2026-06-24</t>
        </is>
      </c>
      <c r="E119" s="33" t="n">
        <v>77.94012499999999</v>
      </c>
      <c r="F119" s="33" t="n">
        <v>79</v>
      </c>
      <c r="G119" s="33" t="n">
        <v>1.21</v>
      </c>
      <c r="H119" s="33" t="n">
        <v>21.583298</v>
      </c>
      <c r="I119" s="33">
        <f>IF(OR(E120="",R120="",R120&lt;=0,E120&lt;0),"",E120/R120)</f>
        <v/>
      </c>
      <c r="J119" s="33">
        <f>IFERROR(AVERAGE(IFERROR(IF(E119="","",IF(E119&lt;0,5,IF(E119&lt;=15,90,IF(E119&lt;=20,75,IF(E119&lt;=25,60,IF(E119&lt;=30,45,IF(E119&lt;=40,30,IF(E119&lt;=60,15,5)))))))),""),IFERROR(IF(F119="","",IF(F119&lt;0,5,IF(F119&lt;=20,100,IF(F119&lt;=30,90,IF(F119&lt;=40,75,IF(F119&lt;=55,60,IF(F119&lt;=75,45,IF(F119&lt;=100,30,15)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IFERROR(AVERAGE(T119,U119,V119,W119,X119)*20,"")</f>
        <v/>
      </c>
      <c r="Z119" s="33" t="n">
        <v>5</v>
      </c>
      <c r="AA119" s="33" t="n">
        <v>5</v>
      </c>
      <c r="AB119" s="33" t="n">
        <v>3</v>
      </c>
      <c r="AC119" s="71" t="n">
        <v>51.7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IFERROR(AVERAGE(AE119,AF119,AG119,AH119,AL119)*20,"")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2026-06-24</t>
        </is>
      </c>
      <c r="E120" s="33" t="n">
        <v>107.6758</v>
      </c>
      <c r="F120" s="33" t="n">
        <v>117.1</v>
      </c>
      <c r="G120" s="33" t="n">
        <v>0.84</v>
      </c>
      <c r="H120" s="33" t="n">
        <v>33.63182</v>
      </c>
      <c r="I120" s="33">
        <f>IF(OR(E121="",R121="",R121&lt;=0,E121&lt;0),"",E121/R121)</f>
        <v/>
      </c>
      <c r="J120" s="33">
        <f>IFERROR(AVERAGE(IFERROR(IF(E120="","",IF(E120&lt;0,5,IF(E120&lt;=15,90,IF(E120&lt;=20,75,IF(E120&lt;=25,60,IF(E120&lt;=30,45,IF(E120&lt;=40,30,IF(E120&lt;=60,15,5)))))))),""),IFERROR(IF(F120="","",IF(F120&lt;0,5,IF(F120&lt;=20,100,IF(F120&lt;=30,90,IF(F120&lt;=40,75,IF(F120&lt;=55,60,IF(F120&lt;=75,45,IF(F120&lt;=100,30,15)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IFERROR(AVERAGE(T120,U120,V120,W120,X120)*20,"")</f>
        <v/>
      </c>
      <c r="Z120" s="33" t="n">
        <v>4</v>
      </c>
      <c r="AA120" s="33" t="n">
        <v>5</v>
      </c>
      <c r="AB120" s="33" t="n">
        <v>3</v>
      </c>
      <c r="AC120" s="71" t="n">
        <v>49.2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IFERROR(AVERAGE(AE120,AF120,AG120,AH120,AL120)*20,"")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2026-06-24</t>
        </is>
      </c>
      <c r="E121" s="33" t="n">
        <v>41.21396</v>
      </c>
      <c r="F121" s="33" t="n">
        <v>37.1</v>
      </c>
      <c r="G121" s="33" t="n">
        <v>2.43</v>
      </c>
      <c r="H121" s="33" t="n">
        <v>9.347465</v>
      </c>
      <c r="I121" s="33">
        <f>IF(OR(E122="",R122="",R122&lt;=0,E122&lt;0),"",E122/R122)</f>
        <v/>
      </c>
      <c r="J121" s="33">
        <f>IFERROR(AVERAGE(IFERROR(IF(E121="","",IF(E121&lt;0,5,IF(E121&lt;=15,90,IF(E121&lt;=20,75,IF(E121&lt;=25,60,IF(E121&lt;=30,45,IF(E121&lt;=40,30,IF(E121&lt;=60,15,5)))))))),""),IFERROR(IF(F121="","",IF(F121&lt;0,5,IF(F121&lt;=20,100,IF(F121&lt;=30,90,IF(F121&lt;=40,75,IF(F121&lt;=55,60,IF(F121&lt;=75,45,IF(F121&lt;=100,30,15)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K121" s="33" t="n">
        <v>-5.7</v>
      </c>
      <c r="L121" s="33" t="n">
        <v>71.97</v>
      </c>
      <c r="M121" s="33" t="n">
        <v>22.72</v>
      </c>
      <c r="N121" s="33" t="n"/>
      <c r="O121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IFERROR(AVERAGE(T121,U121,V121,W121,X121)*20,"")</f>
        <v/>
      </c>
      <c r="Z121" s="33" t="n">
        <v>4</v>
      </c>
      <c r="AA121" s="33" t="n">
        <v>3</v>
      </c>
      <c r="AB121" s="33" t="n">
        <v>3</v>
      </c>
      <c r="AC121" s="71" t="n">
        <v>41.7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IFERROR(AVERAGE(AE121,AF121,AG121,AH121,AL121)*20,"")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2026-06-24</t>
        </is>
      </c>
      <c r="E122" s="33" t="n">
        <v>11.366895</v>
      </c>
      <c r="F122" s="33" t="n">
        <v>11.4</v>
      </c>
      <c r="G122" s="33" t="n">
        <v>6.78</v>
      </c>
      <c r="H122" s="33" t="n">
        <v>3.194238</v>
      </c>
      <c r="I122" s="33">
        <f>IF(OR(E123="",R123="",R123&lt;=0,E123&lt;0),"",E123/R123)</f>
        <v/>
      </c>
      <c r="J122" s="33">
        <f>IFERROR(AVERAGE(IFERROR(IF(E122="","",IF(E122&lt;0,5,IF(E122&lt;=15,90,IF(E122&lt;=20,75,IF(E122&lt;=25,60,IF(E122&lt;=30,45,IF(E122&lt;=40,30,IF(E122&lt;=60,15,5)))))))),""),IFERROR(IF(F122="","",IF(F122&lt;0,5,IF(F122&lt;=20,100,IF(F122&lt;=30,90,IF(F122&lt;=40,75,IF(F122&lt;=55,60,IF(F122&lt;=75,45,IF(F122&lt;=100,30,15)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IFERROR(AVERAGE(T122,U122,V122,W122,X122)*20,"")</f>
        <v/>
      </c>
      <c r="Z122" s="33" t="n">
        <v>3</v>
      </c>
      <c r="AA122" s="33" t="n">
        <v>1</v>
      </c>
      <c r="AB122" s="33" t="n">
        <v>3</v>
      </c>
      <c r="AC122" s="71" t="n">
        <v>19.2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IFERROR(AVERAGE(AE122,AF122,AG122,AH122,AL122)*20,"")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2026-06-24</t>
        </is>
      </c>
      <c r="E123" s="61" t="n">
        <v>54.903297</v>
      </c>
      <c r="F123" s="61" t="n">
        <v>-39.805</v>
      </c>
      <c r="G123" s="62" t="n">
        <v>0.66</v>
      </c>
      <c r="H123" s="61" t="n">
        <v>6.819708</v>
      </c>
      <c r="I123" s="33">
        <f>IF(OR(E124="",R124="",R124&lt;=0,E124&lt;0),"",E124/R124)</f>
        <v/>
      </c>
      <c r="J123" s="6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K123" s="62" t="n">
        <v>-19.8</v>
      </c>
      <c r="L123" s="62" t="n">
        <v>58.82</v>
      </c>
      <c r="M123" s="62" t="n">
        <v>4.49</v>
      </c>
      <c r="N123" s="61" t="n"/>
      <c r="O123" s="6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IFERROR(AVERAGE(T123,U123,V123,W123,X123)*20,"")</f>
        <v/>
      </c>
      <c r="Z123" s="60" t="n">
        <v>3</v>
      </c>
      <c r="AA123" s="60" t="n">
        <v>4</v>
      </c>
      <c r="AB123" s="60" t="n">
        <v>3</v>
      </c>
      <c r="AC123" s="70" t="n">
        <v>33.3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IFERROR(AVERAGE(AE123,AF123,AG123,AH123,AL123)*20,"")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2026-06-24</t>
        </is>
      </c>
      <c r="E124" s="61" t="n">
        <v>54.932793</v>
      </c>
      <c r="F124" s="61" t="n">
        <v>-135.835</v>
      </c>
      <c r="G124" s="62" t="n">
        <v>-0.46</v>
      </c>
      <c r="H124" s="61" t="n">
        <v>11.164621</v>
      </c>
      <c r="I124" s="33">
        <f>IF(OR(E125="",R125="",R125&lt;=0,E125&lt;0),"",E125/R125)</f>
        <v/>
      </c>
      <c r="J124" s="63">
        <f>IFERROR(AVERAGE(IFERROR(IF(E124="","",IF(E124&lt;0,5,IF(E124&lt;=15,90,IF(E124&lt;=20,75,IF(E124&lt;=25,60,IF(E124&lt;=30,45,IF(E124&lt;=40,30,IF(E124&lt;=60,15,5)))))))),""),IFERROR(IF(F124="","",IF(F124&lt;0,5,IF(F124&lt;=10,90,IF(F124&lt;=15,75,IF(F124&lt;=20,60,IF(F124&lt;=25,45,IF(F124&lt;=35,30,IF(F124&lt;=50,15,5)))))))),""),IFERROR(IF(G124="","",IF(G124&gt;=8,100,IF(G124&gt;=6,90,IF(G124&gt;=4,75,IF(G124&gt;=2,60,IF(G124&gt;=1,45,IF(G124&gt;=0,30,15))))))),""),IFERROR(IF(H124="","",IF(H124&lt;=2,90,IF(H124&lt;=4,75,IF(H124&lt;=7,60,IF(H124&lt;=10,45,IF(H124&lt;=15,30,IF(H124&lt;=25,15,5))))))),""),IFERROR(IF(I124="","",IF(I124&lt;=0.5,100,IF(I124&lt;=1,90,IF(I124&lt;=1.5,75,IF(I124&lt;=2,60,IF(I124&lt;=2.5,45,IF(I124&lt;=3,30,15))))))),"")),"")</f>
        <v/>
      </c>
      <c r="K124" s="62" t="n">
        <v>-3.4</v>
      </c>
      <c r="L124" s="62" t="n">
        <v>87.19</v>
      </c>
      <c r="M124" s="62" t="n">
        <v>-5.13</v>
      </c>
      <c r="N124" s="61" t="n"/>
      <c r="O124" s="63">
        <f>IFERROR(AVERAGE(IFERROR(IF(K124="","",IF(K124&gt;=25,100,IF(K124&gt;=20,90,IF(K124&gt;=15,75,IF(K124&gt;=10,60,IF(K124&gt;=5,45,IF(K124&gt;=0,30,15))))))),""),IFERROR(IF(L124="","",IF(L124&gt;=60,100,IF(L124&gt;=50,90,IF(L124&gt;=40,75,IF(L124&gt;=30,60,IF(L124&gt;=20,45,IF(L124&gt;=10,30,15))))))),""),IFERROR(IF(M124="","",IF(M124&gt;=25,100,IF(M124&gt;=20,90,IF(M124&gt;=15,75,IF(M124&gt;=10,60,IF(M124&gt;=5,45,IF(M124&gt;=0,30,15))))))),""),IFERROR(IF(N124="","",IF(N124&lt;=0,100,IF(N124&lt;=1,90,IF(N124&lt;=2,75,IF(N124&lt;=3,60,IF(N124&lt;=4,45,IF(N124&lt;=5,30,15))))))),"")),"")</f>
        <v/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IFERROR(AVERAGE(T124,U124,V124,W124,X124)*20,"")</f>
        <v/>
      </c>
      <c r="Z124" s="60" t="n">
        <v>2</v>
      </c>
      <c r="AA124" s="60" t="n">
        <v>3</v>
      </c>
      <c r="AB124" s="60" t="n">
        <v>5</v>
      </c>
      <c r="AC124" s="70" t="n">
        <v>60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IFERROR(AVERAGE(AE124,AF124,AG124,AH124,AL124)*20,"")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2026-06-24</t>
        </is>
      </c>
      <c r="E125" s="61" t="n">
        <v>256.4375</v>
      </c>
      <c r="F125" s="61" t="n">
        <v>-61.555</v>
      </c>
      <c r="G125" s="62" t="n">
        <v>-0.25</v>
      </c>
      <c r="H125" s="61" t="n">
        <v>24.608503</v>
      </c>
      <c r="I125" s="33">
        <f>IF(OR(E127="",R127="",R127&lt;=0,E127&lt;0),"",E127/R127)</f>
        <v/>
      </c>
      <c r="J125" s="63">
        <f>IFERROR(AVERAGE(IFERROR(IF(E125="","",IF(E125&lt;0,5,IF(E125&lt;=15,90,IF(E125&lt;=20,75,IF(E125&lt;=25,60,IF(E125&lt;=30,45,IF(E125&lt;=40,30,IF(E125&lt;=60,15,5)))))))),""),IFERROR(IF(F125="","",IF(F125&lt;0,5,IF(F125&lt;=10,90,IF(F125&lt;=15,75,IF(F125&lt;=20,60,IF(F125&lt;=25,45,IF(F125&lt;=35,30,IF(F125&lt;=50,15,5)))))))),""),IFERROR(IF(G125="","",IF(G125&gt;=8,100,IF(G125&gt;=6,90,IF(G125&gt;=4,75,IF(G125&gt;=2,60,IF(G125&gt;=1,45,IF(G125&gt;=0,30,15))))))),""),IFERROR(IF(H125="","",IF(H125&lt;=2,90,IF(H125&lt;=4,75,IF(H125&lt;=7,60,IF(H125&lt;=10,45,IF(H125&lt;=15,30,IF(H125&lt;=25,15,5))))))),""),IFERROR(IF(I125="","",IF(I125&lt;=0.5,100,IF(I125&lt;=1,90,IF(I125&lt;=1.5,75,IF(I125&lt;=2,60,IF(I125&lt;=2.5,45,IF(I125&lt;=3,30,15))))))),"")),"")</f>
        <v/>
      </c>
      <c r="K125" s="62" t="n">
        <v>-40</v>
      </c>
      <c r="L125" s="62" t="n">
        <v>88.8</v>
      </c>
      <c r="M125" s="62" t="n">
        <v>-6.09</v>
      </c>
      <c r="N125" s="61" t="n"/>
      <c r="O125" s="63">
        <f>IFERROR(AVERAGE(IFERROR(IF(K125="","",IF(K125&gt;=25,100,IF(K125&gt;=20,90,IF(K125&gt;=15,75,IF(K125&gt;=10,60,IF(K125&gt;=5,45,IF(K125&gt;=0,30,15))))))),""),IFERROR(IF(L125="","",IF(L125&gt;=60,100,IF(L125&gt;=50,90,IF(L125&gt;=40,75,IF(L125&gt;=30,60,IF(L125&gt;=20,45,IF(L125&gt;=10,30,15))))))),""),IFERROR(IF(M125="","",IF(M125&gt;=25,100,IF(M125&gt;=20,90,IF(M125&gt;=15,75,IF(M125&gt;=10,60,IF(M125&gt;=5,45,IF(M125&gt;=0,30,15))))))),""),IFERROR(IF(N125="","",IF(N125&lt;=0,100,IF(N125&lt;=1,90,IF(N125&lt;=2,75,IF(N125&lt;=3,60,IF(N125&lt;=4,45,IF(N125&lt;=5,30,15))))))),"")),"")</f>
        <v/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IFERROR(AVERAGE(T125,U125,V125,W125,X125)*20,"")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IFERROR(AVERAGE(AE125,AF125,AG125,AH125,AL125)*20,"")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2026-06-24</t>
        </is>
      </c>
      <c r="E126" s="61" t="n">
        <v>25.778492</v>
      </c>
      <c r="F126" s="61" t="n">
        <v>28.277</v>
      </c>
      <c r="G126" s="62" t="n">
        <v>2.13</v>
      </c>
      <c r="H126" s="61" t="n">
        <v>5.593976</v>
      </c>
      <c r="I126" s="33">
        <f>IF(OR(E128="",R128="",R128&lt;=0,E128&lt;0),"",E128/R128)</f>
        <v/>
      </c>
      <c r="J126" s="63">
        <f>IFERROR(AVERAGE(IFERROR(IF(E126="","",IF(E126&lt;0,5,IF(E126&lt;=15,90,IF(E126&lt;=20,75,IF(E126&lt;=25,60,IF(E126&lt;=30,45,IF(E126&lt;=40,30,IF(E126&lt;=60,15,5)))))))),""),IFERROR(IF(F126="","",IF(F126&lt;0,5,IF(F126&lt;=10,90,IF(F126&lt;=15,75,IF(F126&lt;=20,60,IF(F126&lt;=25,45,IF(F126&lt;=35,30,IF(F126&lt;=50,15,5)))))))),""),IFERROR(IF(G126="","",IF(G126&gt;=8,100,IF(G126&gt;=6,90,IF(G126&gt;=4,75,IF(G126&gt;=2,60,IF(G126&gt;=1,45,IF(G126&gt;=0,30,15))))))),""),IFERROR(IF(H126="","",IF(H126&lt;=2,90,IF(H126&lt;=4,75,IF(H126&lt;=7,60,IF(H126&lt;=10,45,IF(H126&lt;=15,30,IF(H126&lt;=25,15,5))))))),""),IFERROR(IF(I126="","",IF(I126&lt;=0.5,100,IF(I126&lt;=1,90,IF(I126&lt;=1.5,75,IF(I126&lt;=2,60,IF(I126&lt;=2.5,45,IF(I126&lt;=3,30,15))))))),"")),"")</f>
        <v/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>
        <f>IFERROR(AVERAGE(IFERROR(IF(K126="","",IF(K126&gt;=25,100,IF(K126&gt;=20,90,IF(K126&gt;=15,75,IF(K126&gt;=10,60,IF(K126&gt;=5,45,IF(K126&gt;=0,30,15))))))),""),IFERROR(IF(L126="","",IF(L126&gt;=60,100,IF(L126&gt;=50,90,IF(L126&gt;=40,75,IF(L126&gt;=30,60,IF(L126&gt;=20,45,IF(L126&gt;=10,30,15))))))),""),IFERROR(IF(M126="","",IF(M126&gt;=25,100,IF(M126&gt;=20,90,IF(M126&gt;=15,75,IF(M126&gt;=10,60,IF(M126&gt;=5,45,IF(M126&gt;=0,30,15))))))),""),IFERROR(IF(N126="","",IF(N126&lt;=0,100,IF(N126&lt;=1,90,IF(N126&lt;=2,75,IF(N126&lt;=3,60,IF(N126&lt;=4,45,IF(N126&lt;=5,30,15))))))),"")),"")</f>
        <v/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IFERROR(AVERAGE(T126,U126,V126,W126,X126)*20,"")</f>
        <v/>
      </c>
      <c r="Z126" s="60" t="n">
        <v>4</v>
      </c>
      <c r="AA126" s="60" t="n">
        <v>5</v>
      </c>
      <c r="AB126" s="60" t="n">
        <v>3</v>
      </c>
      <c r="AC126" s="70" t="n">
        <v>87.5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IFERROR(AVERAGE(AE126,AF126,AG126,AH126,AL126)*20,"")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2026-06-24</t>
        </is>
      </c>
      <c r="E127" s="33" t="n">
        <v>19.988247</v>
      </c>
      <c r="F127" s="33" t="n">
        <v>22.269</v>
      </c>
      <c r="G127" s="33" t="n">
        <v>2.89</v>
      </c>
      <c r="H127" s="33" t="n">
        <v>4.9882774</v>
      </c>
      <c r="I127" s="33">
        <f>IF(OR(E128="",R128="",R128&lt;=0,E128&lt;0),"",E128/R128)</f>
        <v/>
      </c>
      <c r="J127" s="33">
        <f>IFERROR(AVERAGE(IFERROR(IF(E127="","",IF(E127&lt;0,5,IF(E127&lt;=15,90,IF(E127&lt;=20,75,IF(E127&lt;=25,60,IF(E127&lt;=30,45,IF(E127&lt;=40,30,IF(E127&lt;=60,15,5)))))))),""),IFERROR(IF(F127="","",IF(F127&lt;0,5,IF(F127&lt;=10,90,IF(F127&lt;=15,75,IF(F127&lt;=20,60,IF(F127&lt;=25,45,IF(F127&lt;=35,30,IF(F127&lt;=50,15,5)))))))),""),IFERROR(IF(G127="","",IF(G127&gt;=8,100,IF(G127&gt;=6,90,IF(G127&gt;=4,75,IF(G127&gt;=2,60,IF(G127&gt;=1,45,IF(G127&gt;=0,30,15))))))),""),IFERROR(IF(H127="","",IF(H127&lt;=2,90,IF(H127&lt;=4,75,IF(H127&lt;=7,60,IF(H127&lt;=10,45,IF(H127&lt;=15,30,IF(H127&lt;=25,15,5))))))),""),IFERROR(IF(I127="","",IF(I127&lt;=0.5,100,IF(I127&lt;=1,90,IF(I127&lt;=1.5,75,IF(I127&lt;=2,60,IF(I127&lt;=2.5,45,IF(I127&lt;=3,30,15))))))),"")),"")</f>
        <v/>
      </c>
      <c r="L127" s="33" t="n">
        <v>21.92</v>
      </c>
      <c r="M127" s="33" t="n">
        <v>14.43</v>
      </c>
      <c r="N127" s="33" t="n">
        <v>-1.48</v>
      </c>
      <c r="O127" s="33">
        <f>IFERROR(AVERAGE(IFERROR(IF(K127="","",IF(K127&gt;=25,100,IF(K127&gt;=20,90,IF(K127&gt;=15,75,IF(K127&gt;=10,60,IF(K127&gt;=5,45,IF(K127&gt;=0,30,15))))))),""),IFERROR(IF(L127="","",IF(L127&gt;=60,100,IF(L127&gt;=50,90,IF(L127&gt;=40,75,IF(L127&gt;=30,60,IF(L127&gt;=20,45,IF(L127&gt;=10,30,15))))))),""),IFERROR(IF(M127="","",IF(M127&gt;=25,100,IF(M127&gt;=20,90,IF(M127&gt;=15,75,IF(M127&gt;=10,60,IF(M127&gt;=5,45,IF(M127&gt;=0,30,15))))))),""),IFERROR(IF(N127="","",IF(N127&lt;=0,100,IF(N127&lt;=1,90,IF(N127&lt;=2,75,IF(N127&lt;=3,60,IF(N127&lt;=4,45,IF(N127&lt;=5,30,15))))))),"")),"")</f>
        <v/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IFERROR(AVERAGE(T127,U127,V127,W127,X127)*20,"")</f>
        <v/>
      </c>
      <c r="Z127" s="33" t="n">
        <v>5</v>
      </c>
      <c r="AA127" s="33" t="n">
        <v>4</v>
      </c>
      <c r="AB127" s="33" t="n">
        <v>3</v>
      </c>
      <c r="AC127" s="71" t="n">
        <v>73.3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IFERROR(AVERAGE(AE127,AF127,AG127,AH127,AL127)*20,"")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2026-06-24</t>
        </is>
      </c>
      <c r="E128" s="33" t="n">
        <v>39.9757</v>
      </c>
      <c r="F128" s="33" t="n">
        <v>44.704</v>
      </c>
      <c r="G128" s="33" t="n">
        <v>-1.7</v>
      </c>
      <c r="H128" s="33" t="n">
        <v>6.666581</v>
      </c>
      <c r="I128" s="33">
        <f>IF(OR(E129="",R129="",R129&lt;=0,E129&lt;0),"",E129/R129)</f>
        <v/>
      </c>
      <c r="J128" s="3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L128" s="33" t="n">
        <v>26.24</v>
      </c>
      <c r="M128" s="33" t="n">
        <v>-11.35</v>
      </c>
      <c r="N128" s="33" t="n">
        <v>1.77</v>
      </c>
      <c r="O128" s="3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IFERROR(AVERAGE(T128,U128,V128,W128,X128)*20,"")</f>
        <v/>
      </c>
      <c r="Z128" s="33" t="n">
        <v>5</v>
      </c>
      <c r="AA128" s="33" t="n">
        <v>5</v>
      </c>
      <c r="AB128" s="33" t="n">
        <v>3</v>
      </c>
      <c r="AC128" s="71" t="n">
        <v>70.8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IFERROR(AVERAGE(AE128,AF128,AG128,AH128,AL128)*20,"")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2026-06-24</t>
        </is>
      </c>
      <c r="F129" s="33" t="n"/>
      <c r="G129" s="33" t="n"/>
      <c r="H129" s="33" t="n"/>
      <c r="I129" s="33">
        <f>IF(OR(E130="",R130="",R130&lt;=0,E130&lt;0),"",E130/R130)</f>
        <v/>
      </c>
      <c r="J129" s="33">
        <f>IFERROR(AVERAGE(IFERROR(IF(E129="","",IF(E129&lt;0,5,IF(E129&lt;=15,90,IF(E129&lt;=20,75,IF(E129&lt;=25,60,IF(E129&lt;=30,45,IF(E129&lt;=40,30,IF(E129&lt;=60,15,5)))))))),""),IFERROR(IF(F129="","",IF(F129&lt;0,5,IF(F129&lt;=10,90,IF(F129&lt;=15,75,IF(F129&lt;=20,60,IF(F129&lt;=25,45,IF(F129&lt;=35,30,IF(F129&lt;=50,15,5)))))))),""),IFERROR(IF(G129="","",IF(G129&gt;=8,100,IF(G129&gt;=6,90,IF(G129&gt;=4,75,IF(G129&gt;=2,60,IF(G129&gt;=1,45,IF(G129&gt;=0,30,15))))))),""),IFERROR(IF(H129="","",IF(H129&lt;=2,90,IF(H129&lt;=4,75,IF(H129&lt;=7,60,IF(H129&lt;=10,45,IF(H129&lt;=15,30,IF(H129&lt;=25,15,5))))))),""),IFERROR(IF(I129="","",IF(I129&lt;=0.5,100,IF(I129&lt;=1,90,IF(I129&lt;=1.5,75,IF(I129&lt;=2,60,IF(I129&lt;=2.5,45,IF(I129&lt;=3,30,15))))))),"")),"")</f>
        <v/>
      </c>
      <c r="L129" s="33" t="n">
        <v>63.27</v>
      </c>
      <c r="M129" s="33" t="n">
        <v>26.95</v>
      </c>
      <c r="N129" s="33" t="n">
        <v>-0.44</v>
      </c>
      <c r="O129" s="33">
        <f>IFERROR(AVERAGE(IFERROR(IF(K129="","",IF(K129&gt;=25,100,IF(K129&gt;=20,90,IF(K129&gt;=15,75,IF(K129&gt;=10,60,IF(K129&gt;=5,45,IF(K129&gt;=0,30,15))))))),""),IFERROR(IF(L129="","",IF(L129&gt;=60,100,IF(L129&gt;=50,90,IF(L129&gt;=40,75,IF(L129&gt;=30,60,IF(L129&gt;=20,45,IF(L129&gt;=10,30,15))))))),""),IFERROR(IF(M129="","",IF(M129&gt;=25,100,IF(M129&gt;=20,90,IF(M129&gt;=15,75,IF(M129&gt;=10,60,IF(M129&gt;=5,45,IF(M129&gt;=0,30,15))))))),""),IFERROR(IF(N129="","",IF(N129&lt;=0,100,IF(N129&lt;=1,90,IF(N129&lt;=2,75,IF(N129&lt;=3,60,IF(N129&lt;=4,45,IF(N129&lt;=5,30,15))))))),"")),"")</f>
        <v/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IFERROR(AVERAGE(T129,U129,V129,W129,X129)*20,"")</f>
        <v/>
      </c>
      <c r="Z129" s="33" t="n">
        <v>5</v>
      </c>
      <c r="AA129" s="33" t="n">
        <v>5</v>
      </c>
      <c r="AB129" s="33" t="n">
        <v>5</v>
      </c>
      <c r="AC129" s="71" t="n">
        <v>96.7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IFERROR(AVERAGE(AE129,AF129,AG129,AH129,AL129)*20,"")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2026-06-24</t>
        </is>
      </c>
      <c r="E130" s="33" t="n">
        <v>50.66547</v>
      </c>
      <c r="F130" s="33" t="n">
        <v>78.264</v>
      </c>
      <c r="G130" s="33" t="n">
        <v>0.33</v>
      </c>
      <c r="H130" s="33" t="n">
        <v>13.127665</v>
      </c>
      <c r="I130" s="33">
        <f>IF(OR(E131="",R131="",R131&lt;=0,E131&lt;0),"",E131/R131)</f>
        <v/>
      </c>
      <c r="J130" s="33">
        <f>IFERROR(AVERAGE(IFERROR(IF(E130="","",IF(E130&lt;0,5,IF(E130&lt;=15,90,IF(E130&lt;=20,75,IF(E130&lt;=25,60,IF(E130&lt;=30,45,IF(E130&lt;=40,30,IF(E130&lt;=60,15,5)))))))),""),IFERROR(IF(F130="","",IF(F130&lt;0,5,IF(F130&lt;=10,90,IF(F130&lt;=15,75,IF(F130&lt;=20,60,IF(F130&lt;=25,45,IF(F130&lt;=35,30,IF(F130&lt;=50,15,5)))))))),""),IFERROR(IF(G130="","",IF(G130&gt;=8,100,IF(G130&gt;=6,90,IF(G130&gt;=4,75,IF(G130&gt;=2,60,IF(G130&gt;=1,45,IF(G130&gt;=0,30,15))))))),""),IFERROR(IF(H130="","",IF(H130&lt;=2,90,IF(H130&lt;=4,75,IF(H130&lt;=7,60,IF(H130&lt;=10,45,IF(H130&lt;=15,30,IF(H130&lt;=25,15,5))))))),""),IFERROR(IF(I130="","",IF(I130&lt;=0.5,100,IF(I130&lt;=1,90,IF(I130&lt;=1.5,75,IF(I130&lt;=2,60,IF(I130&lt;=2.5,45,IF(I130&lt;=3,30,15))))))),"")),"")</f>
        <v/>
      </c>
      <c r="L130" s="33" t="n">
        <v>42.2</v>
      </c>
      <c r="M130" s="33" t="n">
        <v>4.35</v>
      </c>
      <c r="N130" s="33" t="n">
        <v>-1.98</v>
      </c>
      <c r="O130" s="33">
        <f>IFERROR(AVERAGE(IFERROR(IF(K130="","",IF(K130&gt;=25,100,IF(K130&gt;=20,90,IF(K130&gt;=15,75,IF(K130&gt;=10,60,IF(K130&gt;=5,45,IF(K130&gt;=0,30,15))))))),""),IFERROR(IF(L130="","",IF(L130&gt;=60,100,IF(L130&gt;=50,90,IF(L130&gt;=40,75,IF(L130&gt;=30,60,IF(L130&gt;=20,45,IF(L130&gt;=10,30,15))))))),""),IFERROR(IF(M130="","",IF(M130&gt;=25,100,IF(M130&gt;=20,90,IF(M130&gt;=15,75,IF(M130&gt;=10,60,IF(M130&gt;=5,45,IF(M130&gt;=0,30,15))))))),""),IFERROR(IF(N130="","",IF(N130&lt;=0,100,IF(N130&lt;=1,90,IF(N130&lt;=2,75,IF(N130&lt;=3,60,IF(N130&lt;=4,45,IF(N130&lt;=5,30,15))))))),"")),"")</f>
        <v/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IFERROR(AVERAGE(T130,U130,V130,W130,X130)*20,"")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IFERROR(AVERAGE(AE130,AF130,AG130,AH130,AL130)*20,"")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2026-06-24</t>
        </is>
      </c>
      <c r="E131" s="33" t="n">
        <v>30.528875</v>
      </c>
      <c r="F131" s="33" t="n">
        <v>46.304</v>
      </c>
      <c r="G131" s="33" t="n">
        <v>0.47</v>
      </c>
      <c r="H131" s="33" t="n">
        <v>7.5520844</v>
      </c>
      <c r="I131" s="33">
        <f>IF(OR(E132="",R132="",R132&lt;=0,E132&lt;0),"",E132/R132)</f>
        <v/>
      </c>
      <c r="J131" s="33">
        <f>IFERROR(AVERAGE(IFERROR(IF(E131="","",IF(E131&lt;0,5,IF(E131&lt;=15,90,IF(E131&lt;=20,75,IF(E131&lt;=25,60,IF(E131&lt;=30,45,IF(E131&lt;=40,30,IF(E131&lt;=60,15,5)))))))),""),IFERROR(IF(F131="","",IF(F131&lt;0,5,IF(F131&lt;=10,90,IF(F131&lt;=15,75,IF(F131&lt;=20,60,IF(F131&lt;=25,45,IF(F131&lt;=35,30,IF(F131&lt;=50,15,5)))))))),""),IFERROR(IF(G131="","",IF(G131&gt;=8,100,IF(G131&gt;=6,90,IF(G131&gt;=4,75,IF(G131&gt;=2,60,IF(G131&gt;=1,45,IF(G131&gt;=0,30,15))))))),""),IFERROR(IF(H131="","",IF(H131&lt;=2,90,IF(H131&lt;=4,75,IF(H131&lt;=7,60,IF(H131&lt;=10,45,IF(H131&lt;=15,30,IF(H131&lt;=25,15,5))))))),""),IFERROR(IF(I131="","",IF(I131&lt;=0.5,100,IF(I131&lt;=1,90,IF(I131&lt;=1.5,75,IF(I131&lt;=2,60,IF(I131&lt;=2.5,45,IF(I131&lt;=3,30,15))))))),"")),"")</f>
        <v/>
      </c>
      <c r="L131" s="33" t="n">
        <v>39</v>
      </c>
      <c r="M131" s="33" t="n">
        <v>3.58</v>
      </c>
      <c r="N131" s="33" t="n">
        <v>-0.06</v>
      </c>
      <c r="O131" s="33">
        <f>IFERROR(AVERAGE(IFERROR(IF(K131="","",IF(K131&gt;=25,100,IF(K131&gt;=20,90,IF(K131&gt;=15,75,IF(K131&gt;=10,60,IF(K131&gt;=5,45,IF(K131&gt;=0,30,15))))))),""),IFERROR(IF(L131="","",IF(L131&gt;=60,100,IF(L131&gt;=50,90,IF(L131&gt;=40,75,IF(L131&gt;=30,60,IF(L131&gt;=20,45,IF(L131&gt;=10,30,15))))))),""),IFERROR(IF(M131="","",IF(M131&gt;=25,100,IF(M131&gt;=20,90,IF(M131&gt;=15,75,IF(M131&gt;=10,60,IF(M131&gt;=5,45,IF(M131&gt;=0,30,15))))))),""),IFERROR(IF(N131="","",IF(N131&lt;=0,100,IF(N131&lt;=1,90,IF(N131&lt;=2,75,IF(N131&lt;=3,60,IF(N131&lt;=4,45,IF(N131&lt;=5,30,15))))))),"")),"")</f>
        <v/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IFERROR(AVERAGE(T131,U131,V131,W131,X131)*20,"")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IFERROR(AVERAGE(AE131,AF131,AG131,AH131,AL131)*20,"")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2026-06-24</t>
        </is>
      </c>
      <c r="E132" s="33" t="n">
        <v>-132.25526</v>
      </c>
      <c r="F132" s="33" t="n">
        <v>-63.116</v>
      </c>
      <c r="G132" s="33" t="n">
        <v>-1.07</v>
      </c>
      <c r="H132" s="33" t="n">
        <v>110.181984</v>
      </c>
      <c r="I132" s="33">
        <f>IF(OR(E133="",R133="",R133&lt;=0,E133&lt;0),"",E133/R133)</f>
        <v/>
      </c>
      <c r="J132" s="33">
        <f>IFERROR(AVERAGE(IFERROR(IF(E132="","",IF(E132&lt;0,5,IF(E132&lt;=15,90,IF(E132&lt;=20,75,IF(E132&lt;=25,60,IF(E132&lt;=30,45,IF(E132&lt;=40,30,IF(E132&lt;=60,15,5)))))))),""),IFERROR(IF(F132="","",IF(F132&lt;0,5,IF(F132&lt;=10,90,IF(F132&lt;=15,75,IF(F132&lt;=20,60,IF(F132&lt;=25,45,IF(F132&lt;=35,30,IF(F132&lt;=50,15,5)))))))),""),IFERROR(IF(G132="","",IF(G132&gt;=8,100,IF(G132&gt;=6,90,IF(G132&gt;=4,75,IF(G132&gt;=2,60,IF(G132&gt;=1,45,IF(G132&gt;=0,30,15))))))),""),IFERROR(IF(H132="","",IF(H132&lt;=2,90,IF(H132&lt;=4,75,IF(H132&lt;=7,60,IF(H132&lt;=10,45,IF(H132&lt;=15,30,IF(H132&lt;=25,15,5))))))),""),IFERROR(IF(I132="","",IF(I132&lt;=0.5,100,IF(I132&lt;=1,90,IF(I132&lt;=1.5,75,IF(I132&lt;=2,60,IF(I132&lt;=2.5,45,IF(I132&lt;=3,30,15))))))),"")),"")</f>
        <v/>
      </c>
      <c r="L132" s="33" t="n">
        <v>30.07</v>
      </c>
      <c r="M132" s="33" t="n">
        <v>-117.41</v>
      </c>
      <c r="O132" s="33">
        <f>IFERROR(AVERAGE(IFERROR(IF(K132="","",IF(K132&gt;=25,100,IF(K132&gt;=20,90,IF(K132&gt;=15,75,IF(K132&gt;=10,60,IF(K132&gt;=5,45,IF(K132&gt;=0,30,15))))))),""),IFERROR(IF(L132="","",IF(L132&gt;=60,100,IF(L132&gt;=50,90,IF(L132&gt;=40,75,IF(L132&gt;=30,60,IF(L132&gt;=20,45,IF(L132&gt;=10,30,15))))))),""),IFERROR(IF(M132="","",IF(M132&gt;=25,100,IF(M132&gt;=20,90,IF(M132&gt;=15,75,IF(M132&gt;=10,60,IF(M132&gt;=5,45,IF(M132&gt;=0,30,15))))))),""),IFERROR(IF(N132="","",IF(N132&lt;=0,100,IF(N132&lt;=1,90,IF(N132&lt;=2,75,IF(N132&lt;=3,60,IF(N132&lt;=4,45,IF(N132&lt;=5,30,15))))))),"")),"")</f>
        <v/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IFERROR(AVERAGE(T132,U132,V132,W132,X132)*20,"")</f>
        <v/>
      </c>
      <c r="Z132" s="33" t="n">
        <v>4</v>
      </c>
      <c r="AA132" s="33" t="n">
        <v>5</v>
      </c>
      <c r="AB132" s="33" t="n">
        <v>3</v>
      </c>
      <c r="AC132" s="71" t="n">
        <v>70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IFERROR(AVERAGE(AE132,AF132,AG132,AH132,AL132)*20,"")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2026-06-24</t>
        </is>
      </c>
      <c r="E133" s="33" t="n">
        <v>62.27501</v>
      </c>
      <c r="F133" s="33" t="n">
        <v>279.671</v>
      </c>
      <c r="G133" s="33" t="n">
        <v>0.65</v>
      </c>
      <c r="H133" s="33" t="n">
        <v>34.354057</v>
      </c>
      <c r="I133" s="33">
        <f>IF(OR(E134="",R134="",R134&lt;=0,E134&lt;0),"",E134/R134)</f>
        <v/>
      </c>
      <c r="J133" s="33">
        <f>IFERROR(AVERAGE(IFERROR(IF(E133="","",IF(E133&lt;0,5,IF(E133&lt;=15,90,IF(E133&lt;=20,75,IF(E133&lt;=25,60,IF(E133&lt;=30,45,IF(E133&lt;=40,30,IF(E133&lt;=60,15,5)))))))),""),IFERROR(IF(F133="","",IF(F133&lt;0,5,IF(F133&lt;=10,90,IF(F133&lt;=15,75,IF(F133&lt;=20,60,IF(F133&lt;=25,45,IF(F133&lt;=35,30,IF(F133&lt;=50,15,5)))))))),""),IFERROR(IF(G133="","",IF(G133&gt;=8,100,IF(G133&gt;=6,90,IF(G133&gt;=4,75,IF(G133&gt;=2,60,IF(G133&gt;=1,45,IF(G133&gt;=0,30,15))))))),""),IFERROR(IF(H133="","",IF(H133&lt;=2,90,IF(H133&lt;=4,75,IF(H133&lt;=7,60,IF(H133&lt;=10,45,IF(H133&lt;=15,30,IF(H133&lt;=25,15,5))))))),""),IFERROR(IF(I133="","",IF(I133&lt;=0.5,100,IF(I133&lt;=1,90,IF(I133&lt;=1.5,75,IF(I133&lt;=2,60,IF(I133&lt;=2.5,45,IF(I133&lt;=3,30,15))))))),"")),"")</f>
        <v/>
      </c>
      <c r="L133" s="33" t="n">
        <v>68.44</v>
      </c>
      <c r="M133" s="33" t="n">
        <v>22.27</v>
      </c>
      <c r="N133" s="33" t="n">
        <v>-1.43</v>
      </c>
      <c r="O133" s="33">
        <f>IFERROR(AVERAGE(IFERROR(IF(K133="","",IF(K133&gt;=25,100,IF(K133&gt;=20,90,IF(K133&gt;=15,75,IF(K133&gt;=10,60,IF(K133&gt;=5,45,IF(K133&gt;=0,30,15))))))),""),IFERROR(IF(L133="","",IF(L133&gt;=60,100,IF(L133&gt;=50,90,IF(L133&gt;=40,75,IF(L133&gt;=30,60,IF(L133&gt;=20,45,IF(L133&gt;=10,30,15))))))),""),IFERROR(IF(M133="","",IF(M133&gt;=25,100,IF(M133&gt;=20,90,IF(M133&gt;=15,75,IF(M133&gt;=10,60,IF(M133&gt;=5,45,IF(M133&gt;=0,30,15))))))),""),IFERROR(IF(N133="","",IF(N133&lt;=0,100,IF(N133&lt;=1,90,IF(N133&lt;=2,75,IF(N133&lt;=3,60,IF(N133&lt;=4,45,IF(N133&lt;=5,30,15))))))),"")),"")</f>
        <v/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IFERROR(AVERAGE(T133,U133,V133,W133,X133)*20,"")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IFERROR(AVERAGE(AE133,AF133,AG133,AH133,AL133)*20,"")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2026-06-24</t>
        </is>
      </c>
      <c r="E134" s="33" t="n">
        <v>33.940716</v>
      </c>
      <c r="F134" s="33" t="n">
        <v>42.025</v>
      </c>
      <c r="G134" s="33" t="n">
        <v>2.49</v>
      </c>
      <c r="H134" s="33" t="n">
        <v>18.671734</v>
      </c>
      <c r="I134" s="33">
        <f>IF(OR(E135="",R135="",R135&lt;=0,E135&lt;0),"",E135/R135)</f>
        <v/>
      </c>
      <c r="J134" s="33">
        <f>IFERROR(AVERAGE(IFERROR(IF(E134="","",IF(E134&lt;0,5,IF(E134&lt;=15,90,IF(E134&lt;=20,75,IF(E134&lt;=25,60,IF(E134&lt;=30,45,IF(E134&lt;=40,30,IF(E134&lt;=60,15,5)))))))),""),IFERROR(IF(F134="","",IF(F134&lt;0,5,IF(F134&lt;=10,90,IF(F134&lt;=15,75,IF(F134&lt;=20,60,IF(F134&lt;=25,45,IF(F134&lt;=35,30,IF(F134&lt;=50,15,5)))))))),""),IFERROR(IF(G134="","",IF(G134&gt;=8,100,IF(G134&gt;=6,90,IF(G134&gt;=4,75,IF(G134&gt;=2,60,IF(G134&gt;=1,45,IF(G134&gt;=0,30,15))))))),""),IFERROR(IF(H134="","",IF(H134&lt;=2,90,IF(H134&lt;=4,75,IF(H134&lt;=7,60,IF(H134&lt;=10,45,IF(H134&lt;=15,30,IF(H134&lt;=25,15,5))))))),""),IFERROR(IF(I134="","",IF(I134&lt;=0.5,100,IF(I134&lt;=1,90,IF(I134&lt;=1.5,75,IF(I134&lt;=2,60,IF(I134&lt;=2.5,45,IF(I134&lt;=3,30,15))))))),"")),"")</f>
        <v/>
      </c>
      <c r="L134" s="33" t="n">
        <v>80.41</v>
      </c>
      <c r="M134" s="33" t="n">
        <v>46.48</v>
      </c>
      <c r="N134" s="33" t="n">
        <v>-2.52</v>
      </c>
      <c r="O134" s="33">
        <f>IFERROR(AVERAGE(IFERROR(IF(K134="","",IF(K134&gt;=25,100,IF(K134&gt;=20,90,IF(K134&gt;=15,75,IF(K134&gt;=10,60,IF(K134&gt;=5,45,IF(K134&gt;=0,30,15))))))),""),IFERROR(IF(L134="","",IF(L134&gt;=60,100,IF(L134&gt;=50,90,IF(L134&gt;=40,75,IF(L134&gt;=30,60,IF(L134&gt;=20,45,IF(L134&gt;=10,30,15))))))),""),IFERROR(IF(M134="","",IF(M134&gt;=25,100,IF(M134&gt;=20,90,IF(M134&gt;=15,75,IF(M134&gt;=10,60,IF(M134&gt;=5,45,IF(M134&gt;=0,30,15))))))),""),IFERROR(IF(N134="","",IF(N134&lt;=0,100,IF(N134&lt;=1,90,IF(N134&lt;=2,75,IF(N134&lt;=3,60,IF(N134&lt;=4,45,IF(N134&lt;=5,30,15))))))),"")),"")</f>
        <v/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IFERROR(AVERAGE(T134,U134,V134,W134,X134)*20,"")</f>
        <v/>
      </c>
      <c r="Z134" s="33" t="n">
        <v>4</v>
      </c>
      <c r="AA134" s="33" t="n">
        <v>4</v>
      </c>
      <c r="AB134" s="33" t="n">
        <v>3</v>
      </c>
      <c r="AC134" s="71" t="n">
        <v>59.2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IFERROR(AVERAGE(AE134,AF134,AG134,AH134,AL134)*20,"")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2026-06-24</t>
        </is>
      </c>
      <c r="E135" s="33" t="n">
        <v>36.66582</v>
      </c>
      <c r="F135" s="33" t="n">
        <v>64.255</v>
      </c>
      <c r="G135" s="33" t="n">
        <v>1.08</v>
      </c>
      <c r="H135" s="33" t="n">
        <v>20.22847</v>
      </c>
      <c r="I135" s="33">
        <f>IF(OR(E136="",R136="",R136&lt;=0,E136&lt;0),"",E136/R136)</f>
        <v/>
      </c>
      <c r="J135" s="33">
        <f>IFERROR(AVERAGE(IFERROR(IF(E135="","",IF(E135&lt;0,5,IF(E135&lt;=15,90,IF(E135&lt;=20,75,IF(E135&lt;=25,60,IF(E135&lt;=30,45,IF(E135&lt;=40,30,IF(E135&lt;=60,15,5)))))))),""),IFERROR(IF(F135="","",IF(F135&lt;0,5,IF(F135&lt;=10,90,IF(F135&lt;=15,75,IF(F135&lt;=20,60,IF(F135&lt;=25,45,IF(F135&lt;=35,30,IF(F135&lt;=50,15,5)))))))),""),IFERROR(IF(G135="","",IF(G135&gt;=8,100,IF(G135&gt;=6,90,IF(G135&gt;=4,75,IF(G135&gt;=2,60,IF(G135&gt;=1,45,IF(G135&gt;=0,30,15))))))),""),IFERROR(IF(H135="","",IF(H135&lt;=2,90,IF(H135&lt;=4,75,IF(H135&lt;=7,60,IF(H135&lt;=10,45,IF(H135&lt;=15,30,IF(H135&lt;=25,15,5))))))),""),IFERROR(IF(I135="","",IF(I135&lt;=0.5,100,IF(I135&lt;=1,90,IF(I135&lt;=1.5,75,IF(I135&lt;=2,60,IF(I135&lt;=2.5,45,IF(I135&lt;=3,30,15))))))),"")),"")</f>
        <v/>
      </c>
      <c r="L135" s="33" t="n">
        <v>41.57</v>
      </c>
      <c r="M135" s="33" t="n">
        <v>21.91</v>
      </c>
      <c r="N135" s="33" t="n">
        <v>0.86</v>
      </c>
      <c r="O135" s="33">
        <f>IFERROR(AVERAGE(IFERROR(IF(K135="","",IF(K135&gt;=25,100,IF(K135&gt;=20,90,IF(K135&gt;=15,75,IF(K135&gt;=10,60,IF(K135&gt;=5,45,IF(K135&gt;=0,30,15))))))),""),IFERROR(IF(L135="","",IF(L135&gt;=60,100,IF(L135&gt;=50,90,IF(L135&gt;=40,75,IF(L135&gt;=30,60,IF(L135&gt;=20,45,IF(L135&gt;=10,30,15))))))),""),IFERROR(IF(M135="","",IF(M135&gt;=25,100,IF(M135&gt;=20,90,IF(M135&gt;=15,75,IF(M135&gt;=10,60,IF(M135&gt;=5,45,IF(M135&gt;=0,30,15))))))),""),IFERROR(IF(N135="","",IF(N135&lt;=0,100,IF(N135&lt;=1,90,IF(N135&lt;=2,75,IF(N135&lt;=3,60,IF(N135&lt;=4,45,IF(N135&lt;=5,30,15))))))),"")),"")</f>
        <v/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IFERROR(AVERAGE(T135,U135,V135,W135,X135)*20,"")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IFERROR(AVERAGE(AE135,AF135,AG135,AH135,AL135)*20,"")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2026-06-24</t>
        </is>
      </c>
      <c r="E136" s="33" t="n">
        <v>-486.92227</v>
      </c>
      <c r="F136" s="33" t="n">
        <v>-45.5</v>
      </c>
      <c r="G136" s="33" t="n">
        <v>-2.36</v>
      </c>
      <c r="H136" s="33" t="n">
        <v>6.8368373</v>
      </c>
      <c r="I136" s="33">
        <f>IF(OR(E137="",R137="",R137&lt;=0,E137&lt;0),"",E137/R137)</f>
        <v/>
      </c>
      <c r="J136" s="33">
        <f>IFERROR(AVERAGE(IFERROR(IF(E136="","",IF(E136&lt;0,5,IF(E136&lt;=15,90,IF(E136&lt;=20,75,IF(E136&lt;=25,60,IF(E136&lt;=30,45,IF(E136&lt;=40,30,IF(E136&lt;=60,15,5)))))))),""),IFERROR(IF(F136="","",IF(F136&lt;0,5,IF(F136&lt;=20,100,IF(F136&lt;=30,90,IF(F136&lt;=40,75,IF(F136&lt;=55,60,IF(F136&lt;=75,45,IF(F136&lt;=100,30,15)))))))),""),IFERROR(IF(G136="","",IF(G136&gt;=8,100,IF(G136&gt;=6,90,IF(G136&gt;=4,75,IF(G136&gt;=2,60,IF(G136&gt;=1,45,IF(G136&gt;=0,30,15))))))),""),IFERROR(IF(H136="","",IF(H136&lt;=2,90,IF(H136&lt;=4,75,IF(H136&lt;=7,60,IF(H136&lt;=10,45,IF(H136&lt;=15,30,IF(H136&lt;=25,15,5))))))),""),IFERROR(IF(I136="","",IF(I136&lt;=0.5,100,IF(I136&lt;=1,90,IF(I136&lt;=1.5,75,IF(I136&lt;=2,60,IF(I136&lt;=2.5,45,IF(I136&lt;=3,30,15))))))),"")),"")</f>
        <v/>
      </c>
      <c r="L136" s="33" t="n">
        <v>63.39</v>
      </c>
      <c r="M136" s="33" t="n">
        <v>-16.11</v>
      </c>
      <c r="O136" s="33">
        <f>IFERROR(AVERAGE(IFERROR(IF(K136="","",IF(K136&gt;=25,100,IF(K136&gt;=20,90,IF(K136&gt;=15,75,IF(K136&gt;=10,60,IF(K136&gt;=5,45,IF(K136&gt;=0,30,15))))))),""),IFERROR(IF(L136="","",IF(L136&gt;=60,100,IF(L136&gt;=50,90,IF(L136&gt;=40,75,IF(L136&gt;=30,60,IF(L136&gt;=20,45,IF(L136&gt;=10,30,15))))))),""),IFERROR(IF(M136="","",IF(M136&gt;=25,100,IF(M136&gt;=20,90,IF(M136&gt;=15,75,IF(M136&gt;=10,60,IF(M136&gt;=5,45,IF(M136&gt;=0,30,15))))))),""),IFERROR(IF(N136="","",IF(N136&lt;=0,100,IF(N136&lt;=1,90,IF(N136&lt;=2,75,IF(N136&lt;=3,60,IF(N136&lt;=4,45,IF(N136&lt;=5,30,15))))))),"")),"")</f>
        <v/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IFERROR(AVERAGE(T136,U136,V136,W136,X136)*20,"")</f>
        <v/>
      </c>
      <c r="Z136" s="33" t="n">
        <v>3</v>
      </c>
      <c r="AA136" s="33" t="n">
        <v>3</v>
      </c>
      <c r="AB136" s="33" t="n">
        <v>3</v>
      </c>
      <c r="AC136" s="71" t="n">
        <v>20.8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IFERROR(AVERAGE(AE136,AF136,AG136,AH136,AL136)*20,"")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2026-06-24</t>
        </is>
      </c>
      <c r="E137" s="33" t="n">
        <v>29.905735</v>
      </c>
      <c r="F137" s="33" t="n">
        <v>24.34</v>
      </c>
      <c r="G137" s="33" t="n">
        <v>-8.220000000000001</v>
      </c>
      <c r="H137" s="33" t="n">
        <v>10.2542305</v>
      </c>
      <c r="I137" s="33">
        <f>IF(OR(E137="",R137="",R137&lt;=0,E137&lt;0),"",E137/R137)</f>
        <v/>
      </c>
      <c r="J137" s="33">
        <f>IFERROR(AVERAGE(IFERROR(IF(E137="","",IF(E137&lt;0,5,IF(E137&lt;=15,90,IF(E137&lt;=20,75,IF(E137&lt;=25,60,IF(E137&lt;=30,45,IF(E137&lt;=40,30,IF(E137&lt;=60,15,5)))))))),""),IFERROR(IF(F137="","",IF(F137&lt;0,5,IF(F137&lt;=10,90,IF(F137&lt;=15,75,IF(F137&lt;=20,60,IF(F137&lt;=25,45,IF(F137&lt;=35,30,IF(F137&lt;=50,15,5)))))))),""),IFERROR(IF(G137="","",IF(G137&gt;=8,100,IF(G137&gt;=6,90,IF(G137&gt;=4,75,IF(G137&gt;=2,60,IF(G137&gt;=1,45,IF(G137&gt;=0,30,15))))))),""),IFERROR(IF(H137="","",IF(H137&lt;=2,90,IF(H137&lt;=4,75,IF(H137&lt;=7,60,IF(H137&lt;=10,45,IF(H137&lt;=15,30,IF(H137&lt;=25,15,5))))))),""),IFERROR(IF(I137="","",IF(I137&lt;=0.5,100,IF(I137&lt;=1,90,IF(I137&lt;=1.5,75,IF(I137&lt;=2,60,IF(I137&lt;=2.5,45,IF(I137&lt;=3,30,15))))))),"")),"")</f>
        <v/>
      </c>
      <c r="L137" s="33" t="n">
        <v>46.92</v>
      </c>
      <c r="M137" s="33" t="n">
        <v>-84.29000000000001</v>
      </c>
      <c r="N137" s="33" t="n">
        <v>5.14</v>
      </c>
      <c r="O137" s="33">
        <f>IFERROR(AVERAGE(IFERROR(IF(K137="","",IF(K137&gt;=25,100,IF(K137&gt;=20,90,IF(K137&gt;=15,75,IF(K137&gt;=10,60,IF(K137&gt;=5,45,IF(K137&gt;=0,30,15))))))),""),IFERROR(IF(L137="","",IF(L137&gt;=60,100,IF(L137&gt;=50,90,IF(L137&gt;=40,75,IF(L137&gt;=30,60,IF(L137&gt;=20,45,IF(L137&gt;=10,30,15))))))),""),IFERROR(IF(M137="","",IF(M137&gt;=25,100,IF(M137&gt;=20,90,IF(M137&gt;=15,75,IF(M137&gt;=10,60,IF(M137&gt;=5,45,IF(M137&gt;=0,30,15))))))),""),IFERROR(IF(N137="","",IF(N137&lt;=0,100,IF(N137&lt;=1,90,IF(N137&lt;=2,75,IF(N137&lt;=3,60,IF(N137&lt;=4,45,IF(N137&lt;=5,30,15))))))),"")),"")</f>
        <v/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IFERROR(AVERAGE(T137,U137,V137,W137,X137)*20,"")</f>
        <v/>
      </c>
      <c r="Z137" s="33" t="n">
        <v>5</v>
      </c>
      <c r="AA137" s="33" t="n">
        <v>4</v>
      </c>
      <c r="AB137" s="33" t="n">
        <v>4</v>
      </c>
      <c r="AC137" s="33" t="n">
        <v>85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IFERROR(AVERAGE(AE137,AF137,AG137,AH137,AL137)*20,"")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2026-06-24</t>
        </is>
      </c>
      <c r="E138" s="33" t="n">
        <v>44.894737</v>
      </c>
      <c r="F138" s="33" t="n">
        <v>-40.567</v>
      </c>
      <c r="G138" s="33" t="n">
        <v>-1.8</v>
      </c>
      <c r="H138" s="33" t="n">
        <v>2.7085981</v>
      </c>
      <c r="I138" s="33">
        <f>IF(OR(E138="",R138="",R138&lt;=0,E138&lt;0),"",E138/R138)</f>
        <v/>
      </c>
      <c r="J138" s="33">
        <f>IFERROR(AVERAGE(IFERROR(IF(E138="","",IF(E138&lt;0,5,IF(E138&lt;=15,90,IF(E138&lt;=20,75,IF(E138&lt;=25,60,IF(E138&lt;=30,45,IF(E138&lt;=40,30,IF(E138&lt;=60,15,5)))))))),""),IFERROR(IF(F138="","",IF(F138&lt;0,5,IF(F138&lt;=10,90,IF(F138&lt;=15,75,IF(F138&lt;=20,60,IF(F138&lt;=25,45,IF(F138&lt;=35,30,IF(F138&lt;=50,15,5)))))))),""),IFERROR(IF(G138="","",IF(G138&gt;=8,100,IF(G138&gt;=6,90,IF(G138&gt;=4,75,IF(G138&gt;=2,60,IF(G138&gt;=1,45,IF(G138&gt;=0,30,15))))))),""),IFERROR(IF(H138="","",IF(H138&lt;=2,90,IF(H138&lt;=4,75,IF(H138&lt;=7,60,IF(H138&lt;=10,45,IF(H138&lt;=15,30,IF(H138&lt;=25,15,5))))))),""),IFERROR(IF(I138="","",IF(I138&lt;=0.5,100,IF(I138&lt;=1,90,IF(I138&lt;=1.5,75,IF(I138&lt;=2,60,IF(I138&lt;=2.5,45,IF(I138&lt;=3,30,15))))))),"")),"")</f>
        <v/>
      </c>
      <c r="L138" s="33" t="n">
        <v>7.61</v>
      </c>
      <c r="M138" s="33" t="n">
        <v>-4.89</v>
      </c>
      <c r="O138" s="33">
        <f>IFERROR(AVERAGE(IFERROR(IF(K138="","",IF(K138&gt;=25,100,IF(K138&gt;=20,90,IF(K138&gt;=15,75,IF(K138&gt;=10,60,IF(K138&gt;=5,45,IF(K138&gt;=0,30,15))))))),""),IFERROR(IF(L138="","",IF(L138&gt;=60,100,IF(L138&gt;=50,90,IF(L138&gt;=40,75,IF(L138&gt;=30,60,IF(L138&gt;=20,45,IF(L138&gt;=10,30,15))))))),""),IFERROR(IF(M138="","",IF(M138&gt;=25,100,IF(M138&gt;=20,90,IF(M138&gt;=15,75,IF(M138&gt;=10,60,IF(M138&gt;=5,45,IF(M138&gt;=0,30,15))))))),""),IFERROR(IF(N138="","",IF(N138&lt;=0,100,IF(N138&lt;=1,90,IF(N138&lt;=2,75,IF(N138&lt;=3,60,IF(N138&lt;=4,45,IF(N138&lt;=5,30,15))))))),"")),"")</f>
        <v/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IFERROR(AVERAGE(T138,U138,V138,W138,X138)*20,"")</f>
        <v/>
      </c>
      <c r="Z138" s="33" t="n">
        <v>3</v>
      </c>
      <c r="AA138" s="33" t="n">
        <v>3</v>
      </c>
      <c r="AB138" s="33" t="n">
        <v>3</v>
      </c>
      <c r="AC138" s="33" t="n">
        <v>53.3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IFERROR(AVERAGE(AE138,AF138,AG138,AH138,AL138)*20,"")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2026-06-24</t>
        </is>
      </c>
      <c r="E139" s="33" t="n">
        <v>11.578313</v>
      </c>
      <c r="F139" s="33" t="n">
        <v>9.874000000000001</v>
      </c>
      <c r="G139" s="33" t="n">
        <v>2.93</v>
      </c>
      <c r="H139" s="33" t="n">
        <v>1.2382895</v>
      </c>
      <c r="I139" s="33">
        <f>IF(OR(E139="",R139="",R139&lt;=0,E139&lt;0),"",E139/R139)</f>
        <v/>
      </c>
      <c r="J139" s="33">
        <f>IFERROR(AVERAGE(IFERROR(IF(E139="","",IF(E139&lt;0,5,IF(E139&lt;=15,90,IF(E139&lt;=20,75,IF(E139&lt;=25,60,IF(E139&lt;=30,45,IF(E139&lt;=40,30,IF(E139&lt;=60,15,5)))))))),""),IFERROR(IF(F139="","",IF(F139&lt;0,5,IF(F139&lt;=10,90,IF(F139&lt;=15,75,IF(F139&lt;=20,60,IF(F139&lt;=25,45,IF(F139&lt;=35,30,IF(F139&lt;=50,15,5)))))))),""),IFERROR(IF(G139="","",IF(G139&gt;=8,100,IF(G139&gt;=6,90,IF(G139&gt;=4,75,IF(G139&gt;=2,60,IF(G139&gt;=1,45,IF(G139&gt;=0,30,15))))))),""),IFERROR(IF(H139="","",IF(H139&lt;=2,90,IF(H139&lt;=4,75,IF(H139&lt;=7,60,IF(H139&lt;=10,45,IF(H139&lt;=15,30,IF(H139&lt;=25,15,5))))))),""),IFERROR(IF(I139="","",IF(I139&lt;=0.5,100,IF(I139&lt;=1,90,IF(I139&lt;=1.5,75,IF(I139&lt;=2,60,IF(I139&lt;=2.5,45,IF(I139&lt;=3,30,15))))))),"")),"")</f>
        <v/>
      </c>
      <c r="L139" s="33" t="n">
        <v>24.32</v>
      </c>
      <c r="M139" s="33" t="n">
        <v>3.63</v>
      </c>
      <c r="N139" s="33" t="n">
        <v>1.21</v>
      </c>
      <c r="O139" s="33">
        <f>IFERROR(AVERAGE(IFERROR(IF(K139="","",IF(K139&gt;=25,100,IF(K139&gt;=20,90,IF(K139&gt;=15,75,IF(K139&gt;=10,60,IF(K139&gt;=5,45,IF(K139&gt;=0,30,15))))))),""),IFERROR(IF(L139="","",IF(L139&gt;=60,100,IF(L139&gt;=50,90,IF(L139&gt;=40,75,IF(L139&gt;=30,60,IF(L139&gt;=20,45,IF(L139&gt;=10,30,15))))))),""),IFERROR(IF(M139="","",IF(M139&gt;=25,100,IF(M139&gt;=20,90,IF(M139&gt;=15,75,IF(M139&gt;=10,60,IF(M139&gt;=5,45,IF(M139&gt;=0,30,15))))))),""),IFERROR(IF(N139="","",IF(N139&lt;=0,100,IF(N139&lt;=1,90,IF(N139&lt;=2,75,IF(N139&lt;=3,60,IF(N139&lt;=4,45,IF(N139&lt;=5,30,15))))))),"")),"")</f>
        <v/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IFERROR(AVERAGE(T139,U139,V139,W139,X139)*20,"")</f>
        <v/>
      </c>
      <c r="Z139" s="33" t="n">
        <v>2</v>
      </c>
      <c r="AA139" s="33" t="n">
        <v>1</v>
      </c>
      <c r="AB139" s="33" t="n">
        <v>3</v>
      </c>
      <c r="AC139" s="33" t="n">
        <v>46.7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IFERROR(AVERAGE(AE139,AF139,AG139,AH139,AL139)*20,"")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2026-06-24</t>
        </is>
      </c>
      <c r="E140" s="33" t="n">
        <v>33.107563</v>
      </c>
      <c r="F140" s="33" t="n">
        <v>11.009</v>
      </c>
      <c r="G140" s="33" t="n">
        <v>-0.53</v>
      </c>
      <c r="H140" s="33" t="n">
        <v>1.4521738</v>
      </c>
      <c r="I140" s="33">
        <f>IF(OR(E140="",R140="",R140&lt;=0,E140&lt;0),"",E140/R140)</f>
        <v/>
      </c>
      <c r="J140" s="33">
        <f>IFERROR(AVERAGE(IFERROR(IF(E140="","",IF(E140&lt;0,5,IF(E140&lt;=15,90,IF(E140&lt;=20,75,IF(E140&lt;=25,60,IF(E140&lt;=30,45,IF(E140&lt;=40,30,IF(E140&lt;=60,15,5)))))))),""),IFERROR(IF(F140="","",IF(F140&lt;0,5,IF(F140&lt;=10,90,IF(F140&lt;=15,75,IF(F140&lt;=20,60,IF(F140&lt;=25,45,IF(F140&lt;=35,30,IF(F140&lt;=50,15,5)))))))),""),IFERROR(IF(G140="","",IF(G140&gt;=8,100,IF(G140&gt;=6,90,IF(G140&gt;=4,75,IF(G140&gt;=2,60,IF(G140&gt;=1,45,IF(G140&gt;=0,30,15))))))),""),IFERROR(IF(H140="","",IF(H140&lt;=2,90,IF(H140&lt;=4,75,IF(H140&lt;=7,60,IF(H140&lt;=10,45,IF(H140&lt;=15,30,IF(H140&lt;=25,15,5))))))),""),IFERROR(IF(I140="","",IF(I140&lt;=0.5,100,IF(I140&lt;=1,90,IF(I140&lt;=1.5,75,IF(I140&lt;=2,60,IF(I140&lt;=2.5,45,IF(I140&lt;=3,30,15))))))),"")),"")</f>
        <v/>
      </c>
      <c r="L140" s="33" t="n">
        <v>22.4</v>
      </c>
      <c r="M140" s="33" t="n">
        <v>-0.77</v>
      </c>
      <c r="N140" s="33" t="n">
        <v>0.19</v>
      </c>
      <c r="O140" s="33">
        <f>IFERROR(AVERAGE(IFERROR(IF(K140="","",IF(K140&gt;=25,100,IF(K140&gt;=20,90,IF(K140&gt;=15,75,IF(K140&gt;=10,60,IF(K140&gt;=5,45,IF(K140&gt;=0,30,15))))))),""),IFERROR(IF(L140="","",IF(L140&gt;=60,100,IF(L140&gt;=50,90,IF(L140&gt;=40,75,IF(L140&gt;=30,60,IF(L140&gt;=20,45,IF(L140&gt;=10,30,15))))))),""),IFERROR(IF(M140="","",IF(M140&gt;=25,100,IF(M140&gt;=20,90,IF(M140&gt;=15,75,IF(M140&gt;=10,60,IF(M140&gt;=5,45,IF(M140&gt;=0,30,15))))))),""),IFERROR(IF(N140="","",IF(N140&lt;=0,100,IF(N140&lt;=1,90,IF(N140&lt;=2,75,IF(N140&lt;=3,60,IF(N140&lt;=4,45,IF(N140&lt;=5,30,15))))))),"")),"")</f>
        <v/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IFERROR(AVERAGE(T140,U140,V140,W140,X140)*20,"")</f>
        <v/>
      </c>
      <c r="Z140" s="33" t="n">
        <v>4</v>
      </c>
      <c r="AA140" s="33" t="n">
        <v>4</v>
      </c>
      <c r="AB140" s="33" t="n">
        <v>3</v>
      </c>
      <c r="AC140" s="33" t="n">
        <v>81.7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IFERROR(AVERAGE(AE140,AF140,AG140,AH140,AL140)*20,"")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2026-06-24</t>
        </is>
      </c>
      <c r="E141" s="33" t="n">
        <v>30.357895</v>
      </c>
      <c r="F141" s="33" t="n">
        <v>91.864</v>
      </c>
      <c r="G141" s="33" t="n">
        <v>-2.9</v>
      </c>
      <c r="H141" s="33" t="n">
        <v>3.2843037</v>
      </c>
      <c r="I141" s="33">
        <f>IF(OR(E141="",R141="",R141&lt;=0,E141&lt;0),"",E141/R141)</f>
        <v/>
      </c>
      <c r="J141" s="33">
        <f>IFERROR(AVERAGE(IFERROR(IF(E141="","",IF(E141&lt;0,5,IF(E141&lt;=15,90,IF(E141&lt;=20,75,IF(E141&lt;=25,60,IF(E141&lt;=30,45,IF(E141&lt;=40,30,IF(E141&lt;=60,15,5)))))))),""),IFERROR(IF(F141="","",IF(F141&lt;0,5,IF(F141&lt;=10,90,IF(F141&lt;=15,75,IF(F141&lt;=20,60,IF(F141&lt;=25,45,IF(F141&lt;=35,30,IF(F141&lt;=50,15,5)))))))),""),IFERROR(IF(G141="","",IF(G141&gt;=8,100,IF(G141&gt;=6,90,IF(G141&gt;=4,75,IF(G141&gt;=2,60,IF(G141&gt;=1,45,IF(G141&gt;=0,30,15))))))),""),IFERROR(IF(H141="","",IF(H141&lt;=2,90,IF(H141&lt;=4,75,IF(H141&lt;=7,60,IF(H141&lt;=10,45,IF(H141&lt;=15,30,IF(H141&lt;=25,15,5))))))),""),IFERROR(IF(I141="","",IF(I141&lt;=0.5,100,IF(I141&lt;=1,90,IF(I141&lt;=1.5,75,IF(I141&lt;=2,60,IF(I141&lt;=2.5,45,IF(I141&lt;=3,30,15))))))),"")),"")</f>
        <v/>
      </c>
      <c r="L141" s="33" t="n">
        <v>24.41</v>
      </c>
      <c r="M141" s="33" t="n">
        <v>-9.52</v>
      </c>
      <c r="N141" s="33" t="n">
        <v>8.85</v>
      </c>
      <c r="O141" s="33">
        <f>IFERROR(AVERAGE(IFERROR(IF(K141="","",IF(K141&gt;=25,100,IF(K141&gt;=20,90,IF(K141&gt;=15,75,IF(K141&gt;=10,60,IF(K141&gt;=5,45,IF(K141&gt;=0,30,15))))))),""),IFERROR(IF(L141="","",IF(L141&gt;=60,100,IF(L141&gt;=50,90,IF(L141&gt;=40,75,IF(L141&gt;=30,60,IF(L141&gt;=20,45,IF(L141&gt;=10,30,15))))))),""),IFERROR(IF(M141="","",IF(M141&gt;=25,100,IF(M141&gt;=20,90,IF(M141&gt;=15,75,IF(M141&gt;=10,60,IF(M141&gt;=5,45,IF(M141&gt;=0,30,15))))))),""),IFERROR(IF(N141="","",IF(N141&lt;=0,100,IF(N141&lt;=1,90,IF(N141&lt;=2,75,IF(N141&lt;=3,60,IF(N141&lt;=4,45,IF(N141&lt;=5,30,15))))))),"")),"")</f>
        <v/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IFERROR(AVERAGE(T141,U141,V141,W141,X141)*20,"")</f>
        <v/>
      </c>
      <c r="Z141" s="33" t="n">
        <v>3</v>
      </c>
      <c r="AA141" s="33" t="n">
        <v>5</v>
      </c>
      <c r="AB141" s="33" t="n">
        <v>3</v>
      </c>
      <c r="AC141" s="33" t="n">
        <v>88.3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IFERROR(AVERAGE(AE141,AF141,AG141,AH141,AL141)*20,"")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2026-06-24</t>
        </is>
      </c>
      <c r="E142" s="33" t="n">
        <v>72.35513</v>
      </c>
      <c r="F142" s="33" t="n">
        <v>23.9</v>
      </c>
      <c r="G142" s="33" t="n">
        <v>-22.45</v>
      </c>
      <c r="H142" s="33" t="n">
        <v>18.069946</v>
      </c>
      <c r="I142" s="33">
        <f>IF(OR(E142="",R142="",R142&lt;=0,E142&lt;0),"",E142/R142)</f>
        <v/>
      </c>
      <c r="J142" s="33">
        <f>IFERROR(AVERAGE(IFERROR(IF(E142="","",IF(E142&lt;0,5,IF(E142&lt;=15,90,IF(E142&lt;=20,75,IF(E142&lt;=25,60,IF(E142&lt;=30,45,IF(E142&lt;=40,30,IF(E142&lt;=60,15,5)))))))),""),IFERROR(IF(F142="","",IF(F142&lt;=2,100,IF(F142&lt;=4,90,IF(F142&lt;=6,75,IF(F142&lt;=9,60,IF(F142&lt;=12,45,IF(F142&lt;=18,30,15))))))),""),IFERROR(IF(G142="","",IF(G142&gt;=8,100,IF(G142&gt;=6,90,IF(G142&gt;=4,75,IF(G142&gt;=2,60,IF(G142&gt;=1,45,IF(G142&gt;=0,30,15))))))),""),IFERROR(IF(H142="","",IF(H142&lt;=2,90,IF(H142&lt;=4,75,IF(H142&lt;=7,60,IF(H142&lt;=10,45,IF(H142&lt;=15,30,IF(H142&lt;=25,15,5))))))),""),IFERROR(IF(I142="","",IF(I142&lt;=0.5,100,IF(I142&lt;=1,90,IF(I142&lt;=1.5,75,IF(I142&lt;=2,60,IF(I142&lt;=2.5,45,IF(I142&lt;=3,30,15))))))),"")),"")</f>
        <v/>
      </c>
      <c r="L142" s="33" t="n">
        <v>87.26000000000001</v>
      </c>
      <c r="M142" s="33" t="n">
        <v>-405.69</v>
      </c>
      <c r="O142" s="33">
        <f>IFERROR(AVERAGE(IFERROR(IF(K142="","",IF(K142&gt;=25,100,IF(K142&gt;=20,90,IF(K142&gt;=15,75,IF(K142&gt;=10,60,IF(K142&gt;=5,45,IF(K142&gt;=0,30,15))))))),""),IFERROR(IF(L142="","",IF(L142&gt;=60,100,IF(L142&gt;=50,90,IF(L142&gt;=40,75,IF(L142&gt;=30,60,IF(L142&gt;=20,45,IF(L142&gt;=10,30,15))))))),""),IFERROR(IF(M142="","",IF(M142&gt;=25,100,IF(M142&gt;=20,90,IF(M142&gt;=15,75,IF(M142&gt;=10,60,IF(M142&gt;=5,45,IF(M142&gt;=0,30,15))))))),""),IFERROR(IF(N142="","",IF(N142&lt;=0,100,IF(N142&lt;=1,90,IF(N142&lt;=2,75,IF(N142&lt;=3,60,IF(N142&lt;=4,45,IF(N142&lt;=5,30,15))))))),"")),"")</f>
        <v/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IFERROR(AVERAGE(T142,U142,V142,W142,X142)*20,"")</f>
        <v/>
      </c>
      <c r="Z142" s="33" t="n">
        <v>3</v>
      </c>
      <c r="AA142" s="33" t="n">
        <v>3</v>
      </c>
      <c r="AB142" s="33" t="n">
        <v>3</v>
      </c>
      <c r="AC142" s="33" t="n">
        <v>57.5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IFERROR(AVERAGE(AE142,AF142,AG142,AH142,AL142)*20,"")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2026-06-24</t>
        </is>
      </c>
      <c r="E143" s="33" t="n">
        <v>16738</v>
      </c>
      <c r="F143" s="33" t="n">
        <v>10.9</v>
      </c>
      <c r="G143" s="33" t="n">
        <v>-4.4</v>
      </c>
      <c r="H143" s="33" t="n">
        <v>920.01825</v>
      </c>
      <c r="I143" s="33">
        <f>IF(OR(E143="",R143="",R143&lt;=0,E143&lt;0),"",E143/R143)</f>
        <v/>
      </c>
      <c r="J143" s="33">
        <f>IFERROR(AVERAGE(IFERROR(IF(E143="","",IF(E143&lt;0,5,IF(E143&lt;=15,90,IF(E143&lt;=20,75,IF(E143&lt;=25,60,IF(E143&lt;=30,45,IF(E143&lt;=40,30,IF(E143&lt;=60,15,5)))))))),""),IFERROR(IF(F143="","",IF(F143&lt;=2,100,IF(F143&lt;=4,90,IF(F143&lt;=6,75,IF(F143&lt;=9,60,IF(F143&lt;=12,45,IF(F143&lt;=18,30,15))))))),""),IFERROR(IF(G143="","",IF(G143&gt;=8,100,IF(G143&gt;=6,90,IF(G143&gt;=4,75,IF(G143&gt;=2,60,IF(G143&gt;=1,45,IF(G143&gt;=0,30,15))))))),""),IFERROR(IF(H143="","",IF(H143&lt;=2,90,IF(H143&lt;=4,75,IF(H143&lt;=7,60,IF(H143&lt;=10,45,IF(H143&lt;=15,30,IF(H143&lt;=25,15,5))))))),""),IFERROR(IF(I143="","",IF(I143&lt;=0.5,100,IF(I143&lt;=1,90,IF(I143&lt;=1.5,75,IF(I143&lt;=2,60,IF(I143&lt;=2.5,45,IF(I143&lt;=3,30,15))))))),"")),"")</f>
        <v/>
      </c>
      <c r="L143" s="33" t="n">
        <v>-9.289999999999999</v>
      </c>
      <c r="M143" s="33" t="n">
        <v>-4052.68</v>
      </c>
      <c r="O143" s="33">
        <f>IFERROR(AVERAGE(IFERROR(IF(K143="","",IF(K143&gt;=25,100,IF(K143&gt;=20,90,IF(K143&gt;=15,75,IF(K143&gt;=10,60,IF(K143&gt;=5,45,IF(K143&gt;=0,30,15))))))),""),IFERROR(IF(L143="","",IF(L143&gt;=60,100,IF(L143&gt;=50,90,IF(L143&gt;=40,75,IF(L143&gt;=30,60,IF(L143&gt;=20,45,IF(L143&gt;=10,30,15))))))),""),IFERROR(IF(M143="","",IF(M143&gt;=25,100,IF(M143&gt;=20,90,IF(M143&gt;=15,75,IF(M143&gt;=10,60,IF(M143&gt;=5,45,IF(M143&gt;=0,30,15))))))),""),IFERROR(IF(N143="","",IF(N143&lt;=0,100,IF(N143&lt;=1,90,IF(N143&lt;=2,75,IF(N143&lt;=3,60,IF(N143&lt;=4,45,IF(N143&lt;=5,30,15))))))),"")),"")</f>
        <v/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IFERROR(AVERAGE(T143,U143,V143,W143,X143)*20,"")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IFERROR(AVERAGE(AE143,AF143,AG143,AH143,AL143)*20,"")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2026-06-24</t>
        </is>
      </c>
      <c r="E144" s="33" t="n">
        <v>17.25</v>
      </c>
      <c r="F144" s="33" t="n">
        <v>2.1</v>
      </c>
      <c r="G144" s="33" t="n">
        <v>-10.48</v>
      </c>
      <c r="H144" s="33" t="n">
        <v>3.7179213</v>
      </c>
      <c r="I144" s="33">
        <f>IF(OR(E144="",R144="",R144&lt;=0,E144&lt;0),"",E144/R144)</f>
        <v/>
      </c>
      <c r="J144" s="33">
        <f>IFERROR(AVERAGE(IFERROR(IF(E144="","",IF(E144&lt;0,5,IF(E144&lt;=15,90,IF(E144&lt;=20,75,IF(E144&lt;=25,60,IF(E144&lt;=30,45,IF(E144&lt;=40,30,IF(E144&lt;=60,15,5)))))))),""),IFERROR(IF(F144="","",IF(F144&lt;=2,100,IF(F144&lt;=4,90,IF(F144&lt;=6,75,IF(F144&lt;=9,60,IF(F144&lt;=12,45,IF(F144&lt;=18,30,15))))))),""),IFERROR(IF(G144="","",IF(G144&gt;=8,100,IF(G144&gt;=6,90,IF(G144&gt;=4,75,IF(G144&gt;=2,60,IF(G144&gt;=1,45,IF(G144&gt;=0,30,15))))))),""),IFERROR(IF(H144="","",IF(H144&lt;=2,90,IF(H144&lt;=4,75,IF(H144&lt;=7,60,IF(H144&lt;=10,45,IF(H144&lt;=15,30,IF(H144&lt;=25,15,5))))))),""),IFERROR(IF(I144="","",IF(I144&lt;=0.5,100,IF(I144&lt;=1,90,IF(I144&lt;=1.5,75,IF(I144&lt;=2,60,IF(I144&lt;=2.5,45,IF(I144&lt;=3,30,15))))))),"")),"")</f>
        <v/>
      </c>
      <c r="L144" s="33" t="n">
        <v>36.23</v>
      </c>
      <c r="M144" s="33" t="n">
        <v>-38.98</v>
      </c>
      <c r="N144" s="33" t="n">
        <v>0.65</v>
      </c>
      <c r="O144" s="33">
        <f>IFERROR(AVERAGE(IFERROR(IF(K144="","",IF(K144&gt;=25,100,IF(K144&gt;=20,90,IF(K144&gt;=15,75,IF(K144&gt;=10,60,IF(K144&gt;=5,45,IF(K144&gt;=0,30,15))))))),""),IFERROR(IF(L144="","",IF(L144&gt;=60,100,IF(L144&gt;=50,90,IF(L144&gt;=40,75,IF(L144&gt;=30,60,IF(L144&gt;=20,45,IF(L144&gt;=10,30,15))))))),""),IFERROR(IF(M144="","",IF(M144&gt;=25,100,IF(M144&gt;=20,90,IF(M144&gt;=15,75,IF(M144&gt;=10,60,IF(M144&gt;=5,45,IF(M144&gt;=0,30,15))))))),""),IFERROR(IF(N144="","",IF(N144&lt;=0,100,IF(N144&lt;=1,90,IF(N144&lt;=2,75,IF(N144&lt;=3,60,IF(N144&lt;=4,45,IF(N144&lt;=5,30,15))))))),"")),"")</f>
        <v/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IFERROR(AVERAGE(T144,U144,V144,W144,X144)*20,"")</f>
        <v/>
      </c>
      <c r="Z144" s="33" t="n">
        <v>3</v>
      </c>
      <c r="AA144" s="33" t="n">
        <v>3</v>
      </c>
      <c r="AB144" s="33" t="n">
        <v>2</v>
      </c>
      <c r="AC144" s="33" t="n">
        <v>47.5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IFERROR(AVERAGE(AE144,AF144,AG144,AH144,AL144)*20,"")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2026-06-24</t>
        </is>
      </c>
      <c r="E145" s="33" t="n">
        <v>31.661852</v>
      </c>
      <c r="F145" s="33" t="n">
        <v>32.868</v>
      </c>
      <c r="G145" s="33" t="n">
        <v>1.35</v>
      </c>
      <c r="H145" s="33" t="n">
        <v>14.961396</v>
      </c>
      <c r="I145" s="33">
        <f>IF(OR(E145="",R145="",R145&lt;=0,E145&lt;0),"",E145/R145)</f>
        <v/>
      </c>
      <c r="J145" s="33">
        <f>IFERROR(AVERAGE(IFERROR(IF(E145="","",IF(E145&lt;0,5,IF(E145&lt;=15,90,IF(E145&lt;=20,75,IF(E145&lt;=25,60,IF(E145&lt;=30,45,IF(E145&lt;=40,30,IF(E145&lt;=60,15,5)))))))),""),IFERROR(IF(F145="","",IF(F145&lt;0,5,IF(F145&lt;=10,90,IF(F145&lt;=15,75,IF(F145&lt;=20,60,IF(F145&lt;=25,45,IF(F145&lt;=35,30,IF(F145&lt;=50,15,5)))))))),""),IFERROR(IF(G145="","",IF(G145&gt;=8,100,IF(G145&gt;=6,90,IF(G145&gt;=4,75,IF(G145&gt;=2,60,IF(G145&gt;=1,45,IF(G145&gt;=0,30,15))))))),""),IFERROR(IF(H145="","",IF(H145&lt;=2,90,IF(H145&lt;=4,75,IF(H145&lt;=7,60,IF(H145&lt;=10,45,IF(H145&lt;=15,30,IF(H145&lt;=25,15,5))))))),""),IFERROR(IF(I145="","",IF(I145&lt;=0.5,100,IF(I145&lt;=1,90,IF(I145&lt;=1.5,75,IF(I145&lt;=2,60,IF(I145&lt;=2.5,45,IF(I145&lt;=3,30,15))))))),"")),"")</f>
        <v/>
      </c>
      <c r="K145" s="33" t="n">
        <v>19.2</v>
      </c>
      <c r="L145" s="33" t="n">
        <v>57.32</v>
      </c>
      <c r="M145" s="33" t="n">
        <v>20.18</v>
      </c>
      <c r="N145" s="33" t="n">
        <v>1.03</v>
      </c>
      <c r="O145" s="33">
        <f>IFERROR(AVERAGE(IFERROR(IF(K145="","",IF(K145&gt;=25,100,IF(K145&gt;=20,90,IF(K145&gt;=15,75,IF(K145&gt;=10,60,IF(K145&gt;=5,45,IF(K145&gt;=0,30,15))))))),""),IFERROR(IF(L145="","",IF(L145&gt;=60,100,IF(L145&gt;=50,90,IF(L145&gt;=40,75,IF(L145&gt;=30,60,IF(L145&gt;=20,45,IF(L145&gt;=10,30,15))))))),""),IFERROR(IF(M145="","",IF(M145&gt;=25,100,IF(M145&gt;=20,90,IF(M145&gt;=15,75,IF(M145&gt;=10,60,IF(M145&gt;=5,45,IF(M145&gt;=0,30,15))))))),""),IFERROR(IF(N145="","",IF(N145&lt;=0,100,IF(N145&lt;=1,90,IF(N145&lt;=2,75,IF(N145&lt;=3,60,IF(N145&lt;=4,45,IF(N145&lt;=5,30,15))))))),"")),"")</f>
        <v/>
      </c>
      <c r="P145" s="33" t="n">
        <v>-4.07</v>
      </c>
      <c r="Q145" s="33" t="n">
        <v>18.6</v>
      </c>
      <c r="R145" s="33" t="n">
        <v>31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IFERROR(AVERAGE(T145,U145,V145,W145,X145)*20,"")</f>
        <v/>
      </c>
      <c r="Z145" s="33" t="n">
        <v>5</v>
      </c>
      <c r="AA145" s="33" t="n">
        <v>3</v>
      </c>
      <c r="AB145" s="33" t="n">
        <v>3</v>
      </c>
      <c r="AC145" s="33" t="n">
        <v>80.8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IFERROR(AVERAGE(AE145,AF145,AG145,AH145,AL145)*20,"")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2026-06-24</t>
        </is>
      </c>
      <c r="E146" s="33" t="n">
        <v>18.495981</v>
      </c>
      <c r="F146" s="33" t="n">
        <v>16.428</v>
      </c>
      <c r="G146" s="33" t="n">
        <v>6.01</v>
      </c>
      <c r="H146" s="33" t="n">
        <v>4.677205</v>
      </c>
      <c r="I146" s="33">
        <f>IF(OR(E146="",R146="",R146&lt;=0,E146&lt;0),"",E146/R146)</f>
        <v/>
      </c>
      <c r="J146" s="33">
        <f>IFERROR(AVERAGE(IFERROR(IF(E146="","",IF(E146&lt;0,5,IF(E146&lt;=15,90,IF(E146&lt;=20,75,IF(E146&lt;=25,60,IF(E146&lt;=30,45,IF(E146&lt;=40,30,IF(E146&lt;=60,15,5)))))))),""),IFERROR(IF(F146="","",IF(F146&lt;0,5,IF(F146&lt;=10,90,IF(F146&lt;=15,75,IF(F146&lt;=20,60,IF(F146&lt;=25,45,IF(F146&lt;=35,30,IF(F146&lt;=50,15,5)))))))),""),IFERROR(IF(G146="","",IF(G146&gt;=8,100,IF(G146&gt;=6,90,IF(G146&gt;=4,75,IF(G146&gt;=2,60,IF(G146&gt;=1,45,IF(G146&gt;=0,30,15))))))),""),IFERROR(IF(H146="","",IF(H146&lt;=2,90,IF(H146&lt;=4,75,IF(H146&lt;=7,60,IF(H146&lt;=10,45,IF(H146&lt;=15,30,IF(H146&lt;=25,15,5))))))),""),IFERROR(IF(I146="","",IF(I146&lt;=0.5,100,IF(I146&lt;=1,90,IF(I146&lt;=1.5,75,IF(I146&lt;=2,60,IF(I146&lt;=2.5,45,IF(I146&lt;=3,30,15))))))),"")),"")</f>
        <v/>
      </c>
      <c r="K146" s="33" t="n">
        <v>26</v>
      </c>
      <c r="L146" s="33" t="n">
        <v>54.8</v>
      </c>
      <c r="M146" s="33" t="n">
        <v>28.1</v>
      </c>
      <c r="N146" s="33" t="n">
        <v>0.42</v>
      </c>
      <c r="O146" s="33">
        <f>IFERROR(AVERAGE(IFERROR(IF(K146="","",IF(K146&gt;=25,100,IF(K146&gt;=20,90,IF(K146&gt;=15,75,IF(K146&gt;=10,60,IF(K146&gt;=5,45,IF(K146&gt;=0,30,15))))))),""),IFERROR(IF(L146="","",IF(L146&gt;=60,100,IF(L146&gt;=50,90,IF(L146&gt;=40,75,IF(L146&gt;=30,60,IF(L146&gt;=20,45,IF(L146&gt;=10,30,15))))))),""),IFERROR(IF(M146="","",IF(M146&gt;=25,100,IF(M146&gt;=20,90,IF(M146&gt;=15,75,IF(M146&gt;=10,60,IF(M146&gt;=5,45,IF(M146&gt;=0,30,15))))))),""),IFERROR(IF(N146="","",IF(N146&lt;=0,100,IF(N146&lt;=1,90,IF(N146&lt;=2,75,IF(N146&lt;=3,60,IF(N146&lt;=4,45,IF(N146&lt;=5,30,15))))))),"")),"")</f>
        <v/>
      </c>
      <c r="P146" s="33" t="n">
        <v>0.06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IFERROR(AVERAGE(T146,U146,V146,W146,X146)*20,"")</f>
        <v/>
      </c>
      <c r="Z146" s="33" t="n">
        <v>2</v>
      </c>
      <c r="AA146" s="33" t="n">
        <v>1</v>
      </c>
      <c r="AB146" s="33" t="n">
        <v>3</v>
      </c>
      <c r="AC146" s="33" t="n">
        <v>43.3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IFERROR(AVERAGE(AE146,AF146,AG146,AH146,AL146)*20,"")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2026-06-24</t>
        </is>
      </c>
      <c r="E147" s="33" t="n">
        <v>27.951534</v>
      </c>
      <c r="F147" s="33" t="n">
        <v>33.583</v>
      </c>
      <c r="G147" s="33" t="n">
        <v>2.27</v>
      </c>
      <c r="H147" s="33" t="n">
        <v>15.796062</v>
      </c>
      <c r="I147" s="33">
        <f>IF(OR(E147="",R147="",R147&lt;=0,E147&lt;0),"",E147/R147)</f>
        <v/>
      </c>
      <c r="J147" s="33">
        <f>IFERROR(AVERAGE(IFERROR(IF(E147="","",IF(E147&lt;0,5,IF(E147&lt;=15,90,IF(E147&lt;=20,75,IF(E147&lt;=25,60,IF(E147&lt;=30,45,IF(E147&lt;=40,30,IF(E147&lt;=60,15,5)))))))),""),IFERROR(IF(F147="","",IF(F147&lt;0,5,IF(F147&lt;=10,90,IF(F147&lt;=15,75,IF(F147&lt;=20,60,IF(F147&lt;=25,45,IF(F147&lt;=35,30,IF(F147&lt;=50,15,5)))))))),""),IFERROR(IF(G147="","",IF(G147&gt;=8,100,IF(G147&gt;=6,90,IF(G147&gt;=4,75,IF(G147&gt;=2,60,IF(G147&gt;=1,45,IF(G147&gt;=0,30,15))))))),""),IFERROR(IF(H147="","",IF(H147&lt;=2,90,IF(H147&lt;=4,75,IF(H147&lt;=7,60,IF(H147&lt;=10,45,IF(H147&lt;=15,30,IF(H147&lt;=25,15,5))))))),""),IFERROR(IF(I147="","",IF(I147&lt;=0.5,100,IF(I147&lt;=1,90,IF(I147&lt;=1.5,75,IF(I147&lt;=2,60,IF(I147&lt;=2.5,45,IF(I147&lt;=3,30,15))))))),"")),"")</f>
        <v/>
      </c>
      <c r="K147" s="33" t="n">
        <v>9.1</v>
      </c>
      <c r="L147" s="33" t="n">
        <v>64.48999999999999</v>
      </c>
      <c r="M147" s="33" t="n">
        <v>35.83</v>
      </c>
      <c r="N147" s="33" t="n">
        <v>0.86</v>
      </c>
      <c r="O147" s="33">
        <f>IFERROR(AVERAGE(IFERROR(IF(K147="","",IF(K147&gt;=25,100,IF(K147&gt;=20,90,IF(K147&gt;=15,75,IF(K147&gt;=10,60,IF(K147&gt;=5,45,IF(K147&gt;=0,30,15))))))),""),IFERROR(IF(L147="","",IF(L147&gt;=60,100,IF(L147&gt;=50,90,IF(L147&gt;=40,75,IF(L147&gt;=30,60,IF(L147&gt;=20,45,IF(L147&gt;=10,30,15))))))),""),IFERROR(IF(M147="","",IF(M147&gt;=25,100,IF(M147&gt;=20,90,IF(M147&gt;=15,75,IF(M147&gt;=10,60,IF(M147&gt;=5,45,IF(M147&gt;=0,30,15))))))),""),IFERROR(IF(N147="","",IF(N147&lt;=0,100,IF(N147&lt;=1,90,IF(N147&lt;=2,75,IF(N147&lt;=3,60,IF(N147&lt;=4,45,IF(N147&lt;=5,30,15))))))),"")),"")</f>
        <v/>
      </c>
      <c r="P147" s="33" t="n">
        <v>-2.84</v>
      </c>
      <c r="Q147" s="33" t="n">
        <v>37.2</v>
      </c>
      <c r="R147" s="33" t="n">
        <v>106.5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IFERROR(AVERAGE(T147,U147,V147,W147,X147)*20,"")</f>
        <v/>
      </c>
      <c r="Z147" s="33" t="n">
        <v>5</v>
      </c>
      <c r="AA147" s="33" t="n">
        <v>1</v>
      </c>
      <c r="AB147" s="33" t="n">
        <v>3</v>
      </c>
      <c r="AC147" s="33" t="n">
        <v>87.5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IFERROR(AVERAGE(AE147,AF147,AG147,AH147,AL147)*20,"")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2026-06-24</t>
        </is>
      </c>
      <c r="E148" s="33" t="n">
        <v>29.227724</v>
      </c>
      <c r="F148" s="33" t="n">
        <v>25.087</v>
      </c>
      <c r="G148" s="33" t="n">
        <v>-0.09</v>
      </c>
      <c r="H148" s="33" t="n">
        <v>5.1584234</v>
      </c>
      <c r="I148" s="33">
        <f>IF(OR(E148="",R148="",R148&lt;=0,E148&lt;0),"",E148/R148)</f>
        <v/>
      </c>
      <c r="J148" s="33">
        <f>IFERROR(AVERAGE(IFERROR(IF(E148="","",IF(E148&lt;0,5,IF(E148&lt;=15,90,IF(E148&lt;=20,75,IF(E148&lt;=25,60,IF(E148&lt;=30,45,IF(E148&lt;=40,30,IF(E148&lt;=60,15,5)))))))),""),IFERROR(IF(F148="","",IF(F148&lt;0,5,IF(F148&lt;=10,90,IF(F148&lt;=15,75,IF(F148&lt;=20,60,IF(F148&lt;=25,45,IF(F148&lt;=35,30,IF(F148&lt;=50,15,5)))))))),""),IFERROR(IF(G148="","",IF(G148&gt;=8,100,IF(G148&gt;=6,90,IF(G148&gt;=4,75,IF(G148&gt;=2,60,IF(G148&gt;=1,45,IF(G148&gt;=0,30,15))))))),""),IFERROR(IF(H148="","",IF(H148&lt;=2,90,IF(H148&lt;=4,75,IF(H148&lt;=7,60,IF(H148&lt;=10,45,IF(H148&lt;=15,30,IF(H148&lt;=25,15,5))))))),""),IFERROR(IF(I148="","",IF(I148&lt;=0.5,100,IF(I148&lt;=1,90,IF(I148&lt;=1.5,75,IF(I148&lt;=2,60,IF(I148&lt;=2.5,45,IF(I148&lt;=3,30,15))))))),"")),"")</f>
        <v/>
      </c>
      <c r="K148" s="33" t="n">
        <v>2.7</v>
      </c>
      <c r="L148" s="33" t="n">
        <v>33.96</v>
      </c>
      <c r="M148" s="33" t="n">
        <v>-0.46</v>
      </c>
      <c r="N148" s="33" t="n">
        <v>-0.72</v>
      </c>
      <c r="O148" s="33">
        <f>IFERROR(AVERAGE(IFERROR(IF(K148="","",IF(K148&gt;=25,100,IF(K148&gt;=20,90,IF(K148&gt;=15,75,IF(K148&gt;=10,60,IF(K148&gt;=5,45,IF(K148&gt;=0,30,15))))))),""),IFERROR(IF(L148="","",IF(L148&gt;=60,100,IF(L148&gt;=50,90,IF(L148&gt;=40,75,IF(L148&gt;=30,60,IF(L148&gt;=20,45,IF(L148&gt;=10,30,15))))))),""),IFERROR(IF(M148="","",IF(M148&gt;=25,100,IF(M148&gt;=20,90,IF(M148&gt;=15,75,IF(M148&gt;=10,60,IF(M148&gt;=5,45,IF(M148&gt;=0,30,15))))))),""),IFERROR(IF(N148="","",IF(N148&lt;=0,100,IF(N148&lt;=1,90,IF(N148&lt;=2,75,IF(N148&lt;=3,60,IF(N148&lt;=4,45,IF(N148&lt;=5,30,15))))))),"")),"")</f>
        <v/>
      </c>
      <c r="P148" s="33" t="n">
        <v>-9.890000000000001</v>
      </c>
      <c r="Q148" s="33" t="n">
        <v>23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IFERROR(AVERAGE(T148,U148,V148,W148,X148)*20,"")</f>
        <v/>
      </c>
      <c r="Z148" s="33" t="n">
        <v>4</v>
      </c>
      <c r="AA148" s="33" t="n">
        <v>5</v>
      </c>
      <c r="AB148" s="33" t="n">
        <v>3</v>
      </c>
      <c r="AC148" s="33" t="n">
        <v>98.3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IFERROR(AVERAGE(AE148,AF148,AG148,AH148,AL148)*20,"")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2026-06-24</t>
        </is>
      </c>
      <c r="E149" s="33" t="n">
        <v>16.604347</v>
      </c>
      <c r="F149" s="33" t="n">
        <v>19.852</v>
      </c>
      <c r="G149" s="33" t="n">
        <v>3.44</v>
      </c>
      <c r="H149" s="33" t="n">
        <v>5.885188</v>
      </c>
      <c r="I149" s="33">
        <f>IF(OR(E149="",R149="",R149&lt;=0,E149&lt;0),"",E149/R149)</f>
        <v/>
      </c>
      <c r="J149" s="33">
        <f>IFERROR(AVERAGE(IFERROR(IF(E149="","",IF(E149&lt;0,5,IF(E149&lt;=15,90,IF(E149&lt;=20,75,IF(E149&lt;=25,60,IF(E149&lt;=30,45,IF(E149&lt;=40,30,IF(E149&lt;=60,15,5)))))))),""),IFERROR(IF(F149="","",IF(F149&lt;0,5,IF(F149&lt;=10,90,IF(F149&lt;=15,75,IF(F149&lt;=20,60,IF(F149&lt;=25,45,IF(F149&lt;=35,30,IF(F149&lt;=50,15,5)))))))),""),IFERROR(IF(G149="","",IF(G149&gt;=8,100,IF(G149&gt;=6,90,IF(G149&gt;=4,75,IF(G149&gt;=2,60,IF(G149&gt;=1,45,IF(G149&gt;=0,30,15))))))),""),IFERROR(IF(H149="","",IF(H149&lt;=2,90,IF(H149&lt;=4,75,IF(H149&lt;=7,60,IF(H149&lt;=10,45,IF(H149&lt;=15,30,IF(H149&lt;=25,15,5))))))),""),IFERROR(IF(I149="","",IF(I149&lt;=0.5,100,IF(I149&lt;=1,90,IF(I149&lt;=1.5,75,IF(I149&lt;=2,60,IF(I149&lt;=2.5,45,IF(I149&lt;=3,30,15))))))),"")),"")</f>
        <v/>
      </c>
      <c r="K149" s="33" t="n">
        <v>14.4</v>
      </c>
      <c r="L149" s="33" t="n">
        <v>55.63</v>
      </c>
      <c r="M149" s="33" t="n">
        <v>20.25</v>
      </c>
      <c r="N149" s="33" t="n">
        <v>1.93</v>
      </c>
      <c r="O149" s="33">
        <f>IFERROR(AVERAGE(IFERROR(IF(K149="","",IF(K149&gt;=25,100,IF(K149&gt;=20,90,IF(K149&gt;=15,75,IF(K149&gt;=10,60,IF(K149&gt;=5,45,IF(K149&gt;=0,30,15))))))),""),IFERROR(IF(L149="","",IF(L149&gt;=60,100,IF(L149&gt;=50,90,IF(L149&gt;=40,75,IF(L149&gt;=30,60,IF(L149&gt;=20,45,IF(L149&gt;=10,30,15))))))),""),IFERROR(IF(M149="","",IF(M149&gt;=25,100,IF(M149&gt;=20,90,IF(M149&gt;=15,75,IF(M149&gt;=10,60,IF(M149&gt;=5,45,IF(M149&gt;=0,30,15))))))),""),IFERROR(IF(N149="","",IF(N149&lt;=0,100,IF(N149&lt;=1,90,IF(N149&lt;=2,75,IF(N149&lt;=3,60,IF(N149&lt;=4,45,IF(N149&lt;=5,30,15))))))),"")),"")</f>
        <v/>
      </c>
      <c r="P149" s="33" t="n">
        <v>-2.42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IFERROR(AVERAGE(T149,U149,V149,W149,X149)*20,"")</f>
        <v/>
      </c>
      <c r="Z149" s="33" t="n">
        <v>5</v>
      </c>
      <c r="AA149" s="33" t="n">
        <v>1</v>
      </c>
      <c r="AB149" s="33" t="n">
        <v>2</v>
      </c>
      <c r="AC149" s="33" t="n">
        <v>69.2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IFERROR(AVERAGE(AE149,AF149,AG149,AH149,AL149)*20,"")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2026-06-24</t>
        </is>
      </c>
      <c r="E150" s="33" t="n">
        <v>22.486444</v>
      </c>
      <c r="F150" s="33" t="n">
        <v>45.579</v>
      </c>
      <c r="G150" s="33" t="n">
        <v>1.74</v>
      </c>
      <c r="H150" s="33" t="n">
        <v>10.63663</v>
      </c>
      <c r="I150" s="33">
        <f>IF(OR(E150="",R150="",R150&lt;=0,E150&lt;0),"",E150/R150)</f>
        <v/>
      </c>
      <c r="J150" s="33">
        <f>IFERROR(AVERAGE(IFERROR(IF(E150="","",IF(E150&lt;0,5,IF(E150&lt;=15,90,IF(E150&lt;=20,75,IF(E150&lt;=25,60,IF(E150&lt;=30,45,IF(E150&lt;=40,30,IF(E150&lt;=60,15,5)))))))),""),IFERROR(IF(F150="","",IF(F150&lt;0,5,IF(F150&lt;=10,90,IF(F150&lt;=15,75,IF(F150&lt;=20,60,IF(F150&lt;=25,45,IF(F150&lt;=35,30,IF(F150&lt;=50,15,5)))))))),""),IFERROR(IF(G150="","",IF(G150&gt;=8,100,IF(G150&gt;=6,90,IF(G150&gt;=4,75,IF(G150&gt;=2,60,IF(G150&gt;=1,45,IF(G150&gt;=0,30,15))))))),""),IFERROR(IF(H150="","",IF(H150&lt;=2,90,IF(H150&lt;=4,75,IF(H150&lt;=7,60,IF(H150&lt;=10,45,IF(H150&lt;=15,30,IF(H150&lt;=25,15,5))))))),""),IFERROR(IF(I150="","",IF(I150&lt;=0.5,100,IF(I150&lt;=1,90,IF(I150&lt;=1.5,75,IF(I150&lt;=2,60,IF(I150&lt;=2.5,45,IF(I150&lt;=3,30,15))))))),"")),"")</f>
        <v/>
      </c>
      <c r="K150" s="33" t="n">
        <v>3.7</v>
      </c>
      <c r="L150" s="33" t="n">
        <v>57.73</v>
      </c>
      <c r="M150" s="33" t="n">
        <v>18.48</v>
      </c>
      <c r="N150" s="33" t="n">
        <v>4.43</v>
      </c>
      <c r="O150" s="33">
        <f>IFERROR(AVERAGE(IFERROR(IF(K150="","",IF(K150&gt;=25,100,IF(K150&gt;=20,90,IF(K150&gt;=15,75,IF(K150&gt;=10,60,IF(K150&gt;=5,45,IF(K150&gt;=0,30,15))))))),""),IFERROR(IF(L150="","",IF(L150&gt;=60,100,IF(L150&gt;=50,90,IF(L150&gt;=40,75,IF(L150&gt;=30,60,IF(L150&gt;=20,45,IF(L150&gt;=10,30,15))))))),""),IFERROR(IF(M150="","",IF(M150&gt;=25,100,IF(M150&gt;=20,90,IF(M150&gt;=15,75,IF(M150&gt;=10,60,IF(M150&gt;=5,45,IF(M150&gt;=0,30,15))))))),""),IFERROR(IF(N150="","",IF(N150&lt;=0,100,IF(N150&lt;=1,90,IF(N150&lt;=2,75,IF(N150&lt;=3,60,IF(N150&lt;=4,45,IF(N150&lt;=5,30,15))))))),"")),"")</f>
        <v/>
      </c>
      <c r="P150" s="33" t="n">
        <v>-17.65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IFERROR(AVERAGE(T150,U150,V150,W150,X150)*20,"")</f>
        <v/>
      </c>
      <c r="Z150" s="33" t="n">
        <v>5</v>
      </c>
      <c r="AA150" s="33" t="n">
        <v>1</v>
      </c>
      <c r="AB150" s="33" t="n">
        <v>3</v>
      </c>
      <c r="AC150" s="33" t="n">
        <v>78.3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IFERROR(AVERAGE(AE150,AF150,AG150,AH150,AL150)*20,"")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2026-06-24</t>
        </is>
      </c>
      <c r="E151" s="33" t="n">
        <v>26.821718</v>
      </c>
      <c r="F151" s="33" t="n">
        <v>22.571</v>
      </c>
      <c r="G151" s="33" t="n">
        <v>2.62</v>
      </c>
      <c r="H151" s="33" t="n">
        <v>7.4220815</v>
      </c>
      <c r="I151" s="33">
        <f>IF(OR(E151="",R151="",R151&lt;=0,E151&lt;0),"",E151/R151)</f>
        <v/>
      </c>
      <c r="J151" s="33">
        <f>IFERROR(AVERAGE(IFERROR(IF(E151="","",IF(E151&lt;0,5,IF(E151&lt;=15,90,IF(E151&lt;=20,75,IF(E151&lt;=25,60,IF(E151&lt;=30,45,IF(E151&lt;=40,30,IF(E151&lt;=60,15,5)))))))),""),IFERROR(IF(F151="","",IF(F151&lt;0,5,IF(F151&lt;=10,90,IF(F151&lt;=15,75,IF(F151&lt;=20,60,IF(F151&lt;=25,45,IF(F151&lt;=35,30,IF(F151&lt;=50,15,5)))))))),""),IFERROR(IF(G151="","",IF(G151&gt;=8,100,IF(G151&gt;=6,90,IF(G151&gt;=4,75,IF(G151&gt;=2,60,IF(G151&gt;=1,45,IF(G151&gt;=0,30,15))))))),""),IFERROR(IF(H151="","",IF(H151&lt;=2,90,IF(H151&lt;=4,75,IF(H151&lt;=7,60,IF(H151&lt;=10,45,IF(H151&lt;=15,30,IF(H151&lt;=25,15,5))))))),""),IFERROR(IF(I151="","",IF(I151&lt;=0.5,100,IF(I151&lt;=1,90,IF(I151&lt;=1.5,75,IF(I151&lt;=2,60,IF(I151&lt;=2.5,45,IF(I151&lt;=3,30,15))))))),"")),"")</f>
        <v/>
      </c>
      <c r="K151" s="33" t="n">
        <v>5.6</v>
      </c>
      <c r="L151" s="33" t="n">
        <v>42.67</v>
      </c>
      <c r="M151" s="33" t="n">
        <v>19.48</v>
      </c>
      <c r="N151" s="33" t="n">
        <v>0.41</v>
      </c>
      <c r="O151" s="33">
        <f>IFERROR(AVERAGE(IFERROR(IF(K151="","",IF(K151&gt;=25,100,IF(K151&gt;=20,90,IF(K151&gt;=15,75,IF(K151&gt;=10,60,IF(K151&gt;=5,45,IF(K151&gt;=0,30,15))))))),""),IFERROR(IF(L151="","",IF(L151&gt;=60,100,IF(L151&gt;=50,90,IF(L151&gt;=40,75,IF(L151&gt;=30,60,IF(L151&gt;=20,45,IF(L151&gt;=10,30,15))))))),""),IFERROR(IF(M151="","",IF(M151&gt;=25,100,IF(M151&gt;=20,90,IF(M151&gt;=15,75,IF(M151&gt;=10,60,IF(M151&gt;=5,45,IF(M151&gt;=0,30,15))))))),""),IFERROR(IF(N151="","",IF(N151&lt;=0,100,IF(N151&lt;=1,90,IF(N151&lt;=2,75,IF(N151&lt;=3,60,IF(N151&lt;=4,45,IF(N151&lt;=5,30,15))))))),"")),"")</f>
        <v/>
      </c>
      <c r="P151" s="33" t="n">
        <v>-10.37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IFERROR(AVERAGE(T151,U151,V151,W151,X151)*20,"")</f>
        <v/>
      </c>
      <c r="Z151" s="33" t="n">
        <v>5</v>
      </c>
      <c r="AA151" s="33" t="n">
        <v>5</v>
      </c>
      <c r="AB151" s="33" t="n">
        <v>3</v>
      </c>
      <c r="AC151" s="33" t="n">
        <v>81.7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IFERROR(AVERAGE(AE151,AF151,AG151,AH151,AL151)*20,"")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2026-06-24</t>
        </is>
      </c>
      <c r="E152" s="33" t="n">
        <v>13.897243</v>
      </c>
      <c r="F152" s="33" t="n">
        <v>11.561</v>
      </c>
      <c r="G152" s="33" t="n">
        <v>6.25</v>
      </c>
      <c r="H152" s="33" t="n">
        <v>2.6553385</v>
      </c>
      <c r="I152" s="33">
        <f>IF(OR(E152="",R152="",R152&lt;=0,E152&lt;0),"",E152/R152)</f>
        <v/>
      </c>
      <c r="J152" s="33">
        <f>IFERROR(AVERAGE(IFERROR(IF(E152="","",IF(E152&lt;0,5,IF(E152&lt;=15,90,IF(E152&lt;=20,75,IF(E152&lt;=25,60,IF(E152&lt;=30,45,IF(E152&lt;=40,30,IF(E152&lt;=60,15,5)))))))),""),IFERROR(IF(F152="","",IF(F152&lt;0,5,IF(F152&lt;=10,90,IF(F152&lt;=15,75,IF(F152&lt;=20,60,IF(F152&lt;=25,45,IF(F152&lt;=35,30,IF(F152&lt;=50,15,5)))))))),""),IFERROR(IF(G152="","",IF(G152&gt;=8,100,IF(G152&gt;=6,90,IF(G152&gt;=4,75,IF(G152&gt;=2,60,IF(G152&gt;=1,45,IF(G152&gt;=0,30,15))))))),""),IFERROR(IF(H152="","",IF(H152&lt;=2,90,IF(H152&lt;=4,75,IF(H152&lt;=7,60,IF(H152&lt;=10,45,IF(H152&lt;=15,30,IF(H152&lt;=25,15,5))))))),""),IFERROR(IF(I152="","",IF(I152&lt;=0.5,100,IF(I152&lt;=1,90,IF(I152&lt;=1.5,75,IF(I152&lt;=2,60,IF(I152&lt;=2.5,45,IF(I152&lt;=3,30,15))))))),"")),"")</f>
        <v/>
      </c>
      <c r="K152" s="33" t="n">
        <v>4.9</v>
      </c>
      <c r="L152" s="33" t="n">
        <v>41.08</v>
      </c>
      <c r="M152" s="33" t="n">
        <v>16.6</v>
      </c>
      <c r="N152" s="33" t="n">
        <v>-0.26</v>
      </c>
      <c r="O152" s="33">
        <f>IFERROR(AVERAGE(IFERROR(IF(K152="","",IF(K152&gt;=25,100,IF(K152&gt;=20,90,IF(K152&gt;=15,75,IF(K152&gt;=10,60,IF(K152&gt;=5,45,IF(K152&gt;=0,30,15))))))),""),IFERROR(IF(L152="","",IF(L152&gt;=60,100,IF(L152&gt;=50,90,IF(L152&gt;=40,75,IF(L152&gt;=30,60,IF(L152&gt;=20,45,IF(L152&gt;=10,30,15))))))),""),IFERROR(IF(M152="","",IF(M152&gt;=25,100,IF(M152&gt;=20,90,IF(M152&gt;=15,75,IF(M152&gt;=10,60,IF(M152&gt;=5,45,IF(M152&gt;=0,30,15))))))),""),IFERROR(IF(N152="","",IF(N152&lt;=0,100,IF(N152&lt;=1,90,IF(N152&lt;=2,75,IF(N152&lt;=3,60,IF(N152&lt;=4,45,IF(N152&lt;=5,30,15))))))),"")),"")</f>
        <v/>
      </c>
      <c r="P152" s="33" t="n">
        <v>-9.34</v>
      </c>
      <c r="Q152" s="33" t="n">
        <v>-1</v>
      </c>
      <c r="R152" s="33" t="n">
        <v>-48.2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IFERROR(AVERAGE(T152,U152,V152,W152,X152)*20,"")</f>
        <v/>
      </c>
      <c r="Z152" s="33" t="n">
        <v>4</v>
      </c>
      <c r="AA152" s="33" t="n">
        <v>1</v>
      </c>
      <c r="AB152" s="33" t="n">
        <v>3</v>
      </c>
      <c r="AC152" s="33" t="n">
        <v>42.5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IFERROR(AVERAGE(AE152,AF152,AG152,AH152,AL152)*20,"")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2026-06-24</t>
        </is>
      </c>
      <c r="E153" s="33" t="n">
        <v>35.661507</v>
      </c>
      <c r="F153" s="33" t="n">
        <v>56.111</v>
      </c>
      <c r="G153" s="33" t="n">
        <v>1.31</v>
      </c>
      <c r="H153" s="33" t="n">
        <v>18.84323</v>
      </c>
      <c r="I153" s="33">
        <f>IF(OR(E153="",R153="",R153&lt;=0,E153&lt;0),"",E153/R153)</f>
        <v/>
      </c>
      <c r="J153" s="33">
        <f>IFERROR(AVERAGE(IFERROR(IF(E153="","",IF(E153&lt;0,5,IF(E153&lt;=15,90,IF(E153&lt;=20,75,IF(E153&lt;=25,60,IF(E153&lt;=30,45,IF(E153&lt;=40,30,IF(E153&lt;=60,15,5)))))))),""),IFERROR(IF(F153="","",IF(F153&lt;0,5,IF(F153&lt;=10,90,IF(F153&lt;=15,75,IF(F153&lt;=20,60,IF(F153&lt;=25,45,IF(F153&lt;=35,30,IF(F153&lt;=50,15,5)))))))),""),IFERROR(IF(G153="","",IF(G153&gt;=8,100,IF(G153&gt;=6,90,IF(G153&gt;=4,75,IF(G153&gt;=2,60,IF(G153&gt;=1,45,IF(G153&gt;=0,30,15))))))),""),IFERROR(IF(H153="","",IF(H153&lt;=2,90,IF(H153&lt;=4,75,IF(H153&lt;=7,60,IF(H153&lt;=10,45,IF(H153&lt;=15,30,IF(H153&lt;=25,15,5))))))),""),IFERROR(IF(I153="","",IF(I153&lt;=0.5,100,IF(I153&lt;=1,90,IF(I153&lt;=1.5,75,IF(I153&lt;=2,60,IF(I153&lt;=2.5,45,IF(I153&lt;=3,30,15))))))),"")),"")</f>
        <v/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>
        <f>IFERROR(AVERAGE(IFERROR(IF(K153="","",IF(K153&gt;=25,100,IF(K153&gt;=20,90,IF(K153&gt;=15,75,IF(K153&gt;=10,60,IF(K153&gt;=5,45,IF(K153&gt;=0,30,15))))))),""),IFERROR(IF(L153="","",IF(L153&gt;=60,100,IF(L153&gt;=50,90,IF(L153&gt;=40,75,IF(L153&gt;=30,60,IF(L153&gt;=20,45,IF(L153&gt;=10,30,15))))))),""),IFERROR(IF(M153="","",IF(M153&gt;=25,100,IF(M153&gt;=20,90,IF(M153&gt;=15,75,IF(M153&gt;=10,60,IF(M153&gt;=5,45,IF(M153&gt;=0,30,15))))))),""),IFERROR(IF(N153="","",IF(N153&lt;=0,100,IF(N153&lt;=1,90,IF(N153&lt;=2,75,IF(N153&lt;=3,60,IF(N153&lt;=4,45,IF(N153&lt;=5,30,15))))))),"")),"")</f>
        <v/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IFERROR(AVERAGE(T153,U153,V153,W153,X153)*20,"")</f>
        <v/>
      </c>
      <c r="Z153" s="33" t="n">
        <v>5</v>
      </c>
      <c r="AA153" s="33" t="n">
        <v>5</v>
      </c>
      <c r="AB153" s="33" t="n">
        <v>3</v>
      </c>
      <c r="AC153" s="33" t="n">
        <v>98.3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IFERROR(AVERAGE(AE153,AF153,AG153,AH153,AL153)*20,"")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2026-06-24</t>
        </is>
      </c>
      <c r="E154" s="33" t="n">
        <v>69.29674</v>
      </c>
      <c r="F154" s="33" t="n">
        <v>61</v>
      </c>
      <c r="G154" s="33" t="n">
        <v>1.63</v>
      </c>
      <c r="H154" s="33" t="n">
        <v>21.919287</v>
      </c>
      <c r="I154" s="33">
        <f>IF(OR(E154="",R154="",R154&lt;=0,E154&lt;0),"",E154/R154)</f>
        <v/>
      </c>
      <c r="J154" s="33">
        <f>IFERROR(AVERAGE(IFERROR(IF(E154="","",IF(E154&lt;0,5,IF(E154&lt;=15,90,IF(E154&lt;=20,75,IF(E154&lt;=25,60,IF(E154&lt;=30,45,IF(E154&lt;=40,30,IF(E154&lt;=60,15,5)))))))),""),IFERROR(IF(F154="","",IF(F154&lt;0,5,IF(F154&lt;=20,100,IF(F154&lt;=30,90,IF(F154&lt;=40,75,IF(F154&lt;=55,60,IF(F154&lt;=75,45,IF(F154&lt;=100,30,15)))))))),""),IFERROR(IF(G154="","",IF(G154&gt;=8,100,IF(G154&gt;=6,90,IF(G154&gt;=4,75,IF(G154&gt;=2,60,IF(G154&gt;=1,45,IF(G154&gt;=0,30,15))))))),""),IFERROR(IF(H154="","",IF(H154&lt;=2,90,IF(H154&lt;=4,75,IF(H154&lt;=7,60,IF(H154&lt;=10,45,IF(H154&lt;=15,30,IF(H154&lt;=25,15,5))))))),""),IFERROR(IF(I154="","",IF(I154&lt;=0.5,100,IF(I154&lt;=1,90,IF(I154&lt;=1.5,75,IF(I154&lt;=2,60,IF(I154&lt;=2.5,45,IF(I154&lt;=3,30,15))))))),"")),"")</f>
        <v/>
      </c>
      <c r="L154" s="33" t="n">
        <v>71.95999999999999</v>
      </c>
      <c r="M154" s="33" t="n">
        <v>35.77</v>
      </c>
      <c r="N154" s="33" t="n">
        <v>-0.66</v>
      </c>
      <c r="O154" s="33">
        <f>IFERROR(AVERAGE(IFERROR(IF(K154="","",IF(K154&gt;=25,100,IF(K154&gt;=20,90,IF(K154&gt;=15,75,IF(K154&gt;=10,60,IF(K154&gt;=5,45,IF(K154&gt;=0,30,15))))))),""),IFERROR(IF(L154="","",IF(L154&gt;=60,100,IF(L154&gt;=50,90,IF(L154&gt;=40,75,IF(L154&gt;=30,60,IF(L154&gt;=20,45,IF(L154&gt;=10,30,15))))))),""),IFERROR(IF(M154="","",IF(M154&gt;=25,100,IF(M154&gt;=20,90,IF(M154&gt;=15,75,IF(M154&gt;=10,60,IF(M154&gt;=5,45,IF(M154&gt;=0,30,15))))))),""),IFERROR(IF(N154="","",IF(N154&lt;=0,100,IF(N154&lt;=1,90,IF(N154&lt;=2,75,IF(N154&lt;=3,60,IF(N154&lt;=4,45,IF(N154&lt;=5,30,15))))))),"")),"")</f>
        <v/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IFERROR(AVERAGE(T154,U154,V154,W154,X154)*20,"")</f>
        <v/>
      </c>
      <c r="Z154" s="33" t="n">
        <v>4</v>
      </c>
      <c r="AA154" s="33" t="n">
        <v>5</v>
      </c>
      <c r="AB154" s="33" t="n">
        <v>5</v>
      </c>
      <c r="AC154" s="33" t="n">
        <v>46.7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IFERROR(AVERAGE(AE154,AF154,AG154,AH154,AL154)*20,"")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2026-06-24</t>
        </is>
      </c>
      <c r="E155" s="33" t="n">
        <v>21.205545</v>
      </c>
      <c r="F155" s="33" t="n"/>
      <c r="G155" s="33" t="n">
        <v>2.04</v>
      </c>
      <c r="H155" s="33" t="n">
        <v>25.339643</v>
      </c>
      <c r="I155" s="33">
        <f>IF(OR(E155="",R155="",R155&lt;=0,E155&lt;0),"",E155/R155)</f>
        <v/>
      </c>
      <c r="J155" s="33">
        <f>IFERROR(AVERAGE(IFERROR(IF(E155="","",IF(E155&lt;0,5,IF(E155&lt;=15,90,IF(E155&lt;=20,75,IF(E155&lt;=25,60,IF(E155&lt;=30,45,IF(E155&lt;=40,30,IF(E155&lt;=60,15,5)))))))),""),IFERROR(IF(F155="","",IF(F155&lt;0,5,IF(F155&lt;=20,100,IF(F155&lt;=30,90,IF(F155&lt;=40,75,IF(F155&lt;=55,60,IF(F155&lt;=75,45,IF(F155&lt;=100,30,15)))))))),""),IFERROR(IF(G155="","",IF(G155&gt;=8,100,IF(G155&gt;=6,90,IF(G155&gt;=4,75,IF(G155&gt;=2,60,IF(G155&gt;=1,45,IF(G155&gt;=0,30,15))))))),""),IFERROR(IF(H155="","",IF(H155&lt;=2,90,IF(H155&lt;=4,75,IF(H155&lt;=7,60,IF(H155&lt;=10,45,IF(H155&lt;=15,30,IF(H155&lt;=25,15,5))))))),""),IFERROR(IF(I155="","",IF(I155&lt;=0.5,100,IF(I155&lt;=1,90,IF(I155&lt;=1.5,75,IF(I155&lt;=2,60,IF(I155&lt;=2.5,45,IF(I155&lt;=3,30,15))))))),"")),"")</f>
        <v/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>
        <f>IFERROR(AVERAGE(IFERROR(IF(K155="","",IF(K155&gt;=25,100,IF(K155&gt;=20,90,IF(K155&gt;=15,75,IF(K155&gt;=10,60,IF(K155&gt;=5,45,IF(K155&gt;=0,30,15))))))),""),IFERROR(IF(L155="","",IF(L155&gt;=60,100,IF(L155&gt;=50,90,IF(L155&gt;=40,75,IF(L155&gt;=30,60,IF(L155&gt;=20,45,IF(L155&gt;=10,30,15))))))),""),IFERROR(IF(M155="","",IF(M155&gt;=25,100,IF(M155&gt;=20,90,IF(M155&gt;=15,75,IF(M155&gt;=10,60,IF(M155&gt;=5,45,IF(M155&gt;=0,30,15))))))),""),IFERROR(IF(N155="","",IF(N155&lt;=0,100,IF(N155&lt;=1,90,IF(N155&lt;=2,75,IF(N155&lt;=3,60,IF(N155&lt;=4,45,IF(N155&lt;=5,30,15))))))),"")),"")</f>
        <v/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IFERROR(AVERAGE(T155,U155,V155,W155,X155)*20,"")</f>
        <v/>
      </c>
      <c r="Z155" s="33" t="n">
        <v>4</v>
      </c>
      <c r="AA155" s="33" t="n">
        <v>2</v>
      </c>
      <c r="AB155" s="33" t="n">
        <v>3</v>
      </c>
      <c r="AC155" s="33" t="n">
        <v>40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IFERROR(AVERAGE(AE155,AF155,AG155,AH155,AL155)*20,"")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2026-06-24</t>
        </is>
      </c>
      <c r="E156" s="33" t="n">
        <v>7.137849</v>
      </c>
      <c r="F156" s="33" t="n">
        <v>7.7</v>
      </c>
      <c r="G156" s="33" t="n">
        <v>13.16</v>
      </c>
      <c r="H156" s="33" t="n">
        <v>3.1009037</v>
      </c>
      <c r="I156" s="33">
        <f>IF(OR(E156="",R156="",R156&lt;=0,E156&lt;0),"",E156/R156)</f>
        <v/>
      </c>
      <c r="J156" s="33">
        <f>IFERROR(AVERAGE(IFERROR(IF(E156="","",IF(E156&lt;0,5,IF(E156&lt;=15,90,IF(E156&lt;=20,75,IF(E156&lt;=25,60,IF(E156&lt;=30,45,IF(E156&lt;=40,30,IF(E156&lt;=60,15,5)))))))),""),IFERROR(IF(F156="","",IF(F156&lt;0,5,IF(F156&lt;=20,100,IF(F156&lt;=30,90,IF(F156&lt;=40,75,IF(F156&lt;=55,60,IF(F156&lt;=75,45,IF(F156&lt;=100,30,15)))))))),""),IFERROR(IF(G156="","",IF(G156&gt;=8,100,IF(G156&gt;=6,90,IF(G156&gt;=4,75,IF(G156&gt;=2,60,IF(G156&gt;=1,45,IF(G156&gt;=0,30,15))))))),""),IFERROR(IF(H156="","",IF(H156&lt;=2,90,IF(H156&lt;=4,75,IF(H156&lt;=7,60,IF(H156&lt;=10,45,IF(H156&lt;=15,30,IF(H156&lt;=25,15,5))))))),""),IFERROR(IF(I156="","",IF(I156&lt;=0.5,100,IF(I156&lt;=1,90,IF(I156&lt;=1.5,75,IF(I156&lt;=2,60,IF(I156&lt;=2.5,45,IF(I156&lt;=3,30,15))))))),"")),"")</f>
        <v/>
      </c>
      <c r="L156" s="33" t="n">
        <v>89.40000000000001</v>
      </c>
      <c r="M156" s="33" t="n">
        <v>40.8</v>
      </c>
      <c r="N156" s="33" t="n">
        <v>0.15</v>
      </c>
      <c r="O156" s="33">
        <f>IFERROR(AVERAGE(IFERROR(IF(K156="","",IF(K156&gt;=25,100,IF(K156&gt;=20,90,IF(K156&gt;=15,75,IF(K156&gt;=10,60,IF(K156&gt;=5,45,IF(K156&gt;=0,30,15))))))),""),IFERROR(IF(L156="","",IF(L156&gt;=60,100,IF(L156&gt;=50,90,IF(L156&gt;=40,75,IF(L156&gt;=30,60,IF(L156&gt;=20,45,IF(L156&gt;=10,30,15))))))),""),IFERROR(IF(M156="","",IF(M156&gt;=25,100,IF(M156&gt;=20,90,IF(M156&gt;=15,75,IF(M156&gt;=10,60,IF(M156&gt;=5,45,IF(M156&gt;=0,30,15))))))),""),IFERROR(IF(N156="","",IF(N156&lt;=0,100,IF(N156&lt;=1,90,IF(N156&lt;=2,75,IF(N156&lt;=3,60,IF(N156&lt;=4,45,IF(N156&lt;=5,30,15))))))),"")),"")</f>
        <v/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IFERROR(AVERAGE(T156,U156,V156,W156,X156)*20,"")</f>
        <v/>
      </c>
      <c r="Z156" s="33" t="n">
        <v>2</v>
      </c>
      <c r="AA156" s="33" t="n">
        <v>1</v>
      </c>
      <c r="AB156" s="33" t="n">
        <v>3</v>
      </c>
      <c r="AC156" s="33" t="n">
        <v>15.8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IFERROR(AVERAGE(AE156,AF156,AG156,AH156,AL156)*20,"")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2026-06-24</t>
        </is>
      </c>
      <c r="E157" s="33" t="n">
        <v>42.40625</v>
      </c>
      <c r="F157" s="33" t="n">
        <v>42.6</v>
      </c>
      <c r="G157" s="33" t="n">
        <v>2.29</v>
      </c>
      <c r="H157" s="33" t="n">
        <v>14.971398</v>
      </c>
      <c r="I157" s="33">
        <f>IF(OR(E157="",R157="",R157&lt;=0,E157&lt;0),"",E157/R157)</f>
        <v/>
      </c>
      <c r="J157" s="33">
        <f>IFERROR(AVERAGE(IFERROR(IF(E157="","",IF(E157&lt;0,5,IF(E157&lt;=15,90,IF(E157&lt;=20,75,IF(E157&lt;=25,60,IF(E157&lt;=30,45,IF(E157&lt;=40,30,IF(E157&lt;=60,15,5)))))))),""),IFERROR(IF(F157="","",IF(F157&lt;0,5,IF(F157&lt;=20,100,IF(F157&lt;=30,90,IF(F157&lt;=40,75,IF(F157&lt;=55,60,IF(F157&lt;=75,45,IF(F157&lt;=100,30,15)))))))),""),IFERROR(IF(G157="","",IF(G157&gt;=8,100,IF(G157&gt;=6,90,IF(G157&gt;=4,75,IF(G157&gt;=2,60,IF(G157&gt;=1,45,IF(G157&gt;=0,30,15))))))),""),IFERROR(IF(H157="","",IF(H157&lt;=2,90,IF(H157&lt;=4,75,IF(H157&lt;=7,60,IF(H157&lt;=10,45,IF(H157&lt;=15,30,IF(H157&lt;=25,15,5))))))),""),IFERROR(IF(I157="","",IF(I157&lt;=0.5,100,IF(I157&lt;=1,90,IF(I157&lt;=1.5,75,IF(I157&lt;=2,60,IF(I157&lt;=2.5,45,IF(I157&lt;=3,30,15))))))),"")),"")</f>
        <v/>
      </c>
      <c r="L157" s="33" t="n">
        <v>80.3</v>
      </c>
      <c r="M157" s="33" t="n">
        <v>34.26</v>
      </c>
      <c r="N157" s="33" t="n">
        <v>-1.16</v>
      </c>
      <c r="O157" s="33">
        <f>IFERROR(AVERAGE(IFERROR(IF(K157="","",IF(K157&gt;=25,100,IF(K157&gt;=20,90,IF(K157&gt;=15,75,IF(K157&gt;=10,60,IF(K157&gt;=5,45,IF(K157&gt;=0,30,15))))))),""),IFERROR(IF(L157="","",IF(L157&gt;=60,100,IF(L157&gt;=50,90,IF(L157&gt;=40,75,IF(L157&gt;=30,60,IF(L157&gt;=20,45,IF(L157&gt;=10,30,15))))))),""),IFERROR(IF(M157="","",IF(M157&gt;=25,100,IF(M157&gt;=20,90,IF(M157&gt;=15,75,IF(M157&gt;=10,60,IF(M157&gt;=5,45,IF(M157&gt;=0,30,15))))))),""),IFERROR(IF(N157="","",IF(N157&lt;=0,100,IF(N157&lt;=1,90,IF(N157&lt;=2,75,IF(N157&lt;=3,60,IF(N157&lt;=4,45,IF(N157&lt;=5,30,15))))))),"")),"")</f>
        <v/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IFERROR(AVERAGE(T157,U157,V157,W157,X157)*20,"")</f>
        <v/>
      </c>
      <c r="Z157" s="33" t="n">
        <v>4</v>
      </c>
      <c r="AA157" s="33" t="n">
        <v>4</v>
      </c>
      <c r="AB157" s="33" t="n">
        <v>3</v>
      </c>
      <c r="AC157" s="33" t="n">
        <v>70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IFERROR(AVERAGE(AE157,AF157,AG157,AH157,AL157)*20,"")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2026-06-24</t>
        </is>
      </c>
      <c r="E158" s="33" t="n">
        <v>27.68147</v>
      </c>
      <c r="F158" s="33" t="n">
        <v>21.2</v>
      </c>
      <c r="G158" s="33" t="n">
        <v>4.33</v>
      </c>
      <c r="H158" s="33" t="n">
        <v>6.4850655</v>
      </c>
      <c r="I158" s="33">
        <f>IF(OR(E158="",R158="",R158&lt;=0,E158&lt;0),"",E158/R158)</f>
        <v/>
      </c>
      <c r="J158" s="33">
        <f>IFERROR(AVERAGE(IFERROR(IF(E158="","",IF(E158&lt;0,5,IF(E158&lt;=15,90,IF(E158&lt;=20,75,IF(E158&lt;=25,60,IF(E158&lt;=30,45,IF(E158&lt;=40,30,IF(E158&lt;=60,15,5)))))))),""),IFERROR(IF(F158="","",IF(F158&lt;0,5,IF(F158&lt;=20,100,IF(F158&lt;=30,90,IF(F158&lt;=40,75,IF(F158&lt;=55,60,IF(F158&lt;=75,45,IF(F158&lt;=100,30,15)))))))),""),IFERROR(IF(G158="","",IF(G158&gt;=8,100,IF(G158&gt;=6,90,IF(G158&gt;=4,75,IF(G158&gt;=2,60,IF(G158&gt;=1,45,IF(G158&gt;=0,30,15))))))),""),IFERROR(IF(H158="","",IF(H158&lt;=2,90,IF(H158&lt;=4,75,IF(H158&lt;=7,60,IF(H158&lt;=10,45,IF(H158&lt;=15,30,IF(H158&lt;=25,15,5))))))),""),IFERROR(IF(I158="","",IF(I158&lt;=0.5,100,IF(I158&lt;=1,90,IF(I158&lt;=1.5,75,IF(I158&lt;=2,60,IF(I158&lt;=2.5,45,IF(I158&lt;=3,30,15))))))),"")),"")</f>
        <v/>
      </c>
      <c r="L158" s="33" t="n">
        <v>76.73999999999999</v>
      </c>
      <c r="M158" s="33" t="n">
        <v>28.05</v>
      </c>
      <c r="O158" s="33">
        <f>IFERROR(AVERAGE(IFERROR(IF(K158="","",IF(K158&gt;=25,100,IF(K158&gt;=20,90,IF(K158&gt;=15,75,IF(K158&gt;=10,60,IF(K158&gt;=5,45,IF(K158&gt;=0,30,15))))))),""),IFERROR(IF(L158="","",IF(L158&gt;=60,100,IF(L158&gt;=50,90,IF(L158&gt;=40,75,IF(L158&gt;=30,60,IF(L158&gt;=20,45,IF(L158&gt;=10,30,15))))))),""),IFERROR(IF(M158="","",IF(M158&gt;=25,100,IF(M158&gt;=20,90,IF(M158&gt;=15,75,IF(M158&gt;=10,60,IF(M158&gt;=5,45,IF(M158&gt;=0,30,15))))))),""),IFERROR(IF(N158="","",IF(N158&lt;=0,100,IF(N158&lt;=1,90,IF(N158&lt;=2,75,IF(N158&lt;=3,60,IF(N158&lt;=4,45,IF(N158&lt;=5,30,15))))))),"")),"")</f>
        <v/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IFERROR(AVERAGE(T158,U158,V158,W158,X158)*20,"")</f>
        <v/>
      </c>
      <c r="Z158" s="33" t="n">
        <v>1</v>
      </c>
      <c r="AA158" s="33" t="n">
        <v>1</v>
      </c>
      <c r="AB158" s="33" t="n">
        <v>3</v>
      </c>
      <c r="AC158" s="33" t="n">
        <v>12.5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IFERROR(AVERAGE(AE158,AF158,AG158,AH158,AL158)*20,"")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2026-06-24</t>
        </is>
      </c>
      <c r="E159" s="33" t="n">
        <v>9.596976</v>
      </c>
      <c r="F159" s="33" t="n">
        <v>9.300000000000001</v>
      </c>
      <c r="G159" s="33" t="n">
        <v>10.76</v>
      </c>
      <c r="H159" s="33" t="n">
        <v>3.4280033</v>
      </c>
      <c r="I159" s="33">
        <f>IF(OR(E159="",R159="",R159&lt;=0,E159&lt;0),"",E159/R159)</f>
        <v/>
      </c>
      <c r="J159" s="33">
        <f>IFERROR(AVERAGE(IFERROR(IF(E159="","",IF(E159&lt;0,5,IF(E159&lt;=15,90,IF(E159&lt;=20,75,IF(E159&lt;=25,60,IF(E159&lt;=30,45,IF(E159&lt;=40,30,IF(E159&lt;=60,15,5)))))))),""),IFERROR(IF(F159="","",IF(F159&lt;0,5,IF(F159&lt;=20,100,IF(F159&lt;=30,90,IF(F159&lt;=40,75,IF(F159&lt;=55,60,IF(F159&lt;=75,45,IF(F159&lt;=100,30,15)))))))),""),IFERROR(IF(G159="","",IF(G159&gt;=8,100,IF(G159&gt;=6,90,IF(G159&gt;=4,75,IF(G159&gt;=2,60,IF(G159&gt;=1,45,IF(G159&gt;=0,30,15))))))),""),IFERROR(IF(H159="","",IF(H159&lt;=2,90,IF(H159&lt;=4,75,IF(H159&lt;=7,60,IF(H159&lt;=10,45,IF(H159&lt;=15,30,IF(H159&lt;=25,15,5))))))),""),IFERROR(IF(I159="","",IF(I159&lt;=0.5,100,IF(I159&lt;=1,90,IF(I159&lt;=1.5,75,IF(I159&lt;=2,60,IF(I159&lt;=2.5,45,IF(I159&lt;=3,30,15))))))),"")),"")</f>
        <v/>
      </c>
      <c r="L159" s="33" t="n">
        <v>80.79000000000001</v>
      </c>
      <c r="M159" s="33" t="n">
        <v>36.87</v>
      </c>
      <c r="N159" s="33" t="n">
        <v>0.02</v>
      </c>
      <c r="O159" s="33">
        <f>IFERROR(AVERAGE(IFERROR(IF(K159="","",IF(K159&gt;=25,100,IF(K159&gt;=20,90,IF(K159&gt;=15,75,IF(K159&gt;=10,60,IF(K159&gt;=5,45,IF(K159&gt;=0,30,15))))))),""),IFERROR(IF(L159="","",IF(L159&gt;=60,100,IF(L159&gt;=50,90,IF(L159&gt;=40,75,IF(L159&gt;=30,60,IF(L159&gt;=20,45,IF(L159&gt;=10,30,15))))))),""),IFERROR(IF(M159="","",IF(M159&gt;=25,100,IF(M159&gt;=20,90,IF(M159&gt;=15,75,IF(M159&gt;=10,60,IF(M159&gt;=5,45,IF(M159&gt;=0,30,15))))))),""),IFERROR(IF(N159="","",IF(N159&lt;=0,100,IF(N159&lt;=1,90,IF(N159&lt;=2,75,IF(N159&lt;=3,60,IF(N159&lt;=4,45,IF(N159&lt;=5,30,15))))))),"")),"")</f>
        <v/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IFERROR(AVERAGE(T159,U159,V159,W159,X159)*20,"")</f>
        <v/>
      </c>
      <c r="Z159" s="33" t="n">
        <v>2</v>
      </c>
      <c r="AA159" s="33" t="n">
        <v>1</v>
      </c>
      <c r="AB159" s="33" t="n">
        <v>4</v>
      </c>
      <c r="AC159" s="33" t="n">
        <v>0.8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IFERROR(AVERAGE(AE159,AF159,AG159,AH159,AL159)*20,"")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2026-06-24</t>
        </is>
      </c>
      <c r="E160" s="33" t="n">
        <v>9.342416</v>
      </c>
      <c r="F160" s="33" t="n">
        <v>9.6</v>
      </c>
      <c r="G160" s="33" t="n">
        <v>10.19</v>
      </c>
      <c r="H160" s="33" t="n">
        <v>2.9597216</v>
      </c>
      <c r="I160" s="33">
        <f>IF(OR(E160="",R160="",R160&lt;=0,E160&lt;0),"",E160/R160)</f>
        <v/>
      </c>
      <c r="J160" s="33">
        <f>IFERROR(AVERAGE(IFERROR(IF(E160="","",IF(E160&lt;0,5,IF(E160&lt;=15,90,IF(E160&lt;=20,75,IF(E160&lt;=25,60,IF(E160&lt;=30,45,IF(E160&lt;=40,30,IF(E160&lt;=60,15,5)))))))),""),IFERROR(IF(F160="","",IF(F160&lt;0,5,IF(F160&lt;=20,100,IF(F160&lt;=30,90,IF(F160&lt;=40,75,IF(F160&lt;=55,60,IF(F160&lt;=75,45,IF(F160&lt;=100,30,15)))))))),""),IFERROR(IF(G160="","",IF(G160&gt;=8,100,IF(G160&gt;=6,90,IF(G160&gt;=4,75,IF(G160&gt;=2,60,IF(G160&gt;=1,45,IF(G160&gt;=0,30,15))))))),""),IFERROR(IF(H160="","",IF(H160&lt;=2,90,IF(H160&lt;=4,75,IF(H160&lt;=7,60,IF(H160&lt;=10,45,IF(H160&lt;=15,30,IF(H160&lt;=25,15,5))))))),""),IFERROR(IF(I160="","",IF(I160&lt;=0.5,100,IF(I160&lt;=1,90,IF(I160&lt;=1.5,75,IF(I160&lt;=2,60,IF(I160&lt;=2.5,45,IF(I160&lt;=3,30,15))))))),"")),"")</f>
        <v/>
      </c>
      <c r="L160" s="33" t="n">
        <v>75.77</v>
      </c>
      <c r="M160" s="33" t="n">
        <v>30.16</v>
      </c>
      <c r="N160" s="33" t="n">
        <v>-0.36</v>
      </c>
      <c r="O160" s="33">
        <f>IFERROR(AVERAGE(IFERROR(IF(K160="","",IF(K160&gt;=25,100,IF(K160&gt;=20,90,IF(K160&gt;=15,75,IF(K160&gt;=10,60,IF(K160&gt;=5,45,IF(K160&gt;=0,30,15))))))),""),IFERROR(IF(L160="","",IF(L160&gt;=60,100,IF(L160&gt;=50,90,IF(L160&gt;=40,75,IF(L160&gt;=30,60,IF(L160&gt;=20,45,IF(L160&gt;=10,30,15))))))),""),IFERROR(IF(M160="","",IF(M160&gt;=25,100,IF(M160&gt;=20,90,IF(M160&gt;=15,75,IF(M160&gt;=10,60,IF(M160&gt;=5,45,IF(M160&gt;=0,30,15))))))),""),IFERROR(IF(N160="","",IF(N160&lt;=0,100,IF(N160&lt;=1,90,IF(N160&lt;=2,75,IF(N160&lt;=3,60,IF(N160&lt;=4,45,IF(N160&lt;=5,30,15))))))),"")),"")</f>
        <v/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IFERROR(AVERAGE(T160,U160,V160,W160,X160)*20,"")</f>
        <v/>
      </c>
      <c r="Z160" s="33" t="n">
        <v>2</v>
      </c>
      <c r="AA160" s="33" t="n">
        <v>1</v>
      </c>
      <c r="AB160" s="33" t="n">
        <v>3</v>
      </c>
      <c r="AC160" s="33" t="n">
        <v>15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IFERROR(AVERAGE(AE160,AF160,AG160,AH160,AL160)*20,"")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2026-06-24</t>
        </is>
      </c>
      <c r="E161" s="33" t="n">
        <v>13.5011425</v>
      </c>
      <c r="F161" s="33" t="n">
        <v>15</v>
      </c>
      <c r="G161" s="33" t="n">
        <v>6.62</v>
      </c>
      <c r="H161" s="33" t="n">
        <v>5.4174356</v>
      </c>
      <c r="I161" s="33">
        <f>IF(OR(E161="",R161="",R161&lt;=0,E161&lt;0),"",E161/R161)</f>
        <v/>
      </c>
      <c r="J161" s="33">
        <f>IFERROR(AVERAGE(IFERROR(IF(E161="","",IF(E161&lt;0,5,IF(E161&lt;=15,90,IF(E161&lt;=20,75,IF(E161&lt;=25,60,IF(E161&lt;=30,45,IF(E161&lt;=40,30,IF(E161&lt;=60,15,5)))))))),""),IFERROR(IF(F161="","",IF(F161&lt;0,5,IF(F161&lt;=20,100,IF(F161&lt;=30,90,IF(F161&lt;=40,75,IF(F161&lt;=55,60,IF(F161&lt;=75,45,IF(F161&lt;=100,30,15)))))))),""),IFERROR(IF(G161="","",IF(G161&gt;=8,100,IF(G161&gt;=6,90,IF(G161&gt;=4,75,IF(G161&gt;=2,60,IF(G161&gt;=1,45,IF(G161&gt;=0,30,15))))))),""),IFERROR(IF(H161="","",IF(H161&lt;=2,90,IF(H161&lt;=4,75,IF(H161&lt;=7,60,IF(H161&lt;=10,45,IF(H161&lt;=15,30,IF(H161&lt;=25,15,5))))))),""),IFERROR(IF(I161="","",IF(I161&lt;=0.5,100,IF(I161&lt;=1,90,IF(I161&lt;=1.5,75,IF(I161&lt;=2,60,IF(I161&lt;=2.5,45,IF(I161&lt;=3,30,15))))))),"")),"")</f>
        <v/>
      </c>
      <c r="L161" s="33" t="n">
        <v>92.43000000000001</v>
      </c>
      <c r="M161" s="33" t="n">
        <v>35.89</v>
      </c>
      <c r="N161" s="33" t="n">
        <v>-0.09</v>
      </c>
      <c r="O161" s="33">
        <f>IFERROR(AVERAGE(IFERROR(IF(K161="","",IF(K161&gt;=25,100,IF(K161&gt;=20,90,IF(K161&gt;=15,75,IF(K161&gt;=10,60,IF(K161&gt;=5,45,IF(K161&gt;=0,30,15))))))),""),IFERROR(IF(L161="","",IF(L161&gt;=60,100,IF(L161&gt;=50,90,IF(L161&gt;=40,75,IF(L161&gt;=30,60,IF(L161&gt;=20,45,IF(L161&gt;=10,30,15))))))),""),IFERROR(IF(M161="","",IF(M161&gt;=25,100,IF(M161&gt;=20,90,IF(M161&gt;=15,75,IF(M161&gt;=10,60,IF(M161&gt;=5,45,IF(M161&gt;=0,30,15))))))),""),IFERROR(IF(N161="","",IF(N161&lt;=0,100,IF(N161&lt;=1,90,IF(N161&lt;=2,75,IF(N161&lt;=3,60,IF(N161&lt;=4,45,IF(N161&lt;=5,30,15))))))),"")),"")</f>
        <v/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IFERROR(AVERAGE(T161,U161,V161,W161,X161)*20,"")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IFERROR(AVERAGE(AE161,AF161,AG161,AH161,AL161)*20,"")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2026-06-24</t>
        </is>
      </c>
      <c r="E162" s="33" t="n">
        <v>150.20839</v>
      </c>
      <c r="F162" s="33" t="n">
        <v>197.5</v>
      </c>
      <c r="G162" s="33" t="n">
        <v>0.5</v>
      </c>
      <c r="H162" s="33" t="n">
        <v>14.409494</v>
      </c>
      <c r="I162" s="33">
        <f>IF(OR(E162="",R162="",R162&lt;=0,E162&lt;0),"",E162/R162)</f>
        <v/>
      </c>
      <c r="J162" s="33">
        <f>IFERROR(AVERAGE(IFERROR(IF(E162="","",IF(E162&lt;0,5,IF(E162&lt;=15,90,IF(E162&lt;=20,75,IF(E162&lt;=25,60,IF(E162&lt;=30,45,IF(E162&lt;=40,30,IF(E162&lt;=60,15,5)))))))),""),IFERROR(IF(F162="","",IF(F162&lt;0,5,IF(F162&lt;=20,100,IF(F162&lt;=30,90,IF(F162&lt;=40,75,IF(F162&lt;=55,60,IF(F162&lt;=75,45,IF(F162&lt;=100,30,15)))))))),""),IFERROR(IF(G162="","",IF(G162&gt;=8,100,IF(G162&gt;=6,90,IF(G162&gt;=4,75,IF(G162&gt;=2,60,IF(G162&gt;=1,45,IF(G162&gt;=0,30,15))))))),""),IFERROR(IF(H162="","",IF(H162&lt;=2,90,IF(H162&lt;=4,75,IF(H162&lt;=7,60,IF(H162&lt;=10,45,IF(H162&lt;=15,30,IF(H162&lt;=25,15,5))))))),""),IFERROR(IF(I162="","",IF(I162&lt;=0.5,100,IF(I162&lt;=1,90,IF(I162&lt;=1.5,75,IF(I162&lt;=2,60,IF(I162&lt;=2.5,45,IF(I162&lt;=3,30,15))))))),"")),"")</f>
        <v/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>
        <f>IFERROR(AVERAGE(IFERROR(IF(K162="","",IF(K162&gt;=25,100,IF(K162&gt;=20,90,IF(K162&gt;=15,75,IF(K162&gt;=10,60,IF(K162&gt;=5,45,IF(K162&gt;=0,30,15))))))),""),IFERROR(IF(L162="","",IF(L162&gt;=60,100,IF(L162&gt;=50,90,IF(L162&gt;=40,75,IF(L162&gt;=30,60,IF(L162&gt;=20,45,IF(L162&gt;=10,30,15))))))),""),IFERROR(IF(M162="","",IF(M162&gt;=25,100,IF(M162&gt;=20,90,IF(M162&gt;=15,75,IF(M162&gt;=10,60,IF(M162&gt;=5,45,IF(M162&gt;=0,30,15))))))),""),IFERROR(IF(N162="","",IF(N162&lt;=0,100,IF(N162&lt;=1,90,IF(N162&lt;=2,75,IF(N162&lt;=3,60,IF(N162&lt;=4,45,IF(N162&lt;=5,30,15))))))),"")),"")</f>
        <v/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IFERROR(AVERAGE(T162,U162,V162,W162,X162)*20,"")</f>
        <v/>
      </c>
      <c r="Z162" s="33" t="n">
        <v>2</v>
      </c>
      <c r="AA162" s="33" t="n">
        <v>2</v>
      </c>
      <c r="AB162" s="33" t="n">
        <v>3</v>
      </c>
      <c r="AC162" s="33" t="n">
        <v>33.3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IFERROR(AVERAGE(AE162,AF162,AG162,AH162,AL162)*20,"")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2026-06-24</t>
        </is>
      </c>
      <c r="E163" s="33" t="n">
        <v>30.497047</v>
      </c>
      <c r="F163" s="33" t="n">
        <v>33.4</v>
      </c>
      <c r="G163" s="33" t="n">
        <v>3</v>
      </c>
      <c r="H163" s="33" t="n">
        <v>9.535156000000001</v>
      </c>
      <c r="I163" s="33">
        <f>IF(OR(E163="",R163="",R163&lt;=0,E163&lt;0),"",E163/R163)</f>
        <v/>
      </c>
      <c r="J163" s="33">
        <f>IFERROR(AVERAGE(IFERROR(IF(E163="","",IF(E163&lt;0,5,IF(E163&lt;=15,90,IF(E163&lt;=20,75,IF(E163&lt;=25,60,IF(E163&lt;=30,45,IF(E163&lt;=40,30,IF(E163&lt;=60,15,5)))))))),""),IFERROR(IF(F163="","",IF(F163&lt;0,5,IF(F163&lt;=20,100,IF(F163&lt;=30,90,IF(F163&lt;=40,75,IF(F163&lt;=55,60,IF(F163&lt;=75,45,IF(F163&lt;=100,30,15)))))))),""),IFERROR(IF(G163="","",IF(G163&gt;=8,100,IF(G163&gt;=6,90,IF(G163&gt;=4,75,IF(G163&gt;=2,60,IF(G163&gt;=1,45,IF(G163&gt;=0,30,15))))))),""),IFERROR(IF(H163="","",IF(H163&lt;=2,90,IF(H163&lt;=4,75,IF(H163&lt;=7,60,IF(H163&lt;=10,45,IF(H163&lt;=15,30,IF(H163&lt;=25,15,5))))))),""),IFERROR(IF(I163="","",IF(I163&lt;=0.5,100,IF(I163&lt;=1,90,IF(I163&lt;=1.5,75,IF(I163&lt;=2,60,IF(I163&lt;=2.5,45,IF(I163&lt;=3,30,15))))))),"")),"")</f>
        <v/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>
        <f>IFERROR(AVERAGE(IFERROR(IF(K163="","",IF(K163&gt;=25,100,IF(K163&gt;=20,90,IF(K163&gt;=15,75,IF(K163&gt;=10,60,IF(K163&gt;=5,45,IF(K163&gt;=0,30,15))))))),""),IFERROR(IF(L163="","",IF(L163&gt;=60,100,IF(L163&gt;=50,90,IF(L163&gt;=40,75,IF(L163&gt;=30,60,IF(L163&gt;=20,45,IF(L163&gt;=10,30,15))))))),""),IFERROR(IF(M163="","",IF(M163&gt;=25,100,IF(M163&gt;=20,90,IF(M163&gt;=15,75,IF(M163&gt;=10,60,IF(M163&gt;=5,45,IF(M163&gt;=0,30,15))))))),""),IFERROR(IF(N163="","",IF(N163&lt;=0,100,IF(N163&lt;=1,90,IF(N163&lt;=2,75,IF(N163&lt;=3,60,IF(N163&lt;=4,45,IF(N163&lt;=5,30,15))))))),"")),"")</f>
        <v/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IFERROR(AVERAGE(T163,U163,V163,W163,X163)*20,"")</f>
        <v/>
      </c>
      <c r="Z163" s="33" t="n">
        <v>4</v>
      </c>
      <c r="AA163" s="33" t="n">
        <v>2</v>
      </c>
      <c r="AB163" s="33" t="n">
        <v>3</v>
      </c>
      <c r="AC163" s="33" t="n">
        <v>50.8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IFERROR(AVERAGE(AE163,AF163,AG163,AH163,AL163)*20,"")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2026-06-24</t>
        </is>
      </c>
      <c r="E164" s="33" t="n">
        <v>785.78326</v>
      </c>
      <c r="H164" s="33" t="n">
        <v>105.4836</v>
      </c>
      <c r="I164" s="33">
        <f>IF(OR(E164="",R164="",R164&lt;=0,E164&lt;0),"",E164/R164)</f>
        <v/>
      </c>
      <c r="J164" s="33">
        <f>IFERROR(AVERAGE(IFERROR(IF(E164="","",IF(E164&lt;0,5,IF(E164&lt;=15,90,IF(E164&lt;=20,75,IF(E164&lt;=25,60,IF(E164&lt;=30,45,IF(E164&lt;=40,30,IF(E164&lt;=60,15,5)))))))),""),IFERROR(IF(F164="","",IF(F164&lt;0,5,IF(F164&lt;=20,100,IF(F164&lt;=30,90,IF(F164&lt;=40,75,IF(F164&lt;=55,60,IF(F164&lt;=75,45,IF(F164&lt;=100,30,15)))))))),""),IFERROR(IF(G164="","",IF(G164&gt;=8,100,IF(G164&gt;=6,90,IF(G164&gt;=4,75,IF(G164&gt;=2,60,IF(G164&gt;=1,45,IF(G164&gt;=0,30,15))))))),""),IFERROR(IF(H164="","",IF(H164&lt;=2,90,IF(H164&lt;=4,75,IF(H164&lt;=7,60,IF(H164&lt;=10,45,IF(H164&lt;=15,30,IF(H164&lt;=25,15,5))))))),""),IFERROR(IF(I164="","",IF(I164&lt;=0.5,100,IF(I164&lt;=1,90,IF(I164&lt;=1.5,75,IF(I164&lt;=2,60,IF(I164&lt;=2.5,45,IF(I164&lt;=3,30,15))))))),"")),"")</f>
        <v/>
      </c>
      <c r="L164" s="33" t="n">
        <v>48.83</v>
      </c>
      <c r="N164" s="33" t="n">
        <v>1.75</v>
      </c>
      <c r="O164" s="33">
        <f>IFERROR(AVERAGE(IFERROR(IF(K164="","",IF(K164&gt;=25,100,IF(K164&gt;=20,90,IF(K164&gt;=15,75,IF(K164&gt;=10,60,IF(K164&gt;=5,45,IF(K164&gt;=0,30,15))))))),""),IFERROR(IF(L164="","",IF(L164&gt;=60,100,IF(L164&gt;=50,90,IF(L164&gt;=40,75,IF(L164&gt;=30,60,IF(L164&gt;=20,45,IF(L164&gt;=10,30,15))))))),""),IFERROR(IF(M164="","",IF(M164&gt;=25,100,IF(M164&gt;=20,90,IF(M164&gt;=15,75,IF(M164&gt;=10,60,IF(M164&gt;=5,45,IF(M164&gt;=0,30,15))))))),""),IFERROR(IF(N164="","",IF(N164&lt;=0,100,IF(N164&lt;=1,90,IF(N164&lt;=2,75,IF(N164&lt;=3,60,IF(N164&lt;=4,45,IF(N164&lt;=5,30,15))))))),"")),"")</f>
        <v/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IFERROR(AVERAGE(T164,U164,V164,W164,X164)*20,"")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IFERROR(AVERAGE(AE164,AF164,AG164,AH164,AL164)*20,"")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2026-06-24</t>
        </is>
      </c>
      <c r="E165" s="33" t="n">
        <v>34.84117</v>
      </c>
      <c r="F165" s="33" t="n">
        <v>45.264</v>
      </c>
      <c r="G165" s="33" t="n">
        <v>1.7</v>
      </c>
      <c r="H165" s="33" t="n">
        <v>6.140301</v>
      </c>
      <c r="I165" s="33">
        <f>IF(OR(E165="",R165="",R165&lt;=0,E165&lt;0),"",E165/R165)</f>
        <v/>
      </c>
      <c r="J165" s="33">
        <f>IFERROR(AVERAGE(IFERROR(IF(E165="","",IF(E165&lt;0,5,IF(E165&lt;=15,90,IF(E165&lt;=20,75,IF(E165&lt;=25,60,IF(E165&lt;=30,45,IF(E165&lt;=40,30,IF(E165&lt;=60,15,5)))))))),""),IFERROR(IF(F165="","",IF(F165&lt;0,5,IF(F165&lt;=10,90,IF(F165&lt;=15,75,IF(F165&lt;=20,60,IF(F165&lt;=25,45,IF(F165&lt;=35,30,IF(F165&lt;=50,15,5)))))))),""),IFERROR(IF(G165="","",IF(G165&gt;=8,100,IF(G165&gt;=6,90,IF(G165&gt;=4,75,IF(G165&gt;=2,60,IF(G165&gt;=1,45,IF(G165&gt;=0,30,15))))))),""),IFERROR(IF(H165="","",IF(H165&lt;=2,90,IF(H165&lt;=4,75,IF(H165&lt;=7,60,IF(H165&lt;=10,45,IF(H165&lt;=15,30,IF(H165&lt;=25,15,5))))))),""),IFERROR(IF(I165="","",IF(I165&lt;=0.5,100,IF(I165&lt;=1,90,IF(I165&lt;=1.5,75,IF(I165&lt;=2,60,IF(I165&lt;=2.5,45,IF(I165&lt;=3,30,15))))))),"")),"")</f>
        <v/>
      </c>
      <c r="L165" s="33" t="n">
        <v>43.61</v>
      </c>
      <c r="M165" s="33" t="n">
        <v>10.46</v>
      </c>
      <c r="N165" s="33" t="n">
        <v>-2.74</v>
      </c>
      <c r="O165" s="33">
        <f>IFERROR(AVERAGE(IFERROR(IF(K165="","",IF(K165&gt;=25,100,IF(K165&gt;=20,90,IF(K165&gt;=15,75,IF(K165&gt;=10,60,IF(K165&gt;=5,45,IF(K165&gt;=0,30,15))))))),""),IFERROR(IF(L165="","",IF(L165&gt;=60,100,IF(L165&gt;=50,90,IF(L165&gt;=40,75,IF(L165&gt;=30,60,IF(L165&gt;=20,45,IF(L165&gt;=10,30,15))))))),""),IFERROR(IF(M165="","",IF(M165&gt;=25,100,IF(M165&gt;=20,90,IF(M165&gt;=15,75,IF(M165&gt;=10,60,IF(M165&gt;=5,45,IF(M165&gt;=0,30,15))))))),""),IFERROR(IF(N165="","",IF(N165&lt;=0,100,IF(N165&lt;=1,90,IF(N165&lt;=2,75,IF(N165&lt;=3,60,IF(N165&lt;=4,45,IF(N165&lt;=5,30,15))))))),"")),"")</f>
        <v/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IFERROR(AVERAGE(T165,U165,V165,W165,X165)*20,"")</f>
        <v/>
      </c>
      <c r="Z165" s="33" t="n">
        <v>3</v>
      </c>
      <c r="AA165" s="33" t="n">
        <v>5</v>
      </c>
      <c r="AB165" s="33" t="n">
        <v>3</v>
      </c>
      <c r="AC165" s="33" t="n">
        <v>75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IFERROR(AVERAGE(AE165,AF165,AG165,AH165,AL165)*20,"")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2026-06-24</t>
        </is>
      </c>
      <c r="E166" s="33" t="n">
        <v>43.055115</v>
      </c>
      <c r="F166" s="33" t="n">
        <v>-2396.428</v>
      </c>
      <c r="G166" s="33" t="n">
        <v>1.34</v>
      </c>
      <c r="H166" s="33" t="n">
        <v>6.240016</v>
      </c>
      <c r="I166" s="33">
        <f>IF(OR(E166="",R166="",R166&lt;=0,E166&lt;0),"",E166/R166)</f>
        <v/>
      </c>
      <c r="J166" s="33">
        <f>IFERROR(AVERAGE(IFERROR(IF(E166="","",IF(E166&lt;0,5,IF(E166&lt;=15,90,IF(E166&lt;=20,75,IF(E166&lt;=25,60,IF(E166&lt;=30,45,IF(E166&lt;=40,30,IF(E166&lt;=60,15,5)))))))),""),IFERROR(IF(F166="","",IF(F166&lt;0,5,IF(F166&lt;=10,90,IF(F166&lt;=15,75,IF(F166&lt;=20,60,IF(F166&lt;=25,45,IF(F166&lt;=35,30,IF(F166&lt;=50,15,5)))))))),""),IFERROR(IF(G166="","",IF(G166&gt;=8,100,IF(G166&gt;=6,90,IF(G166&gt;=4,75,IF(G166&gt;=2,60,IF(G166&gt;=1,45,IF(G166&gt;=0,30,15))))))),""),IFERROR(IF(H166="","",IF(H166&lt;=2,90,IF(H166&lt;=4,75,IF(H166&lt;=7,60,IF(H166&lt;=10,45,IF(H166&lt;=15,30,IF(H166&lt;=25,15,5))))))),""),IFERROR(IF(I166="","",IF(I166&lt;=0.5,100,IF(I166&lt;=1,90,IF(I166&lt;=1.5,75,IF(I166&lt;=2,60,IF(I166&lt;=2.5,45,IF(I166&lt;=3,30,15))))))),"")),"")</f>
        <v/>
      </c>
      <c r="L166" s="33" t="n">
        <v>43.47</v>
      </c>
      <c r="M166" s="33" t="n">
        <v>8.35</v>
      </c>
      <c r="O166" s="33">
        <f>IFERROR(AVERAGE(IFERROR(IF(K166="","",IF(K166&gt;=25,100,IF(K166&gt;=20,90,IF(K166&gt;=15,75,IF(K166&gt;=10,60,IF(K166&gt;=5,45,IF(K166&gt;=0,30,15))))))),""),IFERROR(IF(L166="","",IF(L166&gt;=60,100,IF(L166&gt;=50,90,IF(L166&gt;=40,75,IF(L166&gt;=30,60,IF(L166&gt;=20,45,IF(L166&gt;=10,30,15))))))),""),IFERROR(IF(M166="","",IF(M166&gt;=25,100,IF(M166&gt;=20,90,IF(M166&gt;=15,75,IF(M166&gt;=10,60,IF(M166&gt;=5,45,IF(M166&gt;=0,30,15))))))),""),IFERROR(IF(N166="","",IF(N166&lt;=0,100,IF(N166&lt;=1,90,IF(N166&lt;=2,75,IF(N166&lt;=3,60,IF(N166&lt;=4,45,IF(N166&lt;=5,30,15))))))),"")),"")</f>
        <v/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IFERROR(AVERAGE(T166,U166,V166,W166,X166)*20,"")</f>
        <v/>
      </c>
      <c r="Z166" s="33" t="n">
        <v>5</v>
      </c>
      <c r="AA166" s="33" t="n">
        <v>3</v>
      </c>
      <c r="AB166" s="33" t="n">
        <v>3</v>
      </c>
      <c r="AC166" s="33" t="n">
        <v>91.7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IFERROR(AVERAGE(AE166,AF166,AG166,AH166,AL166)*20,"")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2026-06-24</t>
        </is>
      </c>
      <c r="E167" s="33" t="n">
        <v>33.752728</v>
      </c>
      <c r="F167" s="33" t="n">
        <v>17.001</v>
      </c>
      <c r="G167" s="33" t="n">
        <v>0.82</v>
      </c>
      <c r="H167" s="33" t="n">
        <v>2.9010916</v>
      </c>
      <c r="I167" s="33">
        <f>IF(OR(E167="",R167="",R167&lt;=0,E167&lt;0),"",E167/R167)</f>
        <v/>
      </c>
      <c r="J167" s="33">
        <f>IFERROR(AVERAGE(IFERROR(IF(E167="","",IF(E167&lt;0,5,IF(E167&lt;=15,90,IF(E167&lt;=20,75,IF(E167&lt;=25,60,IF(E167&lt;=30,45,IF(E167&lt;=40,30,IF(E167&lt;=60,15,5)))))))),""),IFERROR(IF(F167="","",IF(F167&lt;0,5,IF(F167&lt;=10,90,IF(F167&lt;=15,75,IF(F167&lt;=20,60,IF(F167&lt;=25,45,IF(F167&lt;=35,30,IF(F167&lt;=50,15,5)))))))),""),IFERROR(IF(G167="","",IF(G167&gt;=8,100,IF(G167&gt;=6,90,IF(G167&gt;=4,75,IF(G167&gt;=2,60,IF(G167&gt;=1,45,IF(G167&gt;=0,30,15))))))),""),IFERROR(IF(H167="","",IF(H167&lt;=2,90,IF(H167&lt;=4,75,IF(H167&lt;=7,60,IF(H167&lt;=10,45,IF(H167&lt;=15,30,IF(H167&lt;=25,15,5))))))),""),IFERROR(IF(I167="","",IF(I167&lt;=0.5,100,IF(I167&lt;=1,90,IF(I167&lt;=1.5,75,IF(I167&lt;=2,60,IF(I167&lt;=2.5,45,IF(I167&lt;=3,30,15))))))),"")),"")</f>
        <v/>
      </c>
      <c r="L167" s="33" t="n">
        <v>14.43</v>
      </c>
      <c r="M167" s="33" t="n">
        <v>2.36</v>
      </c>
      <c r="N167" s="33" t="n">
        <v>-0.19</v>
      </c>
      <c r="O167" s="33">
        <f>IFERROR(AVERAGE(IFERROR(IF(K167="","",IF(K167&gt;=25,100,IF(K167&gt;=20,90,IF(K167&gt;=15,75,IF(K167&gt;=10,60,IF(K167&gt;=5,45,IF(K167&gt;=0,30,15))))))),""),IFERROR(IF(L167="","",IF(L167&gt;=60,100,IF(L167&gt;=50,90,IF(L167&gt;=40,75,IF(L167&gt;=30,60,IF(L167&gt;=20,45,IF(L167&gt;=10,30,15))))))),""),IFERROR(IF(M167="","",IF(M167&gt;=25,100,IF(M167&gt;=20,90,IF(M167&gt;=15,75,IF(M167&gt;=10,60,IF(M167&gt;=5,45,IF(M167&gt;=0,30,15))))))),""),IFERROR(IF(N167="","",IF(N167&lt;=0,100,IF(N167&lt;=1,90,IF(N167&lt;=2,75,IF(N167&lt;=3,60,IF(N167&lt;=4,45,IF(N167&lt;=5,30,15))))))),"")),"")</f>
        <v/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IFERROR(AVERAGE(T167,U167,V167,W167,X167)*20,"")</f>
        <v/>
      </c>
      <c r="Z167" s="33" t="n">
        <v>5</v>
      </c>
      <c r="AA167" s="33" t="n">
        <v>5</v>
      </c>
      <c r="AB167" s="33" t="n">
        <v>3</v>
      </c>
      <c r="AC167" s="33" t="n">
        <v>76.7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IFERROR(AVERAGE(AE167,AF167,AG167,AH167,AL167)*20,"")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2026-06-24</t>
        </is>
      </c>
      <c r="E168" s="33" t="n">
        <v>20.755304</v>
      </c>
      <c r="I168" s="33">
        <f>IF(OR(E168="",R168="",R168&lt;=0,E168&lt;0),"",E168/R168)</f>
        <v/>
      </c>
      <c r="J168" s="33">
        <f>IFERROR(AVERAGE(IFERROR(IF(E168="","",IF(E168&lt;0,5,IF(E168&lt;=15,90,IF(E168&lt;=20,75,IF(E168&lt;=25,60,IF(E168&lt;=30,45,IF(E168&lt;=40,30,IF(E168&lt;=60,15,5)))))))),""),IFERROR(IF(F168="","",IF(F168&lt;0,5,IF(F168&lt;=10,90,IF(F168&lt;=15,75,IF(F168&lt;=20,60,IF(F168&lt;=25,45,IF(F168&lt;=35,30,IF(F168&lt;=50,15,5)))))))),""),IFERROR(IF(G168="","",IF(G168&gt;=8,100,IF(G168&gt;=6,90,IF(G168&gt;=4,75,IF(G168&gt;=2,60,IF(G168&gt;=1,45,IF(G168&gt;=0,30,15))))))),""),IFERROR(IF(H168="","",IF(H168&lt;=2,90,IF(H168&lt;=4,75,IF(H168&lt;=7,60,IF(H168&lt;=10,45,IF(H168&lt;=15,30,IF(H168&lt;=25,15,5))))))),""),IFERROR(IF(I168="","",IF(I168&lt;=0.5,100,IF(I168&lt;=1,90,IF(I168&lt;=1.5,75,IF(I168&lt;=2,60,IF(I168&lt;=2.5,45,IF(I168&lt;=3,30,15))))))),"")),"")</f>
        <v/>
      </c>
      <c r="L168" s="33" t="n">
        <v>18.5</v>
      </c>
      <c r="M168" s="33" t="n">
        <v>-2.56</v>
      </c>
      <c r="N168" s="33" t="n">
        <v>1.14</v>
      </c>
      <c r="O168" s="33">
        <f>IFERROR(AVERAGE(IFERROR(IF(K168="","",IF(K168&gt;=25,100,IF(K168&gt;=20,90,IF(K168&gt;=15,75,IF(K168&gt;=10,60,IF(K168&gt;=5,45,IF(K168&gt;=0,30,15))))))),""),IFERROR(IF(L168="","",IF(L168&gt;=60,100,IF(L168&gt;=50,90,IF(L168&gt;=40,75,IF(L168&gt;=30,60,IF(L168&gt;=20,45,IF(L168&gt;=10,30,15))))))),""),IFERROR(IF(M168="","",IF(M168&gt;=25,100,IF(M168&gt;=20,90,IF(M168&gt;=15,75,IF(M168&gt;=10,60,IF(M168&gt;=5,45,IF(M168&gt;=0,30,15))))))),""),IFERROR(IF(N168="","",IF(N168&lt;=0,100,IF(N168&lt;=1,90,IF(N168&lt;=2,75,IF(N168&lt;=3,60,IF(N168&lt;=4,45,IF(N168&lt;=5,30,15))))))),"")),"")</f>
        <v/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IFERROR(AVERAGE(T168,U168,V168,W168,X168)*20,"")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IFERROR(AVERAGE(AE168,AF168,AG168,AH168,AL168)*20,"")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2026-06-24</t>
        </is>
      </c>
      <c r="E169" s="33" t="n">
        <v>17.730726</v>
      </c>
      <c r="F169" s="33" t="n">
        <v>32.5</v>
      </c>
      <c r="G169" s="33" t="n">
        <v>2.81</v>
      </c>
      <c r="H169" s="33" t="n">
        <v>12.508329</v>
      </c>
      <c r="I169" s="33">
        <f>IF(OR(E174="",R174="",R174&lt;=0,E174&lt;0),"",E174/R174)</f>
        <v/>
      </c>
      <c r="J169" s="33">
        <f>IFERROR(AVERAGE(IFERROR(IF(E169="","",IF(E169&lt;0,5,IF(E169&lt;=15,90,IF(E169&lt;=20,75,IF(E169&lt;=25,60,IF(E169&lt;=30,45,IF(E169&lt;=40,30,IF(E169&lt;=60,15,5)))))))),""),IFERROR(IF(F169="","",IF(F169&lt;0,5,IF(F169&lt;=20,100,IF(F169&lt;=30,90,IF(F169&lt;=40,75,IF(F169&lt;=55,60,IF(F169&lt;=75,45,IF(F169&lt;=100,30,15)))))))),""),IFERROR(IF(G169="","",IF(G169&gt;=8,100,IF(G169&gt;=6,90,IF(G169&gt;=4,75,IF(G169&gt;=2,60,IF(G169&gt;=1,45,IF(G169&gt;=0,30,15))))))),""),IFERROR(IF(H169="","",IF(H169&lt;=2,90,IF(H169&lt;=4,75,IF(H169&lt;=7,60,IF(H169&lt;=10,45,IF(H169&lt;=15,30,IF(H169&lt;=25,15,5))))))),""),IFERROR(IF(I169="","",IF(I169&lt;=0.5,100,IF(I169&lt;=1,90,IF(I169&lt;=1.5,75,IF(I169&lt;=2,60,IF(I169&lt;=2.5,45,IF(I169&lt;=3,30,15))))))),"")),"")</f>
        <v/>
      </c>
      <c r="L169" s="33" t="n">
        <v>91.37</v>
      </c>
      <c r="M169" s="33" t="n">
        <v>35.12</v>
      </c>
      <c r="N169" s="33" t="n">
        <v>-4.31</v>
      </c>
      <c r="O169" s="33">
        <f>IFERROR(AVERAGE(IFERROR(IF(K169="","",IF(K169&gt;=25,100,IF(K169&gt;=20,90,IF(K169&gt;=15,75,IF(K169&gt;=10,60,IF(K169&gt;=5,45,IF(K169&gt;=0,30,15))))))),""),IFERROR(IF(L169="","",IF(L169&gt;=60,100,IF(L169&gt;=50,90,IF(L169&gt;=40,75,IF(L169&gt;=30,60,IF(L169&gt;=20,45,IF(L169&gt;=10,30,15))))))),""),IFERROR(IF(M169="","",IF(M169&gt;=25,100,IF(M169&gt;=20,90,IF(M169&gt;=15,75,IF(M169&gt;=10,60,IF(M169&gt;=5,45,IF(M169&gt;=0,30,15))))))),""),IFERROR(IF(N169="","",IF(N169&lt;=0,100,IF(N169&lt;=1,90,IF(N169&lt;=2,75,IF(N169&lt;=3,60,IF(N169&lt;=4,45,IF(N169&lt;=5,30,15))))))),"")),"")</f>
        <v/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IFERROR(AVERAGE(T169,U169,V169,W169,X169)*20,"")</f>
        <v/>
      </c>
      <c r="Z169" s="33" t="n">
        <v>5</v>
      </c>
      <c r="AA169" s="33" t="n">
        <v>3</v>
      </c>
      <c r="AB169" s="33" t="n">
        <v>3</v>
      </c>
      <c r="AC169" s="33" t="n">
        <v>50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IFERROR(AVERAGE(AE169,AF169,AG169,AH169,AL169)*20,"")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24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t="inlineStr">
        <is>
          <t>2026-06-24</t>
        </is>
      </c>
      <c r="B2311" t="inlineStr">
        <is>
          <t>MU</t>
        </is>
      </c>
      <c r="C2311" t="inlineStr">
        <is>
          <t>Growth: EPS YoY (rule 15)</t>
        </is>
      </c>
      <c r="D2311" t="n">
        <v>770.8</v>
      </c>
      <c r="E2311" t="inlineStr">
        <is>
          <t>Memory super-cycle: rev tripled to $23.86B, gross profit $2,963M→$17,755M, op income $1,773M→$16,135M; ~15% tax (Pillar Two), no VA release/one-off</t>
        </is>
      </c>
      <c r="F2311" t="inlineStr">
        <is>
          <t>10-Q FQ2 q/e 2026-02-26, Stmts of Ops + Income Taxes note</t>
        </is>
      </c>
      <c r="G2311" t="inlineStr">
        <is>
          <t>High</t>
        </is>
      </c>
      <c r="H2311" t="inlineStr">
        <is>
          <t>objective</t>
        </is>
      </c>
    </row>
    <row r="2312">
      <c r="A2312" t="inlineStr">
        <is>
          <t>2026-06-24</t>
        </is>
      </c>
      <c r="B2312" t="inlineStr">
        <is>
          <t>RDDT</t>
        </is>
      </c>
      <c r="C2312" t="inlineStr">
        <is>
          <t>Growth: EPS YoY (rule 15)</t>
        </is>
      </c>
      <c r="D2312" t="n">
        <v>679.8</v>
      </c>
      <c r="E2312" t="inlineStr">
        <is>
          <t>Operational: rev +69% $392M→$663M, op income $3.9M→$182.9M; FULL valuation allowance still in place (~1% tax is the VA, not a release)</t>
        </is>
      </c>
      <c r="F2312" t="inlineStr">
        <is>
          <t>10-Q q/e 2026-03-31, Income Taxes note</t>
        </is>
      </c>
      <c r="G2312" t="inlineStr">
        <is>
          <t>High</t>
        </is>
      </c>
      <c r="H2312" t="inlineStr">
        <is>
          <t>objective</t>
        </is>
      </c>
    </row>
    <row r="2313">
      <c r="A2313" t="inlineStr">
        <is>
          <t>2026-06-24</t>
        </is>
      </c>
      <c r="B2313" t="inlineStr">
        <is>
          <t>CRDO</t>
        </is>
      </c>
      <c r="C2313" t="inlineStr">
        <is>
          <t>Growth: EPS YoY (rule 15)</t>
        </is>
      </c>
      <c r="D2313" t="n">
        <v>362.2</v>
      </c>
      <c r="E231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t="inlineStr">
        <is>
          <t>10-K FY q/e 2026-05-02, Stmts of Ops + Note 13 Income Taxes</t>
        </is>
      </c>
      <c r="G2313" t="inlineStr">
        <is>
          <t>High</t>
        </is>
      </c>
      <c r="H2313" t="inlineStr">
        <is>
          <t>objective</t>
        </is>
      </c>
    </row>
    <row r="2314">
      <c r="A2314" t="inlineStr">
        <is>
          <t>2026-06-24</t>
        </is>
      </c>
      <c r="B2314" t="inlineStr">
        <is>
          <t>PLTR</t>
        </is>
      </c>
      <c r="C2314" t="inlineStr">
        <is>
          <t>Growth: EPS YoY (rule 15)</t>
        </is>
      </c>
      <c r="D2314" t="n">
        <v>306.7</v>
      </c>
      <c r="E2314" t="inlineStr">
        <is>
          <t>Operational: op income $176.0M→$754.0M (+328%); full VA maintained, ~1.4% rate is ongoing structural (not a one-time release)</t>
        </is>
      </c>
      <c r="F2314" t="inlineStr">
        <is>
          <t>10-Q q/e 2026-03-31, Income Taxes note</t>
        </is>
      </c>
      <c r="G2314" t="inlineStr">
        <is>
          <t>High</t>
        </is>
      </c>
      <c r="H2314" t="inlineStr">
        <is>
          <t>objective</t>
        </is>
      </c>
    </row>
    <row r="2315">
      <c r="A2315" t="inlineStr">
        <is>
          <t>2026-06-24</t>
        </is>
      </c>
      <c r="B2315" t="inlineStr">
        <is>
          <t>TER</t>
        </is>
      </c>
      <c r="C2315" t="inlineStr">
        <is>
          <t>Growth: EPS YoY (rule 15)</t>
        </is>
      </c>
      <c r="D2315" t="n">
        <v>303.4</v>
      </c>
      <c r="E2315" t="inlineStr">
        <is>
          <t>Operational: op income $120.8M→$473.0M on AI-compute test demand; tax 12.2%→13.3% (no discrete benefit)</t>
        </is>
      </c>
      <c r="F2315" t="inlineStr">
        <is>
          <t>10-Q q/e 2026-03-29, Stmts of Ops + Note S</t>
        </is>
      </c>
      <c r="G2315" t="inlineStr">
        <is>
          <t>High</t>
        </is>
      </c>
      <c r="H2315" t="inlineStr">
        <is>
          <t>objective</t>
        </is>
      </c>
    </row>
    <row r="2316">
      <c r="A2316" t="inlineStr">
        <is>
          <t>2026-06-24</t>
        </is>
      </c>
      <c r="B2316" t="inlineStr">
        <is>
          <t>SMCI</t>
        </is>
      </c>
      <c r="C2316" t="inlineStr">
        <is>
          <t>Growth: EPS YoY (rule 15)</t>
        </is>
      </c>
      <c r="D2316" t="n">
        <v>344.4</v>
      </c>
      <c r="E2316" t="inlineStr">
        <is>
          <t>Operational AI-server ramp: op income $146.8M→$625.9M; tax NORMALIZED 5.1%→20.8% (works against the jump, not for it)</t>
        </is>
      </c>
      <c r="F2316" t="inlineStr">
        <is>
          <t>10-Q FQ3 q/e 2026-03-31, Stmts of Ops + tax note</t>
        </is>
      </c>
      <c r="G2316" t="inlineStr">
        <is>
          <t>High</t>
        </is>
      </c>
      <c r="H2316" t="inlineStr">
        <is>
          <t>objective</t>
        </is>
      </c>
    </row>
    <row r="2317">
      <c r="A2317" t="inlineStr">
        <is>
          <t>2026-06-24</t>
        </is>
      </c>
      <c r="B2317" t="inlineStr">
        <is>
          <t>MTZ</t>
        </is>
      </c>
      <c r="C2317" t="inlineStr">
        <is>
          <t>Growth: EPS YoY (rule 15)</t>
        </is>
      </c>
      <c r="D2317" t="n">
        <v>514.4</v>
      </c>
      <c r="E2317" t="inlineStr">
        <is>
          <t>Operational off seasonally weak Q1: op income $36.2M→$141.8M (+292%), rev +34.5%; absorbed $7.9M impairment + lost prior-yr tax benefit (headwinds)</t>
        </is>
      </c>
      <c r="F2317" t="inlineStr">
        <is>
          <t>10-Q q/e 2026-03-31, Stmts of Ops</t>
        </is>
      </c>
      <c r="G2317" t="inlineStr">
        <is>
          <t>High</t>
        </is>
      </c>
      <c r="H2317" t="inlineStr">
        <is>
          <t>objective</t>
        </is>
      </c>
    </row>
    <row r="2318">
      <c r="A2318" t="inlineStr">
        <is>
          <t>2026-06-24</t>
        </is>
      </c>
      <c r="B2318" t="inlineStr">
        <is>
          <t>LSCC</t>
        </is>
      </c>
      <c r="C2318" t="inlineStr">
        <is>
          <t>Growth: EPS YoY (rule 15)</t>
        </is>
      </c>
      <c r="D2318" t="n">
        <v>334.4</v>
      </c>
      <c r="E2318" t="inlineStr">
        <is>
          <t>Operational FPGA recovery: rev $120.2M→$170.9M (+42%), op income $7.0M→$26.1M; tax 37.1%→20.0% ordinary</t>
        </is>
      </c>
      <c r="F2318" t="inlineStr">
        <is>
          <t>10-Q q/e 2026-04-04, Stmts of Ops + Income Taxes note</t>
        </is>
      </c>
      <c r="G2318" t="inlineStr">
        <is>
          <t>High</t>
        </is>
      </c>
      <c r="H2318" t="inlineStr">
        <is>
          <t>objective</t>
        </is>
      </c>
    </row>
    <row r="2319">
      <c r="A2319" t="inlineStr">
        <is>
          <t>2026-06-24</t>
        </is>
      </c>
      <c r="B2319" t="inlineStr">
        <is>
          <t>SEI</t>
        </is>
      </c>
      <c r="C2319" t="inlineStr">
        <is>
          <t>Growth: EPS YoY (rule 15)</t>
        </is>
      </c>
      <c r="D2319" t="n">
        <v>303</v>
      </c>
      <c r="E2319" t="inlineStr">
        <is>
          <t>Solaris Energy Infrastructure (CIK 1697500): power-gen fleet ramp, rev $126.3M→$196.2M (+55%), op income $22.1M→$50.6M; NCI structural (Up-C), no one-off</t>
        </is>
      </c>
      <c r="F2319" t="inlineStr">
        <is>
          <t>10-Q q/e 2026-03-31, Stmts of Ops + EPS note</t>
        </is>
      </c>
      <c r="G2319" t="inlineStr">
        <is>
          <t>High</t>
        </is>
      </c>
      <c r="H2319" t="inlineStr">
        <is>
          <t>objective</t>
        </is>
      </c>
    </row>
    <row r="2320">
      <c r="A2320" t="inlineStr">
        <is>
          <t>2026-06-24</t>
        </is>
      </c>
      <c r="B2320" t="inlineStr">
        <is>
          <t>EQT</t>
        </is>
      </c>
      <c r="C2320" t="inlineStr">
        <is>
          <t>Growth: EPS YoY (rule 15)</t>
        </is>
      </c>
      <c r="D2320" t="n">
        <v>514.2</v>
      </c>
      <c r="E2320" t="inlineStr">
        <is>
          <t>Operational: higher realized gas prices, op income $496.3M→$2,036.0M; the '-$666M unusual' was RECURRING MTM derivative loss (not one-time); year-ago a real price trough</t>
        </is>
      </c>
      <c r="F2320" t="inlineStr">
        <is>
          <t>10-Q q/e 2026-03-31, Stmts of Ops + MD&amp;A/derivatives</t>
        </is>
      </c>
      <c r="G2320" t="inlineStr">
        <is>
          <t>High</t>
        </is>
      </c>
      <c r="H2320" t="inlineStr">
        <is>
          <t>objective</t>
        </is>
      </c>
    </row>
    <row r="2321">
      <c r="A2321" t="inlineStr">
        <is>
          <t>2026-06-24</t>
        </is>
      </c>
      <c r="B2321" t="inlineStr">
        <is>
          <t>IRM</t>
        </is>
      </c>
      <c r="C2321" t="inlineStr">
        <is>
          <t>Growth: EPS YoY (rule 15)</t>
        </is>
      </c>
      <c r="D2321" t="n">
        <v>800.6</v>
      </c>
      <c r="E2321" t="inlineStr">
        <is>
          <t>Operational: rev +21.6%, op income $254.3M→$395.2M (+55%); year-ago 'unusual' was recurring FX + small base, no one-time charge; tax rate artifact on tiny base</t>
        </is>
      </c>
      <c r="F2321" t="inlineStr">
        <is>
          <t>10-Q q/e 2026-03-31, Stmts of Ops + Notes H/I</t>
        </is>
      </c>
      <c r="G2321" t="inlineStr">
        <is>
          <t>High</t>
        </is>
      </c>
      <c r="H2321" t="inlineStr">
        <is>
          <t>objective</t>
        </is>
      </c>
    </row>
    <row r="2322">
      <c r="A2322" t="inlineStr">
        <is>
          <t>2026-06-24</t>
        </is>
      </c>
      <c r="B2322" t="inlineStr">
        <is>
          <t>CIEN</t>
        </is>
      </c>
      <c r="C2322" t="inlineStr">
        <is>
          <t>Growth: EPS YoY (rule 15)</t>
        </is>
      </c>
      <c r="D2322" t="n">
        <v>2333</v>
      </c>
      <c r="E2322" t="inlineStr">
        <is>
          <t>Operational: rev +39.5%, gross margin 40.2%→44.0%, op income $32.8M→$237.9M; low tax is RECURRING SBC benefit (~12x even at normal tax)</t>
        </is>
      </c>
      <c r="F2322" t="inlineStr">
        <is>
          <t>10-Q FQ2 q/e 2026-05-02, Stmts of Ops + tax MD&amp;A</t>
        </is>
      </c>
      <c r="G2322" t="inlineStr">
        <is>
          <t>High</t>
        </is>
      </c>
      <c r="H2322" t="inlineStr">
        <is>
          <t>objective</t>
        </is>
      </c>
    </row>
    <row r="2323">
      <c r="A2323" t="inlineStr">
        <is>
          <t>2026-06-24</t>
        </is>
      </c>
      <c r="B2323" t="inlineStr">
        <is>
          <t>CEG</t>
        </is>
      </c>
      <c r="C2323" t="inlineStr">
        <is>
          <t>Growth: EPS YoY (rule 15)</t>
        </is>
      </c>
      <c r="D2323" t="inlineStr">
        <is>
          <t>blank</t>
        </is>
      </c>
      <c r="E232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t="inlineStr">
        <is>
          <t>10-Q q/e 2026-03-31, Derivatives note + CF stmt</t>
        </is>
      </c>
      <c r="G2323" t="inlineStr">
        <is>
          <t>High</t>
        </is>
      </c>
      <c r="H2323" t="inlineStr">
        <is>
          <t>objective</t>
        </is>
      </c>
    </row>
    <row r="2324">
      <c r="A2324" t="inlineStr">
        <is>
          <t>2026-06-24</t>
        </is>
      </c>
      <c r="B2324" t="inlineStr">
        <is>
          <t>TEL</t>
        </is>
      </c>
      <c r="C2324" t="inlineStr">
        <is>
          <t>Growth: EPS YoY (rule 15)</t>
        </is>
      </c>
      <c r="D2324" t="inlineStr">
        <is>
          <t>blank</t>
        </is>
      </c>
      <c r="E2324" t="inlineStr">
        <is>
          <t>Depressed-base artifact: year-ago FQ2-2025 tax included $574M one-time charge (VA increase on Swiss-sub DTAs) crushing NI to $13M; current also carries $114M one-time tax benefit</t>
        </is>
      </c>
      <c r="F2324" t="inlineStr">
        <is>
          <t>10-Q FQ2 q/e 2026-03-27, Note 12 Income Taxes</t>
        </is>
      </c>
      <c r="G2324" t="inlineStr">
        <is>
          <t>High</t>
        </is>
      </c>
      <c r="H2324" t="inlineStr">
        <is>
          <t>objective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2026-06-25T03:16:16Z</dcterms:modified>
  <cp:revision>0</cp:revision>
</cp:coreProperties>
</file>