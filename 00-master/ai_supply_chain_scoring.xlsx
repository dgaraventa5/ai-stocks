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\x"/>
    <numFmt numFmtId="166" formatCode="0.0\%"/>
    <numFmt numFmtId="167" formatCode="0.0"/>
    <numFmt numFmtId="168" formatCode="yyyy-mm-dd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16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2026-06-10</t>
        </is>
      </c>
      <c r="E2" s="61" t="n">
        <v>62.181526</v>
      </c>
      <c r="F2" s="61" t="n">
        <v>341.035</v>
      </c>
      <c r="G2" s="62" t="n">
        <v>0.31</v>
      </c>
      <c r="H2" s="61" t="n">
        <v>30.302402</v>
      </c>
      <c r="I2" s="33">
        <f>IF(OR(E2="",R2="",R2&lt;=0,E2&lt;0),"",E2/R2)</f>
        <v/>
      </c>
      <c r="J2" s="63">
        <f>IFERROR(AVERAGE(IFERROR(IF(E2="","",IF(E2&lt;0,5,IF(E2&lt;=15,90,IF(E2&lt;=20,75,IF(E2&lt;=25,60,IF(E2&lt;=30,45,IF(E2&lt;=40,30,IF(E2&lt;=60,15,5)))))))),""),IFERROR(IF(F2="","",IF(F2&lt;0,5,IF(F2&lt;=10,90,IF(F2&lt;=15,75,IF(F2&lt;=20,60,IF(F2&lt;=25,45,IF(F2&lt;=35,30,IF(F2&lt;=50,15,5)))))))),""),IFERROR(IF(G2="","",IF(G2&gt;=8,100,IF(G2&gt;=6,90,IF(G2&gt;=4,75,IF(G2&gt;=2,60,IF(G2&gt;=1,45,IF(G2&gt;=0,30,15))))))),""),IFERROR(IF(H2="","",IF(H2&lt;=2,90,IF(H2&lt;=4,75,IF(H2&lt;=7,60,IF(H2&lt;=10,45,IF(H2&lt;=15,30,IF(H2&lt;=25,15,5))))))),""),IFERROR(IF(I2="","",IF(I2&lt;=0.5,100,IF(I2&lt;=1,90,IF(I2&lt;=1.5,75,IF(I2&lt;=2,60,IF(I2&lt;=2.5,45,IF(I2&lt;=3,30,15))))))),"")),"")</f>
        <v/>
      </c>
      <c r="K2" s="62" t="n">
        <v>1.5</v>
      </c>
      <c r="L2" s="62" t="n">
        <v>30.09</v>
      </c>
      <c r="M2" s="62" t="n">
        <v>9.369999999999999</v>
      </c>
      <c r="N2" s="61" t="n">
        <v>1.99</v>
      </c>
      <c r="O2" s="63">
        <f>IFERROR(AVERAGE(IFERROR(IF(K2="","",IF(K2&gt;=25,100,IF(K2&gt;=20,90,IF(K2&gt;=15,75,IF(K2&gt;=10,60,IF(K2&gt;=5,45,IF(K2&gt;=0,30,15))))))),""),IFERROR(IF(L2="","",IF(L2&gt;=60,100,IF(L2&gt;=50,90,IF(L2&gt;=40,75,IF(L2&gt;=30,60,IF(L2&gt;=20,45,IF(L2&gt;=10,30,15))))))),""),IFERROR(IF(M2="","",IF(M2&gt;=25,100,IF(M2&gt;=20,90,IF(M2&gt;=15,75,IF(M2&gt;=10,60,IF(M2&gt;=5,45,IF(M2&gt;=0,30,15))))))),""),IFERROR(IF(N2="","",IF(N2&lt;=0,100,IF(N2&lt;=1,90,IF(N2&lt;=2,75,IF(N2&lt;=3,60,IF(N2&lt;=4,45,IF(N2&lt;=5,30,15))))))),"")),"")</f>
        <v/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IFERROR(AVERAGE(T2,U2,V2,W2,X2)*20,"")</f>
        <v/>
      </c>
      <c r="Z2" s="60" t="n">
        <v>5</v>
      </c>
      <c r="AA2" s="60" t="n">
        <v>5</v>
      </c>
      <c r="AB2" s="60" t="n">
        <v>3</v>
      </c>
      <c r="AC2" s="70" t="n">
        <v>78.3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IFERROR(AVERAGE(AE2,AF2,AG2,AH2,AL2)*20,"")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2026-05-18</t>
        </is>
      </c>
      <c r="E3" s="61" t="n">
        <v>-146.4379</v>
      </c>
      <c r="F3" s="61" t="n">
        <v>24.3</v>
      </c>
      <c r="G3" s="62" t="n">
        <v>-18.75</v>
      </c>
      <c r="H3" s="61" t="n">
        <v>8.793785</v>
      </c>
      <c r="I3" s="33">
        <f>IF(OR(E3="",R3="",R3&lt;=0,E3&lt;0),"",E3/R3)</f>
        <v/>
      </c>
      <c r="J3" s="63">
        <f>IFERROR(AVERAGE(IFERROR(IF(E3="","",IF(E3&lt;0,5,IF(E3&lt;=15,90,IF(E3&lt;=20,75,IF(E3&lt;=25,60,IF(E3&lt;=30,45,IF(E3&lt;=40,30,IF(E3&lt;=60,15,5)))))))),""),IFERROR(IF(F3="","",IF(F3&lt;=2,100,IF(F3&lt;=4,90,IF(F3&lt;=6,75,IF(F3&lt;=9,60,IF(F3&lt;=12,45,IF(F3&lt;=18,30,15))))))),""),IFERROR(IF(G3="","",IF(G3&gt;=8,100,IF(G3&gt;=6,90,IF(G3&gt;=4,75,IF(G3&gt;=2,60,IF(G3&gt;=1,45,IF(G3&gt;=0,30,15))))))),""),IFERROR(IF(H3="","",IF(H3&lt;=2,90,IF(H3&lt;=4,75,IF(H3&lt;=7,60,IF(H3&lt;=10,45,IF(H3&lt;=15,30,IF(H3&lt;=25,15,5))))))),""),IFERROR(IF(I3="","",IF(I3&lt;=0.5,100,IF(I3&lt;=1,90,IF(I3&lt;=1.5,75,IF(I3&lt;=2,60,IF(I3&lt;=2.5,45,IF(I3&lt;=3,30,15))))))),"")),"")</f>
        <v/>
      </c>
      <c r="K3" s="62" t="n">
        <v>0</v>
      </c>
      <c r="L3" s="62" t="n">
        <v>69.38</v>
      </c>
      <c r="M3" s="62" t="n">
        <v>-170.48</v>
      </c>
      <c r="N3" s="61" t="n">
        <v>10.87</v>
      </c>
      <c r="O3" s="63">
        <f>IFERROR(AVERAGE(IFERROR(IF(K3="","",IF(K3&gt;=25,100,IF(K3&gt;=20,90,IF(K3&gt;=15,75,IF(K3&gt;=10,60,IF(K3&gt;=5,45,IF(K3&gt;=0,30,15))))))),""),IFERROR(IF(L3="","",IF(L3&gt;=60,100,IF(L3&gt;=50,90,IF(L3&gt;=40,75,IF(L3&gt;=30,60,IF(L3&gt;=20,45,IF(L3&gt;=10,30,15))))))),""),IFERROR(IF(M3="","",IF(M3&gt;=25,100,IF(M3&gt;=20,90,IF(M3&gt;=15,75,IF(M3&gt;=10,60,IF(M3&gt;=5,45,IF(M3&gt;=0,30,15))))))),""),IFERROR(IF(N3="","",IF(N3&lt;=0,100,IF(N3&lt;=1,90,IF(N3&lt;=2,75,IF(N3&lt;=3,60,IF(N3&lt;=4,45,IF(N3&lt;=5,30,15))))))),"")),"")</f>
        <v/>
      </c>
      <c r="P3" s="62" t="n">
        <v>586.92</v>
      </c>
      <c r="Q3" s="62" t="n">
        <v>111.6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IFERROR(AVERAGE(T3,U3,V3,W3,X3)*20,"")</f>
        <v/>
      </c>
      <c r="Z3" s="60" t="n">
        <v>5</v>
      </c>
      <c r="AA3" s="60" t="n">
        <v>5</v>
      </c>
      <c r="AB3" s="60" t="n">
        <v>2</v>
      </c>
      <c r="AC3" s="70" t="n">
        <v>58.3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1</v>
      </c>
      <c r="AF3" s="60" t="n">
        <v>5</v>
      </c>
      <c r="AG3" s="60" t="n">
        <v>2</v>
      </c>
      <c r="AH3" s="60" t="n">
        <v>4</v>
      </c>
      <c r="AI3" s="63">
        <f>IFERROR(AVERAGE(AE3,AF3,AG3,AH3,AL3)*20,"")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2026-05-18</t>
        </is>
      </c>
      <c r="E4" s="61" t="n">
        <v>38.492687</v>
      </c>
      <c r="F4" s="61" t="n">
        <v>60.112</v>
      </c>
      <c r="G4" s="62" t="n">
        <v>1.96</v>
      </c>
      <c r="H4" s="61" t="n">
        <v>12.004241</v>
      </c>
      <c r="I4" s="33">
        <f>IF(OR(E4="",R4="",R4&lt;=0,E4&lt;0),"",E4/R4)</f>
        <v/>
      </c>
      <c r="J4" s="63">
        <f>IFERROR(AVERAGE(IFERROR(IF(E4="","",IF(E4&lt;0,5,IF(E4&lt;=15,90,IF(E4&lt;=20,75,IF(E4&lt;=25,60,IF(E4&lt;=30,45,IF(E4&lt;=40,30,IF(E4&lt;=60,15,5)))))))),""),IFERROR(IF(F4="","",IF(F4&lt;0,5,IF(F4&lt;=10,90,IF(F4&lt;=15,75,IF(F4&lt;=20,60,IF(F4&lt;=25,45,IF(F4&lt;=35,30,IF(F4&lt;=50,15,5)))))))),""),IFERROR(IF(G4="","",IF(G4&gt;=8,100,IF(G4&gt;=6,90,IF(G4&gt;=4,75,IF(G4&gt;=2,60,IF(G4&gt;=1,45,IF(G4&gt;=0,30,15))))))),""),IFERROR(IF(H4="","",IF(H4&lt;=2,90,IF(H4&lt;=4,75,IF(H4&lt;=7,60,IF(H4&lt;=10,45,IF(H4&lt;=15,30,IF(H4&lt;=25,15,5))))))),""),IFERROR(IF(I4="","",IF(I4&lt;=0.5,100,IF(I4&lt;=1,90,IF(I4&lt;=1.5,75,IF(I4&lt;=2,60,IF(I4&lt;=2.5,45,IF(I4&lt;=3,30,15))))))),"")),"")</f>
        <v/>
      </c>
      <c r="K4" s="62" t="n">
        <v>19.5</v>
      </c>
      <c r="L4" s="62" t="n">
        <v>37.15</v>
      </c>
      <c r="M4" s="62" t="n">
        <v>20.99</v>
      </c>
      <c r="N4" s="61" t="n">
        <v>0.32</v>
      </c>
      <c r="O4" s="63">
        <f>IFERROR(AVERAGE(IFERROR(IF(K4="","",IF(K4&gt;=25,100,IF(K4&gt;=20,90,IF(K4&gt;=15,75,IF(K4&gt;=10,60,IF(K4&gt;=5,45,IF(K4&gt;=0,30,15))))))),""),IFERROR(IF(L4="","",IF(L4&gt;=60,100,IF(L4&gt;=50,90,IF(L4&gt;=40,75,IF(L4&gt;=30,60,IF(L4&gt;=20,45,IF(L4&gt;=10,30,15))))))),""),IFERROR(IF(M4="","",IF(M4&gt;=25,100,IF(M4&gt;=20,90,IF(M4&gt;=15,75,IF(M4&gt;=10,60,IF(M4&gt;=5,45,IF(M4&gt;=0,30,15))))))),""),IFERROR(IF(N4="","",IF(N4&lt;=0,100,IF(N4&lt;=1,90,IF(N4&lt;=2,75,IF(N4&lt;=3,60,IF(N4&lt;=4,45,IF(N4&lt;=5,30,15))))))),"")),"")</f>
        <v/>
      </c>
      <c r="P4" s="62" t="n">
        <v>21.59</v>
      </c>
      <c r="Q4" s="62" t="n">
        <v>30.1</v>
      </c>
      <c r="R4" s="62" t="n">
        <v>137.1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IFERROR(AVERAGE(T4,U4,V4,W4,X4)*20,"")</f>
        <v/>
      </c>
      <c r="Z4" s="60" t="n">
        <v>5</v>
      </c>
      <c r="AA4" s="60" t="n">
        <v>4</v>
      </c>
      <c r="AB4" s="60" t="n">
        <v>3</v>
      </c>
      <c r="AC4" s="70" t="n">
        <v>83.3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IFERROR(AVERAGE(AE4,AF4,AG4,AH4,AL4)*20,"")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2026-06-12</t>
        </is>
      </c>
      <c r="E5" s="61" t="n">
        <v>38.376133</v>
      </c>
      <c r="F5" s="61" t="n">
        <v>69.926</v>
      </c>
      <c r="G5" s="62" t="n">
        <v>2.98</v>
      </c>
      <c r="H5" s="61" t="n">
        <v>6.419661</v>
      </c>
      <c r="I5" s="33">
        <f>IF(OR(E5="",R5="",R5&lt;=0,E5&lt;0),"",E5/R5)</f>
        <v/>
      </c>
      <c r="J5" s="63">
        <f>IFERROR(AVERAGE(IFERROR(IF(E5="","",IF(E5&lt;0,5,IF(E5&lt;=15,90,IF(E5&lt;=20,75,IF(E5&lt;=25,60,IF(E5&lt;=30,45,IF(E5&lt;=40,30,IF(E5&lt;=60,15,5)))))))),""),IFERROR(IF(F5="","",IF(F5&lt;0,5,IF(F5&lt;=10,90,IF(F5&lt;=15,75,IF(F5&lt;=20,60,IF(F5&lt;=25,45,IF(F5&lt;=35,30,IF(F5&lt;=50,15,5)))))))),""),IFERROR(IF(G5="","",IF(G5&gt;=8,100,IF(G5&gt;=6,90,IF(G5&gt;=4,75,IF(G5&gt;=2,60,IF(G5&gt;=1,45,IF(G5&gt;=0,30,15))))))),""),IFERROR(IF(H5="","",IF(H5&lt;=2,90,IF(H5&lt;=4,75,IF(H5&lt;=7,60,IF(H5&lt;=10,45,IF(H5&lt;=15,30,IF(H5&lt;=25,15,5))))))),""),IFERROR(IF(I5="","",IF(I5&lt;=0.5,100,IF(I5&lt;=1,90,IF(I5&lt;=1.5,75,IF(I5&lt;=2,60,IF(I5&lt;=2.5,45,IF(I5&lt;=3,30,15))))))),"")),"")</f>
        <v/>
      </c>
      <c r="K5" s="62" t="n">
        <v>11.2</v>
      </c>
      <c r="L5" s="62" t="n">
        <v>20.28</v>
      </c>
      <c r="M5" s="62" t="n">
        <v>19.11</v>
      </c>
      <c r="N5" s="61" t="n">
        <v>-1.76</v>
      </c>
      <c r="O5" s="63">
        <f>IFERROR(AVERAGE(IFERROR(IF(K5="","",IF(K5&gt;=25,100,IF(K5&gt;=20,90,IF(K5&gt;=15,75,IF(K5&gt;=10,60,IF(K5&gt;=5,45,IF(K5&gt;=0,30,15))))))),""),IFERROR(IF(L5="","",IF(L5&gt;=60,100,IF(L5&gt;=50,90,IF(L5&gt;=40,75,IF(L5&gt;=30,60,IF(L5&gt;=20,45,IF(L5&gt;=10,30,15))))))),""),IFERROR(IF(M5="","",IF(M5&gt;=25,100,IF(M5&gt;=20,90,IF(M5&gt;=15,75,IF(M5&gt;=10,60,IF(M5&gt;=5,45,IF(M5&gt;=0,30,15))))))),""),IFERROR(IF(N5="","",IF(N5&lt;=0,100,IF(N5&lt;=1,90,IF(N5&lt;=2,75,IF(N5&lt;=3,60,IF(N5&lt;=4,45,IF(N5&lt;=5,30,15))))))),"")),"")</f>
        <v/>
      </c>
      <c r="P5" s="62" t="n">
        <v>8.68</v>
      </c>
      <c r="Q5" s="62" t="n">
        <v>16.3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IFERROR(AVERAGE(T5,U5,V5,W5,X5)*20,"")</f>
        <v/>
      </c>
      <c r="Z5" s="60" t="n">
        <v>4</v>
      </c>
      <c r="AA5" s="60" t="n">
        <v>4</v>
      </c>
      <c r="AB5" s="60" t="n">
        <v>4</v>
      </c>
      <c r="AC5" s="70" t="n">
        <v>90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IFERROR(AVERAGE(AE5,AF5,AG5,AH5,AL5)*20,"")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2026-06-10</t>
        </is>
      </c>
      <c r="E6" s="61" t="n">
        <v>8.6165</v>
      </c>
      <c r="F6" s="61" t="n">
        <v>22.909</v>
      </c>
      <c r="G6" s="62" t="n">
        <v>0.91</v>
      </c>
      <c r="H6" s="61" t="n">
        <v>17.3835</v>
      </c>
      <c r="I6" s="33">
        <f>IF(OR(E6="",R6="",R6&lt;=0,E6&lt;0),"",E6/R6)</f>
        <v/>
      </c>
      <c r="J6" s="63">
        <f>IFERROR(AVERAGE(IFERROR(IF(E6="","",IF(E6&lt;0,5,IF(E6&lt;=15,90,IF(E6&lt;=20,75,IF(E6&lt;=25,60,IF(E6&lt;=30,45,IF(E6&lt;=40,30,IF(E6&lt;=60,15,5)))))))),""),IFERROR(IF(F6="","",IF(F6&lt;0,5,IF(F6&lt;=10,90,IF(F6&lt;=15,75,IF(F6&lt;=20,60,IF(F6&lt;=25,45,IF(F6&lt;=35,30,IF(F6&lt;=50,15,5)))))))),""),IFERROR(IF(G6="","",IF(G6&gt;=8,100,IF(G6&gt;=6,90,IF(G6&gt;=4,75,IF(G6&gt;=2,60,IF(G6&gt;=1,45,IF(G6&gt;=0,30,15))))))),""),IFERROR(IF(H6="","",IF(H6&lt;=2,90,IF(H6&lt;=4,75,IF(H6&lt;=7,60,IF(H6&lt;=10,45,IF(H6&lt;=15,30,IF(H6&lt;=25,15,5))))))),""),IFERROR(IF(I6="","",IF(I6&lt;=0.5,100,IF(I6&lt;=1,90,IF(I6&lt;=1.5,75,IF(I6&lt;=2,60,IF(I6&lt;=2.5,45,IF(I6&lt;=3,30,15))))))),"")),"")</f>
        <v/>
      </c>
      <c r="K6" s="62" t="n">
        <v>35.5556</v>
      </c>
      <c r="L6" s="62" t="n">
        <v>58.437</v>
      </c>
      <c r="M6" s="62" t="n">
        <v>17.69</v>
      </c>
      <c r="N6" s="61" t="n">
        <v>-0.103</v>
      </c>
      <c r="O6" s="63">
        <f>IFERROR(AVERAGE(IFERROR(IF(K6="","",IF(K6&gt;=25,100,IF(K6&gt;=20,90,IF(K6&gt;=15,75,IF(K6&gt;=10,60,IF(K6&gt;=5,45,IF(K6&gt;=0,30,15))))))),""),IFERROR(IF(L6="","",IF(L6&gt;=60,100,IF(L6&gt;=50,90,IF(L6&gt;=40,75,IF(L6&gt;=30,60,IF(L6&gt;=20,45,IF(L6&gt;=10,30,15))))))),""),IFERROR(IF(M6="","",IF(M6&gt;=25,100,IF(M6&gt;=20,90,IF(M6&gt;=15,75,IF(M6&gt;=10,60,IF(M6&gt;=5,45,IF(M6&gt;=0,30,15))))))),""),IFERROR(IF(N6="","",IF(N6&lt;=0,100,IF(N6&lt;=1,90,IF(N6&lt;=2,75,IF(N6&lt;=3,60,IF(N6&lt;=4,45,IF(N6&lt;=5,30,15))))))),"")),"")</f>
        <v/>
      </c>
      <c r="P6" s="62" t="n">
        <v>6.7135</v>
      </c>
      <c r="Q6" s="62" t="n">
        <v>196.3</v>
      </c>
      <c r="R6" s="62" t="n">
        <v>756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IFERROR(AVERAGE(T6,U6,V6,W6,X6)*20,"")</f>
        <v/>
      </c>
      <c r="Z6" s="60" t="n">
        <v>5</v>
      </c>
      <c r="AA6" s="60" t="n">
        <v>5</v>
      </c>
      <c r="AB6" s="60" t="n">
        <v>3</v>
      </c>
      <c r="AC6" s="70" t="n">
        <v>90.8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IFERROR(AVERAGE(AE6,AF6,AG6,AH6,AL6)*20,"")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2026-06-10</t>
        </is>
      </c>
      <c r="E7" s="33" t="n">
        <v>19.7</v>
      </c>
      <c r="F7" s="33" t="n">
        <v>14.9</v>
      </c>
      <c r="G7" s="33" t="n">
        <v>1.26</v>
      </c>
      <c r="H7" s="33" t="n">
        <v>3.23</v>
      </c>
      <c r="I7" s="33">
        <f>IF(OR(E7="",R7="",R7&lt;=0,E7&lt;0),"",E7/R7)</f>
        <v/>
      </c>
      <c r="J7" s="66">
        <f>IFERROR(AVERAGE(IFERROR(IF(E7="","",IF(E7&lt;0,5,IF(E7&lt;=15,90,IF(E7&lt;=20,75,IF(E7&lt;=25,60,IF(E7&lt;=30,45,IF(E7&lt;=40,30,IF(E7&lt;=60,15,5)))))))),""),IFERROR(IF(F7="","",IF(F7&lt;0,5,IF(F7&lt;=10,90,IF(F7&lt;=15,75,IF(F7&lt;=20,60,IF(F7&lt;=25,45,IF(F7&lt;=35,30,IF(F7&lt;=50,15,5)))))))),""),IFERROR(IF(G7="","",IF(G7&gt;=8,100,IF(G7&gt;=6,90,IF(G7&gt;=4,75,IF(G7&gt;=2,60,IF(G7&gt;=1,45,IF(G7&gt;=0,30,15))))))),""),IFERROR(IF(H7="","",IF(H7&lt;=2,90,IF(H7&lt;=4,75,IF(H7&lt;=7,60,IF(H7&lt;=10,45,IF(H7&lt;=15,30,IF(H7&lt;=25,15,5))))))),""),IFERROR(IF(I7="","",IF(I7&lt;=0.5,100,IF(I7&lt;=1,90,IF(I7&lt;=1.5,75,IF(I7&lt;=2,60,IF(I7&lt;=2.5,45,IF(I7&lt;=3,30,15))))))),"")),"")</f>
        <v/>
      </c>
      <c r="K7" s="33" t="n">
        <v>11.3</v>
      </c>
      <c r="L7" s="33" t="n">
        <v>23.3</v>
      </c>
      <c r="M7" s="33" t="n">
        <v>3.81</v>
      </c>
      <c r="N7" s="33" t="n">
        <v>2.71</v>
      </c>
      <c r="O7" s="66">
        <f>IFERROR(AVERAGE(IFERROR(IF(K7="","",IF(K7&gt;=25,100,IF(K7&gt;=20,90,IF(K7&gt;=15,75,IF(K7&gt;=10,60,IF(K7&gt;=5,45,IF(K7&gt;=0,30,15))))))),""),IFERROR(IF(L7="","",IF(L7&gt;=60,100,IF(L7&gt;=50,90,IF(L7&gt;=40,75,IF(L7&gt;=30,60,IF(L7&gt;=20,45,IF(L7&gt;=10,30,15))))))),""),IFERROR(IF(M7="","",IF(M7&gt;=25,100,IF(M7&gt;=20,90,IF(M7&gt;=15,75,IF(M7&gt;=10,60,IF(M7&gt;=5,45,IF(M7&gt;=0,30,15))))))),""),IFERROR(IF(N7="","",IF(N7&lt;=0,100,IF(N7&lt;=1,90,IF(N7&lt;=2,75,IF(N7&lt;=3,60,IF(N7&lt;=4,45,IF(N7&lt;=5,30,15))))))),"")),"")</f>
        <v/>
      </c>
      <c r="P7" s="33" t="n">
        <v>1.5</v>
      </c>
      <c r="Q7" s="33" t="n">
        <v>63.8</v>
      </c>
      <c r="R7" s="33" t="n">
        <v>1247.5</v>
      </c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IFERROR(AVERAGE(T7,U7,V7,W7,X7)*20,"")</f>
        <v/>
      </c>
      <c r="Z7" s="33" t="n">
        <v>3</v>
      </c>
      <c r="AA7" s="33" t="n">
        <v>2</v>
      </c>
      <c r="AB7" s="33" t="n">
        <v>3</v>
      </c>
      <c r="AC7" s="71" t="n">
        <v>27.5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IFERROR(AVERAGE(AE7,AF7,AG7,AH7,AL7)*20,"")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2026-06-12</t>
        </is>
      </c>
      <c r="E8" s="33" t="n">
        <v>16.105736</v>
      </c>
      <c r="F8" s="33" t="n">
        <v>29.71</v>
      </c>
      <c r="G8" s="33" t="n">
        <v>2.4</v>
      </c>
      <c r="H8" s="33" t="n">
        <v>19.586838</v>
      </c>
      <c r="I8" s="33">
        <f>IF(OR(E8="",R8="",R8&lt;=0,E8&lt;0),"",E8/R8)</f>
        <v/>
      </c>
      <c r="J8" s="66">
        <f>IFERROR(AVERAGE(IFERROR(IF(E8="","",IF(E8&lt;0,5,IF(E8&lt;=15,90,IF(E8&lt;=20,75,IF(E8&lt;=25,60,IF(E8&lt;=30,45,IF(E8&lt;=40,30,IF(E8&lt;=60,15,5)))))))),""),IFERROR(IF(F8="","",IF(F8&lt;0,5,IF(F8&lt;=10,90,IF(F8&lt;=15,75,IF(F8&lt;=20,60,IF(F8&lt;=25,45,IF(F8&lt;=35,30,IF(F8&lt;=50,15,5)))))))),""),IFERROR(IF(G8="","",IF(G8&gt;=8,100,IF(G8&gt;=6,90,IF(G8&gt;=4,75,IF(G8&gt;=2,60,IF(G8&gt;=1,45,IF(G8&gt;=0,30,15))))))),""),IFERROR(IF(H8="","",IF(H8&lt;=2,90,IF(H8&lt;=4,75,IF(H8&lt;=7,60,IF(H8&lt;=10,45,IF(H8&lt;=15,30,IF(H8&lt;=25,15,5))))))),""),IFERROR(IF(I8="","",IF(I8&lt;=0.5,100,IF(I8&lt;=1,90,IF(I8&lt;=1.5,75,IF(I8&lt;=2,60,IF(I8&lt;=2.5,45,IF(I8&lt;=3,30,15))))))),"")),"")</f>
        <v/>
      </c>
      <c r="K8" s="33" t="n">
        <v>103.061</v>
      </c>
      <c r="L8" s="33" t="n">
        <v>74.14</v>
      </c>
      <c r="M8" s="33" t="n">
        <v>46.97</v>
      </c>
      <c r="N8" s="33" t="n">
        <v>-0.24</v>
      </c>
      <c r="O8" s="66">
        <f>IFERROR(AVERAGE(IFERROR(IF(K8="","",IF(K8&gt;=25,100,IF(K8&gt;=20,90,IF(K8&gt;=15,75,IF(K8&gt;=10,60,IF(K8&gt;=5,45,IF(K8&gt;=0,30,15))))))),""),IFERROR(IF(L8="","",IF(L8&gt;=60,100,IF(L8&gt;=50,90,IF(L8&gt;=40,75,IF(L8&gt;=30,60,IF(L8&gt;=20,45,IF(L8&gt;=10,30,15))))))),""),IFERROR(IF(M8="","",IF(M8&gt;=25,100,IF(M8&gt;=20,90,IF(M8&gt;=15,75,IF(M8&gt;=10,60,IF(M8&gt;=5,45,IF(M8&gt;=0,30,15))))))),""),IFERROR(IF(N8="","",IF(N8&lt;=0,100,IF(N8&lt;=1,90,IF(N8&lt;=2,75,IF(N8&lt;=3,60,IF(N8&lt;=4,45,IF(N8&lt;=5,30,15))))))),"")),"")</f>
        <v/>
      </c>
      <c r="P8" s="33" t="n">
        <v>100.05</v>
      </c>
      <c r="Q8" s="33" t="n">
        <v>85.2</v>
      </c>
      <c r="R8" s="33" t="n">
        <v>210.6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IFERROR(AVERAGE(T8,U8,V8,W8,X8)*20,"")</f>
        <v/>
      </c>
      <c r="Z8" s="33" t="n">
        <v>4</v>
      </c>
      <c r="AA8" s="33" t="n">
        <v>1</v>
      </c>
      <c r="AB8" s="33" t="n">
        <v>3</v>
      </c>
      <c r="AC8" s="71" t="n">
        <v>65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IFERROR(AVERAGE(AE8,AF8,AG8,AH8,AL8)*20,"")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2026-06-10</t>
        </is>
      </c>
      <c r="E9" s="33" t="n">
        <v>38.88</v>
      </c>
      <c r="F9" s="33" t="n">
        <v>101.46</v>
      </c>
      <c r="G9" s="33" t="n">
        <v>1.02</v>
      </c>
      <c r="H9" s="33" t="n">
        <v>21.9374</v>
      </c>
      <c r="I9" s="33">
        <f>IF(OR(E9="",R9="",R9&lt;=0,E9&lt;0),"",E9/R9)</f>
        <v/>
      </c>
      <c r="J9" s="66">
        <f>IFERROR(AVERAGE(IFERROR(IF(E9="","",IF(E9&lt;0,5,IF(E9&lt;=15,90,IF(E9&lt;=20,75,IF(E9&lt;=25,60,IF(E9&lt;=30,45,IF(E9&lt;=40,30,IF(E9&lt;=60,15,5)))))))),""),IFERROR(IF(F9="","",IF(F9&lt;0,5,IF(F9&lt;=10,90,IF(F9&lt;=15,75,IF(F9&lt;=20,60,IF(F9&lt;=25,45,IF(F9&lt;=35,30,IF(F9&lt;=50,15,5)))))))),""),IFERROR(IF(G9="","",IF(G9&gt;=8,100,IF(G9&gt;=6,90,IF(G9&gt;=4,75,IF(G9&gt;=2,60,IF(G9&gt;=1,45,IF(G9&gt;=0,30,15))))))),""),IFERROR(IF(H9="","",IF(H9&lt;=2,90,IF(H9&lt;=4,75,IF(H9&lt;=7,60,IF(H9&lt;=10,45,IF(H9&lt;=15,30,IF(H9&lt;=25,15,5))))))),""),IFERROR(IF(I9="","",IF(I9&lt;=0.5,100,IF(I9&lt;=1,90,IF(I9&lt;=1.5,75,IF(I9&lt;=2,60,IF(I9&lt;=2.5,45,IF(I9&lt;=3,30,15))))))),"")),"")</f>
        <v/>
      </c>
      <c r="K9" s="33" t="n">
        <v>8.1</v>
      </c>
      <c r="L9" s="33" t="n">
        <v>50.28</v>
      </c>
      <c r="M9" s="33" t="n">
        <v>22.89</v>
      </c>
      <c r="N9" s="33" t="n">
        <v>-1.05</v>
      </c>
      <c r="O9" s="66">
        <f>IFERROR(AVERAGE(IFERROR(IF(K9="","",IF(K9&gt;=25,100,IF(K9&gt;=20,90,IF(K9&gt;=15,75,IF(K9&gt;=10,60,IF(K9&gt;=5,45,IF(K9&gt;=0,30,15))))))),""),IFERROR(IF(L9="","",IF(L9&gt;=60,100,IF(L9&gt;=50,90,IF(L9&gt;=40,75,IF(L9&gt;=30,60,IF(L9&gt;=20,45,IF(L9&gt;=10,30,15))))))),""),IFERROR(IF(M9="","",IF(M9&gt;=25,100,IF(M9&gt;=20,90,IF(M9&gt;=15,75,IF(M9&gt;=10,60,IF(M9&gt;=5,45,IF(M9&gt;=0,30,15))))))),""),IFERROR(IF(N9="","",IF(N9&lt;=0,100,IF(N9&lt;=1,90,IF(N9&lt;=2,75,IF(N9&lt;=3,60,IF(N9&lt;=4,45,IF(N9&lt;=5,30,15))))))),"")),"")</f>
        <v/>
      </c>
      <c r="P9" s="33" t="n">
        <v>13.64</v>
      </c>
      <c r="Q9" s="33" t="n">
        <v>37.8</v>
      </c>
      <c r="R9" s="33" t="n">
        <v>91.2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IFERROR(AVERAGE(T9,U9,V9,W9,X9)*20,"")</f>
        <v/>
      </c>
      <c r="Z9" s="33" t="n">
        <v>5</v>
      </c>
      <c r="AA9" s="33" t="n">
        <v>5</v>
      </c>
      <c r="AB9" s="33" t="n">
        <v>3</v>
      </c>
      <c r="AC9" s="71" t="n">
        <v>54.2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IFERROR(AVERAGE(AE9,AF9,AG9,AH9,AL9)*20,"")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2026-06-10</t>
        </is>
      </c>
      <c r="E10" s="33" t="n">
        <v>16.204311</v>
      </c>
      <c r="F10" s="33" t="n">
        <v>13.556</v>
      </c>
      <c r="G10" s="33" t="n">
        <v>-12.4</v>
      </c>
      <c r="H10" s="33" t="n">
        <v>3.111283</v>
      </c>
      <c r="I10" s="33">
        <f>IF(OR(E10="",R10="",R10&lt;=0,E10&lt;0),"",E10/R10)</f>
        <v/>
      </c>
      <c r="J10" s="66">
        <f>IFERROR(AVERAGE(IFERROR(IF(E10="","",IF(E10&lt;0,5,IF(E10&lt;=15,90,IF(E10&lt;=20,75,IF(E10&lt;=25,60,IF(E10&lt;=30,45,IF(E10&lt;=40,30,IF(E10&lt;=60,15,5)))))))),""),IFERROR(IF(F10="","",IF(F10&lt;0,5,IF(F10&lt;=10,90,IF(F10&lt;=15,75,IF(F10&lt;=20,60,IF(F10&lt;=25,45,IF(F10&lt;=35,30,IF(F10&lt;=50,15,5)))))))),""),IFERROR(IF(G10="","",IF(G10&gt;=8,100,IF(G10&gt;=6,90,IF(G10&gt;=4,75,IF(G10&gt;=2,60,IF(G10&gt;=1,45,IF(G10&gt;=0,30,15))))))),""),IFERROR(IF(H10="","",IF(H10&lt;=2,90,IF(H10&lt;=4,75,IF(H10&lt;=7,60,IF(H10&lt;=10,45,IF(H10&lt;=15,30,IF(H10&lt;=25,15,5))))))),""),IFERROR(IF(I10="","",IF(I10&lt;=0.5,100,IF(I10&lt;=1,90,IF(I10&lt;=1.5,75,IF(I10&lt;=2,60,IF(I10&lt;=2.5,45,IF(I10&lt;=3,30,15))))))),"")),"")</f>
        <v/>
      </c>
      <c r="K10" s="33" t="n">
        <v>6.2</v>
      </c>
      <c r="L10" s="33" t="n">
        <v>47.26</v>
      </c>
      <c r="M10" s="33" t="n">
        <v>-42.36</v>
      </c>
      <c r="N10" s="33" t="n">
        <v>6.29</v>
      </c>
      <c r="O10" s="66">
        <f>IFERROR(AVERAGE(IFERROR(IF(K10="","",IF(K10&gt;=25,100,IF(K10&gt;=20,90,IF(K10&gt;=15,75,IF(K10&gt;=10,60,IF(K10&gt;=5,45,IF(K10&gt;=0,30,15))))))),""),IFERROR(IF(L10="","",IF(L10&gt;=60,100,IF(L10&gt;=50,90,IF(L10&gt;=40,75,IF(L10&gt;=30,60,IF(L10&gt;=20,45,IF(L10&gt;=10,30,15))))))),""),IFERROR(IF(M10="","",IF(M10&gt;=25,100,IF(M10&gt;=20,90,IF(M10&gt;=15,75,IF(M10&gt;=10,60,IF(M10&gt;=5,45,IF(M10&gt;=0,30,15))))))),""),IFERROR(IF(N10="","",IF(N10&lt;=0,100,IF(N10&lt;=1,90,IF(N10&lt;=2,75,IF(N10&lt;=3,60,IF(N10&lt;=4,45,IF(N10&lt;=5,30,15))))))),"")),"")</f>
        <v/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IFERROR(AVERAGE(T10,U10,V10,W10,X10)*20,"")</f>
        <v/>
      </c>
      <c r="Z10" s="33" t="n">
        <v>3</v>
      </c>
      <c r="AA10" s="33" t="n">
        <v>4</v>
      </c>
      <c r="AB10" s="33" t="n">
        <v>3</v>
      </c>
      <c r="AC10" s="71" t="n">
        <v>66.7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IFERROR(AVERAGE(AE10,AF10,AG10,AH10,AL10)*20,"")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2026-06-10</t>
        </is>
      </c>
      <c r="E11" s="33" t="n">
        <v>18.176563</v>
      </c>
      <c r="F11" s="33" t="n">
        <v>13.189</v>
      </c>
      <c r="G11" s="33" t="n">
        <v>-4.61</v>
      </c>
      <c r="H11" s="33" t="n">
        <v>3.0354722</v>
      </c>
      <c r="I11" s="33">
        <f>IF(OR(E11="",R11="",R11&lt;=0,E11&lt;0),"",E11/R11)</f>
        <v/>
      </c>
      <c r="J11" s="66">
        <f>IFERROR(AVERAGE(IFERROR(IF(E11="","",IF(E11&lt;0,5,IF(E11&lt;=15,90,IF(E11&lt;=20,75,IF(E11&lt;=25,60,IF(E11&lt;=30,45,IF(E11&lt;=40,30,IF(E11&lt;=60,15,5)))))))),""),IFERROR(IF(F11="","",IF(F11&lt;0,5,IF(F11&lt;=10,90,IF(F11&lt;=15,75,IF(F11&lt;=20,60,IF(F11&lt;=25,45,IF(F11&lt;=35,30,IF(F11&lt;=50,15,5)))))))),""),IFERROR(IF(G11="","",IF(G11&gt;=8,100,IF(G11&gt;=6,90,IF(G11&gt;=4,75,IF(G11&gt;=2,60,IF(G11&gt;=1,45,IF(G11&gt;=0,30,15))))))),""),IFERROR(IF(H11="","",IF(H11&lt;=2,90,IF(H11&lt;=4,75,IF(H11&lt;=7,60,IF(H11&lt;=10,45,IF(H11&lt;=15,30,IF(H11&lt;=25,15,5))))))),""),IFERROR(IF(I11="","",IF(I11&lt;=0.5,100,IF(I11&lt;=1,90,IF(I11&lt;=1.5,75,IF(I11&lt;=2,60,IF(I11&lt;=2.5,45,IF(I11&lt;=3,30,15))))))),"")),"")</f>
        <v/>
      </c>
      <c r="K11" s="33" t="n">
        <v>6.9</v>
      </c>
      <c r="L11" s="33" t="n">
        <v>47.24</v>
      </c>
      <c r="M11" s="33" t="n">
        <v>-14.45</v>
      </c>
      <c r="N11" s="33" t="n">
        <v>5.61</v>
      </c>
      <c r="O11" s="66">
        <f>IFERROR(AVERAGE(IFERROR(IF(K11="","",IF(K11&gt;=25,100,IF(K11&gt;=20,90,IF(K11&gt;=15,75,IF(K11&gt;=10,60,IF(K11&gt;=5,45,IF(K11&gt;=0,30,15))))))),""),IFERROR(IF(L11="","",IF(L11&gt;=60,100,IF(L11&gt;=50,90,IF(L11&gt;=40,75,IF(L11&gt;=30,60,IF(L11&gt;=20,45,IF(L11&gt;=10,30,15))))))),""),IFERROR(IF(M11="","",IF(M11&gt;=25,100,IF(M11&gt;=20,90,IF(M11&gt;=15,75,IF(M11&gt;=10,60,IF(M11&gt;=5,45,IF(M11&gt;=0,30,15))))))),""),IFERROR(IF(N11="","",IF(N11&lt;=0,100,IF(N11&lt;=1,90,IF(N11&lt;=2,75,IF(N11&lt;=3,60,IF(N11&lt;=4,45,IF(N11&lt;=5,30,15))))))),"")),"")</f>
        <v/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IFERROR(AVERAGE(T11,U11,V11,W11,X11)*20,"")</f>
        <v/>
      </c>
      <c r="Z11" s="33" t="n">
        <v>5</v>
      </c>
      <c r="AA11" s="33" t="n">
        <v>4</v>
      </c>
      <c r="AB11" s="33" t="n">
        <v>3</v>
      </c>
      <c r="AC11" s="71" t="n">
        <v>64.2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IFERROR(AVERAGE(AE11,AF11,AG11,AH11,AL11)*20,"")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2026-06-10</t>
        </is>
      </c>
      <c r="E12" s="33" t="n">
        <v>16.874216</v>
      </c>
      <c r="F12" s="33" t="n">
        <v>11.309</v>
      </c>
      <c r="G12" s="33" t="n">
        <v>-3.39</v>
      </c>
      <c r="H12" s="33" t="n">
        <v>2.881878</v>
      </c>
      <c r="I12" s="33">
        <f>IF(OR(E12="",R12="",R12&lt;=0,E12&lt;0),"",E12/R12)</f>
        <v/>
      </c>
      <c r="J12" s="66">
        <f>IFERROR(AVERAGE(IFERROR(IF(E12="","",IF(E12&lt;0,5,IF(E12&lt;=15,90,IF(E12&lt;=20,75,IF(E12&lt;=25,60,IF(E12&lt;=30,45,IF(E12&lt;=40,30,IF(E12&lt;=60,15,5)))))))),""),IFERROR(IF(F12="","",IF(F12&lt;0,5,IF(F12&lt;=10,90,IF(F12&lt;=15,75,IF(F12&lt;=20,60,IF(F12&lt;=25,45,IF(F12&lt;=35,30,IF(F12&lt;=50,15,5)))))))),""),IFERROR(IF(G12="","",IF(G12&gt;=8,100,IF(G12&gt;=6,90,IF(G12&gt;=4,75,IF(G12&gt;=2,60,IF(G12&gt;=1,45,IF(G12&gt;=0,30,15))))))),""),IFERROR(IF(H12="","",IF(H12&lt;=2,90,IF(H12&lt;=4,75,IF(H12&lt;=7,60,IF(H12&lt;=10,45,IF(H12&lt;=15,30,IF(H12&lt;=25,15,5))))))),""),IFERROR(IF(I12="","",IF(I12&lt;=0.5,100,IF(I12&lt;=1,90,IF(I12&lt;=1.5,75,IF(I12&lt;=2,60,IF(I12&lt;=2.5,45,IF(I12&lt;=3,30,15))))))),"")),"")</f>
        <v/>
      </c>
      <c r="K12" s="33" t="n">
        <v>5.8</v>
      </c>
      <c r="L12" s="33" t="n">
        <v>51.05</v>
      </c>
      <c r="M12" s="33" t="n">
        <v>-10.08</v>
      </c>
      <c r="N12" s="33" t="n">
        <v>5.41</v>
      </c>
      <c r="O12" s="66">
        <f>IFERROR(AVERAGE(IFERROR(IF(K12="","",IF(K12&gt;=25,100,IF(K12&gt;=20,90,IF(K12&gt;=15,75,IF(K12&gt;=10,60,IF(K12&gt;=5,45,IF(K12&gt;=0,30,15))))))),""),IFERROR(IF(L12="","",IF(L12&gt;=60,100,IF(L12&gt;=50,90,IF(L12&gt;=40,75,IF(L12&gt;=30,60,IF(L12&gt;=20,45,IF(L12&gt;=10,30,15))))))),""),IFERROR(IF(M12="","",IF(M12&gt;=25,100,IF(M12&gt;=20,90,IF(M12&gt;=15,75,IF(M12&gt;=10,60,IF(M12&gt;=5,45,IF(M12&gt;=0,30,15))))))),""),IFERROR(IF(N12="","",IF(N12&lt;=0,100,IF(N12&lt;=1,90,IF(N12&lt;=2,75,IF(N12&lt;=3,60,IF(N12&lt;=4,45,IF(N12&lt;=5,30,15))))))),"")),"")</f>
        <v/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IFERROR(AVERAGE(T12,U12,V12,W12,X12)*20,"")</f>
        <v/>
      </c>
      <c r="Z12" s="33" t="n">
        <v>4</v>
      </c>
      <c r="AA12" s="33" t="n">
        <v>3</v>
      </c>
      <c r="AB12" s="33" t="n">
        <v>3</v>
      </c>
      <c r="AC12" s="71" t="n">
        <v>48.3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IFERROR(AVERAGE(AE12,AF12,AG12,AH12,AL12)*20,"")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2026-06-10</t>
        </is>
      </c>
      <c r="E13" s="33" t="n">
        <v>18.818663</v>
      </c>
      <c r="F13" s="33" t="n">
        <v>13.035</v>
      </c>
      <c r="G13" s="33" t="n">
        <v>-3.28</v>
      </c>
      <c r="H13" s="33" t="n">
        <v>3.457555</v>
      </c>
      <c r="I13" s="33">
        <f>IF(OR(E13="",R13="",R13&lt;=0,E13&lt;0),"",E13/R13)</f>
        <v/>
      </c>
      <c r="J13" s="66">
        <f>IFERROR(AVERAGE(IFERROR(IF(E13="","",IF(E13&lt;0,5,IF(E13&lt;=15,90,IF(E13&lt;=20,75,IF(E13&lt;=25,60,IF(E13&lt;=30,45,IF(E13&lt;=40,30,IF(E13&lt;=60,15,5)))))))),""),IFERROR(IF(F13="","",IF(F13&lt;0,5,IF(F13&lt;=10,90,IF(F13&lt;=15,75,IF(F13&lt;=20,60,IF(F13&lt;=25,45,IF(F13&lt;=35,30,IF(F13&lt;=50,15,5)))))))),""),IFERROR(IF(G13="","",IF(G13&gt;=8,100,IF(G13&gt;=6,90,IF(G13&gt;=4,75,IF(G13&gt;=2,60,IF(G13&gt;=1,45,IF(G13&gt;=0,30,15))))))),""),IFERROR(IF(H13="","",IF(H13&lt;=2,90,IF(H13&lt;=4,75,IF(H13&lt;=7,60,IF(H13&lt;=10,45,IF(H13&lt;=15,30,IF(H13&lt;=25,15,5))))))),""),IFERROR(IF(I13="","",IF(I13&lt;=0.5,100,IF(I13&lt;=1,90,IF(I13&lt;=1.5,75,IF(I13&lt;=2,60,IF(I13&lt;=2.5,45,IF(I13&lt;=3,30,15))))))),"")),"")</f>
        <v/>
      </c>
      <c r="K13" s="33" t="n">
        <v>6.2</v>
      </c>
      <c r="L13" s="33" t="n">
        <v>48</v>
      </c>
      <c r="M13" s="33" t="n">
        <v>-11.49</v>
      </c>
      <c r="N13" s="33" t="n">
        <v>5.37</v>
      </c>
      <c r="O13" s="66">
        <f>IFERROR(AVERAGE(IFERROR(IF(K13="","",IF(K13&gt;=25,100,IF(K13&gt;=20,90,IF(K13&gt;=15,75,IF(K13&gt;=10,60,IF(K13&gt;=5,45,IF(K13&gt;=0,30,15))))))),""),IFERROR(IF(L13="","",IF(L13&gt;=60,100,IF(L13&gt;=50,90,IF(L13&gt;=40,75,IF(L13&gt;=30,60,IF(L13&gt;=20,45,IF(L13&gt;=10,30,15))))))),""),IFERROR(IF(M13="","",IF(M13&gt;=25,100,IF(M13&gt;=20,90,IF(M13&gt;=15,75,IF(M13&gt;=10,60,IF(M13&gt;=5,45,IF(M13&gt;=0,30,15))))))),""),IFERROR(IF(N13="","",IF(N13&lt;=0,100,IF(N13&lt;=1,90,IF(N13&lt;=2,75,IF(N13&lt;=3,60,IF(N13&lt;=4,45,IF(N13&lt;=5,30,15))))))),"")),"")</f>
        <v/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IFERROR(AVERAGE(T13,U13,V13,W13,X13)*20,"")</f>
        <v/>
      </c>
      <c r="Z13" s="33" t="n">
        <v>2</v>
      </c>
      <c r="AA13" s="33" t="n">
        <v>4</v>
      </c>
      <c r="AB13" s="33" t="n">
        <v>3</v>
      </c>
      <c r="AC13" s="71" t="n">
        <v>55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IFERROR(AVERAGE(AE13,AF13,AG13,AH13,AL13)*20,"")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2026-06-10</t>
        </is>
      </c>
      <c r="E14" s="33" t="n">
        <v>21.263996</v>
      </c>
      <c r="F14" s="33" t="n">
        <v>21.788</v>
      </c>
      <c r="G14" s="33" t="n">
        <v>1.32</v>
      </c>
      <c r="H14" s="33" t="n">
        <v>6.9865603</v>
      </c>
      <c r="I14" s="33">
        <f>IF(OR(E14="",R14="",R14&lt;=0,E14&lt;0),"",E14/R14)</f>
        <v/>
      </c>
      <c r="J14" s="66">
        <f>IFERROR(AVERAGE(IFERROR(IF(E14="","",IF(E14&lt;0,5,IF(E14&lt;=15,90,IF(E14&lt;=20,75,IF(E14&lt;=25,60,IF(E14&lt;=30,45,IF(E14&lt;=40,30,IF(E14&lt;=60,15,5)))))))),""),IFERROR(IF(F14="","",IF(F14&lt;0,5,IF(F14&lt;=10,90,IF(F14&lt;=15,75,IF(F14&lt;=20,60,IF(F14&lt;=25,45,IF(F14&lt;=35,30,IF(F14&lt;=50,15,5)))))))),""),IFERROR(IF(G14="","",IF(G14&gt;=8,100,IF(G14&gt;=6,90,IF(G14&gt;=4,75,IF(G14&gt;=2,60,IF(G14&gt;=1,45,IF(G14&gt;=0,30,15))))))),""),IFERROR(IF(H14="","",IF(H14&lt;=2,90,IF(H14&lt;=4,75,IF(H14&lt;=7,60,IF(H14&lt;=10,45,IF(H14&lt;=15,30,IF(H14&lt;=25,15,5))))))),""),IFERROR(IF(I14="","",IF(I14&lt;=0.5,100,IF(I14&lt;=1,90,IF(I14&lt;=1.5,75,IF(I14&lt;=2,60,IF(I14&lt;=2.5,45,IF(I14&lt;=3,30,15))))))),"")),"")</f>
        <v/>
      </c>
      <c r="K14" s="33" t="n">
        <v>6.1</v>
      </c>
      <c r="L14" s="33" t="n">
        <v>61.4</v>
      </c>
      <c r="M14" s="33" t="n">
        <v>8.48</v>
      </c>
      <c r="N14" s="33" t="n">
        <v>7.23</v>
      </c>
      <c r="O14" s="66">
        <f>IFERROR(AVERAGE(IFERROR(IF(K14="","",IF(K14&gt;=25,100,IF(K14&gt;=20,90,IF(K14&gt;=15,75,IF(K14&gt;=10,60,IF(K14&gt;=5,45,IF(K14&gt;=0,30,15))))))),""),IFERROR(IF(L14="","",IF(L14&gt;=60,100,IF(L14&gt;=50,90,IF(L14&gt;=40,75,IF(L14&gt;=30,60,IF(L14&gt;=20,45,IF(L14&gt;=10,30,15))))))),""),IFERROR(IF(M14="","",IF(M14&gt;=25,100,IF(M14&gt;=20,90,IF(M14&gt;=15,75,IF(M14&gt;=10,60,IF(M14&gt;=5,45,IF(M14&gt;=0,30,15))))))),""),IFERROR(IF(N14="","",IF(N14&lt;=0,100,IF(N14&lt;=1,90,IF(N14&lt;=2,75,IF(N14&lt;=3,60,IF(N14&lt;=4,45,IF(N14&lt;=5,30,15))))))),"")),"")</f>
        <v/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IFERROR(AVERAGE(T14,U14,V14,W14,X14)*20,"")</f>
        <v/>
      </c>
      <c r="Z14" s="33" t="n">
        <v>4</v>
      </c>
      <c r="AA14" s="33" t="n">
        <v>3</v>
      </c>
      <c r="AB14" s="33" t="n">
        <v>3</v>
      </c>
      <c r="AC14" s="71" t="n">
        <v>65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IFERROR(AVERAGE(AE14,AF14,AG14,AH14,AL14)*20,"")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2026-06-10</t>
        </is>
      </c>
      <c r="E15" s="33" t="n">
        <v>21.696606</v>
      </c>
      <c r="F15" s="33" t="n">
        <v>14.701</v>
      </c>
      <c r="G15" s="33" t="n">
        <v>-6.2</v>
      </c>
      <c r="H15" s="33" t="n">
        <v>3.757188</v>
      </c>
      <c r="I15" s="33">
        <f>IF(OR(E15="",R15="",R15&lt;=0,E15&lt;0),"",E15/R15)</f>
        <v/>
      </c>
      <c r="J15" s="66">
        <f>IFERROR(AVERAGE(IFERROR(IF(E15="","",IF(E15&lt;0,5,IF(E15&lt;=15,90,IF(E15&lt;=20,75,IF(E15&lt;=25,60,IF(E15&lt;=30,45,IF(E15&lt;=40,30,IF(E15&lt;=60,15,5)))))))),""),IFERROR(IF(F15="","",IF(F15&lt;0,5,IF(F15&lt;=10,90,IF(F15&lt;=15,75,IF(F15&lt;=20,60,IF(F15&lt;=25,45,IF(F15&lt;=35,30,IF(F15&lt;=50,15,5)))))))),""),IFERROR(IF(G15="","",IF(G15&gt;=8,100,IF(G15&gt;=6,90,IF(G15&gt;=4,75,IF(G15&gt;=2,60,IF(G15&gt;=1,45,IF(G15&gt;=0,30,15))))))),""),IFERROR(IF(H15="","",IF(H15&lt;=2,90,IF(H15&lt;=4,75,IF(H15&lt;=7,60,IF(H15&lt;=10,45,IF(H15&lt;=15,30,IF(H15&lt;=25,15,5))))))),""),IFERROR(IF(I15="","",IF(I15&lt;=0.5,100,IF(I15&lt;=1,90,IF(I15&lt;=1.5,75,IF(I15&lt;=2,60,IF(I15&lt;=2.5,45,IF(I15&lt;=3,30,15))))))),"")),"")</f>
        <v/>
      </c>
      <c r="K15" s="33" t="n">
        <v>5.9</v>
      </c>
      <c r="L15" s="33" t="n">
        <v>46.98</v>
      </c>
      <c r="M15" s="33" t="n">
        <v>-23.71</v>
      </c>
      <c r="N15" s="33" t="n">
        <v>5.55</v>
      </c>
      <c r="O15" s="66">
        <f>IFERROR(AVERAGE(IFERROR(IF(K15="","",IF(K15&gt;=25,100,IF(K15&gt;=20,90,IF(K15&gt;=15,75,IF(K15&gt;=10,60,IF(K15&gt;=5,45,IF(K15&gt;=0,30,15))))))),""),IFERROR(IF(L15="","",IF(L15&gt;=60,100,IF(L15&gt;=50,90,IF(L15&gt;=40,75,IF(L15&gt;=30,60,IF(L15&gt;=20,45,IF(L15&gt;=10,30,15))))))),""),IFERROR(IF(M15="","",IF(M15&gt;=25,100,IF(M15&gt;=20,90,IF(M15&gt;=15,75,IF(M15&gt;=10,60,IF(M15&gt;=5,45,IF(M15&gt;=0,30,15))))))),""),IFERROR(IF(N15="","",IF(N15&lt;=0,100,IF(N15&lt;=1,90,IF(N15&lt;=2,75,IF(N15&lt;=3,60,IF(N15&lt;=4,45,IF(N15&lt;=5,30,15))))))),"")),"")</f>
        <v/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IFERROR(AVERAGE(T15,U15,V15,W15,X15)*20,"")</f>
        <v/>
      </c>
      <c r="Z15" s="33" t="n">
        <v>5</v>
      </c>
      <c r="AA15" s="33" t="n">
        <v>4</v>
      </c>
      <c r="AB15" s="33" t="n">
        <v>3</v>
      </c>
      <c r="AC15" s="71" t="n">
        <v>72.5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IFERROR(AVERAGE(AE15,AF15,AG15,AH15,AL15)*20,"")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2026-06-10</t>
        </is>
      </c>
      <c r="E16" s="33" t="n">
        <v>16.477081</v>
      </c>
      <c r="F16" s="33" t="n">
        <v>12.403</v>
      </c>
      <c r="G16" s="33" t="n">
        <v>-6.02</v>
      </c>
      <c r="H16" s="33" t="n">
        <v>2.818082</v>
      </c>
      <c r="I16" s="33">
        <f>IF(OR(E16="",R16="",R16&lt;=0,E16&lt;0),"",E16/R16)</f>
        <v/>
      </c>
      <c r="J16" s="66">
        <f>IFERROR(AVERAGE(IFERROR(IF(E16="","",IF(E16&lt;0,5,IF(E16&lt;=15,90,IF(E16&lt;=20,75,IF(E16&lt;=25,60,IF(E16&lt;=30,45,IF(E16&lt;=40,30,IF(E16&lt;=60,15,5)))))))),""),IFERROR(IF(F16="","",IF(F16&lt;0,5,IF(F16&lt;=10,90,IF(F16&lt;=15,75,IF(F16&lt;=20,60,IF(F16&lt;=25,45,IF(F16&lt;=35,30,IF(F16&lt;=50,15,5)))))))),""),IFERROR(IF(G16="","",IF(G16&gt;=8,100,IF(G16&gt;=6,90,IF(G16&gt;=4,75,IF(G16&gt;=2,60,IF(G16&gt;=1,45,IF(G16&gt;=0,30,15))))))),""),IFERROR(IF(H16="","",IF(H16&lt;=2,90,IF(H16&lt;=4,75,IF(H16&lt;=7,60,IF(H16&lt;=10,45,IF(H16&lt;=15,30,IF(H16&lt;=25,15,5))))))),""),IFERROR(IF(I16="","",IF(I16&lt;=0.5,100,IF(I16&lt;=1,90,IF(I16&lt;=1.5,75,IF(I16&lt;=2,60,IF(I16&lt;=2.5,45,IF(I16&lt;=3,30,15))))))),"")),"")</f>
        <v/>
      </c>
      <c r="K16" s="33" t="n">
        <v>5.3</v>
      </c>
      <c r="L16" s="33" t="n">
        <v>43.29</v>
      </c>
      <c r="M16" s="33" t="n">
        <v>-17.42</v>
      </c>
      <c r="N16" s="33" t="n">
        <v>5.22</v>
      </c>
      <c r="O16" s="66">
        <f>IFERROR(AVERAGE(IFERROR(IF(K16="","",IF(K16&gt;=25,100,IF(K16&gt;=20,90,IF(K16&gt;=15,75,IF(K16&gt;=10,60,IF(K16&gt;=5,45,IF(K16&gt;=0,30,15))))))),""),IFERROR(IF(L16="","",IF(L16&gt;=60,100,IF(L16&gt;=50,90,IF(L16&gt;=40,75,IF(L16&gt;=30,60,IF(L16&gt;=20,45,IF(L16&gt;=10,30,15))))))),""),IFERROR(IF(M16="","",IF(M16&gt;=25,100,IF(M16&gt;=20,90,IF(M16&gt;=15,75,IF(M16&gt;=10,60,IF(M16&gt;=5,45,IF(M16&gt;=0,30,15))))))),""),IFERROR(IF(N16="","",IF(N16&lt;=0,100,IF(N16&lt;=1,90,IF(N16&lt;=2,75,IF(N16&lt;=3,60,IF(N16&lt;=4,45,IF(N16&lt;=5,30,15))))))),"")),"")</f>
        <v/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IFERROR(AVERAGE(T16,U16,V16,W16,X16)*20,"")</f>
        <v/>
      </c>
      <c r="Z16" s="33" t="n">
        <v>4</v>
      </c>
      <c r="AA16" s="33" t="n">
        <v>3</v>
      </c>
      <c r="AB16" s="33" t="n">
        <v>3</v>
      </c>
      <c r="AC16" s="71" t="n">
        <v>58.3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IFERROR(AVERAGE(AE16,AF16,AG16,AH16,AL16)*20,"")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2026-06-10</t>
        </is>
      </c>
      <c r="E17" s="33" t="n">
        <v>17.193558</v>
      </c>
      <c r="F17" s="33" t="n">
        <v>14.211</v>
      </c>
      <c r="G17" s="33" t="n">
        <v>-14.59</v>
      </c>
      <c r="H17" s="33" t="n">
        <v>3.290252</v>
      </c>
      <c r="I17" s="33">
        <f>IF(OR(E17="",R17="",R17&lt;=0,E17&lt;0),"",E17/R17)</f>
        <v/>
      </c>
      <c r="J17" s="66">
        <f>IFERROR(AVERAGE(IFERROR(IF(E17="","",IF(E17&lt;0,5,IF(E17&lt;=15,90,IF(E17&lt;=20,75,IF(E17&lt;=25,60,IF(E17&lt;=30,45,IF(E17&lt;=40,30,IF(E17&lt;=60,15,5)))))))),""),IFERROR(IF(F17="","",IF(F17&lt;0,5,IF(F17&lt;=10,90,IF(F17&lt;=15,75,IF(F17&lt;=20,60,IF(F17&lt;=25,45,IF(F17&lt;=35,30,IF(F17&lt;=50,15,5)))))))),""),IFERROR(IF(G17="","",IF(G17&gt;=8,100,IF(G17&gt;=6,90,IF(G17&gt;=4,75,IF(G17&gt;=2,60,IF(G17&gt;=1,45,IF(G17&gt;=0,30,15))))))),""),IFERROR(IF(H17="","",IF(H17&lt;=2,90,IF(H17&lt;=4,75,IF(H17&lt;=7,60,IF(H17&lt;=10,45,IF(H17&lt;=15,30,IF(H17&lt;=25,15,5))))))),""),IFERROR(IF(I17="","",IF(I17&lt;=0.5,100,IF(I17&lt;=1,90,IF(I17&lt;=1.5,75,IF(I17&lt;=2,60,IF(I17&lt;=2.5,45,IF(I17&lt;=3,30,15))))))),"")),"")</f>
        <v/>
      </c>
      <c r="K17" s="33" t="n">
        <v>5.3</v>
      </c>
      <c r="L17" s="33" t="n">
        <v>45.93</v>
      </c>
      <c r="M17" s="33" t="n">
        <v>-48.63</v>
      </c>
      <c r="N17" s="33" t="n">
        <v>6.18</v>
      </c>
      <c r="O17" s="66">
        <f>IFERROR(AVERAGE(IFERROR(IF(K17="","",IF(K17&gt;=25,100,IF(K17&gt;=20,90,IF(K17&gt;=15,75,IF(K17&gt;=10,60,IF(K17&gt;=5,45,IF(K17&gt;=0,30,15))))))),""),IFERROR(IF(L17="","",IF(L17&gt;=60,100,IF(L17&gt;=50,90,IF(L17&gt;=40,75,IF(L17&gt;=30,60,IF(L17&gt;=20,45,IF(L17&gt;=10,30,15))))))),""),IFERROR(IF(M17="","",IF(M17&gt;=25,100,IF(M17&gt;=20,90,IF(M17&gt;=15,75,IF(M17&gt;=10,60,IF(M17&gt;=5,45,IF(M17&gt;=0,30,15))))))),""),IFERROR(IF(N17="","",IF(N17&lt;=0,100,IF(N17&lt;=1,90,IF(N17&lt;=2,75,IF(N17&lt;=3,60,IF(N17&lt;=4,45,IF(N17&lt;=5,30,15))))))),"")),"")</f>
        <v/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IFERROR(AVERAGE(T17,U17,V17,W17,X17)*20,"")</f>
        <v/>
      </c>
      <c r="Z17" s="33" t="n">
        <v>4</v>
      </c>
      <c r="AA17" s="33" t="n">
        <v>3</v>
      </c>
      <c r="AB17" s="33" t="n">
        <v>3</v>
      </c>
      <c r="AC17" s="71" t="n">
        <v>50.8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IFERROR(AVERAGE(AE17,AF17,AG17,AH17,AL17)*20,"")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2026-06-10</t>
        </is>
      </c>
      <c r="E18" s="33" t="n">
        <v>12.375451</v>
      </c>
      <c r="F18" s="33" t="n">
        <v>10.141</v>
      </c>
      <c r="G18" s="33" t="n">
        <v>3.58</v>
      </c>
      <c r="H18" s="33" t="n">
        <v>2.4220953</v>
      </c>
      <c r="I18" s="33">
        <f>IF(OR(E18="",R18="",R18&lt;=0,E18&lt;0),"",E18/R18)</f>
        <v/>
      </c>
      <c r="J18" s="66">
        <f>IFERROR(AVERAGE(IFERROR(IF(E18="","",IF(E18&lt;0,5,IF(E18&lt;=15,90,IF(E18&lt;=20,75,IF(E18&lt;=25,60,IF(E18&lt;=30,45,IF(E18&lt;=40,30,IF(E18&lt;=60,15,5)))))))),""),IFERROR(IF(F18="","",IF(F18&lt;0,5,IF(F18&lt;=10,90,IF(F18&lt;=15,75,IF(F18&lt;=20,60,IF(F18&lt;=25,45,IF(F18&lt;=35,30,IF(F18&lt;=50,15,5)))))))),""),IFERROR(IF(G18="","",IF(G18&gt;=8,100,IF(G18&gt;=6,90,IF(G18&gt;=4,75,IF(G18&gt;=2,60,IF(G18&gt;=1,45,IF(G18&gt;=0,30,15))))))),""),IFERROR(IF(H18="","",IF(H18&lt;=2,90,IF(H18&lt;=4,75,IF(H18&lt;=7,60,IF(H18&lt;=10,45,IF(H18&lt;=15,30,IF(H18&lt;=25,15,5))))))),""),IFERROR(IF(I18="","",IF(I18&lt;=0.5,100,IF(I18&lt;=1,90,IF(I18&lt;=1.5,75,IF(I18&lt;=2,60,IF(I18&lt;=2.5,45,IF(I18&lt;=3,30,15))))))),"")),"")</f>
        <v/>
      </c>
      <c r="K18" s="33" t="n">
        <v>7</v>
      </c>
      <c r="L18" s="33" t="n">
        <v>38.64</v>
      </c>
      <c r="M18" s="33" t="n">
        <v>9.27</v>
      </c>
      <c r="N18" s="33" t="n">
        <v>2.84</v>
      </c>
      <c r="O18" s="66">
        <f>IFERROR(AVERAGE(IFERROR(IF(K18="","",IF(K18&gt;=25,100,IF(K18&gt;=20,90,IF(K18&gt;=15,75,IF(K18&gt;=10,60,IF(K18&gt;=5,45,IF(K18&gt;=0,30,15))))))),""),IFERROR(IF(L18="","",IF(L18&gt;=60,100,IF(L18&gt;=50,90,IF(L18&gt;=40,75,IF(L18&gt;=30,60,IF(L18&gt;=20,45,IF(L18&gt;=10,30,15))))))),""),IFERROR(IF(M18="","",IF(M18&gt;=25,100,IF(M18&gt;=20,90,IF(M18&gt;=15,75,IF(M18&gt;=10,60,IF(M18&gt;=5,45,IF(M18&gt;=0,30,15))))))),""),IFERROR(IF(N18="","",IF(N18&lt;=0,100,IF(N18&lt;=1,90,IF(N18&lt;=2,75,IF(N18&lt;=3,60,IF(N18&lt;=4,45,IF(N18&lt;=5,30,15))))))),"")),"")</f>
        <v/>
      </c>
      <c r="P18" s="33" t="n">
        <v>8.92</v>
      </c>
      <c r="Q18" s="33" t="n">
        <v>43.4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IFERROR(AVERAGE(T18,U18,V18,W18,X18)*20,"")</f>
        <v/>
      </c>
      <c r="Z18" s="33" t="n">
        <v>4</v>
      </c>
      <c r="AA18" s="33" t="n">
        <v>1</v>
      </c>
      <c r="AB18" s="33" t="n">
        <v>3</v>
      </c>
      <c r="AC18" s="71" t="n">
        <v>31.7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IFERROR(AVERAGE(AE18,AF18,AG18,AH18,AL18)*20,"")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2026-06-10</t>
        </is>
      </c>
      <c r="E19" s="33" t="n">
        <v>9.772385</v>
      </c>
      <c r="F19" s="33" t="n">
        <v>32.056</v>
      </c>
      <c r="G19" s="33" t="n">
        <v>5.05</v>
      </c>
      <c r="H19" s="33" t="n">
        <v>4.7197466</v>
      </c>
      <c r="I19" s="33">
        <f>IF(OR(E19="",R19="",R19&lt;=0,E19&lt;0),"",E19/R19)</f>
        <v/>
      </c>
      <c r="J19" s="66">
        <f>IFERROR(AVERAGE(IFERROR(IF(E19="","",IF(E19&lt;0,5,IF(E19&lt;=15,90,IF(E19&lt;=20,75,IF(E19&lt;=25,60,IF(E19&lt;=30,45,IF(E19&lt;=40,30,IF(E19&lt;=60,15,5)))))))),""),IFERROR(IF(F19="","",IF(F19&lt;0,5,IF(F19&lt;=10,90,IF(F19&lt;=15,75,IF(F19&lt;=20,60,IF(F19&lt;=25,45,IF(F19&lt;=35,30,IF(F19&lt;=50,15,5)))))))),""),IFERROR(IF(G19="","",IF(G19&gt;=8,100,IF(G19&gt;=6,90,IF(G19&gt;=4,75,IF(G19&gt;=2,60,IF(G19&gt;=1,45,IF(G19&gt;=0,30,15))))))),""),IFERROR(IF(H19="","",IF(H19&lt;=2,90,IF(H19&lt;=4,75,IF(H19&lt;=7,60,IF(H19&lt;=10,45,IF(H19&lt;=15,30,IF(H19&lt;=25,15,5))))))),""),IFERROR(IF(I19="","",IF(I19&lt;=0.5,100,IF(I19&lt;=1,90,IF(I19&lt;=1.5,75,IF(I19&lt;=2,60,IF(I19&lt;=2.5,45,IF(I19&lt;=3,30,15))))))),"")),"")</f>
        <v/>
      </c>
      <c r="K19" s="33" t="n">
        <v>1.4</v>
      </c>
      <c r="L19" s="33" t="n">
        <v>40.14</v>
      </c>
      <c r="M19" s="33" t="n">
        <v>25.8</v>
      </c>
      <c r="N19" s="33" t="n">
        <v>8.859999999999999</v>
      </c>
      <c r="O19" s="66">
        <f>IFERROR(AVERAGE(IFERROR(IF(K19="","",IF(K19&gt;=25,100,IF(K19&gt;=20,90,IF(K19&gt;=15,75,IF(K19&gt;=10,60,IF(K19&gt;=5,45,IF(K19&gt;=0,30,15))))))),""),IFERROR(IF(L19="","",IF(L19&gt;=60,100,IF(L19&gt;=50,90,IF(L19&gt;=40,75,IF(L19&gt;=30,60,IF(L19&gt;=20,45,IF(L19&gt;=10,30,15))))))),""),IFERROR(IF(M19="","",IF(M19&gt;=25,100,IF(M19&gt;=20,90,IF(M19&gt;=15,75,IF(M19&gt;=10,60,IF(M19&gt;=5,45,IF(M19&gt;=0,30,15))))))),""),IFERROR(IF(N19="","",IF(N19&lt;=0,100,IF(N19&lt;=1,90,IF(N19&lt;=2,75,IF(N19&lt;=3,60,IF(N19&lt;=4,45,IF(N19&lt;=5,30,15))))))),"")),"")</f>
        <v/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IFERROR(AVERAGE(T19,U19,V19,W19,X19)*20,"")</f>
        <v/>
      </c>
      <c r="Z19" s="33" t="n">
        <v>4</v>
      </c>
      <c r="AA19" s="33" t="n">
        <v>2</v>
      </c>
      <c r="AB19" s="33" t="n">
        <v>3</v>
      </c>
      <c r="AC19" s="71" t="n">
        <v>46.7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IFERROR(AVERAGE(AE19,AF19,AG19,AH19,AL19)*20,"")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2026-06-10</t>
        </is>
      </c>
      <c r="E20" s="33" t="n">
        <v>11.198446</v>
      </c>
      <c r="F20" s="33" t="n">
        <v>22.496</v>
      </c>
      <c r="G20" s="33" t="n">
        <v>-1.32</v>
      </c>
      <c r="H20" s="33" t="n">
        <v>0.8327007</v>
      </c>
      <c r="I20" s="33">
        <f>IF(OR(E20="",R20="",R20&lt;=0,E20&lt;0),"",E20/R20)</f>
        <v/>
      </c>
      <c r="J20" s="66">
        <f>IFERROR(AVERAGE(IFERROR(IF(E20="","",IF(E20&lt;0,5,IF(E20&lt;=15,90,IF(E20&lt;=20,75,IF(E20&lt;=25,60,IF(E20&lt;=30,45,IF(E20&lt;=40,30,IF(E20&lt;=60,15,5)))))))),""),IFERROR(IF(F20="","",IF(F20&lt;0,5,IF(F20&lt;=10,90,IF(F20&lt;=15,75,IF(F20&lt;=20,60,IF(F20&lt;=25,45,IF(F20&lt;=35,30,IF(F20&lt;=50,15,5)))))))),""),IFERROR(IF(G20="","",IF(G20&gt;=8,100,IF(G20&gt;=6,90,IF(G20&gt;=4,75,IF(G20&gt;=2,60,IF(G20&gt;=1,45,IF(G20&gt;=0,30,15))))))),""),IFERROR(IF(H20="","",IF(H20&lt;=2,90,IF(H20&lt;=4,75,IF(H20&lt;=7,60,IF(H20&lt;=10,45,IF(H20&lt;=15,30,IF(H20&lt;=25,15,5))))))),""),IFERROR(IF(I20="","",IF(I20&lt;=0.5,100,IF(I20&lt;=1,90,IF(I20&lt;=1.5,75,IF(I20&lt;=2,60,IF(I20&lt;=2.5,45,IF(I20&lt;=3,30,15))))))),"")),"")</f>
        <v/>
      </c>
      <c r="K20" s="33" t="n">
        <v>7.8</v>
      </c>
      <c r="L20" s="33" t="n">
        <v>16.45</v>
      </c>
      <c r="M20" s="33" t="n">
        <v>-1.1</v>
      </c>
      <c r="N20" s="33" t="n">
        <v>10.27</v>
      </c>
      <c r="O20" s="66">
        <f>IFERROR(AVERAGE(IFERROR(IF(K20="","",IF(K20&gt;=25,100,IF(K20&gt;=20,90,IF(K20&gt;=15,75,IF(K20&gt;=10,60,IF(K20&gt;=5,45,IF(K20&gt;=0,30,15))))))),""),IFERROR(IF(L20="","",IF(L20&gt;=60,100,IF(L20&gt;=50,90,IF(L20&gt;=40,75,IF(L20&gt;=30,60,IF(L20&gt;=20,45,IF(L20&gt;=10,30,15))))))),""),IFERROR(IF(M20="","",IF(M20&gt;=25,100,IF(M20&gt;=20,90,IF(M20&gt;=15,75,IF(M20&gt;=10,60,IF(M20&gt;=5,45,IF(M20&gt;=0,30,15))))))),""),IFERROR(IF(N20="","",IF(N20&lt;=0,100,IF(N20&lt;=1,90,IF(N20&lt;=2,75,IF(N20&lt;=3,60,IF(N20&lt;=4,45,IF(N20&lt;=5,30,15))))))),"")),"")</f>
        <v/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IFERROR(AVERAGE(T20,U20,V20,W20,X20)*20,"")</f>
        <v/>
      </c>
      <c r="Z20" s="33" t="n">
        <v>5</v>
      </c>
      <c r="AA20" s="33" t="n">
        <v>1</v>
      </c>
      <c r="AB20" s="33" t="n">
        <v>3</v>
      </c>
      <c r="AC20" s="71" t="n">
        <v>23.3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IFERROR(AVERAGE(AE20,AF20,AG20,AH20,AL20)*20,"")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2026-06-10</t>
        </is>
      </c>
      <c r="E21" s="33" t="n">
        <v>55.764027</v>
      </c>
      <c r="F21" s="33" t="n">
        <v>52.271</v>
      </c>
      <c r="G21" s="33" t="n">
        <v>2.09</v>
      </c>
      <c r="H21" s="33" t="n">
        <v>13.235141</v>
      </c>
      <c r="I21" s="33">
        <f>IF(OR(E21="",R21="",R21&lt;=0,E21&lt;0),"",E21/R21)</f>
        <v/>
      </c>
      <c r="J21" s="66">
        <f>IFERROR(AVERAGE(IFERROR(IF(E21="","",IF(E21&lt;0,5,IF(E21&lt;=15,90,IF(E21&lt;=20,75,IF(E21&lt;=25,60,IF(E21&lt;=30,45,IF(E21&lt;=40,30,IF(E21&lt;=60,15,5)))))))),""),IFERROR(IF(F21="","",IF(F21&lt;0,5,IF(F21&lt;=10,90,IF(F21&lt;=15,75,IF(F21&lt;=20,60,IF(F21&lt;=25,45,IF(F21&lt;=35,30,IF(F21&lt;=50,15,5)))))))),""),IFERROR(IF(G21="","",IF(G21&gt;=8,100,IF(G21&gt;=6,90,IF(G21&gt;=4,75,IF(G21&gt;=2,60,IF(G21&gt;=1,45,IF(G21&gt;=0,30,15))))))),""),IFERROR(IF(H21="","",IF(H21&lt;=2,90,IF(H21&lt;=4,75,IF(H21&lt;=7,60,IF(H21&lt;=10,45,IF(H21&lt;=15,30,IF(H21&lt;=25,15,5))))))),""),IFERROR(IF(I21="","",IF(I21&lt;=0.5,100,IF(I21&lt;=1,90,IF(I21&lt;=1.5,75,IF(I21&lt;=2,60,IF(I21&lt;=2.5,45,IF(I21&lt;=3,30,15))))))),"")),"")</f>
        <v/>
      </c>
      <c r="K21" s="33" t="n">
        <v>8.4</v>
      </c>
      <c r="L21" s="33" t="n">
        <v>36.78</v>
      </c>
      <c r="M21" s="33" t="n">
        <v>26.05</v>
      </c>
      <c r="N21" s="33" t="n">
        <v>-0.11</v>
      </c>
      <c r="O21" s="66">
        <f>IFERROR(AVERAGE(IFERROR(IF(K21="","",IF(K21&gt;=25,100,IF(K21&gt;=20,90,IF(K21&gt;=15,75,IF(K21&gt;=10,60,IF(K21&gt;=5,45,IF(K21&gt;=0,30,15))))))),""),IFERROR(IF(L21="","",IF(L21&gt;=60,100,IF(L21&gt;=50,90,IF(L21&gt;=40,75,IF(L21&gt;=30,60,IF(L21&gt;=20,45,IF(L21&gt;=10,30,15))))))),""),IFERROR(IF(M21="","",IF(M21&gt;=25,100,IF(M21&gt;=20,90,IF(M21&gt;=15,75,IF(M21&gt;=10,60,IF(M21&gt;=5,45,IF(M21&gt;=0,30,15))))))),""),IFERROR(IF(N21="","",IF(N21&lt;=0,100,IF(N21&lt;=1,90,IF(N21&lt;=2,75,IF(N21&lt;=3,60,IF(N21&lt;=4,45,IF(N21&lt;=5,30,15))))))),"")),"")</f>
        <v/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IFERROR(AVERAGE(T21,U21,V21,W21,X21)*20,"")</f>
        <v/>
      </c>
      <c r="Z21" s="33" t="n">
        <v>4</v>
      </c>
      <c r="AA21" s="33" t="n">
        <v>2</v>
      </c>
      <c r="AB21" s="33" t="n">
        <v>3</v>
      </c>
      <c r="AC21" s="71" t="n">
        <v>65.8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IFERROR(AVERAGE(AE21,AF21,AG21,AH21,AL21)*20,"")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2026-06-12</t>
        </is>
      </c>
      <c r="E22" s="33" t="n">
        <v>-188.91667</v>
      </c>
      <c r="F22" s="33" t="n">
        <v>-39.535</v>
      </c>
      <c r="G22" s="33" t="n">
        <v>-2.2</v>
      </c>
      <c r="H22" s="33" t="n">
        <v>275.08182</v>
      </c>
      <c r="I22" s="33">
        <f>IF(OR(E22="",R22="",R22&lt;=0,E22&lt;0),"",E22/R22)</f>
        <v/>
      </c>
      <c r="J22" s="66">
        <f>IFERROR(AVERAGE(IFERROR(IF(E22="","",IF(E22&lt;0,5,IF(E22&lt;=15,90,IF(E22&lt;=20,75,IF(E22&lt;=25,60,IF(E22&lt;=30,45,IF(E22&lt;=40,30,IF(E22&lt;=60,15,5)))))))),""),IFERROR(IF(F22="","",IF(F22&lt;0,5,IF(F22&lt;=10,90,IF(F22&lt;=15,75,IF(F22&lt;=20,60,IF(F22&lt;=25,45,IF(F22&lt;=35,30,IF(F22&lt;=50,15,5)))))))),""),IFERROR(IF(G22="","",IF(G22&gt;=8,100,IF(G22&gt;=6,90,IF(G22&gt;=4,75,IF(G22&gt;=2,60,IF(G22&gt;=1,45,IF(G22&gt;=0,30,15))))))),""),IFERROR(IF(H22="","",IF(H22&lt;=2,90,IF(H22&lt;=4,75,IF(H22&lt;=7,60,IF(H22&lt;=10,45,IF(H22&lt;=15,30,IF(H22&lt;=25,15,5))))))),""),IFERROR(IF(I22="","",IF(I22&lt;=0.5,100,IF(I22&lt;=1,90,IF(I22&lt;=1.5,75,IF(I22&lt;=2,60,IF(I22&lt;=2.5,45,IF(I22&lt;=3,30,15))))))),"")),"")</f>
        <v/>
      </c>
      <c r="L22" s="33" t="n">
        <v>0</v>
      </c>
      <c r="M22" s="33" t="n">
        <v>-595.22</v>
      </c>
      <c r="N22" s="33" t="n">
        <v>4.67</v>
      </c>
      <c r="O22" s="66">
        <f>IFERROR(AVERAGE(IFERROR(IF(K22="","",IF(K22&gt;=25,100,IF(K22&gt;=20,90,IF(K22&gt;=15,75,IF(K22&gt;=10,60,IF(K22&gt;=5,45,IF(K22&gt;=0,30,15))))))),""),IFERROR(IF(L22="","",IF(L22&gt;=60,100,IF(L22&gt;=50,90,IF(L22&gt;=40,75,IF(L22&gt;=30,60,IF(L22&gt;=20,45,IF(L22&gt;=10,30,15))))))),""),IFERROR(IF(M22="","",IF(M22&gt;=25,100,IF(M22&gt;=20,90,IF(M22&gt;=15,75,IF(M22&gt;=10,60,IF(M22&gt;=5,45,IF(M22&gt;=0,30,15))))))),""),IFERROR(IF(N22="","",IF(N22&lt;=0,100,IF(N22&lt;=1,90,IF(N22&lt;=2,75,IF(N22&lt;=3,60,IF(N22&lt;=4,45,IF(N22&lt;=5,30,15))))))),"")),"")</f>
        <v/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IFERROR(AVERAGE(T22,U22,V22,W22,X22)*20,"")</f>
        <v/>
      </c>
      <c r="Z22" s="33" t="n">
        <v>2</v>
      </c>
      <c r="AA22" s="33" t="n">
        <v>1</v>
      </c>
      <c r="AB22" s="33" t="n">
        <v>3</v>
      </c>
      <c r="AC22" s="71" t="n">
        <v>49.2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IFERROR(AVERAGE(AE22,AF22,AG22,AH22,AL22)*20,"")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2026-06-10</t>
        </is>
      </c>
      <c r="E23" s="33" t="n">
        <v>45.994965</v>
      </c>
      <c r="F23" s="33" t="n">
        <v>84.873</v>
      </c>
      <c r="G23" s="33" t="n">
        <v>-1.93</v>
      </c>
      <c r="H23" s="33" t="n">
        <v>7.9421897</v>
      </c>
      <c r="I23" s="33">
        <f>IF(OR(E23="",R23="",R23&lt;=0,E23&lt;0),"",E23/R23)</f>
        <v/>
      </c>
      <c r="J23" s="66">
        <f>IFERROR(AVERAGE(IFERROR(IF(E23="","",IF(E23&lt;0,5,IF(E23&lt;=15,90,IF(E23&lt;=20,75,IF(E23&lt;=25,60,IF(E23&lt;=30,45,IF(E23&lt;=40,30,IF(E23&lt;=60,15,5)))))))),""),IFERROR(IF(F23="","",IF(F23&lt;0,5,IF(F23&lt;=10,90,IF(F23&lt;=15,75,IF(F23&lt;=20,60,IF(F23&lt;=25,45,IF(F23&lt;=35,30,IF(F23&lt;=50,15,5)))))))),""),IFERROR(IF(G23="","",IF(G23&gt;=8,100,IF(G23&gt;=6,90,IF(G23&gt;=4,75,IF(G23&gt;=2,60,IF(G23&gt;=1,45,IF(G23&gt;=0,30,15))))))),""),IFERROR(IF(H23="","",IF(H23&lt;=2,90,IF(H23&lt;=4,75,IF(H23&lt;=7,60,IF(H23&lt;=10,45,IF(H23&lt;=15,30,IF(H23&lt;=25,15,5))))))),""),IFERROR(IF(I23="","",IF(I23&lt;=0.5,100,IF(I23&lt;=1,90,IF(I23&lt;=1.5,75,IF(I23&lt;=2,60,IF(I23&lt;=2.5,45,IF(I23&lt;=3,30,15))))))),"")),"")</f>
        <v/>
      </c>
      <c r="K23" s="33" t="n">
        <v>4.6</v>
      </c>
      <c r="L23" s="33" t="n">
        <v>25.67</v>
      </c>
      <c r="M23" s="33" t="n">
        <v>-13.58</v>
      </c>
      <c r="N23" s="33" t="n">
        <v>-20.16</v>
      </c>
      <c r="O23" s="66">
        <f>IFERROR(AVERAGE(IFERROR(IF(K23="","",IF(K23&gt;=25,100,IF(K23&gt;=20,90,IF(K23&gt;=15,75,IF(K23&gt;=10,60,IF(K23&gt;=5,45,IF(K23&gt;=0,30,15))))))),""),IFERROR(IF(L23="","",IF(L23&gt;=60,100,IF(L23&gt;=50,90,IF(L23&gt;=40,75,IF(L23&gt;=30,60,IF(L23&gt;=20,45,IF(L23&gt;=10,30,15))))))),""),IFERROR(IF(M23="","",IF(M23&gt;=25,100,IF(M23&gt;=20,90,IF(M23&gt;=15,75,IF(M23&gt;=10,60,IF(M23&gt;=5,45,IF(M23&gt;=0,30,15))))))),""),IFERROR(IF(N23="","",IF(N23&lt;=0,100,IF(N23&lt;=1,90,IF(N23&lt;=2,75,IF(N23&lt;=3,60,IF(N23&lt;=4,45,IF(N23&lt;=5,30,15))))))),"")),"")</f>
        <v/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IFERROR(AVERAGE(T23,U23,V23,W23,X23)*20,"")</f>
        <v/>
      </c>
      <c r="Z23" s="33" t="n">
        <v>3</v>
      </c>
      <c r="AA23" s="33" t="n">
        <v>1</v>
      </c>
      <c r="AB23" s="33" t="n">
        <v>3</v>
      </c>
      <c r="AC23" s="71" t="n">
        <v>30.8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IFERROR(AVERAGE(AE23,AF23,AG23,AH23,AL23)*20,"")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2026-06-10</t>
        </is>
      </c>
      <c r="E24" s="33" t="n">
        <v>39.330353</v>
      </c>
      <c r="F24" s="33" t="n">
        <v>43.611</v>
      </c>
      <c r="G24" s="33" t="n">
        <v>1.84</v>
      </c>
      <c r="H24" s="33" t="n">
        <v>5.554863</v>
      </c>
      <c r="I24" s="33">
        <f>IF(OR(E24="",R24="",R24&lt;=0,E24&lt;0),"",E24/R24)</f>
        <v/>
      </c>
      <c r="J24" s="66">
        <f>IFERROR(AVERAGE(IFERROR(IF(E24="","",IF(E24&lt;0,5,IF(E24&lt;=15,90,IF(E24&lt;=20,75,IF(E24&lt;=25,60,IF(E24&lt;=30,45,IF(E24&lt;=40,30,IF(E24&lt;=60,15,5)))))))),""),IFERROR(IF(F24="","",IF(F24&lt;0,5,IF(F24&lt;=10,90,IF(F24&lt;=15,75,IF(F24&lt;=20,60,IF(F24&lt;=25,45,IF(F24&lt;=35,30,IF(F24&lt;=50,15,5)))))))),""),IFERROR(IF(G24="","",IF(G24&gt;=8,100,IF(G24&gt;=6,90,IF(G24&gt;=4,75,IF(G24&gt;=2,60,IF(G24&gt;=1,45,IF(G24&gt;=0,30,15))))))),""),IFERROR(IF(H24="","",IF(H24&lt;=2,90,IF(H24&lt;=4,75,IF(H24&lt;=7,60,IF(H24&lt;=10,45,IF(H24&lt;=15,30,IF(H24&lt;=25,15,5))))))),""),IFERROR(IF(I24="","",IF(I24&lt;=0.5,100,IF(I24&lt;=1,90,IF(I24&lt;=1.5,75,IF(I24&lt;=2,60,IF(I24&lt;=2.5,45,IF(I24&lt;=3,30,15))))))),"")),"")</f>
        <v/>
      </c>
      <c r="K24" s="33" t="n">
        <v>11.3</v>
      </c>
      <c r="L24" s="33" t="n">
        <v>22.66</v>
      </c>
      <c r="M24" s="33" t="n">
        <v>9.720000000000001</v>
      </c>
      <c r="N24" s="33" t="n">
        <v>3.24</v>
      </c>
      <c r="O24" s="66">
        <f>IFERROR(AVERAGE(IFERROR(IF(K24="","",IF(K24&gt;=25,100,IF(K24&gt;=20,90,IF(K24&gt;=15,75,IF(K24&gt;=10,60,IF(K24&gt;=5,45,IF(K24&gt;=0,30,15))))))),""),IFERROR(IF(L24="","",IF(L24&gt;=60,100,IF(L24&gt;=50,90,IF(L24&gt;=40,75,IF(L24&gt;=30,60,IF(L24&gt;=20,45,IF(L24&gt;=10,30,15))))))),""),IFERROR(IF(M24="","",IF(M24&gt;=25,100,IF(M24&gt;=20,90,IF(M24&gt;=15,75,IF(M24&gt;=10,60,IF(M24&gt;=5,45,IF(M24&gt;=0,30,15))))))),""),IFERROR(IF(N24="","",IF(N24&lt;=0,100,IF(N24&lt;=1,90,IF(N24&lt;=2,75,IF(N24&lt;=3,60,IF(N24&lt;=4,45,IF(N24&lt;=5,30,15))))))),"")),"")</f>
        <v/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IFERROR(AVERAGE(T24,U24,V24,W24,X24)*20,"")</f>
        <v/>
      </c>
      <c r="Z24" s="33" t="n">
        <v>4</v>
      </c>
      <c r="AA24" s="33" t="n">
        <v>3</v>
      </c>
      <c r="AB24" s="33" t="n">
        <v>3</v>
      </c>
      <c r="AC24" s="71" t="n">
        <v>60.8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IFERROR(AVERAGE(AE24,AF24,AG24,AH24,AL24)*20,"")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2026-06-10</t>
        </is>
      </c>
      <c r="E25" s="33" t="n">
        <v>-18.330503</v>
      </c>
      <c r="F25" s="33" t="n">
        <v>-14.495</v>
      </c>
      <c r="G25" s="33" t="n">
        <v>-4.17</v>
      </c>
      <c r="H25" s="33" t="n">
        <v>208.19368</v>
      </c>
      <c r="I25" s="33">
        <f>IF(OR(E25="",R25="",R25&lt;=0,E25&lt;0),"",E25/R25)</f>
        <v/>
      </c>
      <c r="J25" s="66">
        <f>IFERROR(AVERAGE(IFERROR(IF(E25="","",IF(E25&lt;0,5,IF(E25&lt;=15,90,IF(E25&lt;=20,75,IF(E25&lt;=25,60,IF(E25&lt;=30,45,IF(E25&lt;=40,30,IF(E25&lt;=60,15,5)))))))),""),IFERROR(IF(F25="","",IF(F25&lt;0,5,IF(F25&lt;=10,90,IF(F25&lt;=15,75,IF(F25&lt;=20,60,IF(F25&lt;=25,45,IF(F25&lt;=35,30,IF(F25&lt;=50,15,5)))))))),""),IFERROR(IF(G25="","",IF(G25&gt;=8,100,IF(G25&gt;=6,90,IF(G25&gt;=4,75,IF(G25&gt;=2,60,IF(G25&gt;=1,45,IF(G25&gt;=0,30,15))))))),""),IFERROR(IF(H25="","",IF(H25&lt;=2,90,IF(H25&lt;=4,75,IF(H25&lt;=7,60,IF(H25&lt;=10,45,IF(H25&lt;=15,30,IF(H25&lt;=25,15,5))))))),""),IFERROR(IF(I25="","",IF(I25&lt;=0.5,100,IF(I25&lt;=1,90,IF(I25&lt;=1.5,75,IF(I25&lt;=2,60,IF(I25&lt;=2.5,45,IF(I25&lt;=3,30,15))))))),"")),"")</f>
        <v/>
      </c>
      <c r="L25" s="33" t="n">
        <v>23.84</v>
      </c>
      <c r="M25" s="33" t="n">
        <v>-867.59</v>
      </c>
      <c r="N25" s="33" t="n">
        <v>4.35</v>
      </c>
      <c r="O25" s="66">
        <f>IFERROR(AVERAGE(IFERROR(IF(K25="","",IF(K25&gt;=25,100,IF(K25&gt;=20,90,IF(K25&gt;=15,75,IF(K25&gt;=10,60,IF(K25&gt;=5,45,IF(K25&gt;=0,30,15))))))),""),IFERROR(IF(L25="","",IF(L25&gt;=60,100,IF(L25&gt;=50,90,IF(L25&gt;=40,75,IF(L25&gt;=30,60,IF(L25&gt;=20,45,IF(L25&gt;=10,30,15))))))),""),IFERROR(IF(M25="","",IF(M25&gt;=25,100,IF(M25&gt;=20,90,IF(M25&gt;=15,75,IF(M25&gt;=10,60,IF(M25&gt;=5,45,IF(M25&gt;=0,30,15))))))),""),IFERROR(IF(N25="","",IF(N25&lt;=0,100,IF(N25&lt;=1,90,IF(N25&lt;=2,75,IF(N25&lt;=3,60,IF(N25&lt;=4,45,IF(N25&lt;=5,30,15))))))),"")),"")</f>
        <v/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IFERROR(AVERAGE(T25,U25,V25,W25,X25)*20,"")</f>
        <v/>
      </c>
      <c r="Z25" s="33" t="n">
        <v>1</v>
      </c>
      <c r="AA25" s="33" t="n">
        <v>1</v>
      </c>
      <c r="AB25" s="33" t="n">
        <v>1</v>
      </c>
      <c r="AC25" s="71" t="n">
        <v>25.8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IFERROR(AVERAGE(AE25,AF25,AG25,AH25,AL25)*20,"")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2026-06-10</t>
        </is>
      </c>
      <c r="E26" s="33" t="n">
        <v>-71.72899</v>
      </c>
      <c r="F26" s="33" t="n">
        <v>-50.114</v>
      </c>
      <c r="G26" s="33" t="n">
        <v>-0.92</v>
      </c>
      <c r="I26" s="33">
        <f>IF(OR(E26="",R26="",R26&lt;=0,E26&lt;0),"",E26/R26)</f>
        <v/>
      </c>
      <c r="J26" s="66">
        <f>IFERROR(AVERAGE(IFERROR(IF(E26="","",IF(E26&lt;0,5,IF(E26&lt;=15,90,IF(E26&lt;=20,75,IF(E26&lt;=25,60,IF(E26&lt;=30,45,IF(E26&lt;=40,30,IF(E26&lt;=60,15,5)))))))),""),IFERROR(IF(F26="","",IF(F26&lt;0,5,IF(F26&lt;=10,90,IF(F26&lt;=15,75,IF(F26&lt;=20,60,IF(F26&lt;=25,45,IF(F26&lt;=35,30,IF(F26&lt;=50,15,5)))))))),""),IFERROR(IF(G26="","",IF(G26&gt;=8,100,IF(G26&gt;=6,90,IF(G26&gt;=4,75,IF(G26&gt;=2,60,IF(G26&gt;=1,45,IF(G26&gt;=0,30,15))))))),""),IFERROR(IF(H26="","",IF(H26&lt;=2,90,IF(H26&lt;=4,75,IF(H26&lt;=7,60,IF(H26&lt;=10,45,IF(H26&lt;=15,30,IF(H26&lt;=25,15,5))))))),""),IFERROR(IF(I26="","",IF(I26&lt;=0.5,100,IF(I26&lt;=1,90,IF(I26&lt;=1.5,75,IF(I26&lt;=2,60,IF(I26&lt;=2.5,45,IF(I26&lt;=3,30,15))))))),"")),"")</f>
        <v/>
      </c>
      <c r="K26" s="33" t="n">
        <v>0</v>
      </c>
      <c r="L26" s="33" t="n">
        <v>0</v>
      </c>
      <c r="N26" s="33" t="n">
        <v>12.82</v>
      </c>
      <c r="O26" s="66">
        <f>IFERROR(AVERAGE(IFERROR(IF(K26="","",IF(K26&gt;=25,100,IF(K26&gt;=20,90,IF(K26&gt;=15,75,IF(K26&gt;=10,60,IF(K26&gt;=5,45,IF(K26&gt;=0,30,15))))))),""),IFERROR(IF(L26="","",IF(L26&gt;=60,100,IF(L26&gt;=50,90,IF(L26&gt;=40,75,IF(L26&gt;=30,60,IF(L26&gt;=20,45,IF(L26&gt;=10,30,15))))))),""),IFERROR(IF(M26="","",IF(M26&gt;=25,100,IF(M26&gt;=20,90,IF(M26&gt;=15,75,IF(M26&gt;=10,60,IF(M26&gt;=5,45,IF(M26&gt;=0,30,15))))))),""),IFERROR(IF(N26="","",IF(N26&lt;=0,100,IF(N26&lt;=1,90,IF(N26&lt;=2,75,IF(N26&lt;=3,60,IF(N26&lt;=4,45,IF(N26&lt;=5,30,15))))))),"")),"")</f>
        <v/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IFERROR(AVERAGE(T26,U26,V26,W26,X26)*20,"")</f>
        <v/>
      </c>
      <c r="Z26" s="33" t="n">
        <v>3</v>
      </c>
      <c r="AA26" s="33" t="n">
        <v>1</v>
      </c>
      <c r="AB26" s="33" t="n">
        <v>3</v>
      </c>
      <c r="AC26" s="71" t="n">
        <v>34.2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IFERROR(AVERAGE(AE26,AF26,AG26,AH26,AL26)*20,"")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2026-06-10</t>
        </is>
      </c>
      <c r="E27" s="33" t="n">
        <v>-25.299492</v>
      </c>
      <c r="F27" s="33" t="n">
        <v>-16.241</v>
      </c>
      <c r="G27" s="33" t="n">
        <v>-2.57</v>
      </c>
      <c r="I27" s="33">
        <f>IF(OR(E27="",R27="",R27&lt;=0,E27&lt;0),"",E27/R27)</f>
        <v/>
      </c>
      <c r="J27" s="66">
        <f>IFERROR(AVERAGE(IFERROR(IF(E27="","",IF(E27&lt;0,5,IF(E27&lt;=15,90,IF(E27&lt;=20,75,IF(E27&lt;=25,60,IF(E27&lt;=30,45,IF(E27&lt;=40,30,IF(E27&lt;=60,15,5)))))))),""),IFERROR(IF(F27="","",IF(F27&lt;0,5,IF(F27&lt;=10,90,IF(F27&lt;=15,75,IF(F27&lt;=20,60,IF(F27&lt;=25,45,IF(F27&lt;=35,30,IF(F27&lt;=50,15,5)))))))),""),IFERROR(IF(G27="","",IF(G27&gt;=8,100,IF(G27&gt;=6,90,IF(G27&gt;=4,75,IF(G27&gt;=2,60,IF(G27&gt;=1,45,IF(G27&gt;=0,30,15))))))),""),IFERROR(IF(H27="","",IF(H27&lt;=2,90,IF(H27&lt;=4,75,IF(H27&lt;=7,60,IF(H27&lt;=10,45,IF(H27&lt;=15,30,IF(H27&lt;=25,15,5))))))),""),IFERROR(IF(I27="","",IF(I27&lt;=0.5,100,IF(I27&lt;=1,90,IF(I27&lt;=1.5,75,IF(I27&lt;=2,60,IF(I27&lt;=2.5,45,IF(I27&lt;=3,30,15))))))),"")),"")</f>
        <v/>
      </c>
      <c r="K27" s="33" t="n">
        <v>0</v>
      </c>
      <c r="L27" s="33" t="n">
        <v>0</v>
      </c>
      <c r="N27" s="33" t="n">
        <v>12.62</v>
      </c>
      <c r="O27" s="66">
        <f>IFERROR(AVERAGE(IFERROR(IF(K27="","",IF(K27&gt;=25,100,IF(K27&gt;=20,90,IF(K27&gt;=15,75,IF(K27&gt;=10,60,IF(K27&gt;=5,45,IF(K27&gt;=0,30,15))))))),""),IFERROR(IF(L27="","",IF(L27&gt;=60,100,IF(L27&gt;=50,90,IF(L27&gt;=40,75,IF(L27&gt;=30,60,IF(L27&gt;=20,45,IF(L27&gt;=10,30,15))))))),""),IFERROR(IF(M27="","",IF(M27&gt;=25,100,IF(M27&gt;=20,90,IF(M27&gt;=15,75,IF(M27&gt;=10,60,IF(M27&gt;=5,45,IF(M27&gt;=0,30,15))))))),""),IFERROR(IF(N27="","",IF(N27&lt;=0,100,IF(N27&lt;=1,90,IF(N27&lt;=2,75,IF(N27&lt;=3,60,IF(N27&lt;=4,45,IF(N27&lt;=5,30,15))))))),"")),"")</f>
        <v/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IFERROR(AVERAGE(T27,U27,V27,W27,X27)*20,"")</f>
        <v/>
      </c>
      <c r="Z27" s="33" t="n">
        <v>4</v>
      </c>
      <c r="AA27" s="33" t="n">
        <v>1</v>
      </c>
      <c r="AB27" s="33" t="n">
        <v>3</v>
      </c>
      <c r="AC27" s="71" t="n">
        <v>35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IFERROR(AVERAGE(AE27,AF27,AG27,AH27,AL27)*20,"")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2026-06-10</t>
        </is>
      </c>
      <c r="E28" s="33" t="n">
        <v>12.09</v>
      </c>
      <c r="F28" s="33" t="n">
        <v>5.944</v>
      </c>
      <c r="G28" s="33" t="n">
        <v>12.49</v>
      </c>
      <c r="H28" s="33" t="n">
        <v>3.6809</v>
      </c>
      <c r="I28" s="33">
        <f>IF(OR(E28="",R28="",R28&lt;=0,E28&lt;0),"",E28/R28)</f>
        <v/>
      </c>
      <c r="J28" s="66">
        <f>IFERROR(AVERAGE(IFERROR(IF(E28="","",IF(E28&lt;0,5,IF(E28&lt;=15,90,IF(E28&lt;=20,75,IF(E28&lt;=25,60,IF(E28&lt;=30,45,IF(E28&lt;=40,30,IF(E28&lt;=60,15,5)))))))),""),IFERROR(IF(F28="","",IF(F28&lt;0,5,IF(F28&lt;=10,90,IF(F28&lt;=15,75,IF(F28&lt;=20,60,IF(F28&lt;=25,45,IF(F28&lt;=35,30,IF(F28&lt;=50,15,5)))))))),""),IFERROR(IF(G28="","",IF(G28&gt;=8,100,IF(G28&gt;=6,90,IF(G28&gt;=4,75,IF(G28&gt;=2,60,IF(G28&gt;=1,45,IF(G28&gt;=0,30,15))))))),""),IFERROR(IF(H28="","",IF(H28&lt;=2,90,IF(H28&lt;=4,75,IF(H28&lt;=7,60,IF(H28&lt;=10,45,IF(H28&lt;=15,30,IF(H28&lt;=25,15,5))))))),""),IFERROR(IF(I28="","",IF(I28&lt;=0.5,100,IF(I28&lt;=1,90,IF(I28&lt;=1.5,75,IF(I28&lt;=2,60,IF(I28&lt;=2.5,45,IF(I28&lt;=3,30,15))))))),"")),"")</f>
        <v/>
      </c>
      <c r="K28" s="33" t="n">
        <v>12.6</v>
      </c>
      <c r="L28" s="33" t="n">
        <v>51.8</v>
      </c>
      <c r="M28" s="33" t="n">
        <v>43.28</v>
      </c>
      <c r="N28" s="33" t="n">
        <v>0.8100000000000001</v>
      </c>
      <c r="O28" s="66">
        <f>IFERROR(AVERAGE(IFERROR(IF(K28="","",IF(K28&gt;=25,100,IF(K28&gt;=20,90,IF(K28&gt;=15,75,IF(K28&gt;=10,60,IF(K28&gt;=5,45,IF(K28&gt;=0,30,15))))))),""),IFERROR(IF(L28="","",IF(L28&gt;=60,100,IF(L28&gt;=50,90,IF(L28&gt;=40,75,IF(L28&gt;=30,60,IF(L28&gt;=20,45,IF(L28&gt;=10,30,15))))))),""),IFERROR(IF(M28="","",IF(M28&gt;=25,100,IF(M28&gt;=20,90,IF(M28&gt;=15,75,IF(M28&gt;=10,60,IF(M28&gt;=5,45,IF(M28&gt;=0,30,15))))))),""),IFERROR(IF(N28="","",IF(N28&lt;=0,100,IF(N28&lt;=1,90,IF(N28&lt;=2,75,IF(N28&lt;=3,60,IF(N28&lt;=4,45,IF(N28&lt;=5,30,15))))))),"")),"")</f>
        <v/>
      </c>
      <c r="P28" s="33" t="n">
        <v>-11.72</v>
      </c>
      <c r="Q28" s="33" t="n">
        <v>49.9</v>
      </c>
      <c r="R28" s="33" t="n">
        <v>490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IFERROR(AVERAGE(T28,U28,V28,W28,X28)*20,"")</f>
        <v/>
      </c>
      <c r="Z28" s="33" t="n">
        <v>2</v>
      </c>
      <c r="AA28" s="33" t="n">
        <v>1</v>
      </c>
      <c r="AB28" s="33" t="n">
        <v>3</v>
      </c>
      <c r="AC28" s="71" t="n">
        <v>39.2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IFERROR(AVERAGE(AE28,AF28,AG28,AH28,AL28)*20,"")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2026-06-10</t>
        </is>
      </c>
      <c r="E29" s="33" t="n">
        <v>8.6</v>
      </c>
      <c r="F29" s="33" t="n">
        <v>6.314</v>
      </c>
      <c r="G29" s="33" t="n">
        <v>8.970000000000001</v>
      </c>
      <c r="H29" s="33" t="n">
        <v>2.9404</v>
      </c>
      <c r="I29" s="33">
        <f>IF(OR(E29="",R29="",R29&lt;=0,E29&lt;0),"",E29/R29)</f>
        <v/>
      </c>
      <c r="J29" s="66">
        <f>IFERROR(AVERAGE(IFERROR(IF(E29="","",IF(E29&lt;0,5,IF(E29&lt;=15,90,IF(E29&lt;=20,75,IF(E29&lt;=25,60,IF(E29&lt;=30,45,IF(E29&lt;=40,30,IF(E29&lt;=60,15,5)))))))),""),IFERROR(IF(F29="","",IF(F29&lt;0,5,IF(F29&lt;=10,90,IF(F29&lt;=15,75,IF(F29&lt;=20,60,IF(F29&lt;=25,45,IF(F29&lt;=35,30,IF(F29&lt;=50,15,5)))))))),""),IFERROR(IF(G29="","",IF(G29&gt;=8,100,IF(G29&gt;=6,90,IF(G29&gt;=4,75,IF(G29&gt;=2,60,IF(G29&gt;=1,45,IF(G29&gt;=0,30,15))))))),""),IFERROR(IF(H29="","",IF(H29&lt;=2,90,IF(H29&lt;=4,75,IF(H29&lt;=7,60,IF(H29&lt;=10,45,IF(H29&lt;=15,30,IF(H29&lt;=25,15,5))))))),""),IFERROR(IF(I29="","",IF(I29&lt;=0.5,100,IF(I29&lt;=1,90,IF(I29&lt;=1.5,75,IF(I29&lt;=2,60,IF(I29&lt;=2.5,45,IF(I29&lt;=3,30,15))))))),"")),"")</f>
        <v/>
      </c>
      <c r="K29" s="33" t="n">
        <v>17.5</v>
      </c>
      <c r="L29" s="33" t="n">
        <v>40.8</v>
      </c>
      <c r="M29" s="33" t="n">
        <v>25.35</v>
      </c>
      <c r="N29" s="33" t="n">
        <v>0.6</v>
      </c>
      <c r="O29" s="66">
        <f>IFERROR(AVERAGE(IFERROR(IF(K29="","",IF(K29&gt;=25,100,IF(K29&gt;=20,90,IF(K29&gt;=15,75,IF(K29&gt;=10,60,IF(K29&gt;=5,45,IF(K29&gt;=0,30,15))))))),""),IFERROR(IF(L29="","",IF(L29&gt;=60,100,IF(L29&gt;=50,90,IF(L29&gt;=40,75,IF(L29&gt;=30,60,IF(L29&gt;=20,45,IF(L29&gt;=10,30,15))))))),""),IFERROR(IF(M29="","",IF(M29&gt;=25,100,IF(M29&gt;=20,90,IF(M29&gt;=15,75,IF(M29&gt;=10,60,IF(M29&gt;=5,45,IF(M29&gt;=0,30,15))))))),""),IFERROR(IF(N29="","",IF(N29&lt;=0,100,IF(N29&lt;=1,90,IF(N29&lt;=2,75,IF(N29&lt;=3,60,IF(N29&lt;=4,45,IF(N29&lt;=5,30,15))))))),"")),"")</f>
        <v/>
      </c>
      <c r="P29" s="33" t="n">
        <v>-17.55</v>
      </c>
      <c r="Q29" s="33" t="n">
        <v>26.1</v>
      </c>
      <c r="R29" s="33" t="n">
        <v>260.7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IFERROR(AVERAGE(T29,U29,V29,W29,X29)*20,"")</f>
        <v/>
      </c>
      <c r="Z29" s="33" t="n">
        <v>4</v>
      </c>
      <c r="AA29" s="33" t="n">
        <v>1</v>
      </c>
      <c r="AB29" s="33" t="n">
        <v>3</v>
      </c>
      <c r="AC29" s="71" t="n">
        <v>50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IFERROR(AVERAGE(AE29,AF29,AG29,AH29,AL29)*20,"")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2026-06-10</t>
        </is>
      </c>
      <c r="E30" s="33" t="n">
        <v>7.54</v>
      </c>
      <c r="F30" s="33" t="n">
        <v>7.26</v>
      </c>
      <c r="G30" s="33" t="n">
        <v>15.29</v>
      </c>
      <c r="H30" s="33" t="n">
        <v>2.0228</v>
      </c>
      <c r="I30" s="33">
        <f>IF(OR(E30="",R30="",R30&lt;=0,E30&lt;0),"",E30/R30)</f>
        <v/>
      </c>
      <c r="J30" s="66">
        <f>IFERROR(AVERAGE(IFERROR(IF(E30="","",IF(E30&lt;0,5,IF(E30&lt;=15,90,IF(E30&lt;=20,75,IF(E30&lt;=25,60,IF(E30&lt;=30,45,IF(E30&lt;=40,30,IF(E30&lt;=60,15,5)))))))),""),IFERROR(IF(F30="","",IF(F30&lt;0,5,IF(F30&lt;=10,90,IF(F30&lt;=15,75,IF(F30&lt;=20,60,IF(F30&lt;=25,45,IF(F30&lt;=35,30,IF(F30&lt;=50,15,5)))))))),""),IFERROR(IF(G30="","",IF(G30&gt;=8,100,IF(G30&gt;=6,90,IF(G30&gt;=4,75,IF(G30&gt;=2,60,IF(G30&gt;=1,45,IF(G30&gt;=0,30,15))))))),""),IFERROR(IF(H30="","",IF(H30&lt;=2,90,IF(H30&lt;=4,75,IF(H30&lt;=7,60,IF(H30&lt;=10,45,IF(H30&lt;=15,30,IF(H30&lt;=25,15,5))))))),""),IFERROR(IF(I30="","",IF(I30&lt;=0.5,100,IF(I30&lt;=1,90,IF(I30&lt;=1.5,75,IF(I30&lt;=2,60,IF(I30&lt;=2.5,45,IF(I30&lt;=3,30,15))))))),"")),"")</f>
        <v/>
      </c>
      <c r="K30" s="33" t="n">
        <v>10</v>
      </c>
      <c r="L30" s="33" t="n">
        <v>26.04</v>
      </c>
      <c r="M30" s="33" t="n">
        <v>29.26</v>
      </c>
      <c r="N30" s="33" t="n">
        <v>1.22</v>
      </c>
      <c r="O30" s="66">
        <f>IFERROR(AVERAGE(IFERROR(IF(K30="","",IF(K30&gt;=25,100,IF(K30&gt;=20,90,IF(K30&gt;=15,75,IF(K30&gt;=10,60,IF(K30&gt;=5,45,IF(K30&gt;=0,30,15))))))),""),IFERROR(IF(L30="","",IF(L30&gt;=60,100,IF(L30&gt;=50,90,IF(L30&gt;=40,75,IF(L30&gt;=30,60,IF(L30&gt;=20,45,IF(L30&gt;=10,30,15))))))),""),IFERROR(IF(M30="","",IF(M30&gt;=25,100,IF(M30&gt;=20,90,IF(M30&gt;=15,75,IF(M30&gt;=10,60,IF(M30&gt;=5,45,IF(M30&gt;=0,30,15))))))),""),IFERROR(IF(N30="","",IF(N30&lt;=0,100,IF(N30&lt;=1,90,IF(N30&lt;=2,75,IF(N30&lt;=3,60,IF(N30&lt;=4,45,IF(N30&lt;=5,30,15))))))),"")),"")</f>
        <v/>
      </c>
      <c r="P30" s="33" t="n">
        <v>-15.47</v>
      </c>
      <c r="Q30" s="33" t="n">
        <v>34.3</v>
      </c>
      <c r="R30" s="33" t="n">
        <v>160.6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IFERROR(AVERAGE(T30,U30,V30,W30,X30)*20,"")</f>
        <v/>
      </c>
      <c r="Z30" s="33" t="n">
        <v>5</v>
      </c>
      <c r="AA30" s="33" t="n">
        <v>1</v>
      </c>
      <c r="AB30" s="33" t="n">
        <v>3</v>
      </c>
      <c r="AC30" s="71" t="n">
        <v>44.2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IFERROR(AVERAGE(AE30,AF30,AG30,AH30,AL30)*20,"")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2026-06-10</t>
        </is>
      </c>
      <c r="E31" s="33" t="n">
        <v>9.74</v>
      </c>
      <c r="F31" s="33" t="n">
        <v>3.538</v>
      </c>
      <c r="G31" s="33" t="n">
        <v>13.16</v>
      </c>
      <c r="H31" s="33" t="n">
        <v>1.5718</v>
      </c>
      <c r="I31" s="33">
        <f>IF(OR(E32="",R32="",R32&lt;=0,E32&lt;0),"",E32/R32)</f>
        <v/>
      </c>
      <c r="J31" s="66">
        <f>IFERROR(AVERAGE(IFERROR(IF(E31="","",IF(E31&lt;0,5,IF(E31&lt;=15,90,IF(E31&lt;=20,75,IF(E31&lt;=25,60,IF(E31&lt;=30,45,IF(E31&lt;=40,30,IF(E31&lt;=60,15,5)))))))),""),IFERROR(IF(F31="","",IF(F31&lt;0,5,IF(F31&lt;=10,90,IF(F31&lt;=15,75,IF(F31&lt;=20,60,IF(F31&lt;=25,45,IF(F31&lt;=35,30,IF(F31&lt;=50,15,5)))))))),""),IFERROR(IF(G31="","",IF(G31&gt;=8,100,IF(G31&gt;=6,90,IF(G31&gt;=4,75,IF(G31&gt;=2,60,IF(G31&gt;=1,45,IF(G31&gt;=0,30,15))))))),""),IFERROR(IF(H31="","",IF(H31&lt;=2,90,IF(H31&lt;=4,75,IF(H31&lt;=7,60,IF(H31&lt;=10,45,IF(H31&lt;=15,30,IF(H31&lt;=25,15,5))))))),""),IFERROR(IF(I31="","",IF(I31&lt;=0.5,100,IF(I31&lt;=1,90,IF(I31&lt;=1.5,75,IF(I31&lt;=2,60,IF(I31&lt;=2.5,45,IF(I31&lt;=3,30,15))))))),"")),"")</f>
        <v/>
      </c>
      <c r="K31" s="33" t="n">
        <v>15.2</v>
      </c>
      <c r="L31" s="33" t="n">
        <v>51.73</v>
      </c>
      <c r="M31" s="33" t="n">
        <v>21.63</v>
      </c>
      <c r="N31" s="33" t="n">
        <v>0.39</v>
      </c>
      <c r="O31" s="66">
        <f>IFERROR(AVERAGE(IFERROR(IF(K31="","",IF(K31&gt;=25,100,IF(K31&gt;=20,90,IF(K31&gt;=15,75,IF(K31&gt;=10,60,IF(K31&gt;=5,45,IF(K31&gt;=0,30,15))))))),""),IFERROR(IF(L31="","",IF(L31&gt;=60,100,IF(L31&gt;=50,90,IF(L31&gt;=40,75,IF(L31&gt;=30,60,IF(L31&gt;=20,45,IF(L31&gt;=10,30,15))))))),""),IFERROR(IF(M31="","",IF(M31&gt;=25,100,IF(M31&gt;=20,90,IF(M31&gt;=15,75,IF(M31&gt;=10,60,IF(M31&gt;=5,45,IF(M31&gt;=0,30,15))))))),""),IFERROR(IF(N31="","",IF(N31&lt;=0,100,IF(N31&lt;=1,90,IF(N31&lt;=2,75,IF(N31&lt;=3,60,IF(N31&lt;=4,45,IF(N31&lt;=5,30,15))))))),"")),"")</f>
        <v/>
      </c>
      <c r="P31" s="33" t="n">
        <v>2.13</v>
      </c>
      <c r="Q31" s="33" t="n">
        <v>41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IFERROR(AVERAGE(T31,U31,V31,W31,X31)*20,"")</f>
        <v/>
      </c>
      <c r="Z31" s="33" t="n">
        <v>5</v>
      </c>
      <c r="AA31" s="33" t="n">
        <v>1</v>
      </c>
      <c r="AB31" s="33" t="n">
        <v>3</v>
      </c>
      <c r="AC31" s="71" t="n">
        <v>19.2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IFERROR(AVERAGE(AE31,AF31,AG31,AH31,AL31)*20,"")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2026-06-10</t>
        </is>
      </c>
      <c r="E32" s="33" t="n">
        <v>-20.999998</v>
      </c>
      <c r="F32" s="33" t="n">
        <v>-9.887</v>
      </c>
      <c r="G32" s="33" t="n">
        <v>-17.44</v>
      </c>
      <c r="H32" s="33" t="n">
        <v>7.1284943</v>
      </c>
      <c r="I32" s="33">
        <f>IF(OR(E33="",R33="",R33&lt;=0,E33&lt;0),"",E33/R33)</f>
        <v/>
      </c>
      <c r="J32" s="66">
        <f>IFERROR(AVERAGE(IFERROR(IF(E32="","",IF(E32&lt;0,5,IF(E32&lt;=15,90,IF(E32&lt;=20,75,IF(E32&lt;=25,60,IF(E32&lt;=30,45,IF(E32&lt;=40,30,IF(E32&lt;=60,15,5)))))))),""),IFERROR(IF(F32="","",IF(F32&lt;0,5,IF(F32&lt;=10,90,IF(F32&lt;=15,75,IF(F32&lt;=20,60,IF(F32&lt;=25,45,IF(F32&lt;=35,30,IF(F32&lt;=50,15,5)))))))),""),IFERROR(IF(G32="","",IF(G32&gt;=8,100,IF(G32&gt;=6,90,IF(G32&gt;=4,75,IF(G32&gt;=2,60,IF(G32&gt;=1,45,IF(G32&gt;=0,30,15))))))),""),IFERROR(IF(H32="","",IF(H32&lt;=2,90,IF(H32&lt;=4,75,IF(H32&lt;=7,60,IF(H32&lt;=10,45,IF(H32&lt;=15,30,IF(H32&lt;=25,15,5))))))),""),IFERROR(IF(I32="","",IF(I32&lt;=0.5,100,IF(I32&lt;=1,90,IF(I32&lt;=1.5,75,IF(I32&lt;=2,60,IF(I32&lt;=2.5,45,IF(I32&lt;=3,30,15))))))),"")),"")</f>
        <v/>
      </c>
      <c r="K32" s="33" t="n">
        <v>28.3</v>
      </c>
      <c r="L32" s="33" t="n">
        <v>-31.24</v>
      </c>
      <c r="M32" s="33" t="n">
        <v>-90.3</v>
      </c>
      <c r="N32" s="33" t="n">
        <v>-1.27</v>
      </c>
      <c r="O32" s="66">
        <f>IFERROR(AVERAGE(IFERROR(IF(K32="","",IF(K32&gt;=25,100,IF(K32&gt;=20,90,IF(K32&gt;=15,75,IF(K32&gt;=10,60,IF(K32&gt;=5,45,IF(K32&gt;=0,30,15))))))),""),IFERROR(IF(L32="","",IF(L32&gt;=60,100,IF(L32&gt;=50,90,IF(L32&gt;=40,75,IF(L32&gt;=30,60,IF(L32&gt;=20,45,IF(L32&gt;=10,30,15))))))),""),IFERROR(IF(M32="","",IF(M32&gt;=25,100,IF(M32&gt;=20,90,IF(M32&gt;=15,75,IF(M32&gt;=10,60,IF(M32&gt;=5,45,IF(M32&gt;=0,30,15))))))),""),IFERROR(IF(N32="","",IF(N32&lt;=0,100,IF(N32&lt;=1,90,IF(N32&lt;=2,75,IF(N32&lt;=3,60,IF(N32&lt;=4,45,IF(N32&lt;=5,30,15))))))),"")),"")</f>
        <v/>
      </c>
      <c r="P32" s="33" t="n">
        <v>0.4</v>
      </c>
      <c r="Q32" s="33" t="n">
        <v>22.3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IFERROR(AVERAGE(T32,U32,V32,W32,X32)*20,"")</f>
        <v/>
      </c>
      <c r="Z32" s="33" t="n">
        <v>3</v>
      </c>
      <c r="AA32" s="33" t="n">
        <v>5</v>
      </c>
      <c r="AB32" s="33" t="n">
        <v>3</v>
      </c>
      <c r="AC32" s="71" t="n">
        <v>68.3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IFERROR(AVERAGE(AE32,AF32,AG32,AH32,AL32)*20,"")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2026-06-10</t>
        </is>
      </c>
      <c r="E33" s="33" t="n">
        <v>20.975916</v>
      </c>
      <c r="F33" s="33" t="n">
        <v>20.422</v>
      </c>
      <c r="G33" s="33" t="n">
        <v>2.91</v>
      </c>
      <c r="H33" s="33" t="n">
        <v>2.8357093</v>
      </c>
      <c r="I33" s="33">
        <f>IF(OR(E34="",R34="",R34&lt;=0,E34&lt;0),"",E34/R34)</f>
        <v/>
      </c>
      <c r="J33" s="66">
        <f>IFERROR(AVERAGE(IFERROR(IF(E33="","",IF(E33&lt;0,5,IF(E33&lt;=15,90,IF(E33&lt;=20,75,IF(E33&lt;=25,60,IF(E33&lt;=30,45,IF(E33&lt;=40,30,IF(E33&lt;=60,15,5)))))))),""),IFERROR(IF(F33="","",IF(F33&lt;0,5,IF(F33&lt;=10,90,IF(F33&lt;=15,75,IF(F33&lt;=20,60,IF(F33&lt;=25,45,IF(F33&lt;=35,30,IF(F33&lt;=50,15,5)))))))),""),IFERROR(IF(G33="","",IF(G33&gt;=8,100,IF(G33&gt;=6,90,IF(G33&gt;=4,75,IF(G33&gt;=2,60,IF(G33&gt;=1,45,IF(G33&gt;=0,30,15))))))),""),IFERROR(IF(H33="","",IF(H33&lt;=2,90,IF(H33&lt;=4,75,IF(H33&lt;=7,60,IF(H33&lt;=10,45,IF(H33&lt;=15,30,IF(H33&lt;=25,15,5))))))),""),IFERROR(IF(I33="","",IF(I33&lt;=0.5,100,IF(I33&lt;=1,90,IF(I33&lt;=1.5,75,IF(I33&lt;=2,60,IF(I33&lt;=2.5,45,IF(I33&lt;=3,30,15))))))),"")),"")</f>
        <v/>
      </c>
      <c r="K33" s="33" t="n">
        <v>15.7</v>
      </c>
      <c r="L33" s="33" t="n">
        <v>25.85</v>
      </c>
      <c r="M33" s="33" t="n">
        <v>7.88</v>
      </c>
      <c r="N33" s="33" t="n">
        <v>1.01</v>
      </c>
      <c r="O33" s="66">
        <f>IFERROR(AVERAGE(IFERROR(IF(K33="","",IF(K33&gt;=25,100,IF(K33&gt;=20,90,IF(K33&gt;=15,75,IF(K33&gt;=10,60,IF(K33&gt;=5,45,IF(K33&gt;=0,30,15))))))),""),IFERROR(IF(L33="","",IF(L33&gt;=60,100,IF(L33&gt;=50,90,IF(L33&gt;=40,75,IF(L33&gt;=30,60,IF(L33&gt;=20,45,IF(L33&gt;=10,30,15))))))),""),IFERROR(IF(M33="","",IF(M33&gt;=25,100,IF(M33&gt;=20,90,IF(M33&gt;=15,75,IF(M33&gt;=10,60,IF(M33&gt;=5,45,IF(M33&gt;=0,30,15))))))),""),IFERROR(IF(N33="","",IF(N33&lt;=0,100,IF(N33&lt;=1,90,IF(N33&lt;=2,75,IF(N33&lt;=3,60,IF(N33&lt;=4,45,IF(N33&lt;=5,30,15))))))),"")),"")</f>
        <v/>
      </c>
      <c r="P33" s="33" t="n">
        <v>6.25</v>
      </c>
      <c r="Q33" s="33" t="n">
        <v>2.7</v>
      </c>
      <c r="R33" s="33" t="n">
        <v>-20.6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IFERROR(AVERAGE(T33,U33,V33,W33,X33)*20,"")</f>
        <v/>
      </c>
      <c r="Z33" s="33" t="n">
        <v>5</v>
      </c>
      <c r="AA33" s="33" t="n">
        <v>5</v>
      </c>
      <c r="AB33" s="33" t="n">
        <v>3</v>
      </c>
      <c r="AC33" s="71" t="n">
        <v>79.2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IFERROR(AVERAGE(AE33,AF33,AG33,AH33,AL33)*20,"")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2026-06-10</t>
        </is>
      </c>
      <c r="E34" s="33" t="n">
        <v>23.886566</v>
      </c>
      <c r="F34" s="33" t="n">
        <v>31.565</v>
      </c>
      <c r="G34" s="33" t="n">
        <v>2.14</v>
      </c>
      <c r="H34" s="33" t="n">
        <v>3.587862</v>
      </c>
      <c r="I34" s="33">
        <f>IF(OR(E35="",R35="",R35&lt;=0,E35&lt;0),"",E35/R35)</f>
        <v/>
      </c>
      <c r="J34" s="66">
        <f>IFERROR(AVERAGE(IFERROR(IF(E34="","",IF(E34&lt;0,5,IF(E34&lt;=15,90,IF(E34&lt;=20,75,IF(E34&lt;=25,60,IF(E34&lt;=30,45,IF(E34&lt;=40,30,IF(E34&lt;=60,15,5)))))))),""),IFERROR(IF(F34="","",IF(F34&lt;0,5,IF(F34&lt;=10,90,IF(F34&lt;=15,75,IF(F34&lt;=20,60,IF(F34&lt;=25,45,IF(F34&lt;=35,30,IF(F34&lt;=50,15,5)))))))),""),IFERROR(IF(G34="","",IF(G34&gt;=8,100,IF(G34&gt;=6,90,IF(G34&gt;=4,75,IF(G34&gt;=2,60,IF(G34&gt;=1,45,IF(G34&gt;=0,30,15))))))),""),IFERROR(IF(H34="","",IF(H34&lt;=2,90,IF(H34&lt;=4,75,IF(H34&lt;=7,60,IF(H34&lt;=10,45,IF(H34&lt;=15,30,IF(H34&lt;=25,15,5))))))),""),IFERROR(IF(I34="","",IF(I34&lt;=0.5,100,IF(I34&lt;=1,90,IF(I34&lt;=1.5,75,IF(I34&lt;=2,60,IF(I34&lt;=2.5,45,IF(I34&lt;=3,30,15))))))),"")),"")</f>
        <v/>
      </c>
      <c r="K34" s="33" t="n">
        <v>5.3</v>
      </c>
      <c r="L34" s="33" t="n">
        <v>38.14</v>
      </c>
      <c r="M34" s="33" t="n">
        <v>7.65</v>
      </c>
      <c r="N34" s="33" t="n">
        <v>2.14</v>
      </c>
      <c r="O34" s="66">
        <f>IFERROR(AVERAGE(IFERROR(IF(K34="","",IF(K34&gt;=25,100,IF(K34&gt;=20,90,IF(K34&gt;=15,75,IF(K34&gt;=10,60,IF(K34&gt;=5,45,IF(K34&gt;=0,30,15))))))),""),IFERROR(IF(L34="","",IF(L34&gt;=60,100,IF(L34&gt;=50,90,IF(L34&gt;=40,75,IF(L34&gt;=30,60,IF(L34&gt;=20,45,IF(L34&gt;=10,30,15))))))),""),IFERROR(IF(M34="","",IF(M34&gt;=25,100,IF(M34&gt;=20,90,IF(M34&gt;=15,75,IF(M34&gt;=10,60,IF(M34&gt;=5,45,IF(M34&gt;=0,30,15))))))),""),IFERROR(IF(N34="","",IF(N34&lt;=0,100,IF(N34&lt;=1,90,IF(N34&lt;=2,75,IF(N34&lt;=3,60,IF(N34&lt;=4,45,IF(N34&lt;=5,30,15))))))),"")),"")</f>
        <v/>
      </c>
      <c r="P34" s="33" t="n">
        <v>-2.67</v>
      </c>
      <c r="Q34" s="33" t="n">
        <v>12.4</v>
      </c>
      <c r="R34" s="33" t="n">
        <v>67.09999999999999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IFERROR(AVERAGE(T34,U34,V34,W34,X34)*20,"")</f>
        <v/>
      </c>
      <c r="Z34" s="33" t="n">
        <v>5</v>
      </c>
      <c r="AA34" s="33" t="n">
        <v>5</v>
      </c>
      <c r="AB34" s="33" t="n">
        <v>3</v>
      </c>
      <c r="AC34" s="71" t="n">
        <v>78.3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IFERROR(AVERAGE(AE34,AF34,AG34,AH34,AL34)*20,"")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2026-05-18</t>
        </is>
      </c>
      <c r="E35" s="33" t="n">
        <v>25.403318</v>
      </c>
      <c r="F35" s="33" t="n">
        <v>27.783</v>
      </c>
      <c r="G35" s="33" t="n">
        <v>2.48</v>
      </c>
      <c r="H35" s="33" t="n">
        <v>5.4379973</v>
      </c>
      <c r="I35" s="33">
        <f>IF(OR(E36="",R36="",R36&lt;=0,E36&lt;0),"",E36/R36)</f>
        <v/>
      </c>
      <c r="J35" s="66">
        <f>IFERROR(AVERAGE(IFERROR(IF(E35="","",IF(E35&lt;0,5,IF(E35&lt;=15,90,IF(E35&lt;=20,75,IF(E35&lt;=25,60,IF(E35&lt;=30,45,IF(E35&lt;=40,30,IF(E35&lt;=60,15,5)))))))),""),IFERROR(IF(F35="","",IF(F35&lt;0,5,IF(F35&lt;=10,90,IF(F35&lt;=15,75,IF(F35&lt;=20,60,IF(F35&lt;=25,45,IF(F35&lt;=35,30,IF(F35&lt;=50,15,5)))))))),""),IFERROR(IF(G35="","",IF(G35&gt;=8,100,IF(G35&gt;=6,90,IF(G35&gt;=4,75,IF(G35&gt;=2,60,IF(G35&gt;=1,45,IF(G35&gt;=0,30,15))))))),""),IFERROR(IF(H35="","",IF(H35&lt;=2,90,IF(H35&lt;=4,75,IF(H35&lt;=7,60,IF(H35&lt;=10,45,IF(H35&lt;=15,30,IF(H35&lt;=25,15,5))))))),""),IFERROR(IF(I35="","",IF(I35&lt;=0.5,100,IF(I35&lt;=1,90,IF(I35&lt;=1.5,75,IF(I35&lt;=2,60,IF(I35&lt;=2.5,45,IF(I35&lt;=3,30,15))))))),"")),"")</f>
        <v/>
      </c>
      <c r="K35" s="33" t="n">
        <v>14.3</v>
      </c>
      <c r="L35" s="33" t="n">
        <v>37.1</v>
      </c>
      <c r="M35" s="33" t="n">
        <v>13.24</v>
      </c>
      <c r="N35" s="33" t="n">
        <v>3.32</v>
      </c>
      <c r="O35" s="66">
        <f>IFERROR(AVERAGE(IFERROR(IF(K35="","",IF(K35&gt;=25,100,IF(K35&gt;=20,90,IF(K35&gt;=15,75,IF(K35&gt;=10,60,IF(K35&gt;=5,45,IF(K35&gt;=0,30,15))))))),""),IFERROR(IF(L35="","",IF(L35&gt;=60,100,IF(L35&gt;=50,90,IF(L35&gt;=40,75,IF(L35&gt;=30,60,IF(L35&gt;=20,45,IF(L35&gt;=10,30,15))))))),""),IFERROR(IF(M35="","",IF(M35&gt;=25,100,IF(M35&gt;=20,90,IF(M35&gt;=15,75,IF(M35&gt;=10,60,IF(M35&gt;=5,45,IF(M35&gt;=0,30,15))))))),""),IFERROR(IF(N35="","",IF(N35&lt;=0,100,IF(N35&lt;=1,90,IF(N35&lt;=2,75,IF(N35&lt;=3,60,IF(N35&lt;=4,45,IF(N35&lt;=5,30,15))))))),"")),"")</f>
        <v/>
      </c>
      <c r="P35" s="33" t="n">
        <v>9.77</v>
      </c>
      <c r="Q35" s="33" t="n">
        <v>16.8</v>
      </c>
      <c r="R35" s="33" t="n">
        <v>-10.2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IFERROR(AVERAGE(T35,U35,V35,W35,X35)*20,"")</f>
        <v/>
      </c>
      <c r="Z35" s="33" t="n">
        <v>4</v>
      </c>
      <c r="AA35" s="33" t="n">
        <v>3</v>
      </c>
      <c r="AB35" s="33" t="n">
        <v>3</v>
      </c>
      <c r="AC35" s="71" t="n">
        <v>70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IFERROR(AVERAGE(AE35,AF35,AG35,AH35,AL35)*20,"")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2026-05-18</t>
        </is>
      </c>
      <c r="E36" s="33" t="n">
        <v>23.26352</v>
      </c>
      <c r="F36" s="33" t="n">
        <v>6.29</v>
      </c>
      <c r="G36" s="33" t="n">
        <v>2.32</v>
      </c>
      <c r="H36" s="33" t="n">
        <v>4.2808523</v>
      </c>
      <c r="I36" s="33">
        <f>IF(OR(E37="",R37="",R37&lt;=0,E37&lt;0),"",E37/R37)</f>
        <v/>
      </c>
      <c r="J36" s="33">
        <f>IFERROR(AVERAGE(IFERROR(IF(E36="","",IF(E36&lt;0,5,IF(E36&lt;=15,90,IF(E36&lt;=20,75,IF(E36&lt;=25,60,IF(E36&lt;=30,45,IF(E36&lt;=40,30,IF(E36&lt;=60,15,5)))))))),""),IFERROR(IF(F36="","",IF(F36&lt;0,5,IF(F36&lt;=10,90,IF(F36&lt;=15,75,IF(F36&lt;=20,60,IF(F36&lt;=25,45,IF(F36&lt;=35,30,IF(F36&lt;=50,15,5)))))))),""),IFERROR(IF(G36="","",IF(G36&gt;=8,100,IF(G36&gt;=6,90,IF(G36&gt;=4,75,IF(G36&gt;=2,60,IF(G36&gt;=1,45,IF(G36&gt;=0,30,15))))))),""),IFERROR(IF(H36="","",IF(H36&lt;=2,90,IF(H36&lt;=4,75,IF(H36&lt;=7,60,IF(H36&lt;=10,45,IF(H36&lt;=15,30,IF(H36&lt;=25,15,5))))))),""),IFERROR(IF(I36="","",IF(I36&lt;=0.5,100,IF(I36&lt;=1,90,IF(I36&lt;=1.5,75,IF(I36&lt;=2,60,IF(I36&lt;=2.5,45,IF(I36&lt;=3,30,15))))))),"")),"")</f>
        <v/>
      </c>
      <c r="K36" s="33" t="n">
        <v>12.2</v>
      </c>
      <c r="L36" s="33" t="n">
        <v>42.08</v>
      </c>
      <c r="M36" s="33" t="n">
        <v>9.92</v>
      </c>
      <c r="N36" s="33" t="n">
        <v>1.93</v>
      </c>
      <c r="O36" s="33">
        <f>IFERROR(AVERAGE(IFERROR(IF(K36="","",IF(K36&gt;=25,100,IF(K36&gt;=20,90,IF(K36&gt;=15,75,IF(K36&gt;=10,60,IF(K36&gt;=5,45,IF(K36&gt;=0,30,15))))))),""),IFERROR(IF(L36="","",IF(L36&gt;=60,100,IF(L36&gt;=50,90,IF(L36&gt;=40,75,IF(L36&gt;=30,60,IF(L36&gt;=20,45,IF(L36&gt;=10,30,15))))))),""),IFERROR(IF(M36="","",IF(M36&gt;=25,100,IF(M36&gt;=20,90,IF(M36&gt;=15,75,IF(M36&gt;=10,60,IF(M36&gt;=5,45,IF(M36&gt;=0,30,15))))))),""),IFERROR(IF(N36="","",IF(N36&lt;=0,100,IF(N36&lt;=1,90,IF(N36&lt;=2,75,IF(N36&lt;=3,60,IF(N36&lt;=4,45,IF(N36&lt;=5,30,15))))))),"")),"")</f>
        <v/>
      </c>
      <c r="P36" s="33" t="n">
        <v>5.52</v>
      </c>
      <c r="Q36" s="33" t="n">
        <v>4.2</v>
      </c>
      <c r="R36" s="33" t="n">
        <v>-5.7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IFERROR(AVERAGE(T36,U36,V36,W36,X36)*20,"")</f>
        <v/>
      </c>
      <c r="Z36" s="33" t="n">
        <v>3</v>
      </c>
      <c r="AA36" s="33" t="n">
        <v>3</v>
      </c>
      <c r="AB36" s="33" t="n">
        <v>3</v>
      </c>
      <c r="AC36" s="71" t="n">
        <v>73.3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4</v>
      </c>
      <c r="AH36" s="33" t="n">
        <v>4</v>
      </c>
      <c r="AI36" s="33">
        <f>IFERROR(AVERAGE(AE36,AF36,AG36,AH36,AL36)*20,"")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2026-05-18</t>
        </is>
      </c>
      <c r="E37" s="33" t="n">
        <v>30.549192</v>
      </c>
      <c r="F37" s="33" t="n">
        <v>27.453</v>
      </c>
      <c r="G37" s="33" t="n">
        <v>2.01</v>
      </c>
      <c r="H37" s="33" t="n">
        <v>5.462164</v>
      </c>
      <c r="I37" s="33">
        <f>IF(OR(E38="",R38="",R38&lt;=0,E38&lt;0),"",E38/R38)</f>
        <v/>
      </c>
      <c r="J37" s="33">
        <f>IFERROR(AVERAGE(IFERROR(IF(E37="","",IF(E37&lt;0,5,IF(E37&lt;=15,90,IF(E37&lt;=20,75,IF(E37&lt;=25,60,IF(E37&lt;=30,45,IF(E37&lt;=40,30,IF(E37&lt;=60,15,5)))))))),""),IFERROR(IF(F37="","",IF(F37&lt;0,5,IF(F37&lt;=10,90,IF(F37&lt;=15,75,IF(F37&lt;=20,60,IF(F37&lt;=25,45,IF(F37&lt;=35,30,IF(F37&lt;=50,15,5)))))))),""),IFERROR(IF(G37="","",IF(G37&gt;=8,100,IF(G37&gt;=6,90,IF(G37&gt;=4,75,IF(G37&gt;=2,60,IF(G37&gt;=1,45,IF(G37&gt;=0,30,15))))))),""),IFERROR(IF(H37="","",IF(H37&lt;=2,90,IF(H37&lt;=4,75,IF(H37&lt;=7,60,IF(H37&lt;=10,45,IF(H37&lt;=15,30,IF(H37&lt;=25,15,5))))))),""),IFERROR(IF(I37="","",IF(I37&lt;=0.5,100,IF(I37&lt;=1,90,IF(I37&lt;=1.5,75,IF(I37&lt;=2,60,IF(I37&lt;=2.5,45,IF(I37&lt;=3,30,15))))))),"")),"")</f>
        <v/>
      </c>
      <c r="K37" s="33" t="n">
        <v>18.7</v>
      </c>
      <c r="L37" s="33" t="n">
        <v>40.37</v>
      </c>
      <c r="M37" s="33" t="n">
        <v>10.77</v>
      </c>
      <c r="N37" s="33" t="n">
        <v>0.46</v>
      </c>
      <c r="O37" s="33">
        <f>IFERROR(AVERAGE(IFERROR(IF(K37="","",IF(K37&gt;=25,100,IF(K37&gt;=20,90,IF(K37&gt;=15,75,IF(K37&gt;=10,60,IF(K37&gt;=5,45,IF(K37&gt;=0,30,15))))))),""),IFERROR(IF(L37="","",IF(L37&gt;=60,100,IF(L37&gt;=50,90,IF(L37&gt;=40,75,IF(L37&gt;=30,60,IF(L37&gt;=20,45,IF(L37&gt;=10,30,15))))))),""),IFERROR(IF(M37="","",IF(M37&gt;=25,100,IF(M37&gt;=20,90,IF(M37&gt;=15,75,IF(M37&gt;=10,60,IF(M37&gt;=5,45,IF(M37&gt;=0,30,15))))))),""),IFERROR(IF(N37="","",IF(N37&lt;=0,100,IF(N37&lt;=1,90,IF(N37&lt;=2,75,IF(N37&lt;=3,60,IF(N37&lt;=4,45,IF(N37&lt;=5,30,15))))))),"")),"")</f>
        <v/>
      </c>
      <c r="P37" s="33" t="n">
        <v>4.1</v>
      </c>
      <c r="Q37" s="33" t="n">
        <v>18.3</v>
      </c>
      <c r="R37" s="33" t="n">
        <v>20.1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IFERROR(AVERAGE(T37,U37,V37,W37,X37)*20,"")</f>
        <v/>
      </c>
      <c r="Z37" s="33" t="n">
        <v>4</v>
      </c>
      <c r="AA37" s="33" t="n">
        <v>5</v>
      </c>
      <c r="AB37" s="33" t="n">
        <v>3</v>
      </c>
      <c r="AC37" s="71" t="n">
        <v>87.5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IFERROR(AVERAGE(AE37,AF37,AG37,AH37,AL37)*20,"")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2026-05-18</t>
        </is>
      </c>
      <c r="E38" s="33" t="n">
        <v>12.282258</v>
      </c>
      <c r="F38" s="33" t="n">
        <v>-0.198</v>
      </c>
      <c r="G38" s="33" t="n">
        <v>835.65</v>
      </c>
      <c r="H38" s="33" t="n">
        <v>0.012946594</v>
      </c>
      <c r="I38" s="33">
        <f>IF(OR(E39="",R39="",R39&lt;=0,E39&lt;0),"",E39/R39)</f>
        <v/>
      </c>
      <c r="J38" s="33">
        <f>IFERROR(AVERAGE(IFERROR(IF(E38="","",IF(E38&lt;0,5,IF(E38&lt;=15,90,IF(E38&lt;=20,75,IF(E38&lt;=25,60,IF(E38&lt;=30,45,IF(E38&lt;=40,30,IF(E38&lt;=60,15,5)))))))),""),IFERROR(IF(F38="","",IF(F38&lt;0,5,IF(F38&lt;=10,90,IF(F38&lt;=15,75,IF(F38&lt;=20,60,IF(F38&lt;=25,45,IF(F38&lt;=35,30,IF(F38&lt;=50,15,5)))))))),""),IFERROR(IF(G38="","",IF(G38&gt;=8,100,IF(G38&gt;=6,90,IF(G38&gt;=4,75,IF(G38&gt;=2,60,IF(G38&gt;=1,45,IF(G38&gt;=0,30,15))))))),""),IFERROR(IF(H38="","",IF(H38&lt;=2,90,IF(H38&lt;=4,75,IF(H38&lt;=7,60,IF(H38&lt;=10,45,IF(H38&lt;=15,30,IF(H38&lt;=25,15,5))))))),""),IFERROR(IF(I38="","",IF(I38&lt;=0.5,100,IF(I38&lt;=1,90,IF(I38&lt;=1.5,75,IF(I38&lt;=2,60,IF(I38&lt;=2.5,45,IF(I38&lt;=3,30,15))))))),"")),"")</f>
        <v/>
      </c>
      <c r="K38" s="33" t="n">
        <v>9.800000000000001</v>
      </c>
      <c r="L38" s="33" t="n">
        <v>30.03</v>
      </c>
      <c r="M38" s="33" t="n">
        <v>10.82</v>
      </c>
      <c r="N38" s="33" t="n">
        <v>-0.4</v>
      </c>
      <c r="O38" s="33">
        <f>IFERROR(AVERAGE(IFERROR(IF(K38="","",IF(K38&gt;=25,100,IF(K38&gt;=20,90,IF(K38&gt;=15,75,IF(K38&gt;=10,60,IF(K38&gt;=5,45,IF(K38&gt;=0,30,15))))))),""),IFERROR(IF(L38="","",IF(L38&gt;=60,100,IF(L38&gt;=50,90,IF(L38&gt;=40,75,IF(L38&gt;=30,60,IF(L38&gt;=20,45,IF(L38&gt;=10,30,15))))))),""),IFERROR(IF(M38="","",IF(M38&gt;=25,100,IF(M38&gt;=20,90,IF(M38&gt;=15,75,IF(M38&gt;=10,60,IF(M38&gt;=5,45,IF(M38&gt;=0,30,15))))))),""),IFERROR(IF(N38="","",IF(N38&lt;=0,100,IF(N38&lt;=1,90,IF(N38&lt;=2,75,IF(N38&lt;=3,60,IF(N38&lt;=4,45,IF(N38&lt;=5,30,15))))))),"")),"")</f>
        <v/>
      </c>
      <c r="P38" s="33" t="n">
        <v>-1.59</v>
      </c>
      <c r="Q38" s="33" t="n">
        <v>11.3</v>
      </c>
      <c r="R38" s="33" t="n">
        <v>-11.4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IFERROR(AVERAGE(T38,U38,V38,W38,X38)*20,"")</f>
        <v/>
      </c>
      <c r="Z38" s="33" t="n">
        <v>3</v>
      </c>
      <c r="AA38" s="33" t="n">
        <v>2</v>
      </c>
      <c r="AB38" s="33" t="n">
        <v>3</v>
      </c>
      <c r="AC38" s="71" t="n">
        <v>54.2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IFERROR(AVERAGE(AE38,AF38,AG38,AH38,AL38)*20,"")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2026-05-18</t>
        </is>
      </c>
      <c r="E39" s="33" t="n">
        <v>22.064533</v>
      </c>
      <c r="F39" s="33" t="n">
        <v>18.814</v>
      </c>
      <c r="G39" s="33" t="n">
        <v>3.62</v>
      </c>
      <c r="H39" s="33" t="n">
        <v>4.229827</v>
      </c>
      <c r="I39" s="33">
        <f>IF(OR(E40="",R40="",R40&lt;=0,E40&lt;0),"",E40/R40)</f>
        <v/>
      </c>
      <c r="J39" s="33">
        <f>IFERROR(AVERAGE(IFERROR(IF(E39="","",IF(E39&lt;0,5,IF(E39&lt;=15,90,IF(E39&lt;=20,75,IF(E39&lt;=25,60,IF(E39&lt;=30,45,IF(E39&lt;=40,30,IF(E39&lt;=60,15,5)))))))),""),IFERROR(IF(F39="","",IF(F39&lt;0,5,IF(F39&lt;=10,90,IF(F39&lt;=15,75,IF(F39&lt;=20,60,IF(F39&lt;=25,45,IF(F39&lt;=35,30,IF(F39&lt;=50,15,5)))))))),""),IFERROR(IF(G39="","",IF(G39&gt;=8,100,IF(G39&gt;=6,90,IF(G39&gt;=4,75,IF(G39&gt;=2,60,IF(G39&gt;=1,45,IF(G39&gt;=0,30,15))))))),""),IFERROR(IF(H39="","",IF(H39&lt;=2,90,IF(H39&lt;=4,75,IF(H39&lt;=7,60,IF(H39&lt;=10,45,IF(H39&lt;=15,30,IF(H39&lt;=25,15,5))))))),""),IFERROR(IF(I39="","",IF(I39&lt;=0.5,100,IF(I39&lt;=1,90,IF(I39&lt;=1.5,75,IF(I39&lt;=2,60,IF(I39&lt;=2.5,45,IF(I39&lt;=3,30,15))))))),"")),"")</f>
        <v/>
      </c>
      <c r="K39" s="33" t="n">
        <v>14.9</v>
      </c>
      <c r="L39" s="33" t="n">
        <v>35.69</v>
      </c>
      <c r="M39" s="33" t="n">
        <v>15.16</v>
      </c>
      <c r="N39" s="33" t="n">
        <v>1.51</v>
      </c>
      <c r="O39" s="33">
        <f>IFERROR(AVERAGE(IFERROR(IF(K39="","",IF(K39&gt;=25,100,IF(K39&gt;=20,90,IF(K39&gt;=15,75,IF(K39&gt;=10,60,IF(K39&gt;=5,45,IF(K39&gt;=0,30,15))))))),""),IFERROR(IF(L39="","",IF(L39&gt;=60,100,IF(L39&gt;=50,90,IF(L39&gt;=40,75,IF(L39&gt;=30,60,IF(L39&gt;=20,45,IF(L39&gt;=10,30,15))))))),""),IFERROR(IF(M39="","",IF(M39&gt;=25,100,IF(M39&gt;=20,90,IF(M39&gt;=15,75,IF(M39&gt;=10,60,IF(M39&gt;=5,45,IF(M39&gt;=0,30,15))))))),""),IFERROR(IF(N39="","",IF(N39&lt;=0,100,IF(N39&lt;=1,90,IF(N39&lt;=2,75,IF(N39&lt;=3,60,IF(N39&lt;=4,45,IF(N39&lt;=5,30,15))))))),"")),"")</f>
        <v/>
      </c>
      <c r="P39" s="33" t="n">
        <v>5.71</v>
      </c>
      <c r="Q39" s="33" t="n">
        <v>11.1</v>
      </c>
      <c r="R39" s="33" t="n">
        <v>11.4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IFERROR(AVERAGE(T39,U39,V39,W39,X39)*20,"")</f>
        <v/>
      </c>
      <c r="Z39" s="33" t="n">
        <v>4</v>
      </c>
      <c r="AA39" s="33" t="n">
        <v>3</v>
      </c>
      <c r="AB39" s="33" t="n">
        <v>3</v>
      </c>
      <c r="AC39" s="71" t="n">
        <v>60.8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4</v>
      </c>
      <c r="AH39" s="33" t="n">
        <v>4</v>
      </c>
      <c r="AI39" s="33">
        <f>IFERROR(AVERAGE(AE39,AF39,AG39,AH39,AL39)*20,"")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2026-05-18</t>
        </is>
      </c>
      <c r="E40" s="33" t="n">
        <v>46.9361</v>
      </c>
      <c r="F40" s="33" t="n">
        <v>45.729</v>
      </c>
      <c r="G40" s="33" t="n">
        <v>1.58</v>
      </c>
      <c r="H40" s="33" t="n">
        <v>3.8360026</v>
      </c>
      <c r="I40" s="33">
        <f>IF(OR(E41="",R41="",R41&lt;=0,E41&lt;0),"",E41/R41)</f>
        <v/>
      </c>
      <c r="J40" s="33">
        <f>IFERROR(AVERAGE(IFERROR(IF(E40="","",IF(E40&lt;0,5,IF(E40&lt;=15,90,IF(E40&lt;=20,75,IF(E40&lt;=25,60,IF(E40&lt;=30,45,IF(E40&lt;=40,30,IF(E40&lt;=60,15,5)))))))),""),IFERROR(IF(F40="","",IF(F40&lt;0,5,IF(F40&lt;=10,90,IF(F40&lt;=15,75,IF(F40&lt;=20,60,IF(F40&lt;=25,45,IF(F40&lt;=35,30,IF(F40&lt;=50,15,5)))))))),""),IFERROR(IF(G40="","",IF(G40&gt;=8,100,IF(G40&gt;=6,90,IF(G40&gt;=4,75,IF(G40&gt;=2,60,IF(G40&gt;=1,45,IF(G40&gt;=0,30,15))))))),""),IFERROR(IF(H40="","",IF(H40&lt;=2,90,IF(H40&lt;=4,75,IF(H40&lt;=7,60,IF(H40&lt;=10,45,IF(H40&lt;=15,30,IF(H40&lt;=25,15,5))))))),""),IFERROR(IF(I40="","",IF(I40&lt;=0.5,100,IF(I40&lt;=1,90,IF(I40&lt;=1.5,75,IF(I40&lt;=2,60,IF(I40&lt;=2.5,45,IF(I40&lt;=3,30,15))))))),"")),"")</f>
        <v/>
      </c>
      <c r="K40" s="33" t="n">
        <v>8.1</v>
      </c>
      <c r="L40" s="33" t="n">
        <v>15.1</v>
      </c>
      <c r="M40" s="33" t="n">
        <v>5.58</v>
      </c>
      <c r="N40" s="33" t="n">
        <v>2.24</v>
      </c>
      <c r="O40" s="33">
        <f>IFERROR(AVERAGE(IFERROR(IF(K40="","",IF(K40&gt;=25,100,IF(K40&gt;=20,90,IF(K40&gt;=15,75,IF(K40&gt;=10,60,IF(K40&gt;=5,45,IF(K40&gt;=0,30,15))))))),""),IFERROR(IF(L40="","",IF(L40&gt;=60,100,IF(L40&gt;=50,90,IF(L40&gt;=40,75,IF(L40&gt;=30,60,IF(L40&gt;=20,45,IF(L40&gt;=10,30,15))))))),""),IFERROR(IF(M40="","",IF(M40&gt;=25,100,IF(M40&gt;=20,90,IF(M40&gt;=15,75,IF(M40&gt;=10,60,IF(M40&gt;=5,45,IF(M40&gt;=0,30,15))))))),""),IFERROR(IF(N40="","",IF(N40&lt;=0,100,IF(N40&lt;=1,90,IF(N40&lt;=2,75,IF(N40&lt;=3,60,IF(N40&lt;=4,45,IF(N40&lt;=5,30,15))))))),"")),"")</f>
        <v/>
      </c>
      <c r="P40" s="33" t="n">
        <v>18.6</v>
      </c>
      <c r="Q40" s="33" t="n">
        <v>26.3</v>
      </c>
      <c r="R40" s="33" t="n">
        <v>52.9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IFERROR(AVERAGE(T40,U40,V40,W40,X40)*20,"")</f>
        <v/>
      </c>
      <c r="Z40" s="33" t="n">
        <v>5</v>
      </c>
      <c r="AA40" s="33" t="n">
        <v>5</v>
      </c>
      <c r="AB40" s="33" t="n">
        <v>3</v>
      </c>
      <c r="AC40" s="71" t="n">
        <v>85.8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IFERROR(AVERAGE(AE40,AF40,AG40,AH40,AL40)*20,"")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2026-05-18</t>
        </is>
      </c>
      <c r="E41" s="33" t="n">
        <v>35.422333</v>
      </c>
      <c r="F41" s="33" t="n">
        <v>29.298</v>
      </c>
      <c r="G41" s="33" t="n">
        <v>0.89</v>
      </c>
      <c r="H41" s="33" t="n">
        <v>2.1455665</v>
      </c>
      <c r="I41" s="33">
        <f>IF(OR(E42="",R42="",R42&lt;=0,E42&lt;0),"",E42/R42)</f>
        <v/>
      </c>
      <c r="J41" s="33">
        <f>IFERROR(AVERAGE(IFERROR(IF(E41="","",IF(E41&lt;0,5,IF(E41&lt;=15,90,IF(E41&lt;=20,75,IF(E41&lt;=25,60,IF(E41&lt;=30,45,IF(E41&lt;=40,30,IF(E41&lt;=60,15,5)))))))),""),IFERROR(IF(F41="","",IF(F41&lt;0,5,IF(F41&lt;=10,90,IF(F41&lt;=15,75,IF(F41&lt;=20,60,IF(F41&lt;=25,45,IF(F41&lt;=35,30,IF(F41&lt;=50,15,5)))))))),""),IFERROR(IF(G41="","",IF(G41&gt;=8,100,IF(G41&gt;=6,90,IF(G41&gt;=4,75,IF(G41&gt;=2,60,IF(G41&gt;=1,45,IF(G41&gt;=0,30,15))))))),""),IFERROR(IF(H41="","",IF(H41&lt;=2,90,IF(H41&lt;=4,75,IF(H41&lt;=7,60,IF(H41&lt;=10,45,IF(H41&lt;=15,30,IF(H41&lt;=25,15,5))))))),""),IFERROR(IF(I41="","",IF(I41&lt;=0.5,100,IF(I41&lt;=1,90,IF(I41&lt;=1.5,75,IF(I41&lt;=2,60,IF(I41&lt;=2.5,45,IF(I41&lt;=3,30,15))))))),"")),"")</f>
        <v/>
      </c>
      <c r="K41" s="33" t="n">
        <v>9.300000000000001</v>
      </c>
      <c r="L41" s="33" t="n">
        <v>12.82</v>
      </c>
      <c r="M41" s="33" t="n">
        <v>1.68</v>
      </c>
      <c r="N41" s="33" t="n">
        <v>2.28</v>
      </c>
      <c r="O41" s="33">
        <f>IFERROR(AVERAGE(IFERROR(IF(K41="","",IF(K41&gt;=25,100,IF(K41&gt;=20,90,IF(K41&gt;=15,75,IF(K41&gt;=10,60,IF(K41&gt;=5,45,IF(K41&gt;=0,30,15))))))),""),IFERROR(IF(L41="","",IF(L41&gt;=60,100,IF(L41&gt;=50,90,IF(L41&gt;=40,75,IF(L41&gt;=30,60,IF(L41&gt;=20,45,IF(L41&gt;=10,30,15))))))),""),IFERROR(IF(M41="","",IF(M41&gt;=25,100,IF(M41&gt;=20,90,IF(M41&gt;=15,75,IF(M41&gt;=10,60,IF(M41&gt;=5,45,IF(M41&gt;=0,30,15))))))),""),IFERROR(IF(N41="","",IF(N41&lt;=0,100,IF(N41&lt;=1,90,IF(N41&lt;=2,75,IF(N41&lt;=3,60,IF(N41&lt;=4,45,IF(N41&lt;=5,30,15))))))),"")),"")</f>
        <v/>
      </c>
      <c r="P41" s="33" t="n">
        <v>13.51</v>
      </c>
      <c r="Q41" s="33" t="n">
        <v>34.5</v>
      </c>
      <c r="R41" s="33" t="n">
        <v>514.4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IFERROR(AVERAGE(T41,U41,V41,W41,X41)*20,"")</f>
        <v/>
      </c>
      <c r="Z41" s="33" t="n">
        <v>5</v>
      </c>
      <c r="AA41" s="33" t="n">
        <v>5</v>
      </c>
      <c r="AB41" s="33" t="n">
        <v>3</v>
      </c>
      <c r="AC41" s="71" t="n">
        <v>91.7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IFERROR(AVERAGE(AE41,AF41,AG41,AH41,AL41)*20,"")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2026-05-26</t>
        </is>
      </c>
      <c r="E42" s="33" t="n">
        <v>42.4715</v>
      </c>
      <c r="F42" s="33" t="n">
        <v>41.534</v>
      </c>
      <c r="G42" s="33" t="n">
        <v>1.77</v>
      </c>
      <c r="H42" s="33" t="n">
        <v>9.396100000000001</v>
      </c>
      <c r="I42" s="33">
        <f>IF(OR(E43="",R43="",R43&lt;=0,E43&lt;0),"",E43/R43)</f>
        <v/>
      </c>
      <c r="J42" s="33">
        <f>IFERROR(AVERAGE(IFERROR(IF(E42="","",IF(E42&lt;0,5,IF(E42&lt;=15,90,IF(E42&lt;=20,75,IF(E42&lt;=25,60,IF(E42&lt;=30,45,IF(E42&lt;=40,30,IF(E42&lt;=60,15,5)))))))),""),IFERROR(IF(F42="","",IF(F42&lt;0,5,IF(F42&lt;=10,90,IF(F42&lt;=15,75,IF(F42&lt;=20,60,IF(F42&lt;=25,45,IF(F42&lt;=35,30,IF(F42&lt;=50,15,5)))))))),""),IFERROR(IF(G42="","",IF(G42&gt;=8,100,IF(G42&gt;=6,90,IF(G42&gt;=4,75,IF(G42&gt;=2,60,IF(G42&gt;=1,45,IF(G42&gt;=0,30,15))))))),""),IFERROR(IF(H42="","",IF(H42&lt;=2,90,IF(H42&lt;=4,75,IF(H42&lt;=7,60,IF(H42&lt;=10,45,IF(H42&lt;=15,30,IF(H42&lt;=25,15,5))))))),""),IFERROR(IF(I42="","",IF(I42&lt;=0.5,100,IF(I42&lt;=1,90,IF(I42&lt;=1.5,75,IF(I42&lt;=2,60,IF(I42&lt;=2.5,45,IF(I42&lt;=3,30,15))))))),"")),"")</f>
        <v/>
      </c>
      <c r="K42" s="33" t="n">
        <v>100.3502</v>
      </c>
      <c r="L42" s="33" t="n">
        <v>30.103</v>
      </c>
      <c r="M42" s="33" t="n">
        <v>17.01</v>
      </c>
      <c r="N42" s="33" t="n">
        <v>-2.311</v>
      </c>
      <c r="O42" s="33">
        <f>IFERROR(AVERAGE(IFERROR(IF(K42="","",IF(K42&gt;=25,100,IF(K42&gt;=20,90,IF(K42&gt;=15,75,IF(K42&gt;=10,60,IF(K42&gt;=5,45,IF(K42&gt;=0,30,15))))))),""),IFERROR(IF(L42="","",IF(L42&gt;=60,100,IF(L42&gt;=50,90,IF(L42&gt;=40,75,IF(L42&gt;=30,60,IF(L42&gt;=20,45,IF(L42&gt;=10,30,15))))))),""),IFERROR(IF(M42="","",IF(M42&gt;=25,100,IF(M42&gt;=20,90,IF(M42&gt;=15,75,IF(M42&gt;=10,60,IF(M42&gt;=5,45,IF(M42&gt;=0,30,15))))))),""),IFERROR(IF(N42="","",IF(N42&lt;=0,100,IF(N42&lt;=1,90,IF(N42&lt;=2,75,IF(N42&lt;=3,60,IF(N42&lt;=4,45,IF(N42&lt;=5,30,15))))))),"")),"")</f>
        <v/>
      </c>
      <c r="P42" s="33" t="n">
        <v>27.52</v>
      </c>
      <c r="Q42" s="33" t="n">
        <v>6.5</v>
      </c>
      <c r="R42" s="33" t="n">
        <v>-1.6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IFERROR(AVERAGE(T42,U42,V42,W42,X42)*20,"")</f>
        <v/>
      </c>
      <c r="Z42" s="33" t="n">
        <v>4</v>
      </c>
      <c r="AA42" s="33" t="n">
        <v>5</v>
      </c>
      <c r="AB42" s="33" t="n">
        <v>3</v>
      </c>
      <c r="AC42" s="71" t="n">
        <v>91.7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IFERROR(AVERAGE(AE42,AF42,AG42,AH42,AL42)*20,"")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2026-05-26</t>
        </is>
      </c>
      <c r="E43" s="33" t="n">
        <v>30.3973</v>
      </c>
      <c r="F43" s="33" t="n">
        <v>30.444</v>
      </c>
      <c r="G43" s="33" t="n">
        <v>1.41</v>
      </c>
      <c r="H43" s="33" t="n">
        <v>6.3289</v>
      </c>
      <c r="I43" s="33">
        <f>IF(OR(E44="",R44="",R44&lt;=0,E44&lt;0),"",E44/R44)</f>
        <v/>
      </c>
      <c r="J43" s="33">
        <f>IFERROR(AVERAGE(IFERROR(IF(E43="","",IF(E43&lt;0,5,IF(E43&lt;=15,90,IF(E43&lt;=20,75,IF(E43&lt;=25,60,IF(E43&lt;=30,45,IF(E43&lt;=40,30,IF(E43&lt;=60,15,5)))))))),""),IFERROR(IF(F43="","",IF(F43&lt;0,5,IF(F43&lt;=10,90,IF(F43&lt;=15,75,IF(F43&lt;=20,60,IF(F43&lt;=25,45,IF(F43&lt;=35,30,IF(F43&lt;=50,15,5)))))))),""),IFERROR(IF(G43="","",IF(G43&gt;=8,100,IF(G43&gt;=6,90,IF(G43&gt;=4,75,IF(G43&gt;=2,60,IF(G43&gt;=1,45,IF(G43&gt;=0,30,15))))))),""),IFERROR(IF(H43="","",IF(H43&lt;=2,90,IF(H43&lt;=4,75,IF(H43&lt;=7,60,IF(H43&lt;=10,45,IF(H43&lt;=15,30,IF(H43&lt;=25,15,5))))))),""),IFERROR(IF(I43="","",IF(I43&lt;=0.5,100,IF(I43&lt;=1,90,IF(I43&lt;=1.5,75,IF(I43&lt;=2,60,IF(I43&lt;=2.5,45,IF(I43&lt;=3,30,15))))))),"")),"")</f>
        <v/>
      </c>
      <c r="K43" s="33" t="n">
        <v>10.1945</v>
      </c>
      <c r="L43" s="33" t="n">
        <v>37.01</v>
      </c>
      <c r="M43" s="33" t="n">
        <v>8.83</v>
      </c>
      <c r="N43" s="33" t="n">
        <v>1.649</v>
      </c>
      <c r="O43" s="33">
        <f>IFERROR(AVERAGE(IFERROR(IF(K43="","",IF(K43&gt;=25,100,IF(K43&gt;=20,90,IF(K43&gt;=15,75,IF(K43&gt;=10,60,IF(K43&gt;=5,45,IF(K43&gt;=0,30,15))))))),""),IFERROR(IF(L43="","",IF(L43&gt;=60,100,IF(L43&gt;=50,90,IF(L43&gt;=40,75,IF(L43&gt;=30,60,IF(L43&gt;=20,45,IF(L43&gt;=10,30,15))))))),""),IFERROR(IF(M43="","",IF(M43&gt;=25,100,IF(M43&gt;=20,90,IF(M43&gt;=15,75,IF(M43&gt;=10,60,IF(M43&gt;=5,45,IF(M43&gt;=0,30,15))))))),""),IFERROR(IF(N43="","",IF(N43&lt;=0,100,IF(N43&lt;=1,90,IF(N43&lt;=2,75,IF(N43&lt;=3,60,IF(N43&lt;=4,45,IF(N43&lt;=5,30,15))))))),"")),"")</f>
        <v/>
      </c>
      <c r="P43" s="33" t="n">
        <v>19.26</v>
      </c>
      <c r="Q43" s="33" t="n">
        <v>53.5</v>
      </c>
      <c r="R43" s="33" t="n">
        <v>-59.5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IFERROR(AVERAGE(T43,U43,V43,W43,X43)*20,"")</f>
        <v/>
      </c>
      <c r="Z43" s="33" t="n">
        <v>5</v>
      </c>
      <c r="AA43" s="33" t="n">
        <v>5</v>
      </c>
      <c r="AB43" s="33" t="n">
        <v>3</v>
      </c>
      <c r="AC43" s="71" t="n">
        <v>84.2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IFERROR(AVERAGE(AE43,AF43,AG43,AH43,AL43)*20,"")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2026-05-26</t>
        </is>
      </c>
      <c r="E44" s="33" t="n">
        <v>13.8801</v>
      </c>
      <c r="F44" s="33" t="n">
        <v>11.662</v>
      </c>
      <c r="G44" s="33" t="n">
        <v>5.38</v>
      </c>
      <c r="H44" s="33" t="n">
        <v>1.0035</v>
      </c>
      <c r="I44" s="33">
        <f>IF(OR(E45="",R45="",R45&lt;=0,E45&lt;0),"",E45/R45)</f>
        <v/>
      </c>
      <c r="J44" s="33">
        <f>IFERROR(AVERAGE(IFERROR(IF(E44="","",IF(E44&lt;0,5,IF(E44&lt;=15,90,IF(E44&lt;=20,75,IF(E44&lt;=25,60,IF(E44&lt;=30,45,IF(E44&lt;=40,30,IF(E44&lt;=60,15,5)))))))),""),IFERROR(IF(F44="","",IF(F44&lt;0,5,IF(F44&lt;=10,90,IF(F44&lt;=15,75,IF(F44&lt;=20,60,IF(F44&lt;=25,45,IF(F44&lt;=35,30,IF(F44&lt;=50,15,5)))))))),""),IFERROR(IF(G44="","",IF(G44&gt;=8,100,IF(G44&gt;=6,90,IF(G44&gt;=4,75,IF(G44&gt;=2,60,IF(G44&gt;=1,45,IF(G44&gt;=0,30,15))))))),""),IFERROR(IF(H44="","",IF(H44&lt;=2,90,IF(H44&lt;=4,75,IF(H44&lt;=7,60,IF(H44&lt;=10,45,IF(H44&lt;=15,30,IF(H44&lt;=25,15,5))))))),""),IFERROR(IF(I44="","",IF(I44&lt;=0.5,100,IF(I44&lt;=1,90,IF(I44&lt;=1.5,75,IF(I44&lt;=2,60,IF(I44&lt;=2.5,45,IF(I44&lt;=3,30,15))))))),"")),"")</f>
        <v/>
      </c>
      <c r="K44" s="33" t="n">
        <v>-5.5393</v>
      </c>
      <c r="L44" s="33" t="n">
        <v>20.248</v>
      </c>
      <c r="M44" s="33" t="n">
        <v>5.04</v>
      </c>
      <c r="N44" s="33" t="n">
        <v>9.814</v>
      </c>
      <c r="O44" s="33">
        <f>IFERROR(AVERAGE(IFERROR(IF(K44="","",IF(K44&gt;=25,100,IF(K44&gt;=20,90,IF(K44&gt;=15,75,IF(K44&gt;=10,60,IF(K44&gt;=5,45,IF(K44&gt;=0,30,15))))))),""),IFERROR(IF(L44="","",IF(L44&gt;=60,100,IF(L44&gt;=50,90,IF(L44&gt;=40,75,IF(L44&gt;=30,60,IF(L44&gt;=20,45,IF(L44&gt;=10,30,15))))))),""),IFERROR(IF(M44="","",IF(M44&gt;=25,100,IF(M44&gt;=20,90,IF(M44&gt;=15,75,IF(M44&gt;=10,60,IF(M44&gt;=5,45,IF(M44&gt;=0,30,15))))))),""),IFERROR(IF(N44="","",IF(N44&lt;=0,100,IF(N44&lt;=1,90,IF(N44&lt;=2,75,IF(N44&lt;=3,60,IF(N44&lt;=4,45,IF(N44&lt;=5,30,15))))))),"")),"")</f>
        <v/>
      </c>
      <c r="P44" s="33" t="n">
        <v>-10.03</v>
      </c>
      <c r="Q44" s="33" t="n">
        <v>4.2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IFERROR(AVERAGE(T44,U44,V44,W44,X44)*20,"")</f>
        <v/>
      </c>
      <c r="Z44" s="33" t="n">
        <v>4</v>
      </c>
      <c r="AA44" s="33" t="n">
        <v>3</v>
      </c>
      <c r="AB44" s="33" t="n">
        <v>3</v>
      </c>
      <c r="AC44" s="71" t="n">
        <v>60.8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IFERROR(AVERAGE(AE44,AF44,AG44,AH44,AL44)*20,"")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2026-05-26</t>
        </is>
      </c>
      <c r="E45" s="33" t="n">
        <v>67.6189</v>
      </c>
      <c r="F45" s="33" t="n">
        <v>30.197</v>
      </c>
      <c r="G45" s="33" t="n">
        <v>3.67</v>
      </c>
      <c r="H45" s="33" t="n">
        <v>10.9264</v>
      </c>
      <c r="I45" s="33">
        <f>IF(OR(E46="",R46="",R46&lt;=0,E46&lt;0),"",E46/R46)</f>
        <v/>
      </c>
      <c r="J45" s="33">
        <f>IFERROR(AVERAGE(IFERROR(IF(E45="","",IF(E45&lt;0,5,IF(E45&lt;=15,90,IF(E45&lt;=20,75,IF(E45&lt;=25,60,IF(E45&lt;=30,45,IF(E45&lt;=40,30,IF(E45&lt;=60,15,5)))))))),""),IFERROR(IF(F45="","",IF(F45&lt;0,5,IF(F45&lt;=10,90,IF(F45&lt;=15,75,IF(F45&lt;=20,60,IF(F45&lt;=25,45,IF(F45&lt;=35,30,IF(F45&lt;=50,15,5)))))))),""),IFERROR(IF(G45="","",IF(G45&gt;=8,100,IF(G45&gt;=6,90,IF(G45&gt;=4,75,IF(G45&gt;=2,60,IF(G45&gt;=1,45,IF(G45&gt;=0,30,15))))))),""),IFERROR(IF(H45="","",IF(H45&lt;=2,90,IF(H45&lt;=4,75,IF(H45&lt;=7,60,IF(H45&lt;=10,45,IF(H45&lt;=15,30,IF(H45&lt;=25,15,5))))))),""),IFERROR(IF(I45="","",IF(I45&lt;=0.5,100,IF(I45&lt;=1,90,IF(I45&lt;=1.5,75,IF(I45&lt;=2,60,IF(I45&lt;=2.5,45,IF(I45&lt;=3,30,15))))))),"")),"")</f>
        <v/>
      </c>
      <c r="K45" s="33" t="n">
        <v>4.332</v>
      </c>
      <c r="L45" s="33" t="n">
        <v>55.527</v>
      </c>
      <c r="M45" s="33" t="n">
        <v>40.15</v>
      </c>
      <c r="N45" s="33" t="n">
        <v>4.395</v>
      </c>
      <c r="O45" s="33">
        <f>IFERROR(AVERAGE(IFERROR(IF(K45="","",IF(K45&gt;=25,100,IF(K45&gt;=20,90,IF(K45&gt;=15,75,IF(K45&gt;=10,60,IF(K45&gt;=5,45,IF(K45&gt;=0,30,15))))))),""),IFERROR(IF(L45="","",IF(L45&gt;=60,100,IF(L45&gt;=50,90,IF(L45&gt;=40,75,IF(L45&gt;=30,60,IF(L45&gt;=20,45,IF(L45&gt;=10,30,15))))))),""),IFERROR(IF(M45="","",IF(M45&gt;=25,100,IF(M45&gt;=20,90,IF(M45&gt;=15,75,IF(M45&gt;=10,60,IF(M45&gt;=5,45,IF(M45&gt;=0,30,15))))))),""),IFERROR(IF(N45="","",IF(N45&lt;=0,100,IF(N45&lt;=1,90,IF(N45&lt;=2,75,IF(N45&lt;=3,60,IF(N45&lt;=4,45,IF(N45&lt;=5,30,15))))))),"")),"")</f>
        <v/>
      </c>
      <c r="P45" s="33" t="n">
        <v>9.220000000000001</v>
      </c>
      <c r="Q45" s="33" t="n">
        <v>16.7</v>
      </c>
      <c r="R45" s="33" t="n">
        <v>67.59999999999999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IFERROR(AVERAGE(T45,U45,V45,W45,X45)*20,"")</f>
        <v/>
      </c>
      <c r="Z45" s="33" t="n">
        <v>2</v>
      </c>
      <c r="AA45" s="33" t="n">
        <v>4</v>
      </c>
      <c r="AB45" s="33" t="n">
        <v>3</v>
      </c>
      <c r="AC45" s="71" t="n">
        <v>77.5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IFERROR(AVERAGE(AE45,AF45,AG45,AH45,AL45)*20,"")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2026-05-26</t>
        </is>
      </c>
      <c r="E46" s="33" t="n">
        <v>56.0585</v>
      </c>
      <c r="F46" s="33" t="n">
        <v>30.007</v>
      </c>
      <c r="G46" s="33" t="n">
        <v>-0.97</v>
      </c>
      <c r="H46" s="33" t="n">
        <v>11.2633</v>
      </c>
      <c r="I46" s="33">
        <f>IF(OR(E47="",R47="",R47&lt;=0,E47&lt;0),"",E47/R47)</f>
        <v/>
      </c>
      <c r="J46" s="33">
        <f>IFERROR(AVERAGE(IFERROR(IF(E46="","",IF(E46&lt;0,5,IF(E46&lt;=15,90,IF(E46&lt;=20,75,IF(E46&lt;=25,60,IF(E46&lt;=30,45,IF(E46&lt;=40,30,IF(E46&lt;=60,15,5)))))))),""),IFERROR(IF(F46="","",IF(F46&lt;0,5,IF(F46&lt;=10,90,IF(F46&lt;=15,75,IF(F46&lt;=20,60,IF(F46&lt;=25,45,IF(F46&lt;=35,30,IF(F46&lt;=50,15,5)))))))),""),IFERROR(IF(G46="","",IF(G46&gt;=8,100,IF(G46&gt;=6,90,IF(G46&gt;=4,75,IF(G46&gt;=2,60,IF(G46&gt;=1,45,IF(G46&gt;=0,30,15))))))),""),IFERROR(IF(H46="","",IF(H46&lt;=2,90,IF(H46&lt;=4,75,IF(H46&lt;=7,60,IF(H46&lt;=10,45,IF(H46&lt;=15,30,IF(H46&lt;=25,15,5))))))),""),IFERROR(IF(I46="","",IF(I46&lt;=0.5,100,IF(I46&lt;=1,90,IF(I46&lt;=1.5,75,IF(I46&lt;=2,60,IF(I46&lt;=2.5,45,IF(I46&lt;=3,30,15))))))),"")),"")</f>
        <v/>
      </c>
      <c r="K46" s="33" t="n">
        <v>5.2758</v>
      </c>
      <c r="L46" s="33" t="n">
        <v>51.145</v>
      </c>
      <c r="M46" s="33" t="n">
        <v>-10.48</v>
      </c>
      <c r="N46" s="33" t="n">
        <v>5.146</v>
      </c>
      <c r="O46" s="33">
        <f>IFERROR(AVERAGE(IFERROR(IF(K46="","",IF(K46&gt;=25,100,IF(K46&gt;=20,90,IF(K46&gt;=15,75,IF(K46&gt;=10,60,IF(K46&gt;=5,45,IF(K46&gt;=0,30,15))))))),""),IFERROR(IF(L46="","",IF(L46&gt;=60,100,IF(L46&gt;=50,90,IF(L46&gt;=40,75,IF(L46&gt;=30,60,IF(L46&gt;=20,45,IF(L46&gt;=10,30,15))))))),""),IFERROR(IF(M46="","",IF(M46&gt;=25,100,IF(M46&gt;=20,90,IF(M46&gt;=15,75,IF(M46&gt;=10,60,IF(M46&gt;=5,45,IF(M46&gt;=0,30,15))))))),""),IFERROR(IF(N46="","",IF(N46&lt;=0,100,IF(N46&lt;=1,90,IF(N46&lt;=2,75,IF(N46&lt;=3,60,IF(N46&lt;=4,45,IF(N46&lt;=5,30,15))))))),"")),"")</f>
        <v/>
      </c>
      <c r="P46" s="33" t="n">
        <v>8.27</v>
      </c>
      <c r="Q46" s="33" t="n">
        <v>12.1</v>
      </c>
      <c r="R46" s="33" t="n">
        <v>20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IFERROR(AVERAGE(T46,U46,V46,W46,X46)*20,"")</f>
        <v/>
      </c>
      <c r="Z46" s="33" t="n">
        <v>4</v>
      </c>
      <c r="AA46" s="33" t="n">
        <v>5</v>
      </c>
      <c r="AB46" s="33" t="n">
        <v>3</v>
      </c>
      <c r="AC46" s="71" t="n">
        <v>88.3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IFERROR(AVERAGE(AE46,AF46,AG46,AH46,AL46)*20,"")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2026-05-26</t>
        </is>
      </c>
      <c r="E47" s="33" t="n">
        <v>48.0232</v>
      </c>
      <c r="F47" s="33" t="n">
        <v>23.444</v>
      </c>
      <c r="G47" s="33" t="n">
        <v>-1.87</v>
      </c>
      <c r="H47" s="33" t="n">
        <v>5.2726</v>
      </c>
      <c r="I47" s="33">
        <f>IF(OR(E48="",R48="",R48&lt;=0,E48&lt;0),"",E48/R48)</f>
        <v/>
      </c>
      <c r="J47" s="33">
        <f>IFERROR(AVERAGE(IFERROR(IF(E47="","",IF(E47&lt;0,5,IF(E47&lt;=15,90,IF(E47&lt;=20,75,IF(E47&lt;=25,60,IF(E47&lt;=30,45,IF(E47&lt;=40,30,IF(E47&lt;=60,15,5)))))))),""),IFERROR(IF(F47="","",IF(F47&lt;0,5,IF(F47&lt;=10,90,IF(F47&lt;=15,75,IF(F47&lt;=20,60,IF(F47&lt;=25,45,IF(F47&lt;=35,30,IF(F47&lt;=50,15,5)))))))),""),IFERROR(IF(G47="","",IF(G47&gt;=8,100,IF(G47&gt;=6,90,IF(G47&gt;=4,75,IF(G47&gt;=2,60,IF(G47&gt;=1,45,IF(G47&gt;=0,30,15))))))),""),IFERROR(IF(H47="","",IF(H47&lt;=2,90,IF(H47&lt;=4,75,IF(H47&lt;=7,60,IF(H47&lt;=10,45,IF(H47&lt;=15,30,IF(H47&lt;=25,15,5))))))),""),IFERROR(IF(I47="","",IF(I47&lt;=0.5,100,IF(I47&lt;=1,90,IF(I47&lt;=1.5,75,IF(I47&lt;=2,60,IF(I47&lt;=2.5,45,IF(I47&lt;=3,30,15))))))),"")),"")</f>
        <v/>
      </c>
      <c r="K47" s="33" t="n">
        <v>5.3888</v>
      </c>
      <c r="L47" s="33" t="n">
        <v>55.018</v>
      </c>
      <c r="M47" s="33" t="n">
        <v>-9.710000000000001</v>
      </c>
      <c r="N47" s="33" t="n">
        <v>8.237</v>
      </c>
      <c r="O47" s="33">
        <f>IFERROR(AVERAGE(IFERROR(IF(K47="","",IF(K47&gt;=25,100,IF(K47&gt;=20,90,IF(K47&gt;=15,75,IF(K47&gt;=10,60,IF(K47&gt;=5,45,IF(K47&gt;=0,30,15))))))),""),IFERROR(IF(L47="","",IF(L47&gt;=60,100,IF(L47&gt;=50,90,IF(L47&gt;=40,75,IF(L47&gt;=30,60,IF(L47&gt;=20,45,IF(L47&gt;=10,30,15))))))),""),IFERROR(IF(M47="","",IF(M47&gt;=25,100,IF(M47&gt;=20,90,IF(M47&gt;=15,75,IF(M47&gt;=10,60,IF(M47&gt;=5,45,IF(M47&gt;=0,30,15))))))),""),IFERROR(IF(N47="","",IF(N47&lt;=0,100,IF(N47&lt;=1,90,IF(N47&lt;=2,75,IF(N47&lt;=3,60,IF(N47&lt;=4,45,IF(N47&lt;=5,30,15))))))),"")),"")</f>
        <v/>
      </c>
      <c r="P47" s="33" t="n">
        <v>10.58</v>
      </c>
      <c r="Q47" s="33" t="n">
        <v>21.6</v>
      </c>
      <c r="R47" s="33" t="n">
        <v>860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IFERROR(AVERAGE(T47,U47,V47,W47,X47)*20,"")</f>
        <v/>
      </c>
      <c r="Z47" s="33" t="n">
        <v>4</v>
      </c>
      <c r="AA47" s="33" t="n">
        <v>5</v>
      </c>
      <c r="AB47" s="33" t="n">
        <v>3</v>
      </c>
      <c r="AC47" s="71" t="n">
        <v>84.2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IFERROR(AVERAGE(AE47,AF47,AG47,AH47,AL47)*20,"")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2026-05-26</t>
        </is>
      </c>
      <c r="E48" s="33" t="n">
        <v>35.96</v>
      </c>
      <c r="F48" s="33" t="n">
        <v>38.457</v>
      </c>
      <c r="G48" s="33" t="n">
        <v>2.07</v>
      </c>
      <c r="H48" s="33" t="n">
        <v>6.5384</v>
      </c>
      <c r="I48" s="33">
        <f>IF(OR(E49="",R49="",R49&lt;=0,E49&lt;0),"",E49/R49)</f>
        <v/>
      </c>
      <c r="J48" s="33">
        <f>IFERROR(AVERAGE(IFERROR(IF(E48="","",IF(E48&lt;0,5,IF(E48&lt;=15,90,IF(E48&lt;=20,75,IF(E48&lt;=25,60,IF(E48&lt;=30,45,IF(E48&lt;=40,30,IF(E48&lt;=60,15,5)))))))),""),IFERROR(IF(F48="","",IF(F48&lt;0,5,IF(F48&lt;=10,90,IF(F48&lt;=15,75,IF(F48&lt;=20,60,IF(F48&lt;=25,45,IF(F48&lt;=35,30,IF(F48&lt;=50,15,5)))))))),""),IFERROR(IF(G48="","",IF(G48&gt;=8,100,IF(G48&gt;=6,90,IF(G48&gt;=4,75,IF(G48&gt;=2,60,IF(G48&gt;=1,45,IF(G48&gt;=0,30,15))))))),""),IFERROR(IF(H48="","",IF(H48&lt;=2,90,IF(H48&lt;=4,75,IF(H48&lt;=7,60,IF(H48&lt;=10,45,IF(H48&lt;=15,30,IF(H48&lt;=25,15,5))))))),""),IFERROR(IF(I48="","",IF(I48&lt;=0.5,100,IF(I48&lt;=1,90,IF(I48&lt;=1.5,75,IF(I48&lt;=2,60,IF(I48&lt;=2.5,45,IF(I48&lt;=3,30,15))))))),"")),"")</f>
        <v/>
      </c>
      <c r="K48" s="33" t="n">
        <v>58.4</v>
      </c>
      <c r="L48" s="33" t="n">
        <v>25.13</v>
      </c>
      <c r="M48" s="33" t="n">
        <v>13.64</v>
      </c>
      <c r="N48" s="33" t="n">
        <v>0.14</v>
      </c>
      <c r="O48" s="33">
        <f>IFERROR(AVERAGE(IFERROR(IF(K48="","",IF(K48&gt;=25,100,IF(K48&gt;=20,90,IF(K48&gt;=15,75,IF(K48&gt;=10,60,IF(K48&gt;=5,45,IF(K48&gt;=0,30,15))))))),""),IFERROR(IF(L48="","",IF(L48&gt;=60,100,IF(L48&gt;=50,90,IF(L48&gt;=40,75,IF(L48&gt;=30,60,IF(L48&gt;=20,45,IF(L48&gt;=10,30,15))))))),""),IFERROR(IF(M48="","",IF(M48&gt;=25,100,IF(M48&gt;=20,90,IF(M48&gt;=15,75,IF(M48&gt;=10,60,IF(M48&gt;=5,45,IF(M48&gt;=0,30,15))))))),""),IFERROR(IF(N48="","",IF(N48&lt;=0,100,IF(N48&lt;=1,90,IF(N48&lt;=2,75,IF(N48&lt;=3,60,IF(N48&lt;=4,45,IF(N48&lt;=5,30,15))))))),"")),"")</f>
        <v/>
      </c>
      <c r="P48" s="33" t="n">
        <v>30.03</v>
      </c>
      <c r="Q48" s="33" t="n">
        <v>1</v>
      </c>
      <c r="R48" s="33" t="n">
        <v>38.8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IFERROR(AVERAGE(T48,U48,V48,W48,X48)*20,"")</f>
        <v/>
      </c>
      <c r="Z48" s="33" t="n">
        <v>5</v>
      </c>
      <c r="AA48" s="33" t="n">
        <v>5</v>
      </c>
      <c r="AB48" s="33" t="n">
        <v>3</v>
      </c>
      <c r="AC48" s="71" t="n">
        <v>97.5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IFERROR(AVERAGE(AE48,AF48,AG48,AH48,AL48)*20,"")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2026-05-26</t>
        </is>
      </c>
      <c r="E49" s="33" t="n">
        <v>26.56</v>
      </c>
      <c r="F49" s="33" t="n">
        <v>20.168</v>
      </c>
      <c r="G49" s="33" t="n">
        <v>2.94</v>
      </c>
      <c r="H49" s="33" t="n">
        <v>2.1615</v>
      </c>
      <c r="I49" s="33">
        <f>IF(OR(E50="",R50="",R50&lt;=0,E50&lt;0),"",E50/R50)</f>
        <v/>
      </c>
      <c r="J49" s="33">
        <f>IFERROR(AVERAGE(IFERROR(IF(E49="","",IF(E49&lt;0,5,IF(E49&lt;=15,90,IF(E49&lt;=20,75,IF(E49&lt;=25,60,IF(E49&lt;=30,45,IF(E49&lt;=40,30,IF(E49&lt;=60,15,5)))))))),""),IFERROR(IF(F49="","",IF(F49&lt;0,5,IF(F49&lt;=10,90,IF(F49&lt;=15,75,IF(F49&lt;=20,60,IF(F49&lt;=25,45,IF(F49&lt;=35,30,IF(F49&lt;=50,15,5)))))))),""),IFERROR(IF(G49="","",IF(G49&gt;=8,100,IF(G49&gt;=6,90,IF(G49&gt;=4,75,IF(G49&gt;=2,60,IF(G49&gt;=1,45,IF(G49&gt;=0,30,15))))))),""),IFERROR(IF(H49="","",IF(H49&lt;=2,90,IF(H49&lt;=4,75,IF(H49&lt;=7,60,IF(H49&lt;=10,45,IF(H49&lt;=15,30,IF(H49&lt;=25,15,5))))))),""),IFERROR(IF(I49="","",IF(I49&lt;=0.5,100,IF(I49&lt;=1,90,IF(I49&lt;=1.5,75,IF(I49&lt;=2,60,IF(I49&lt;=2.5,45,IF(I49&lt;=3,30,15))))))),"")),"")</f>
        <v/>
      </c>
      <c r="K49" s="33" t="n">
        <v>38.9</v>
      </c>
      <c r="L49" s="33" t="n">
        <v>19.29</v>
      </c>
      <c r="M49" s="33" t="n">
        <v>6.08</v>
      </c>
      <c r="N49" s="33" t="n">
        <v>-0.2</v>
      </c>
      <c r="O49" s="33">
        <f>IFERROR(AVERAGE(IFERROR(IF(K49="","",IF(K49&gt;=25,100,IF(K49&gt;=20,90,IF(K49&gt;=15,75,IF(K49&gt;=10,60,IF(K49&gt;=5,45,IF(K49&gt;=0,30,15))))))),""),IFERROR(IF(L49="","",IF(L49&gt;=60,100,IF(L49&gt;=50,90,IF(L49&gt;=40,75,IF(L49&gt;=30,60,IF(L49&gt;=20,45,IF(L49&gt;=10,30,15))))))),""),IFERROR(IF(M49="","",IF(M49&gt;=25,100,IF(M49&gt;=20,90,IF(M49&gt;=15,75,IF(M49&gt;=10,60,IF(M49&gt;=5,45,IF(M49&gt;=0,30,15))))))),""),IFERROR(IF(N49="","",IF(N49&lt;=0,100,IF(N49&lt;=1,90,IF(N49&lt;=2,75,IF(N49&lt;=3,60,IF(N49&lt;=4,45,IF(N49&lt;=5,30,15))))))),"")),"")</f>
        <v/>
      </c>
      <c r="P49" s="33" t="n">
        <v>15.32</v>
      </c>
      <c r="Q49" s="33" t="n">
        <v>19.7</v>
      </c>
      <c r="R49" s="33" t="n">
        <v>30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IFERROR(AVERAGE(T49,U49,V49,W49,X49)*20,"")</f>
        <v/>
      </c>
      <c r="Z49" s="33" t="n">
        <v>5</v>
      </c>
      <c r="AA49" s="33" t="n">
        <v>4</v>
      </c>
      <c r="AB49" s="33" t="n">
        <v>3</v>
      </c>
      <c r="AC49" s="71" t="n">
        <v>78.3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IFERROR(AVERAGE(AE49,AF49,AG49,AH49,AL49)*20,"")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2026-06-12</t>
        </is>
      </c>
      <c r="E50" s="33" t="n">
        <v>23.866022</v>
      </c>
      <c r="F50" s="33" t="n">
        <v>33.121</v>
      </c>
      <c r="G50" s="33" t="n">
        <v>0.73</v>
      </c>
      <c r="H50" s="33" t="n">
        <v>4.496921</v>
      </c>
      <c r="I50" s="33">
        <f>IF(OR(E51="",R51="",R51&lt;=0,E51&lt;0),"",E51/R51)</f>
        <v/>
      </c>
      <c r="J50" s="33">
        <f>IFERROR(AVERAGE(IFERROR(IF(E50="","",IF(E50&lt;0,5,IF(E50&lt;=15,90,IF(E50&lt;=20,75,IF(E50&lt;=25,60,IF(E50&lt;=30,45,IF(E50&lt;=40,30,IF(E50&lt;=60,15,5)))))))),""),IFERROR(IF(F50="","",IF(F50&lt;0,5,IF(F50&lt;=10,90,IF(F50&lt;=15,75,IF(F50&lt;=20,60,IF(F50&lt;=25,45,IF(F50&lt;=35,30,IF(F50&lt;=50,15,5)))))))),""),IFERROR(IF(G50="","",IF(G50&gt;=8,100,IF(G50&gt;=6,90,IF(G50&gt;=4,75,IF(G50&gt;=2,60,IF(G50&gt;=1,45,IF(G50&gt;=0,30,15))))))),""),IFERROR(IF(H50="","",IF(H50&lt;=2,90,IF(H50&lt;=4,75,IF(H50&lt;=7,60,IF(H50&lt;=10,45,IF(H50&lt;=15,30,IF(H50&lt;=25,15,5))))))),""),IFERROR(IF(I50="","",IF(I50&lt;=0.5,100,IF(I50&lt;=1,90,IF(I50&lt;=1.5,75,IF(I50&lt;=2,60,IF(I50&lt;=2.5,45,IF(I50&lt;=3,30,15))))))),"")),"")</f>
        <v/>
      </c>
      <c r="K50" s="33" t="n">
        <v>6.4651</v>
      </c>
      <c r="L50" s="33" t="n">
        <v>23.02</v>
      </c>
      <c r="M50" s="33" t="n">
        <v>3.31</v>
      </c>
      <c r="N50" s="33" t="n">
        <v>1.13</v>
      </c>
      <c r="O50" s="33">
        <f>IFERROR(AVERAGE(IFERROR(IF(K50="","",IF(K50&gt;=25,100,IF(K50&gt;=20,90,IF(K50&gt;=15,75,IF(K50&gt;=10,60,IF(K50&gt;=5,45,IF(K50&gt;=0,30,15))))))),""),IFERROR(IF(L50="","",IF(L50&gt;=60,100,IF(L50&gt;=50,90,IF(L50&gt;=40,75,IF(L50&gt;=30,60,IF(L50&gt;=20,45,IF(L50&gt;=10,30,15))))))),""),IFERROR(IF(M50="","",IF(M50&gt;=25,100,IF(M50&gt;=20,90,IF(M50&gt;=15,75,IF(M50&gt;=10,60,IF(M50&gt;=5,45,IF(M50&gt;=0,30,15))))))),""),IFERROR(IF(N50="","",IF(N50&lt;=0,100,IF(N50&lt;=1,90,IF(N50&lt;=2,75,IF(N50&lt;=3,60,IF(N50&lt;=4,45,IF(N50&lt;=5,30,15))))))),"")),"")</f>
        <v/>
      </c>
      <c r="P50" s="33" t="n">
        <v>11.45</v>
      </c>
      <c r="Q50" s="33" t="n">
        <v>47.5</v>
      </c>
      <c r="R50" s="33" t="n">
        <v>47.8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IFERROR(AVERAGE(T50,U50,V50,W50,X50)*20,"")</f>
        <v/>
      </c>
      <c r="Z50" s="33" t="n">
        <v>4</v>
      </c>
      <c r="AA50" s="33" t="n">
        <v>5</v>
      </c>
      <c r="AB50" s="33" t="n">
        <v>3</v>
      </c>
      <c r="AC50" s="71" t="n">
        <v>82.5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IFERROR(AVERAGE(AE50,AF50,AG50,AH50,AL50)*20,"")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2026-05-26</t>
        </is>
      </c>
      <c r="E51" s="33" t="n">
        <v>20.2634</v>
      </c>
      <c r="F51" s="33" t="n">
        <v>20.836</v>
      </c>
      <c r="G51" s="33" t="n">
        <v>2.91</v>
      </c>
      <c r="H51" s="33" t="n">
        <v>2.4644</v>
      </c>
      <c r="I51" s="33">
        <f>IF(OR(E52="",R52="",R52&lt;=0,E52&lt;0),"",E52/R52)</f>
        <v/>
      </c>
      <c r="J51" s="33">
        <f>IFERROR(AVERAGE(IFERROR(IF(E51="","",IF(E51&lt;0,5,IF(E51&lt;=15,90,IF(E51&lt;=20,75,IF(E51&lt;=25,60,IF(E51&lt;=30,45,IF(E51&lt;=40,30,IF(E51&lt;=60,15,5)))))))),""),IFERROR(IF(F51="","",IF(F51&lt;0,5,IF(F51&lt;=10,90,IF(F51&lt;=15,75,IF(F51&lt;=20,60,IF(F51&lt;=25,45,IF(F51&lt;=35,30,IF(F51&lt;=50,15,5)))))))),""),IFERROR(IF(G51="","",IF(G51&gt;=8,100,IF(G51&gt;=6,90,IF(G51&gt;=4,75,IF(G51&gt;=2,60,IF(G51&gt;=1,45,IF(G51&gt;=0,30,15))))))),""),IFERROR(IF(H51="","",IF(H51&lt;=2,90,IF(H51&lt;=4,75,IF(H51&lt;=7,60,IF(H51&lt;=10,45,IF(H51&lt;=15,30,IF(H51&lt;=25,15,5))))))),""),IFERROR(IF(I51="","",IF(I51&lt;=0.5,100,IF(I51&lt;=1,90,IF(I51&lt;=1.5,75,IF(I51&lt;=2,60,IF(I51&lt;=2.5,45,IF(I51&lt;=3,30,15))))))),"")),"")</f>
        <v/>
      </c>
      <c r="K51" s="33" t="n">
        <v>7.3326</v>
      </c>
      <c r="L51" s="33" t="n">
        <v>24.797</v>
      </c>
      <c r="M51" s="33" t="n">
        <v>7.71</v>
      </c>
      <c r="N51" s="33" t="n">
        <v>3.542</v>
      </c>
      <c r="O51" s="33">
        <f>IFERROR(AVERAGE(IFERROR(IF(K51="","",IF(K51&gt;=25,100,IF(K51&gt;=20,90,IF(K51&gt;=15,75,IF(K51&gt;=10,60,IF(K51&gt;=5,45,IF(K51&gt;=0,30,15))))))),""),IFERROR(IF(L51="","",IF(L51&gt;=60,100,IF(L51&gt;=50,90,IF(L51&gt;=40,75,IF(L51&gt;=30,60,IF(L51&gt;=20,45,IF(L51&gt;=10,30,15))))))),""),IFERROR(IF(M51="","",IF(M51&gt;=25,100,IF(M51&gt;=20,90,IF(M51&gt;=15,75,IF(M51&gt;=10,60,IF(M51&gt;=5,45,IF(M51&gt;=0,30,15))))))),""),IFERROR(IF(N51="","",IF(N51&lt;=0,100,IF(N51&lt;=1,90,IF(N51&lt;=2,75,IF(N51&lt;=3,60,IF(N51&lt;=4,45,IF(N51&lt;=5,30,15))))))),"")),"")</f>
        <v/>
      </c>
      <c r="P51" s="33" t="n">
        <v>7.95</v>
      </c>
      <c r="Q51" s="33" t="n">
        <v>2.4</v>
      </c>
      <c r="R51" s="33" t="n">
        <v>-40.7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IFERROR(AVERAGE(T51,U51,V51,W51,X51)*20,"")</f>
        <v/>
      </c>
      <c r="Z51" s="33" t="n">
        <v>3</v>
      </c>
      <c r="AA51" s="33" t="n">
        <v>4</v>
      </c>
      <c r="AB51" s="33" t="n">
        <v>3</v>
      </c>
      <c r="AC51" s="71" t="n">
        <v>68.3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IFERROR(AVERAGE(AE51,AF51,AG51,AH51,AL51)*20,"")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2026-05-26</t>
        </is>
      </c>
      <c r="E52" s="33" t="n">
        <v>27.1038</v>
      </c>
      <c r="F52" s="33" t="n">
        <v>24.936</v>
      </c>
      <c r="G52" s="33" t="n">
        <v>3.09</v>
      </c>
      <c r="H52" s="33" t="n">
        <v>4.7217</v>
      </c>
      <c r="I52" s="33">
        <f>IF(OR(E53="",R53="",R53&lt;=0,E53&lt;0),"",E53/R53)</f>
        <v/>
      </c>
      <c r="J52" s="33">
        <f>IFERROR(AVERAGE(IFERROR(IF(E52="","",IF(E52&lt;0,5,IF(E52&lt;=15,90,IF(E52&lt;=20,75,IF(E52&lt;=25,60,IF(E52&lt;=30,45,IF(E52&lt;=40,30,IF(E52&lt;=60,15,5)))))))),""),IFERROR(IF(F52="","",IF(F52&lt;0,5,IF(F52&lt;=10,90,IF(F52&lt;=15,75,IF(F52&lt;=20,60,IF(F52&lt;=25,45,IF(F52&lt;=35,30,IF(F52&lt;=50,15,5)))))))),""),IFERROR(IF(G52="","",IF(G52&gt;=8,100,IF(G52&gt;=6,90,IF(G52&gt;=4,75,IF(G52&gt;=2,60,IF(G52&gt;=1,45,IF(G52&gt;=0,30,15))))))),""),IFERROR(IF(H52="","",IF(H52&lt;=2,90,IF(H52&lt;=4,75,IF(H52&lt;=7,60,IF(H52&lt;=10,45,IF(H52&lt;=15,30,IF(H52&lt;=25,15,5))))))),""),IFERROR(IF(I52="","",IF(I52&lt;=0.5,100,IF(I52&lt;=1,90,IF(I52&lt;=1.5,75,IF(I52&lt;=2,60,IF(I52&lt;=2.5,45,IF(I52&lt;=3,30,15))))))),"")),"")</f>
        <v/>
      </c>
      <c r="K52" s="33" t="n">
        <v>25.7994</v>
      </c>
      <c r="L52" s="33" t="n">
        <v>35.925</v>
      </c>
      <c r="M52" s="33" t="n">
        <v>14.52</v>
      </c>
      <c r="N52" s="33" t="n">
        <v>0.83</v>
      </c>
      <c r="O52" s="33">
        <f>IFERROR(AVERAGE(IFERROR(IF(K52="","",IF(K52&gt;=25,100,IF(K52&gt;=20,90,IF(K52&gt;=15,75,IF(K52&gt;=10,60,IF(K52&gt;=5,45,IF(K52&gt;=0,30,15))))))),""),IFERROR(IF(L52="","",IF(L52&gt;=60,100,IF(L52&gt;=50,90,IF(L52&gt;=40,75,IF(L52&gt;=30,60,IF(L52&gt;=20,45,IF(L52&gt;=10,30,15))))))),""),IFERROR(IF(M52="","",IF(M52&gt;=25,100,IF(M52&gt;=20,90,IF(M52&gt;=15,75,IF(M52&gt;=10,60,IF(M52&gt;=5,45,IF(M52&gt;=0,30,15))))))),""),IFERROR(IF(N52="","",IF(N52&lt;=0,100,IF(N52&lt;=1,90,IF(N52&lt;=2,75,IF(N52&lt;=3,60,IF(N52&lt;=4,45,IF(N52&lt;=5,30,15))))))),"")),"")</f>
        <v/>
      </c>
      <c r="P52" s="33" t="n">
        <v>10.06</v>
      </c>
      <c r="Q52" s="33" t="n">
        <v>6</v>
      </c>
      <c r="R52" s="33" t="n">
        <v>-2.1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IFERROR(AVERAGE(T52,U52,V52,W52,X52)*20,"")</f>
        <v/>
      </c>
      <c r="Z52" s="33" t="n">
        <v>5</v>
      </c>
      <c r="AA52" s="33" t="n">
        <v>3</v>
      </c>
      <c r="AB52" s="33" t="n">
        <v>3</v>
      </c>
      <c r="AC52" s="71" t="n">
        <v>55.8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IFERROR(AVERAGE(AE52,AF52,AG52,AH52,AL52)*20,"")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2026-05-26</t>
        </is>
      </c>
      <c r="E53" s="33" t="n">
        <v>24.586</v>
      </c>
      <c r="F53" s="33" t="n">
        <v>21.852</v>
      </c>
      <c r="G53" s="33" t="n">
        <v>1.54</v>
      </c>
      <c r="H53" s="33" t="n">
        <v>3.5014</v>
      </c>
      <c r="I53" s="33">
        <f>IF(OR(E54="",R54="",R54&lt;=0,E54&lt;0),"",E54/R54)</f>
        <v/>
      </c>
      <c r="J53" s="33">
        <f>IFERROR(AVERAGE(IFERROR(IF(E53="","",IF(E53&lt;0,5,IF(E53&lt;=15,90,IF(E53&lt;=20,75,IF(E53&lt;=25,60,IF(E53&lt;=30,45,IF(E53&lt;=40,30,IF(E53&lt;=60,15,5)))))))),""),IFERROR(IF(F53="","",IF(F53&lt;0,5,IF(F53&lt;=10,90,IF(F53&lt;=15,75,IF(F53&lt;=20,60,IF(F53&lt;=25,45,IF(F53&lt;=35,30,IF(F53&lt;=50,15,5)))))))),""),IFERROR(IF(G53="","",IF(G53&gt;=8,100,IF(G53&gt;=6,90,IF(G53&gt;=4,75,IF(G53&gt;=2,60,IF(G53&gt;=1,45,IF(G53&gt;=0,30,15))))))),""),IFERROR(IF(H53="","",IF(H53&lt;=2,90,IF(H53&lt;=4,75,IF(H53&lt;=7,60,IF(H53&lt;=10,45,IF(H53&lt;=15,30,IF(H53&lt;=25,15,5))))))),""),IFERROR(IF(I53="","",IF(I53&lt;=0.5,100,IF(I53&lt;=1,90,IF(I53&lt;=1.5,75,IF(I53&lt;=2,60,IF(I53&lt;=2.5,45,IF(I53&lt;=3,30,15))))))),"")),"")</f>
        <v/>
      </c>
      <c r="K53" s="33" t="n">
        <v>9.9473</v>
      </c>
      <c r="L53" s="33" t="n">
        <v>36.561</v>
      </c>
      <c r="M53" s="33" t="n">
        <v>5.59</v>
      </c>
      <c r="N53" s="33" t="n">
        <v>2.511</v>
      </c>
      <c r="O53" s="33">
        <f>IFERROR(AVERAGE(IFERROR(IF(K53="","",IF(K53&gt;=25,100,IF(K53&gt;=20,90,IF(K53&gt;=15,75,IF(K53&gt;=10,60,IF(K53&gt;=5,45,IF(K53&gt;=0,30,15))))))),""),IFERROR(IF(L53="","",IF(L53&gt;=60,100,IF(L53&gt;=50,90,IF(L53&gt;=40,75,IF(L53&gt;=30,60,IF(L53&gt;=20,45,IF(L53&gt;=10,30,15))))))),""),IFERROR(IF(M53="","",IF(M53&gt;=25,100,IF(M53&gt;=20,90,IF(M53&gt;=15,75,IF(M53&gt;=10,60,IF(M53&gt;=5,45,IF(M53&gt;=0,30,15))))))),""),IFERROR(IF(N53="","",IF(N53&lt;=0,100,IF(N53&lt;=1,90,IF(N53&lt;=2,75,IF(N53&lt;=3,60,IF(N53&lt;=4,45,IF(N53&lt;=5,30,15))))))),"")),"")</f>
        <v/>
      </c>
      <c r="P53" s="33" t="n">
        <v>4.57</v>
      </c>
      <c r="Q53" s="33" t="n">
        <v>8.199999999999999</v>
      </c>
      <c r="R53" s="33" t="n">
        <v>38.9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IFERROR(AVERAGE(T53,U53,V53,W53,X53)*20,"")</f>
        <v/>
      </c>
      <c r="Z53" s="33" t="n">
        <v>5</v>
      </c>
      <c r="AA53" s="33" t="n">
        <v>4</v>
      </c>
      <c r="AB53" s="33" t="n">
        <v>3</v>
      </c>
      <c r="AC53" s="71" t="n">
        <v>77.5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IFERROR(AVERAGE(AE53,AF53,AG53,AH53,AL53)*20,"")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2026-06-10</t>
        </is>
      </c>
      <c r="E54" s="33" t="n">
        <v>34.26</v>
      </c>
      <c r="F54" s="33" t="n">
        <v>49.089</v>
      </c>
      <c r="G54" s="33" t="n">
        <v>1.23</v>
      </c>
      <c r="H54" s="33" t="n">
        <v>18.6691</v>
      </c>
      <c r="I54" s="33">
        <f>IF(OR(E55="",R55="",R55&lt;=0,E55&lt;0),"",E55/R55)</f>
        <v/>
      </c>
      <c r="J54" s="33">
        <f>IFERROR(AVERAGE(IFERROR(IF(E54="","",IF(E54&lt;0,5,IF(E54&lt;=15,90,IF(E54&lt;=20,75,IF(E54&lt;=25,60,IF(E54&lt;=30,45,IF(E54&lt;=40,30,IF(E54&lt;=60,15,5)))))))),""),IFERROR(IF(F54="","",IF(F54&lt;0,5,IF(F54&lt;=10,90,IF(F54&lt;=15,75,IF(F54&lt;=20,60,IF(F54&lt;=25,45,IF(F54&lt;=35,30,IF(F54&lt;=50,15,5)))))))),""),IFERROR(IF(G54="","",IF(G54&gt;=8,100,IF(G54&gt;=6,90,IF(G54&gt;=4,75,IF(G54&gt;=2,60,IF(G54&gt;=1,45,IF(G54&gt;=0,30,15))))))),""),IFERROR(IF(H54="","",IF(H54&lt;=2,90,IF(H54&lt;=4,75,IF(H54&lt;=7,60,IF(H54&lt;=10,45,IF(H54&lt;=15,30,IF(H54&lt;=25,15,5))))))),""),IFERROR(IF(I54="","",IF(I54&lt;=0.5,100,IF(I54&lt;=1,90,IF(I54&lt;=1.5,75,IF(I54&lt;=2,60,IF(I54&lt;=2.5,45,IF(I54&lt;=3,30,15))))))),"")),"")</f>
        <v/>
      </c>
      <c r="K54" s="33" t="n">
        <v>65.1571</v>
      </c>
      <c r="L54" s="33" t="n">
        <v>52.348</v>
      </c>
      <c r="M54" s="33" t="n">
        <v>26.51</v>
      </c>
      <c r="N54" s="33" t="n">
        <v>-0.398</v>
      </c>
      <c r="O54" s="33">
        <f>IFERROR(AVERAGE(IFERROR(IF(K54="","",IF(K54&gt;=25,100,IF(K54&gt;=20,90,IF(K54&gt;=15,75,IF(K54&gt;=10,60,IF(K54&gt;=5,45,IF(K54&gt;=0,30,15))))))),""),IFERROR(IF(L54="","",IF(L54&gt;=60,100,IF(L54&gt;=50,90,IF(L54&gt;=40,75,IF(L54&gt;=30,60,IF(L54&gt;=20,45,IF(L54&gt;=10,30,15))))))),""),IFERROR(IF(M54="","",IF(M54&gt;=25,100,IF(M54&gt;=20,90,IF(M54&gt;=15,75,IF(M54&gt;=10,60,IF(M54&gt;=5,45,IF(M54&gt;=0,30,15))))))),""),IFERROR(IF(N54="","",IF(N54&lt;=0,100,IF(N54&lt;=1,90,IF(N54&lt;=2,75,IF(N54&lt;=3,60,IF(N54&lt;=4,45,IF(N54&lt;=5,30,15))))))),"")),"")</f>
        <v/>
      </c>
      <c r="P54" s="33" t="n">
        <v>15.55</v>
      </c>
      <c r="Q54" s="33" t="n">
        <v>13.2</v>
      </c>
      <c r="R54" s="33" t="n">
        <v>19.2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IFERROR(AVERAGE(T54,U54,V54,W54,X54)*20,"")</f>
        <v/>
      </c>
      <c r="Z54" s="33" t="n">
        <v>4</v>
      </c>
      <c r="AA54" s="33" t="n">
        <v>2</v>
      </c>
      <c r="AB54" s="33" t="n">
        <v>3</v>
      </c>
      <c r="AC54" s="71" t="n">
        <v>84.2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IFERROR(AVERAGE(AE54,AF54,AG54,AH54,AL54)*20,"")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2026-06-10</t>
        </is>
      </c>
      <c r="E55" s="33" t="n">
        <v>28.2093</v>
      </c>
      <c r="F55" s="33" t="n">
        <v>38.835</v>
      </c>
      <c r="G55" s="33" t="n">
        <v>1.18</v>
      </c>
      <c r="H55" s="33" t="n">
        <v>12.4436</v>
      </c>
      <c r="I55" s="33">
        <f>IF(OR(E56="",R56="",R56&lt;=0,E56&lt;0),"",E56/R56)</f>
        <v/>
      </c>
      <c r="J55" s="33">
        <f>IFERROR(AVERAGE(IFERROR(IF(E55="","",IF(E55&lt;0,5,IF(E55&lt;=15,90,IF(E55&lt;=20,75,IF(E55&lt;=25,60,IF(E55&lt;=30,45,IF(E55&lt;=40,30,IF(E55&lt;=60,15,5)))))))),""),IFERROR(IF(F55="","",IF(F55&lt;0,5,IF(F55&lt;=10,90,IF(F55&lt;=15,75,IF(F55&lt;=20,60,IF(F55&lt;=25,45,IF(F55&lt;=35,30,IF(F55&lt;=50,15,5)))))))),""),IFERROR(IF(G55="","",IF(G55&gt;=8,100,IF(G55&gt;=6,90,IF(G55&gt;=4,75,IF(G55&gt;=2,60,IF(G55&gt;=1,45,IF(G55&gt;=0,30,15))))))),""),IFERROR(IF(H55="","",IF(H55&lt;=2,90,IF(H55&lt;=4,75,IF(H55&lt;=7,60,IF(H55&lt;=10,45,IF(H55&lt;=15,30,IF(H55&lt;=25,15,5))))))),""),IFERROR(IF(I55="","",IF(I55&lt;=0.5,100,IF(I55&lt;=1,90,IF(I55&lt;=1.5,75,IF(I55&lt;=2,60,IF(I55&lt;=2.5,45,IF(I55&lt;=3,30,15))))))),"")),"")</f>
        <v/>
      </c>
      <c r="K55" s="33" t="n">
        <v>35.1075</v>
      </c>
      <c r="L55" s="33" t="n">
        <v>48.956</v>
      </c>
      <c r="M55" s="33" t="n">
        <v>18.41</v>
      </c>
      <c r="N55" s="33" t="n">
        <v>0.08699999999999999</v>
      </c>
      <c r="O55" s="33">
        <f>IFERROR(AVERAGE(IFERROR(IF(K55="","",IF(K55&gt;=25,100,IF(K55&gt;=20,90,IF(K55&gt;=15,75,IF(K55&gt;=10,60,IF(K55&gt;=5,45,IF(K55&gt;=0,30,15))))))),""),IFERROR(IF(L55="","",IF(L55&gt;=60,100,IF(L55&gt;=50,90,IF(L55&gt;=40,75,IF(L55&gt;=30,60,IF(L55&gt;=20,45,IF(L55&gt;=10,30,15))))))),""),IFERROR(IF(M55="","",IF(M55&gt;=25,100,IF(M55&gt;=20,90,IF(M55&gt;=15,75,IF(M55&gt;=10,60,IF(M55&gt;=5,45,IF(M55&gt;=0,30,15))))))),""),IFERROR(IF(N55="","",IF(N55&lt;=0,100,IF(N55&lt;=1,90,IF(N55&lt;=2,75,IF(N55&lt;=3,60,IF(N55&lt;=4,45,IF(N55&lt;=5,30,15))))))),"")),"")</f>
        <v/>
      </c>
      <c r="P55" s="33" t="n">
        <v>3.23</v>
      </c>
      <c r="Q55" s="33" t="n">
        <v>11.4</v>
      </c>
      <c r="R55" s="33" t="n">
        <v>33.5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IFERROR(AVERAGE(T55,U55,V55,W55,X55)*20,"")</f>
        <v/>
      </c>
      <c r="Z55" s="33" t="n">
        <v>4</v>
      </c>
      <c r="AA55" s="33" t="n">
        <v>3</v>
      </c>
      <c r="AB55" s="33" t="n">
        <v>3</v>
      </c>
      <c r="AC55" s="71" t="n">
        <v>96.7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IFERROR(AVERAGE(AE55,AF55,AG55,AH55,AL55)*20,"")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2026-06-10</t>
        </is>
      </c>
      <c r="E56" s="33" t="n">
        <v>40.6838</v>
      </c>
      <c r="F56" s="33" t="n">
        <v>48.529</v>
      </c>
      <c r="G56" s="33" t="n">
        <v>1.29</v>
      </c>
      <c r="H56" s="33" t="n">
        <v>18.6116</v>
      </c>
      <c r="I56" s="33">
        <f>IF(OR(E57="",R57="",R57&lt;=0,E57&lt;0),"",E57/R57)</f>
        <v/>
      </c>
      <c r="J56" s="33">
        <f>IFERROR(AVERAGE(IFERROR(IF(E56="","",IF(E56&lt;0,5,IF(E56&lt;=15,90,IF(E56&lt;=20,75,IF(E56&lt;=25,60,IF(E56&lt;=30,45,IF(E56&lt;=40,30,IF(E56&lt;=60,15,5)))))))),""),IFERROR(IF(F56="","",IF(F56&lt;0,5,IF(F56&lt;=10,90,IF(F56&lt;=15,75,IF(F56&lt;=20,60,IF(F56&lt;=25,45,IF(F56&lt;=35,30,IF(F56&lt;=50,15,5)))))))),""),IFERROR(IF(G56="","",IF(G56&gt;=8,100,IF(G56&gt;=6,90,IF(G56&gt;=4,75,IF(G56&gt;=2,60,IF(G56&gt;=1,45,IF(G56&gt;=0,30,15))))))),""),IFERROR(IF(H56="","",IF(H56&lt;=2,90,IF(H56&lt;=4,75,IF(H56&lt;=7,60,IF(H56&lt;=10,45,IF(H56&lt;=15,30,IF(H56&lt;=25,15,5))))))),""),IFERROR(IF(I56="","",IF(I56&lt;=0.5,100,IF(I56&lt;=1,90,IF(I56&lt;=1.5,75,IF(I56&lt;=2,60,IF(I56&lt;=2.5,45,IF(I56&lt;=3,30,15))))))),"")),"")</f>
        <v/>
      </c>
      <c r="K56" s="33" t="n">
        <v>71.6579</v>
      </c>
      <c r="L56" s="33" t="n">
        <v>49.979</v>
      </c>
      <c r="M56" s="33" t="n">
        <v>27.7</v>
      </c>
      <c r="N56" s="33" t="n">
        <v>-0.126</v>
      </c>
      <c r="O56" s="33">
        <f>IFERROR(AVERAGE(IFERROR(IF(K56="","",IF(K56&gt;=25,100,IF(K56&gt;=20,90,IF(K56&gt;=15,75,IF(K56&gt;=10,60,IF(K56&gt;=5,45,IF(K56&gt;=0,30,15))))))),""),IFERROR(IF(L56="","",IF(L56&gt;=60,100,IF(L56&gt;=50,90,IF(L56&gt;=40,75,IF(L56&gt;=30,60,IF(L56&gt;=20,45,IF(L56&gt;=10,30,15))))))),""),IFERROR(IF(M56="","",IF(M56&gt;=25,100,IF(M56&gt;=20,90,IF(M56&gt;=15,75,IF(M56&gt;=10,60,IF(M56&gt;=5,45,IF(M56&gt;=0,30,15))))))),""),IFERROR(IF(N56="","",IF(N56&lt;=0,100,IF(N56&lt;=1,90,IF(N56&lt;=2,75,IF(N56&lt;=3,60,IF(N56&lt;=4,45,IF(N56&lt;=5,30,15))))))),"")),"")</f>
        <v/>
      </c>
      <c r="P56" s="33" t="n">
        <v>2.29</v>
      </c>
      <c r="Q56" s="33" t="n">
        <v>23.8</v>
      </c>
      <c r="R56" s="33" t="n">
        <v>40.8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IFERROR(AVERAGE(T56,U56,V56,W56,X56)*20,"")</f>
        <v/>
      </c>
      <c r="Z56" s="33" t="n">
        <v>5</v>
      </c>
      <c r="AA56" s="33" t="n">
        <v>4</v>
      </c>
      <c r="AB56" s="33" t="n">
        <v>3</v>
      </c>
      <c r="AC56" s="71" t="n">
        <v>85.8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IFERROR(AVERAGE(AE56,AF56,AG56,AH56,AL56)*20,"")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2026-05-26</t>
        </is>
      </c>
      <c r="E57" s="33" t="n">
        <v>40.345</v>
      </c>
      <c r="F57" s="33" t="n">
        <v>42.368</v>
      </c>
      <c r="G57" s="33" t="n">
        <v>1.21</v>
      </c>
      <c r="H57" s="33" t="n">
        <v>20.0618</v>
      </c>
      <c r="I57" s="33">
        <f>IF(OR(E58="",R58="",R58&lt;=0,E58&lt;0),"",E58/R58)</f>
        <v/>
      </c>
      <c r="J57" s="33">
        <f>IFERROR(AVERAGE(IFERROR(IF(E57="","",IF(E57&lt;0,5,IF(E57&lt;=15,90,IF(E57&lt;=20,75,IF(E57&lt;=25,60,IF(E57&lt;=30,45,IF(E57&lt;=40,30,IF(E57&lt;=60,15,5)))))))),""),IFERROR(IF(F57="","",IF(F57&lt;0,5,IF(F57&lt;=10,90,IF(F57&lt;=15,75,IF(F57&lt;=20,60,IF(F57&lt;=25,45,IF(F57&lt;=35,30,IF(F57&lt;=50,15,5)))))))),""),IFERROR(IF(G57="","",IF(G57&gt;=8,100,IF(G57&gt;=6,90,IF(G57&gt;=4,75,IF(G57&gt;=2,60,IF(G57&gt;=1,45,IF(G57&gt;=0,30,15))))))),""),IFERROR(IF(H57="","",IF(H57&lt;=2,90,IF(H57&lt;=4,75,IF(H57&lt;=7,60,IF(H57&lt;=10,45,IF(H57&lt;=15,30,IF(H57&lt;=25,15,5))))))),""),IFERROR(IF(I57="","",IF(I57&lt;=0.5,100,IF(I57&lt;=1,90,IF(I57&lt;=1.5,75,IF(I57&lt;=2,60,IF(I57&lt;=2.5,45,IF(I57&lt;=3,30,15))))))),"")),"")</f>
        <v/>
      </c>
      <c r="K57" s="33" t="n">
        <v>48.2598</v>
      </c>
      <c r="L57" s="33" t="n">
        <v>61.446</v>
      </c>
      <c r="M57" s="33" t="n">
        <v>30.64</v>
      </c>
      <c r="N57" s="33" t="n">
        <v>0.719</v>
      </c>
      <c r="O57" s="33">
        <f>IFERROR(AVERAGE(IFERROR(IF(K57="","",IF(K57&gt;=25,100,IF(K57&gt;=20,90,IF(K57&gt;=15,75,IF(K57&gt;=10,60,IF(K57&gt;=5,45,IF(K57&gt;=0,30,15))))))),""),IFERROR(IF(L57="","",IF(L57&gt;=60,100,IF(L57&gt;=50,90,IF(L57&gt;=40,75,IF(L57&gt;=30,60,IF(L57&gt;=20,45,IF(L57&gt;=10,30,15))))))),""),IFERROR(IF(M57="","",IF(M57&gt;=25,100,IF(M57&gt;=20,90,IF(M57&gt;=15,75,IF(M57&gt;=10,60,IF(M57&gt;=5,45,IF(M57&gt;=0,30,15))))))),""),IFERROR(IF(N57="","",IF(N57&lt;=0,100,IF(N57&lt;=1,90,IF(N57&lt;=2,75,IF(N57&lt;=3,60,IF(N57&lt;=4,45,IF(N57&lt;=5,30,15))))))),"")),"")</f>
        <v/>
      </c>
      <c r="P57" s="33" t="n">
        <v>9.69</v>
      </c>
      <c r="Q57" s="33" t="n">
        <v>11.5</v>
      </c>
      <c r="R57" s="33" t="n">
        <v>11.8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IFERROR(AVERAGE(T57,U57,V57,W57,X57)*20,"")</f>
        <v/>
      </c>
      <c r="Z57" s="33" t="n">
        <v>5</v>
      </c>
      <c r="AA57" s="33" t="n">
        <v>2</v>
      </c>
      <c r="AB57" s="33" t="n">
        <v>3</v>
      </c>
      <c r="AC57" s="71" t="n">
        <v>90.8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IFERROR(AVERAGE(AE57,AF57,AG57,AH57,AL57)*20,"")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2026-05-26</t>
        </is>
      </c>
      <c r="E58" s="33" t="inlineStr"/>
      <c r="F58" s="33" t="n">
        <v>-0.611</v>
      </c>
      <c r="G58" s="33" t="inlineStr"/>
      <c r="H58" s="33" t="inlineStr"/>
      <c r="I58" s="33">
        <f>IF(OR(E59="",R59="",R59&lt;=0,E59&lt;0),"",E59/R59)</f>
        <v/>
      </c>
      <c r="J58" s="33">
        <f>IFERROR(AVERAGE(IFERROR(IF(E58="","",IF(E58&lt;0,5,IF(E58&lt;=15,90,IF(E58&lt;=20,75,IF(E58&lt;=25,60,IF(E58&lt;=30,45,IF(E58&lt;=40,30,IF(E58&lt;=60,15,5)))))))),""),IFERROR(IF(F58="","",IF(F58&lt;0,5,IF(F58&lt;=10,90,IF(F58&lt;=15,75,IF(F58&lt;=20,60,IF(F58&lt;=25,45,IF(F58&lt;=35,30,IF(F58&lt;=50,15,5)))))))),""),IFERROR(IF(G58="","",IF(G58&gt;=8,100,IF(G58&gt;=6,90,IF(G58&gt;=4,75,IF(G58&gt;=2,60,IF(G58&gt;=1,45,IF(G58&gt;=0,30,15))))))),""),IFERROR(IF(H58="","",IF(H58&lt;=2,90,IF(H58&lt;=4,75,IF(H58&lt;=7,60,IF(H58&lt;=10,45,IF(H58&lt;=15,30,IF(H58&lt;=25,15,5))))))),""),IFERROR(IF(I58="","",IF(I58&lt;=0.5,100,IF(I58&lt;=1,90,IF(I58&lt;=1.5,75,IF(I58&lt;=2,60,IF(I58&lt;=2.5,45,IF(I58&lt;=3,30,15))))))),"")),"")</f>
        <v/>
      </c>
      <c r="K58" s="33" t="inlineStr"/>
      <c r="L58" s="33" t="inlineStr"/>
      <c r="M58" s="33" t="inlineStr"/>
      <c r="N58" s="33" t="inlineStr"/>
      <c r="O58" s="33">
        <f>IFERROR(AVERAGE(IFERROR(IF(K58="","",IF(K58&gt;=25,100,IF(K58&gt;=20,90,IF(K58&gt;=15,75,IF(K58&gt;=10,60,IF(K58&gt;=5,45,IF(K58&gt;=0,30,15))))))),""),IFERROR(IF(L58="","",IF(L58&gt;=60,100,IF(L58&gt;=50,90,IF(L58&gt;=40,75,IF(L58&gt;=30,60,IF(L58&gt;=20,45,IF(L58&gt;=10,30,15))))))),""),IFERROR(IF(M58="","",IF(M58&gt;=25,100,IF(M58&gt;=20,90,IF(M58&gt;=15,75,IF(M58&gt;=10,60,IF(M58&gt;=5,45,IF(M58&gt;=0,30,15))))))),""),IFERROR(IF(N58="","",IF(N58&lt;=0,100,IF(N58&lt;=1,90,IF(N58&lt;=2,75,IF(N58&lt;=3,60,IF(N58&lt;=4,45,IF(N58&lt;=5,30,15))))))),"")),"")</f>
        <v/>
      </c>
      <c r="P58" s="33" t="n">
        <v>6.66</v>
      </c>
      <c r="Q58" s="33" t="n">
        <v>8.6</v>
      </c>
      <c r="R58" s="33" t="n">
        <v>50.5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IFERROR(AVERAGE(T58,U58,V58,W58,X58)*20,"")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IFERROR(AVERAGE(AE58,AF58,AG58,AH58,AL58)*20,"")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2026-06-10</t>
        </is>
      </c>
      <c r="E59" s="33" t="n">
        <v>40.9052</v>
      </c>
      <c r="F59" s="33" t="n">
        <v>48.17</v>
      </c>
      <c r="G59" s="33" t="n">
        <v>0.87</v>
      </c>
      <c r="H59" s="33" t="n">
        <v>16.0865</v>
      </c>
      <c r="I59" s="33">
        <f>IF(OR(E60="",R60="",R60&lt;=0,E60&lt;0),"",E60/R60)</f>
        <v/>
      </c>
      <c r="J59" s="33">
        <f>IFERROR(AVERAGE(IFERROR(IF(E59="","",IF(E59&lt;0,5,IF(E59&lt;=15,90,IF(E59&lt;=20,75,IF(E59&lt;=25,60,IF(E59&lt;=30,45,IF(E59&lt;=40,30,IF(E59&lt;=60,15,5)))))))),""),IFERROR(IF(F59="","",IF(F59&lt;0,5,IF(F59&lt;=10,90,IF(F59&lt;=15,75,IF(F59&lt;=20,60,IF(F59&lt;=25,45,IF(F59&lt;=35,30,IF(F59&lt;=50,15,5)))))))),""),IFERROR(IF(G59="","",IF(G59&gt;=8,100,IF(G59&gt;=6,90,IF(G59&gt;=4,75,IF(G59&gt;=2,60,IF(G59&gt;=1,45,IF(G59&gt;=0,30,15))))))),""),IFERROR(IF(H59="","",IF(H59&lt;=2,90,IF(H59&lt;=4,75,IF(H59&lt;=7,60,IF(H59&lt;=10,45,IF(H59&lt;=15,30,IF(H59&lt;=25,15,5))))))),""),IFERROR(IF(I59="","",IF(I59&lt;=0.5,100,IF(I59&lt;=1,90,IF(I59&lt;=1.5,75,IF(I59&lt;=2,60,IF(I59&lt;=2.5,45,IF(I59&lt;=3,30,15))))))),"")),"")</f>
        <v/>
      </c>
      <c r="K59" s="33" t="n">
        <v>29.5226</v>
      </c>
      <c r="L59" s="33" t="n">
        <v>58.702</v>
      </c>
      <c r="M59" s="33" t="n">
        <v>14.61</v>
      </c>
      <c r="N59" s="33" t="n">
        <v>-0.14</v>
      </c>
      <c r="O59" s="33">
        <f>IFERROR(AVERAGE(IFERROR(IF(K59="","",IF(K59&gt;=25,100,IF(K59&gt;=20,90,IF(K59&gt;=15,75,IF(K59&gt;=10,60,IF(K59&gt;=5,45,IF(K59&gt;=0,30,15))))))),""),IFERROR(IF(L59="","",IF(L59&gt;=60,100,IF(L59&gt;=50,90,IF(L59&gt;=40,75,IF(L59&gt;=30,60,IF(L59&gt;=20,45,IF(L59&gt;=10,30,15))))))),""),IFERROR(IF(M59="","",IF(M59&gt;=25,100,IF(M59&gt;=20,90,IF(M59&gt;=15,75,IF(M59&gt;=10,60,IF(M59&gt;=5,45,IF(M59&gt;=0,30,15))))))),""),IFERROR(IF(N59="","",IF(N59&lt;=0,100,IF(N59&lt;=1,90,IF(N59&lt;=2,75,IF(N59&lt;=3,60,IF(N59&lt;=4,45,IF(N59&lt;=5,30,15))))))),"")),"")</f>
        <v/>
      </c>
      <c r="P59" s="33" t="n">
        <v>0.37</v>
      </c>
      <c r="Q59" s="33" t="n">
        <v>87</v>
      </c>
      <c r="R59" s="33" t="n">
        <v>314.8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IFERROR(AVERAGE(T59,U59,V59,W59,X59)*20,"")</f>
        <v/>
      </c>
      <c r="Z59" s="33" t="n">
        <v>5</v>
      </c>
      <c r="AA59" s="33" t="n">
        <v>5</v>
      </c>
      <c r="AB59" s="33" t="n">
        <v>3</v>
      </c>
      <c r="AC59" s="71" t="n">
        <v>95.8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IFERROR(AVERAGE(AE59,AF59,AG59,AH59,AL59)*20,"")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2026-05-26</t>
        </is>
      </c>
      <c r="E60" s="33" t="n">
        <v>28.8643</v>
      </c>
      <c r="F60" s="33" t="n">
        <v>46.423</v>
      </c>
      <c r="G60" s="33" t="n">
        <v>1.47</v>
      </c>
      <c r="H60" s="33" t="n">
        <v>13.2332</v>
      </c>
      <c r="I60" s="33">
        <f>IF(OR(E61="",R61="",R61&lt;=0,E61&lt;0),"",E61/R61)</f>
        <v/>
      </c>
      <c r="J60" s="33">
        <f>IFERROR(AVERAGE(IFERROR(IF(E60="","",IF(E60&lt;0,5,IF(E60&lt;=15,90,IF(E60&lt;=20,75,IF(E60&lt;=25,60,IF(E60&lt;=30,45,IF(E60&lt;=40,30,IF(E60&lt;=60,15,5)))))))),""),IFERROR(IF(F60="","",IF(F60&lt;0,5,IF(F60&lt;=10,90,IF(F60&lt;=15,75,IF(F60&lt;=20,60,IF(F60&lt;=25,45,IF(F60&lt;=35,30,IF(F60&lt;=50,15,5)))))))),""),IFERROR(IF(G60="","",IF(G60&gt;=8,100,IF(G60&gt;=6,90,IF(G60&gt;=4,75,IF(G60&gt;=2,60,IF(G60&gt;=1,45,IF(G60&gt;=0,30,15))))))),""),IFERROR(IF(H60="","",IF(H60&lt;=2,90,IF(H60&lt;=4,75,IF(H60&lt;=7,60,IF(H60&lt;=10,45,IF(H60&lt;=15,30,IF(H60&lt;=25,15,5))))))),""),IFERROR(IF(I60="","",IF(I60&lt;=0.5,100,IF(I60&lt;=1,90,IF(I60&lt;=1.5,75,IF(I60&lt;=2,60,IF(I60&lt;=2.5,45,IF(I60&lt;=3,30,15))))))),"")),"")</f>
        <v/>
      </c>
      <c r="K60" s="33" t="inlineStr"/>
      <c r="L60" s="33" t="n">
        <v>48.799</v>
      </c>
      <c r="M60" s="33" t="n">
        <v>23.17</v>
      </c>
      <c r="N60" s="33" t="n"/>
      <c r="O60" s="33">
        <f>IFERROR(AVERAGE(IFERROR(IF(K60="","",IF(K60&gt;=25,100,IF(K60&gt;=20,90,IF(K60&gt;=15,75,IF(K60&gt;=10,60,IF(K60&gt;=5,45,IF(K60&gt;=0,30,15))))))),""),IFERROR(IF(L60="","",IF(L60&gt;=60,100,IF(L60&gt;=50,90,IF(L60&gt;=40,75,IF(L60&gt;=30,60,IF(L60&gt;=20,45,IF(L60&gt;=10,30,15))))))),""),IFERROR(IF(M60="","",IF(M60&gt;=25,100,IF(M60&gt;=20,90,IF(M60&gt;=15,75,IF(M60&gt;=10,60,IF(M60&gt;=5,45,IF(M60&gt;=0,30,15))))))),""),IFERROR(IF(N60="","",IF(N60&lt;=0,100,IF(N60&lt;=1,90,IF(N60&lt;=2,75,IF(N60&lt;=3,60,IF(N60&lt;=4,45,IF(N60&lt;=5,30,15))))))),"")),"")</f>
        <v/>
      </c>
      <c r="P60" s="33" t="n">
        <v>0</v>
      </c>
      <c r="Q60" s="33" t="n">
        <v>9.5</v>
      </c>
      <c r="R60" s="33" t="n">
        <v>-48.5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IFERROR(AVERAGE(T60,U60,V60,W60,X60)*20,"")</f>
        <v/>
      </c>
      <c r="Z60" s="33" t="n">
        <v>5</v>
      </c>
      <c r="AA60" s="33" t="n">
        <v>5</v>
      </c>
      <c r="AB60" s="33" t="n">
        <v>3</v>
      </c>
      <c r="AC60" s="71" t="n">
        <v>84.2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IFERROR(AVERAGE(AE60,AF60,AG60,AH60,AL60)*20,"")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2026-05-26</t>
        </is>
      </c>
      <c r="E61" s="33" t="n">
        <v>38.6158</v>
      </c>
      <c r="F61" s="33" t="n">
        <v>54.314</v>
      </c>
      <c r="G61" s="33" t="inlineStr"/>
      <c r="H61" s="33" t="n">
        <v>16.1199</v>
      </c>
      <c r="I61" s="33">
        <f>IF(OR(E62="",R62="",R62&lt;=0,E62&lt;0),"",E62/R62)</f>
        <v/>
      </c>
      <c r="J61" s="33">
        <f>IFERROR(AVERAGE(IFERROR(IF(E61="","",IF(E61&lt;0,5,IF(E61&lt;=15,90,IF(E61&lt;=20,75,IF(E61&lt;=25,60,IF(E61&lt;=30,45,IF(E61&lt;=40,30,IF(E61&lt;=60,15,5)))))))),""),IFERROR(IF(F61="","",IF(F61&lt;0,5,IF(F61&lt;=10,90,IF(F61&lt;=15,75,IF(F61&lt;=20,60,IF(F61&lt;=25,45,IF(F61&lt;=35,30,IF(F61&lt;=50,15,5)))))))),""),IFERROR(IF(G61="","",IF(G61&gt;=8,100,IF(G61&gt;=6,90,IF(G61&gt;=4,75,IF(G61&gt;=2,60,IF(G61&gt;=1,45,IF(G61&gt;=0,30,15))))))),""),IFERROR(IF(H61="","",IF(H61&lt;=2,90,IF(H61&lt;=4,75,IF(H61&lt;=7,60,IF(H61&lt;=10,45,IF(H61&lt;=15,30,IF(H61&lt;=25,15,5))))))),""),IFERROR(IF(I61="","",IF(I61&lt;=0.5,100,IF(I61&lt;=1,90,IF(I61&lt;=1.5,75,IF(I61&lt;=2,60,IF(I61&lt;=2.5,45,IF(I61&lt;=3,30,15))))))),"")),"")</f>
        <v/>
      </c>
      <c r="K61" s="33" t="n">
        <v>5.9344</v>
      </c>
      <c r="L61" s="33" t="n">
        <v>50.228</v>
      </c>
      <c r="M61" s="33" t="inlineStr"/>
      <c r="N61" s="33" t="n">
        <v>4.846</v>
      </c>
      <c r="O61" s="33">
        <f>IFERROR(AVERAGE(IFERROR(IF(K61="","",IF(K61&gt;=25,100,IF(K61&gt;=20,90,IF(K61&gt;=15,75,IF(K61&gt;=10,60,IF(K61&gt;=5,45,IF(K61&gt;=0,30,15))))))),""),IFERROR(IF(L61="","",IF(L61&gt;=60,100,IF(L61&gt;=50,90,IF(L61&gt;=40,75,IF(L61&gt;=30,60,IF(L61&gt;=20,45,IF(L61&gt;=10,30,15))))))),""),IFERROR(IF(M61="","",IF(M61&gt;=25,100,IF(M61&gt;=20,90,IF(M61&gt;=15,75,IF(M61&gt;=10,60,IF(M61&gt;=5,45,IF(M61&gt;=0,30,15))))))),""),IFERROR(IF(N61="","",IF(N61&lt;=0,100,IF(N61&lt;=1,90,IF(N61&lt;=2,75,IF(N61&lt;=3,60,IF(N61&lt;=4,45,IF(N61&lt;=5,30,15))))))),"")),"")</f>
        <v/>
      </c>
      <c r="P61" s="33" t="n">
        <v>15.63</v>
      </c>
      <c r="Q61" s="33" t="n">
        <v>2.5</v>
      </c>
      <c r="R61" s="33" t="n">
        <v>-10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IFERROR(AVERAGE(T61,U61,V61,W61,X61)*20,"")</f>
        <v/>
      </c>
      <c r="Z61" s="33" t="n">
        <v>3</v>
      </c>
      <c r="AA61" s="33" t="n">
        <v>2</v>
      </c>
      <c r="AB61" s="33" t="n">
        <v>3</v>
      </c>
      <c r="AC61" s="71" t="n">
        <v>76.7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IFERROR(AVERAGE(AE61,AF61,AG61,AH61,AL61)*20,"")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2026-05-26</t>
        </is>
      </c>
      <c r="E62" s="33" t="n">
        <v>25.6263</v>
      </c>
      <c r="F62" s="33" t="n">
        <v>42.822</v>
      </c>
      <c r="G62" s="33" t="n">
        <v>0.07000000000000001</v>
      </c>
      <c r="H62" s="33" t="n">
        <v>7.3961</v>
      </c>
      <c r="I62" s="33">
        <f>IF(OR(E63="",R63="",R63&lt;=0,E63&lt;0),"",E63/R63)</f>
        <v/>
      </c>
      <c r="J62" s="33">
        <f>IFERROR(AVERAGE(IFERROR(IF(E62="","",IF(E62&lt;0,5,IF(E62&lt;=15,90,IF(E62&lt;=20,75,IF(E62&lt;=25,60,IF(E62&lt;=30,45,IF(E62&lt;=40,30,IF(E62&lt;=60,15,5)))))))),""),IFERROR(IF(F62="","",IF(F62&lt;0,5,IF(F62&lt;=10,90,IF(F62&lt;=15,75,IF(F62&lt;=20,60,IF(F62&lt;=25,45,IF(F62&lt;=35,30,IF(F62&lt;=50,15,5)))))))),""),IFERROR(IF(G62="","",IF(G62&gt;=8,100,IF(G62&gt;=6,90,IF(G62&gt;=4,75,IF(G62&gt;=2,60,IF(G62&gt;=1,45,IF(G62&gt;=0,30,15))))))),""),IFERROR(IF(H62="","",IF(H62&lt;=2,90,IF(H62&lt;=4,75,IF(H62&lt;=7,60,IF(H62&lt;=10,45,IF(H62&lt;=15,30,IF(H62&lt;=25,15,5))))))),""),IFERROR(IF(I62="","",IF(I62&lt;=0.5,100,IF(I62&lt;=1,90,IF(I62&lt;=1.5,75,IF(I62&lt;=2,60,IF(I62&lt;=2.5,45,IF(I62&lt;=3,30,15))))))),"")),"")</f>
        <v/>
      </c>
      <c r="K62" s="33" t="n">
        <v>9.857200000000001</v>
      </c>
      <c r="L62" s="33" t="n">
        <v>48.048</v>
      </c>
      <c r="M62" s="33" t="n">
        <v>0.5600000000000001</v>
      </c>
      <c r="N62" s="33" t="n">
        <v>-3.4</v>
      </c>
      <c r="O62" s="33">
        <f>IFERROR(AVERAGE(IFERROR(IF(K62="","",IF(K62&gt;=25,100,IF(K62&gt;=20,90,IF(K62&gt;=15,75,IF(K62&gt;=10,60,IF(K62&gt;=5,45,IF(K62&gt;=0,30,15))))))),""),IFERROR(IF(L62="","",IF(L62&gt;=60,100,IF(L62&gt;=50,90,IF(L62&gt;=40,75,IF(L62&gt;=30,60,IF(L62&gt;=20,45,IF(L62&gt;=10,30,15))))))),""),IFERROR(IF(M62="","",IF(M62&gt;=25,100,IF(M62&gt;=20,90,IF(M62&gt;=15,75,IF(M62&gt;=10,60,IF(M62&gt;=5,45,IF(M62&gt;=0,30,15))))))),""),IFERROR(IF(N62="","",IF(N62&lt;=0,100,IF(N62&lt;=1,90,IF(N62&lt;=2,75,IF(N62&lt;=3,60,IF(N62&lt;=4,45,IF(N62&lt;=5,30,15))))))),"")),"")</f>
        <v/>
      </c>
      <c r="P62" s="33" t="n">
        <v>-24.23</v>
      </c>
      <c r="Q62" s="33" t="n">
        <v>49.8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IFERROR(AVERAGE(T62,U62,V62,W62,X62)*20,"")</f>
        <v/>
      </c>
      <c r="Z62" s="33" t="n">
        <v>3</v>
      </c>
      <c r="AA62" s="33" t="n">
        <v>5</v>
      </c>
      <c r="AB62" s="33" t="n">
        <v>3</v>
      </c>
      <c r="AC62" s="71" t="n">
        <v>95.8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IFERROR(AVERAGE(AE62,AF62,AG62,AH62,AL62)*20,"")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2026-05-26</t>
        </is>
      </c>
      <c r="E63" s="33" t="n">
        <v>30.8002</v>
      </c>
      <c r="F63" s="33" t="n">
        <v>27.189</v>
      </c>
      <c r="G63" s="33" t="n">
        <v>2.2</v>
      </c>
      <c r="H63" s="33" t="n">
        <v>6.6902</v>
      </c>
      <c r="I63" s="33">
        <f>IF(OR(E64="",R64="",R64&lt;=0,E64&lt;0),"",E64/R64)</f>
        <v/>
      </c>
      <c r="J63" s="33">
        <f>IFERROR(AVERAGE(IFERROR(IF(E63="","",IF(E63&lt;0,5,IF(E63&lt;=15,90,IF(E63&lt;=20,75,IF(E63&lt;=25,60,IF(E63&lt;=30,45,IF(E63&lt;=40,30,IF(E63&lt;=60,15,5)))))))),""),IFERROR(IF(F63="","",IF(F63&lt;0,5,IF(F63&lt;=10,90,IF(F63&lt;=15,75,IF(F63&lt;=20,60,IF(F63&lt;=25,45,IF(F63&lt;=35,30,IF(F63&lt;=50,15,5)))))))),""),IFERROR(IF(G63="","",IF(G63&gt;=8,100,IF(G63&gt;=6,90,IF(G63&gt;=4,75,IF(G63&gt;=2,60,IF(G63&gt;=1,45,IF(G63&gt;=0,30,15))))))),""),IFERROR(IF(H63="","",IF(H63&lt;=2,90,IF(H63&lt;=4,75,IF(H63&lt;=7,60,IF(H63&lt;=10,45,IF(H63&lt;=15,30,IF(H63&lt;=25,15,5))))))),""),IFERROR(IF(I63="","",IF(I63&lt;=0.5,100,IF(I63&lt;=1,90,IF(I63&lt;=1.5,75,IF(I63&lt;=2,60,IF(I63&lt;=2.5,45,IF(I63&lt;=3,30,15))))))),"")),"")</f>
        <v/>
      </c>
      <c r="K63" s="33" t="n">
        <v>6.1865</v>
      </c>
      <c r="L63" s="33" t="n">
        <v>44.639</v>
      </c>
      <c r="M63" s="33" t="n">
        <v>15.62</v>
      </c>
      <c r="N63" s="33" t="n">
        <v>3.908</v>
      </c>
      <c r="O63" s="33">
        <f>IFERROR(AVERAGE(IFERROR(IF(K63="","",IF(K63&gt;=25,100,IF(K63&gt;=20,90,IF(K63&gt;=15,75,IF(K63&gt;=10,60,IF(K63&gt;=5,45,IF(K63&gt;=0,30,15))))))),""),IFERROR(IF(L63="","",IF(L63&gt;=60,100,IF(L63&gt;=50,90,IF(L63&gt;=40,75,IF(L63&gt;=30,60,IF(L63&gt;=20,45,IF(L63&gt;=10,30,15))))))),""),IFERROR(IF(M63="","",IF(M63&gt;=25,100,IF(M63&gt;=20,90,IF(M63&gt;=15,75,IF(M63&gt;=10,60,IF(M63&gt;=5,45,IF(M63&gt;=0,30,15))))))),""),IFERROR(IF(N63="","",IF(N63&lt;=0,100,IF(N63&lt;=1,90,IF(N63&lt;=2,75,IF(N63&lt;=3,60,IF(N63&lt;=4,45,IF(N63&lt;=5,30,15))))))),"")),"")</f>
        <v/>
      </c>
      <c r="P63" s="33" t="n">
        <v>-0.88</v>
      </c>
      <c r="Q63" s="33" t="n">
        <v>5</v>
      </c>
      <c r="R63" s="33" t="n">
        <v>46.3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IFERROR(AVERAGE(T63,U63,V63,W63,X63)*20,"")</f>
        <v/>
      </c>
      <c r="Z63" s="33" t="n">
        <v>4</v>
      </c>
      <c r="AA63" s="33" t="n">
        <v>3</v>
      </c>
      <c r="AB63" s="33" t="n">
        <v>3</v>
      </c>
      <c r="AC63" s="71" t="n">
        <v>74.2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IFERROR(AVERAGE(AE63,AF63,AG63,AH63,AL63)*20,"")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2026-05-26</t>
        </is>
      </c>
      <c r="E64" s="33" t="n">
        <v>22.6024</v>
      </c>
      <c r="F64" s="33" t="n">
        <v>26.97</v>
      </c>
      <c r="G64" s="33" t="n">
        <v>1.67</v>
      </c>
      <c r="H64" s="33" t="n">
        <v>5.542</v>
      </c>
      <c r="I64" s="33">
        <f>IF(OR(E65="",R65="",R65&lt;=0,E65&lt;0),"",E65/R65)</f>
        <v/>
      </c>
      <c r="J64" s="33">
        <f>IFERROR(AVERAGE(IFERROR(IF(E64="","",IF(E64&lt;0,5,IF(E64&lt;=15,90,IF(E64&lt;=20,75,IF(E64&lt;=25,60,IF(E64&lt;=30,45,IF(E64&lt;=40,30,IF(E64&lt;=60,15,5)))))))),""),IFERROR(IF(F64="","",IF(F64&lt;0,5,IF(F64&lt;=10,90,IF(F64&lt;=15,75,IF(F64&lt;=20,60,IF(F64&lt;=25,45,IF(F64&lt;=35,30,IF(F64&lt;=50,15,5)))))))),""),IFERROR(IF(G64="","",IF(G64&gt;=8,100,IF(G64&gt;=6,90,IF(G64&gt;=4,75,IF(G64&gt;=2,60,IF(G64&gt;=1,45,IF(G64&gt;=0,30,15))))))),""),IFERROR(IF(H64="","",IF(H64&lt;=2,90,IF(H64&lt;=4,75,IF(H64&lt;=7,60,IF(H64&lt;=10,45,IF(H64&lt;=15,30,IF(H64&lt;=25,15,5))))))),""),IFERROR(IF(I64="","",IF(I64&lt;=0.5,100,IF(I64&lt;=1,90,IF(I64&lt;=1.5,75,IF(I64&lt;=2,60,IF(I64&lt;=2.5,45,IF(I64&lt;=3,30,15))))))),"")),"")</f>
        <v/>
      </c>
      <c r="K64" s="33" t="n">
        <v>8.076599999999999</v>
      </c>
      <c r="L64" s="33" t="n">
        <v>46.66</v>
      </c>
      <c r="M64" s="33" t="n">
        <v>9.869999999999999</v>
      </c>
      <c r="N64" s="33" t="n">
        <v>4.118</v>
      </c>
      <c r="O64" s="33">
        <f>IFERROR(AVERAGE(IFERROR(IF(K64="","",IF(K64&gt;=25,100,IF(K64&gt;=20,90,IF(K64&gt;=15,75,IF(K64&gt;=10,60,IF(K64&gt;=5,45,IF(K64&gt;=0,30,15))))))),""),IFERROR(IF(L64="","",IF(L64&gt;=60,100,IF(L64&gt;=50,90,IF(L64&gt;=40,75,IF(L64&gt;=30,60,IF(L64&gt;=20,45,IF(L64&gt;=10,30,15))))))),""),IFERROR(IF(M64="","",IF(M64&gt;=25,100,IF(M64&gt;=20,90,IF(M64&gt;=15,75,IF(M64&gt;=10,60,IF(M64&gt;=5,45,IF(M64&gt;=0,30,15))))))),""),IFERROR(IF(N64="","",IF(N64&lt;=0,100,IF(N64&lt;=1,90,IF(N64&lt;=2,75,IF(N64&lt;=3,60,IF(N64&lt;=4,45,IF(N64&lt;=5,30,15))))))),"")),"")</f>
        <v/>
      </c>
      <c r="P64" s="33" t="n">
        <v>3.49</v>
      </c>
      <c r="Q64" s="33" t="n">
        <v>15.2</v>
      </c>
      <c r="R64" s="33" t="n">
        <v>53.2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IFERROR(AVERAGE(T64,U64,V64,W64,X64)*20,"")</f>
        <v/>
      </c>
      <c r="Z64" s="33" t="n">
        <v>5</v>
      </c>
      <c r="AA64" s="33" t="n">
        <v>5</v>
      </c>
      <c r="AB64" s="33" t="n">
        <v>3</v>
      </c>
      <c r="AC64" s="71" t="n">
        <v>90.8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IFERROR(AVERAGE(AE64,AF64,AG64,AH64,AL64)*20,"")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2026-05-26</t>
        </is>
      </c>
      <c r="E65" s="33" t="n">
        <v>23.0678</v>
      </c>
      <c r="F65" s="33" t="n">
        <v>9.866</v>
      </c>
      <c r="G65" s="33" t="n">
        <v>3.52</v>
      </c>
      <c r="H65" s="33" t="n">
        <v>3.7231</v>
      </c>
      <c r="I65" s="33">
        <f>IF(OR(E66="",R66="",R66&lt;=0,E66&lt;0),"",E66/R66)</f>
        <v/>
      </c>
      <c r="J65" s="33">
        <f>IFERROR(AVERAGE(IFERROR(IF(E65="","",IF(E65&lt;0,5,IF(E65&lt;=15,90,IF(E65&lt;=20,75,IF(E65&lt;=25,60,IF(E65&lt;=30,45,IF(E65&lt;=40,30,IF(E65&lt;=60,15,5)))))))),""),IFERROR(IF(F65="","",IF(F65&lt;0,5,IF(F65&lt;=10,90,IF(F65&lt;=15,75,IF(F65&lt;=20,60,IF(F65&lt;=25,45,IF(F65&lt;=35,30,IF(F65&lt;=50,15,5)))))))),""),IFERROR(IF(G65="","",IF(G65&gt;=8,100,IF(G65&gt;=6,90,IF(G65&gt;=4,75,IF(G65&gt;=2,60,IF(G65&gt;=1,45,IF(G65&gt;=0,30,15))))))),""),IFERROR(IF(H65="","",IF(H65&lt;=2,90,IF(H65&lt;=4,75,IF(H65&lt;=7,60,IF(H65&lt;=10,45,IF(H65&lt;=15,30,IF(H65&lt;=25,15,5))))))),""),IFERROR(IF(I65="","",IF(I65&lt;=0.5,100,IF(I65&lt;=1,90,IF(I65&lt;=1.5,75,IF(I65&lt;=2,60,IF(I65&lt;=2.5,45,IF(I65&lt;=3,30,15))))))),"")),"")</f>
        <v/>
      </c>
      <c r="K65" s="33" t="n">
        <v>17.3774</v>
      </c>
      <c r="L65" s="33" t="n">
        <v>35.141</v>
      </c>
      <c r="M65" s="33" t="n">
        <v>7.65</v>
      </c>
      <c r="N65" s="33" t="n">
        <v>-1.84</v>
      </c>
      <c r="O65" s="33">
        <f>IFERROR(AVERAGE(IFERROR(IF(K65="","",IF(K65&gt;=25,100,IF(K65&gt;=20,90,IF(K65&gt;=15,75,IF(K65&gt;=10,60,IF(K65&gt;=5,45,IF(K65&gt;=0,30,15))))))),""),IFERROR(IF(L65="","",IF(L65&gt;=60,100,IF(L65&gt;=50,90,IF(L65&gt;=40,75,IF(L65&gt;=30,60,IF(L65&gt;=20,45,IF(L65&gt;=10,30,15))))))),""),IFERROR(IF(M65="","",IF(M65&gt;=25,100,IF(M65&gt;=20,90,IF(M65&gt;=15,75,IF(M65&gt;=10,60,IF(M65&gt;=5,45,IF(M65&gt;=0,30,15))))))),""),IFERROR(IF(N65="","",IF(N65&lt;=0,100,IF(N65&lt;=1,90,IF(N65&lt;=2,75,IF(N65&lt;=3,60,IF(N65&lt;=4,45,IF(N65&lt;=5,30,15))))))),"")),"")</f>
        <v/>
      </c>
      <c r="P65" s="33" t="n">
        <v>0.99</v>
      </c>
      <c r="Q65" s="33" t="n">
        <v>6.1</v>
      </c>
      <c r="R65" s="33" t="n">
        <v>8.800000000000001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IFERROR(AVERAGE(T65,U65,V65,W65,X65)*20,"")</f>
        <v/>
      </c>
      <c r="Z65" s="33" t="n">
        <v>3</v>
      </c>
      <c r="AA65" s="33" t="n">
        <v>5</v>
      </c>
      <c r="AB65" s="33" t="n">
        <v>3</v>
      </c>
      <c r="AC65" s="71" t="n">
        <v>80.8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IFERROR(AVERAGE(AE65,AF65,AG65,AH65,AL65)*20,"")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2026-05-26</t>
        </is>
      </c>
      <c r="E66" s="33" t="n">
        <v>23.1836</v>
      </c>
      <c r="F66" s="33" t="n">
        <v>36.293</v>
      </c>
      <c r="G66" s="33" t="n">
        <v>-0.89</v>
      </c>
      <c r="H66" s="33" t="n">
        <v>1.8948</v>
      </c>
      <c r="I66" s="33">
        <f>IF(OR(E67="",R67="",R67&lt;=0,E67&lt;0),"",E67/R67)</f>
        <v/>
      </c>
      <c r="J66" s="33">
        <f>IFERROR(AVERAGE(IFERROR(IF(E66="","",IF(E66&lt;0,5,IF(E66&lt;=15,90,IF(E66&lt;=20,75,IF(E66&lt;=25,60,IF(E66&lt;=30,45,IF(E66&lt;=40,30,IF(E66&lt;=60,15,5)))))))),""),IFERROR(IF(F66="","",IF(F66&lt;0,5,IF(F66&lt;=10,90,IF(F66&lt;=15,75,IF(F66&lt;=20,60,IF(F66&lt;=25,45,IF(F66&lt;=35,30,IF(F66&lt;=50,15,5)))))))),""),IFERROR(IF(G66="","",IF(G66&gt;=8,100,IF(G66&gt;=6,90,IF(G66&gt;=4,75,IF(G66&gt;=2,60,IF(G66&gt;=1,45,IF(G66&gt;=0,30,15))))))),""),IFERROR(IF(H66="","",IF(H66&lt;=2,90,IF(H66&lt;=4,75,IF(H66&lt;=7,60,IF(H66&lt;=10,45,IF(H66&lt;=15,30,IF(H66&lt;=25,15,5))))))),""),IFERROR(IF(I66="","",IF(I66&lt;=0.5,100,IF(I66&lt;=1,90,IF(I66&lt;=1.5,75,IF(I66&lt;=2,60,IF(I66&lt;=2.5,45,IF(I66&lt;=3,30,15))))))),"")),"")</f>
        <v/>
      </c>
      <c r="K66" s="33" t="n">
        <v>-7.5524</v>
      </c>
      <c r="L66" s="33" t="n">
        <v>15.629</v>
      </c>
      <c r="M66" s="33" t="n">
        <v>-2.1</v>
      </c>
      <c r="N66" s="33" t="n">
        <v>-13.205</v>
      </c>
      <c r="O66" s="33">
        <f>IFERROR(AVERAGE(IFERROR(IF(K66="","",IF(K66&gt;=25,100,IF(K66&gt;=20,90,IF(K66&gt;=15,75,IF(K66&gt;=10,60,IF(K66&gt;=5,45,IF(K66&gt;=0,30,15))))))),""),IFERROR(IF(L66="","",IF(L66&gt;=60,100,IF(L66&gt;=50,90,IF(L66&gt;=40,75,IF(L66&gt;=30,60,IF(L66&gt;=20,45,IF(L66&gt;=10,30,15))))))),""),IFERROR(IF(M66="","",IF(M66&gt;=25,100,IF(M66&gt;=20,90,IF(M66&gt;=15,75,IF(M66&gt;=10,60,IF(M66&gt;=5,45,IF(M66&gt;=0,30,15))))))),""),IFERROR(IF(N66="","",IF(N66&lt;=0,100,IF(N66&lt;=1,90,IF(N66&lt;=2,75,IF(N66&lt;=3,60,IF(N66&lt;=4,45,IF(N66&lt;=5,30,15))))))),"")),"")</f>
        <v/>
      </c>
      <c r="P66" s="33" t="n">
        <v>-4.72</v>
      </c>
      <c r="Q66" s="33" t="n">
        <v>2.9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IFERROR(AVERAGE(T66,U66,V66,W66,X66)*20,"")</f>
        <v/>
      </c>
      <c r="Z66" s="33" t="n">
        <v>4</v>
      </c>
      <c r="AA66" s="33" t="n">
        <v>5</v>
      </c>
      <c r="AB66" s="33" t="n">
        <v>3</v>
      </c>
      <c r="AC66" s="71" t="n">
        <v>93.3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IFERROR(AVERAGE(AE66,AF66,AG66,AH66,AL66)*20,"")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2026-05-26</t>
        </is>
      </c>
      <c r="E67" s="33" t="n">
        <v>40.6953</v>
      </c>
      <c r="F67" s="33" t="n">
        <v>51.92</v>
      </c>
      <c r="G67" s="33" t="n">
        <v>1.35</v>
      </c>
      <c r="H67" s="33" t="n">
        <v>19.0451</v>
      </c>
      <c r="I67" s="33">
        <f>IF(OR(E68="",R68="",R68&lt;=0,E68&lt;0),"",E68/R68)</f>
        <v/>
      </c>
      <c r="J67" s="33">
        <f>IFERROR(AVERAGE(IFERROR(IF(E67="","",IF(E67&lt;0,5,IF(E67&lt;=15,90,IF(E67&lt;=20,75,IF(E67&lt;=25,60,IF(E67&lt;=30,45,IF(E67&lt;=40,30,IF(E67&lt;=60,15,5)))))))),""),IFERROR(IF(F67="","",IF(F67&lt;0,5,IF(F67&lt;=10,90,IF(F67&lt;=15,75,IF(F67&lt;=20,60,IF(F67&lt;=25,45,IF(F67&lt;=35,30,IF(F67&lt;=50,15,5)))))))),""),IFERROR(IF(G67="","",IF(G67&gt;=8,100,IF(G67&gt;=6,90,IF(G67&gt;=4,75,IF(G67&gt;=2,60,IF(G67&gt;=1,45,IF(G67&gt;=0,30,15))))))),""),IFERROR(IF(H67="","",IF(H67&lt;=2,90,IF(H67&lt;=4,75,IF(H67&lt;=7,60,IF(H67&lt;=10,45,IF(H67&lt;=15,30,IF(H67&lt;=25,15,5))))))),""),IFERROR(IF(I67="","",IF(I67&lt;=0.5,100,IF(I67&lt;=1,90,IF(I67&lt;=1.5,75,IF(I67&lt;=2,60,IF(I67&lt;=2.5,45,IF(I67&lt;=3,30,15))))))),"")),"")</f>
        <v/>
      </c>
      <c r="K67" s="33" t="n">
        <v>15.2751</v>
      </c>
      <c r="L67" s="33" t="n">
        <v>86.07899999999999</v>
      </c>
      <c r="M67" s="33" t="n">
        <v>25.86</v>
      </c>
      <c r="N67" s="33" t="n">
        <v>0.847</v>
      </c>
      <c r="O67" s="33">
        <f>IFERROR(AVERAGE(IFERROR(IF(K67="","",IF(K67&gt;=25,100,IF(K67&gt;=20,90,IF(K67&gt;=15,75,IF(K67&gt;=10,60,IF(K67&gt;=5,45,IF(K67&gt;=0,30,15))))))),""),IFERROR(IF(L67="","",IF(L67&gt;=60,100,IF(L67&gt;=50,90,IF(L67&gt;=40,75,IF(L67&gt;=30,60,IF(L67&gt;=20,45,IF(L67&gt;=10,30,15))))))),""),IFERROR(IF(M67="","",IF(M67&gt;=25,100,IF(M67&gt;=20,90,IF(M67&gt;=15,75,IF(M67&gt;=10,60,IF(M67&gt;=5,45,IF(M67&gt;=0,30,15))))))),""),IFERROR(IF(N67="","",IF(N67&lt;=0,100,IF(N67&lt;=1,90,IF(N67&lt;=2,75,IF(N67&lt;=3,60,IF(N67&lt;=4,45,IF(N67&lt;=5,30,15))))))),"")),"")</f>
        <v/>
      </c>
      <c r="P67" s="33" t="n">
        <v>14.14</v>
      </c>
      <c r="Q67" s="33" t="n">
        <v>18.7</v>
      </c>
      <c r="R67" s="33" t="n">
        <v>23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IFERROR(AVERAGE(T67,U67,V67,W67,X67)*20,"")</f>
        <v/>
      </c>
      <c r="Z67" s="33" t="n">
        <v>3</v>
      </c>
      <c r="AA67" s="33" t="n">
        <v>1</v>
      </c>
      <c r="AB67" s="33" t="n">
        <v>3</v>
      </c>
      <c r="AC67" s="71" t="n">
        <v>43.3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IFERROR(AVERAGE(AE67,AF67,AG67,AH67,AL67)*20,"")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2026-05-26</t>
        </is>
      </c>
      <c r="E68" s="33" t="n">
        <v>31.3431</v>
      </c>
      <c r="F68" s="33" t="n">
        <v>67.604</v>
      </c>
      <c r="G68" s="33" t="n">
        <v>3.03</v>
      </c>
      <c r="H68" s="33" t="n">
        <v>12.7879</v>
      </c>
      <c r="I68" s="33">
        <f>IF(OR(E69="",R69="",R69&lt;=0,E69&lt;0),"",E69/R69)</f>
        <v/>
      </c>
      <c r="J68" s="33">
        <f>IFERROR(AVERAGE(IFERROR(IF(E68="","",IF(E68&lt;0,5,IF(E68&lt;=15,90,IF(E68&lt;=20,75,IF(E68&lt;=25,60,IF(E68&lt;=30,45,IF(E68&lt;=40,30,IF(E68&lt;=60,15,5)))))))),""),IFERROR(IF(F68="","",IF(F68&lt;0,5,IF(F68&lt;=10,90,IF(F68&lt;=15,75,IF(F68&lt;=20,60,IF(F68&lt;=25,45,IF(F68&lt;=35,30,IF(F68&lt;=50,15,5)))))))),""),IFERROR(IF(G68="","",IF(G68&gt;=8,100,IF(G68&gt;=6,90,IF(G68&gt;=4,75,IF(G68&gt;=2,60,IF(G68&gt;=1,45,IF(G68&gt;=0,30,15))))))),""),IFERROR(IF(H68="","",IF(H68&lt;=2,90,IF(H68&lt;=4,75,IF(H68&lt;=7,60,IF(H68&lt;=10,45,IF(H68&lt;=15,30,IF(H68&lt;=25,15,5))))))),""),IFERROR(IF(I68="","",IF(I68&lt;=0.5,100,IF(I68&lt;=1,90,IF(I68&lt;=1.5,75,IF(I68&lt;=2,60,IF(I68&lt;=2.5,45,IF(I68&lt;=3,30,15))))))),"")),"")</f>
        <v/>
      </c>
      <c r="K68" s="33" t="n">
        <v>4.2354</v>
      </c>
      <c r="L68" s="33" t="n">
        <v>75.137</v>
      </c>
      <c r="M68" s="33" t="n">
        <v>30.35</v>
      </c>
      <c r="N68" s="33" t="n">
        <v>3.074</v>
      </c>
      <c r="O68" s="33">
        <f>IFERROR(AVERAGE(IFERROR(IF(K68="","",IF(K68&gt;=25,100,IF(K68&gt;=20,90,IF(K68&gt;=15,75,IF(K68&gt;=10,60,IF(K68&gt;=5,45,IF(K68&gt;=0,30,15))))))),""),IFERROR(IF(L68="","",IF(L68&gt;=60,100,IF(L68&gt;=50,90,IF(L68&gt;=40,75,IF(L68&gt;=30,60,IF(L68&gt;=20,45,IF(L68&gt;=10,30,15))))))),""),IFERROR(IF(M68="","",IF(M68&gt;=25,100,IF(M68&gt;=20,90,IF(M68&gt;=15,75,IF(M68&gt;=10,60,IF(M68&gt;=5,45,IF(M68&gt;=0,30,15))))))),""),IFERROR(IF(N68="","",IF(N68&lt;=0,100,IF(N68&lt;=1,90,IF(N68&lt;=2,75,IF(N68&lt;=3,60,IF(N68&lt;=4,45,IF(N68&lt;=5,30,15))))))),"")),"")</f>
        <v/>
      </c>
      <c r="P68" s="33" t="n">
        <v>15.19</v>
      </c>
      <c r="Q68" s="33" t="n">
        <v>65.5</v>
      </c>
      <c r="R68" s="33" t="n">
        <v>-82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IFERROR(AVERAGE(T68,U68,V68,W68,X68)*20,"")</f>
        <v/>
      </c>
      <c r="Z68" s="33" t="n">
        <v>4</v>
      </c>
      <c r="AA68" s="33" t="n">
        <v>2</v>
      </c>
      <c r="AB68" s="33" t="n">
        <v>3</v>
      </c>
      <c r="AC68" s="71" t="n">
        <v>53.3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IFERROR(AVERAGE(AE68,AF68,AG68,AH68,AL68)*20,"")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2026-06-10</t>
        </is>
      </c>
      <c r="E69" s="33" t="n">
        <v>105.14</v>
      </c>
      <c r="F69" s="33" t="n">
        <v>280.345</v>
      </c>
      <c r="G69" s="33" t="n">
        <v>0.23</v>
      </c>
      <c r="H69" s="33" t="n">
        <v>73.17010000000001</v>
      </c>
      <c r="I69" s="33">
        <f>IF(OR(E70="",R70="",R70&lt;=0,E70&lt;0),"",E70/R70)</f>
        <v/>
      </c>
      <c r="J69" s="33">
        <f>IFERROR(AVERAGE(IFERROR(IF(E69="","",IF(E69&lt;0,5,IF(E69&lt;=15,90,IF(E69&lt;=20,75,IF(E69&lt;=25,60,IF(E69&lt;=30,45,IF(E69&lt;=40,30,IF(E69&lt;=60,15,5)))))))),""),IFERROR(IF(F69="","",IF(F69&lt;0,5,IF(F69&lt;=10,90,IF(F69&lt;=15,75,IF(F69&lt;=20,60,IF(F69&lt;=25,45,IF(F69&lt;=35,30,IF(F69&lt;=50,15,5)))))))),""),IFERROR(IF(G69="","",IF(G69&gt;=8,100,IF(G69&gt;=6,90,IF(G69&gt;=4,75,IF(G69&gt;=2,60,IF(G69&gt;=1,45,IF(G69&gt;=0,30,15))))))),""),IFERROR(IF(H69="","",IF(H69&lt;=2,90,IF(H69&lt;=4,75,IF(H69&lt;=7,60,IF(H69&lt;=10,45,IF(H69&lt;=15,30,IF(H69&lt;=25,15,5))))))),""),IFERROR(IF(I69="","",IF(I69&lt;=0.5,100,IF(I69&lt;=1,90,IF(I69&lt;=1.5,75,IF(I69&lt;=2,60,IF(I69&lt;=2.5,45,IF(I69&lt;=3,30,15))))))),"")),"")</f>
        <v/>
      </c>
      <c r="K69" s="33" t="n">
        <v>15.7</v>
      </c>
      <c r="L69" s="33" t="n">
        <v>97.5</v>
      </c>
      <c r="M69" s="33" t="n">
        <v>19.29</v>
      </c>
      <c r="N69" s="33" t="n">
        <v>-2.87</v>
      </c>
      <c r="O69" s="33">
        <f>IFERROR(AVERAGE(IFERROR(IF(K69="","",IF(K69&gt;=25,100,IF(K69&gt;=20,90,IF(K69&gt;=15,75,IF(K69&gt;=10,60,IF(K69&gt;=5,45,IF(K69&gt;=0,30,15))))))),""),IFERROR(IF(L69="","",IF(L69&gt;=60,100,IF(L69&gt;=50,90,IF(L69&gt;=40,75,IF(L69&gt;=30,60,IF(L69&gt;=20,45,IF(L69&gt;=10,30,15))))))),""),IFERROR(IF(M69="","",IF(M69&gt;=25,100,IF(M69&gt;=20,90,IF(M69&gt;=15,75,IF(M69&gt;=10,60,IF(M69&gt;=5,45,IF(M69&gt;=0,30,15))))))),""),IFERROR(IF(N69="","",IF(N69&lt;=0,100,IF(N69&lt;=1,90,IF(N69&lt;=2,75,IF(N69&lt;=3,60,IF(N69&lt;=4,45,IF(N69&lt;=5,30,15))))))),"")),"")</f>
        <v/>
      </c>
      <c r="P69" s="33" t="n">
        <v>14.02</v>
      </c>
      <c r="Q69" s="33" t="n">
        <v>20.1</v>
      </c>
      <c r="R69" s="33" t="n">
        <v>45.7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IFERROR(AVERAGE(T69,U69,V69,W69,X69)*20,"")</f>
        <v/>
      </c>
      <c r="Z69" s="33" t="n">
        <v>4</v>
      </c>
      <c r="AA69" s="33" t="n">
        <v>2</v>
      </c>
      <c r="AB69" s="33" t="n">
        <v>3</v>
      </c>
      <c r="AC69" s="71" t="n">
        <v>70.8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IFERROR(AVERAGE(AE69,AF69,AG69,AH69,AL69)*20,"")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2026-06-10</t>
        </is>
      </c>
      <c r="E70" s="33" t="n">
        <v>21.13</v>
      </c>
      <c r="F70" s="33" t="n">
        <v>21.84</v>
      </c>
      <c r="G70" s="33" t="n">
        <v>47.62</v>
      </c>
      <c r="H70" s="33" t="n">
        <v>16.38</v>
      </c>
      <c r="I70" s="33">
        <f>IF(OR(E71="",R71="",R71&lt;=0,E71&lt;0),"",E71/R71)</f>
        <v/>
      </c>
      <c r="J70" s="33">
        <f>IFERROR(AVERAGE(IFERROR(IF(E70="","",IF(E70&lt;0,5,IF(E70&lt;=15,90,IF(E70&lt;=20,75,IF(E70&lt;=25,60,IF(E70&lt;=30,45,IF(E70&lt;=40,30,IF(E70&lt;=60,15,5)))))))),""),IFERROR(IF(F70="","",IF(F70&lt;0,5,IF(F70&lt;=10,90,IF(F70&lt;=15,75,IF(F70&lt;=20,60,IF(F70&lt;=25,45,IF(F70&lt;=35,30,IF(F70&lt;=50,15,5)))))))),""),IFERROR(IF(G70="","",IF(G70&gt;=8,100,IF(G70&gt;=6,90,IF(G70&gt;=4,75,IF(G70&gt;=2,60,IF(G70&gt;=1,45,IF(G70&gt;=0,30,15))))))),""),IFERROR(IF(H70="","",IF(H70&lt;=2,90,IF(H70&lt;=4,75,IF(H70&lt;=7,60,IF(H70&lt;=10,45,IF(H70&lt;=15,30,IF(H70&lt;=25,15,5))))))),""),IFERROR(IF(I70="","",IF(I70&lt;=0.5,100,IF(I70&lt;=1,90,IF(I70&lt;=1.5,75,IF(I70&lt;=2,60,IF(I70&lt;=2.5,45,IF(I70&lt;=3,30,15))))))),"")),"")</f>
        <v/>
      </c>
      <c r="K70" s="33" t="n">
        <v>48.6</v>
      </c>
      <c r="L70" s="33" t="n">
        <v>61.9</v>
      </c>
      <c r="M70" s="33" t="n">
        <v>25.52</v>
      </c>
      <c r="N70" s="33" t="n">
        <v>-0.65</v>
      </c>
      <c r="O70" s="33">
        <f>IFERROR(AVERAGE(IFERROR(IF(K70="","",IF(K70&gt;=25,100,IF(K70&gt;=20,90,IF(K70&gt;=15,75,IF(K70&gt;=10,60,IF(K70&gt;=5,45,IF(K70&gt;=0,30,15))))))),""),IFERROR(IF(L70="","",IF(L70&gt;=60,100,IF(L70&gt;=50,90,IF(L70&gt;=40,75,IF(L70&gt;=30,60,IF(L70&gt;=20,45,IF(L70&gt;=10,30,15))))))),""),IFERROR(IF(M70="","",IF(M70&gt;=25,100,IF(M70&gt;=20,90,IF(M70&gt;=15,75,IF(M70&gt;=10,60,IF(M70&gt;=5,45,IF(M70&gt;=0,30,15))))))),""),IFERROR(IF(N70="","",IF(N70&lt;=0,100,IF(N70&lt;=1,90,IF(N70&lt;=2,75,IF(N70&lt;=3,60,IF(N70&lt;=4,45,IF(N70&lt;=5,30,15))))))),"")),"")</f>
        <v/>
      </c>
      <c r="P70" s="33" t="n">
        <v>18.9</v>
      </c>
      <c r="Q70" s="33" t="n">
        <v>35.1</v>
      </c>
      <c r="R70" s="33" t="n">
        <v>58.4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IFERROR(AVERAGE(T70,U70,V70,W70,X70)*20,"")</f>
        <v/>
      </c>
      <c r="Z70" s="33" t="n">
        <v>5</v>
      </c>
      <c r="AA70" s="33" t="n">
        <v>1</v>
      </c>
      <c r="AB70" s="33" t="n">
        <v>5</v>
      </c>
      <c r="AC70" s="71" t="n">
        <v>85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IFERROR(AVERAGE(AE70,AF70,AG70,AH70,AL70)*20,"")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2026-05-26</t>
        </is>
      </c>
      <c r="E71" s="33" t="n">
        <v>80.22239999999999</v>
      </c>
      <c r="F71" s="33" t="n">
        <v>44.317</v>
      </c>
      <c r="G71" s="33" t="n">
        <v>-0.49</v>
      </c>
      <c r="H71" s="33" t="n">
        <v>11.5472</v>
      </c>
      <c r="I71" s="33">
        <f>IF(OR(E72="",R72="",R72&lt;=0,E72&lt;0),"",E72/R72)</f>
        <v/>
      </c>
      <c r="J71" s="33">
        <f>IFERROR(AVERAGE(IFERROR(IF(E71="","",IF(E71&lt;0,5,IF(E71&lt;=15,90,IF(E71&lt;=20,75,IF(E71&lt;=25,60,IF(E71&lt;=30,45,IF(E71&lt;=40,30,IF(E71&lt;=60,15,5)))))))),""),IFERROR(IF(F71="","",IF(F71&lt;0,5,IF(F71&lt;=10,90,IF(F71&lt;=15,75,IF(F71&lt;=20,60,IF(F71&lt;=25,45,IF(F71&lt;=35,30,IF(F71&lt;=50,15,5)))))))),""),IFERROR(IF(G71="","",IF(G71&gt;=8,100,IF(G71&gt;=6,90,IF(G71&gt;=4,75,IF(G71&gt;=2,60,IF(G71&gt;=1,45,IF(G71&gt;=0,30,15))))))),""),IFERROR(IF(H71="","",IF(H71&lt;=2,90,IF(H71&lt;=4,75,IF(H71&lt;=7,60,IF(H71&lt;=10,45,IF(H71&lt;=15,30,IF(H71&lt;=25,15,5))))))),""),IFERROR(IF(I71="","",IF(I71&lt;=0.5,100,IF(I71&lt;=1,90,IF(I71&lt;=1.5,75,IF(I71&lt;=2,60,IF(I71&lt;=2.5,45,IF(I71&lt;=3,30,15))))))),"")),"")</f>
        <v/>
      </c>
      <c r="K71" s="33" t="n">
        <v>-0.3863</v>
      </c>
      <c r="L71" s="33" t="n">
        <v>35.433</v>
      </c>
      <c r="M71" s="33" t="n">
        <v>-5.8</v>
      </c>
      <c r="N71" s="33" t="n">
        <v>2.433</v>
      </c>
      <c r="O71" s="33">
        <f>IFERROR(AVERAGE(IFERROR(IF(K71="","",IF(K71&gt;=25,100,IF(K71&gt;=20,90,IF(K71&gt;=15,75,IF(K71&gt;=10,60,IF(K71&gt;=5,45,IF(K71&gt;=0,30,15))))))),""),IFERROR(IF(L71="","",IF(L71&gt;=60,100,IF(L71&gt;=50,90,IF(L71&gt;=40,75,IF(L71&gt;=30,60,IF(L71&gt;=20,45,IF(L71&gt;=10,30,15))))))),""),IFERROR(IF(M71="","",IF(M71&gt;=25,100,IF(M71&gt;=20,90,IF(M71&gt;=15,75,IF(M71&gt;=10,60,IF(M71&gt;=5,45,IF(M71&gt;=0,30,15))))))),""),IFERROR(IF(N71="","",IF(N71&lt;=0,100,IF(N71&lt;=1,90,IF(N71&lt;=2,75,IF(N71&lt;=3,60,IF(N71&lt;=4,45,IF(N71&lt;=5,30,15))))))),"")),"")</f>
        <v/>
      </c>
      <c r="P71" s="33" t="n">
        <v>-5.71</v>
      </c>
      <c r="Q71" s="33" t="n">
        <v>7.2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IFERROR(AVERAGE(T71,U71,V71,W71,X71)*20,"")</f>
        <v/>
      </c>
      <c r="Z71" s="33" t="n">
        <v>5</v>
      </c>
      <c r="AA71" s="33" t="n">
        <v>5</v>
      </c>
      <c r="AB71" s="33" t="n">
        <v>3</v>
      </c>
      <c r="AC71" s="71" t="n">
        <v>80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IFERROR(AVERAGE(AE71,AF71,AG71,AH71,AL71)*20,"")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2026-05-26</t>
        </is>
      </c>
      <c r="E72" s="33" t="n">
        <v>35.8074</v>
      </c>
      <c r="F72" s="33" t="n">
        <v>23.665</v>
      </c>
      <c r="G72" s="33" t="n">
        <v>2.39</v>
      </c>
      <c r="H72" s="33" t="n">
        <v>7.2128</v>
      </c>
      <c r="I72" s="33">
        <f>IF(OR(E73="",R73="",R73&lt;=0,E73&lt;0),"",E73/R73)</f>
        <v/>
      </c>
      <c r="J72" s="33">
        <f>IFERROR(AVERAGE(IFERROR(IF(E72="","",IF(E72&lt;0,5,IF(E72&lt;=15,90,IF(E72&lt;=20,75,IF(E72&lt;=25,60,IF(E72&lt;=30,45,IF(E72&lt;=40,30,IF(E72&lt;=60,15,5)))))))),""),IFERROR(IF(F72="","",IF(F72&lt;0,5,IF(F72&lt;=10,90,IF(F72&lt;=15,75,IF(F72&lt;=20,60,IF(F72&lt;=25,45,IF(F72&lt;=35,30,IF(F72&lt;=50,15,5)))))))),""),IFERROR(IF(G72="","",IF(G72&gt;=8,100,IF(G72&gt;=6,90,IF(G72&gt;=4,75,IF(G72&gt;=2,60,IF(G72&gt;=1,45,IF(G72&gt;=0,30,15))))))),""),IFERROR(IF(H72="","",IF(H72&lt;=2,90,IF(H72&lt;=4,75,IF(H72&lt;=7,60,IF(H72&lt;=10,45,IF(H72&lt;=15,30,IF(H72&lt;=25,15,5))))))),""),IFERROR(IF(I72="","",IF(I72&lt;=0.5,100,IF(I72&lt;=1,90,IF(I72&lt;=1.5,75,IF(I72&lt;=2,60,IF(I72&lt;=2.5,45,IF(I72&lt;=3,30,15))))))),"")),"")</f>
        <v/>
      </c>
      <c r="K72" s="33" t="n">
        <v>7.3832</v>
      </c>
      <c r="L72" s="33" t="n">
        <v>26.111</v>
      </c>
      <c r="M72" s="33" t="n">
        <v>15.7</v>
      </c>
      <c r="N72" s="33" t="n">
        <v>-0.055</v>
      </c>
      <c r="O72" s="33">
        <f>IFERROR(AVERAGE(IFERROR(IF(K72="","",IF(K72&gt;=25,100,IF(K72&gt;=20,90,IF(K72&gt;=15,75,IF(K72&gt;=10,60,IF(K72&gt;=5,45,IF(K72&gt;=0,30,15))))))),""),IFERROR(IF(L72="","",IF(L72&gt;=60,100,IF(L72&gt;=50,90,IF(L72&gt;=40,75,IF(L72&gt;=30,60,IF(L72&gt;=20,45,IF(L72&gt;=10,30,15))))))),""),IFERROR(IF(M72="","",IF(M72&gt;=25,100,IF(M72&gt;=20,90,IF(M72&gt;=15,75,IF(M72&gt;=10,60,IF(M72&gt;=5,45,IF(M72&gt;=0,30,15))))))),""),IFERROR(IF(N72="","",IF(N72&lt;=0,100,IF(N72&lt;=1,90,IF(N72&lt;=2,75,IF(N72&lt;=3,60,IF(N72&lt;=4,45,IF(N72&lt;=5,30,15))))))),"")),"")</f>
        <v/>
      </c>
      <c r="P72" s="33" t="n">
        <v>-5.74</v>
      </c>
      <c r="Q72" s="33" t="n">
        <v>3.1</v>
      </c>
      <c r="R72" s="33" t="n">
        <v>-52.5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IFERROR(AVERAGE(T72,U72,V72,W72,X72)*20,"")</f>
        <v/>
      </c>
      <c r="Z72" s="33" t="n">
        <v>4</v>
      </c>
      <c r="AA72" s="33" t="n">
        <v>5</v>
      </c>
      <c r="AB72" s="33" t="n">
        <v>3</v>
      </c>
      <c r="AC72" s="71" t="n">
        <v>85.8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IFERROR(AVERAGE(AE72,AF72,AG72,AH72,AL72)*20,"")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2026-05-26</t>
        </is>
      </c>
      <c r="E73" s="33" t="n">
        <v>50.2841</v>
      </c>
      <c r="F73" s="33" t="n">
        <v>57.91</v>
      </c>
      <c r="G73" s="33" t="n">
        <v>1.03</v>
      </c>
      <c r="H73" s="33" t="n">
        <v>21.1721</v>
      </c>
      <c r="I73" s="33">
        <f>IF(OR(E74="",R74="",R74&lt;=0,E74&lt;0),"",E74/R74)</f>
        <v/>
      </c>
      <c r="J73" s="33">
        <f>IFERROR(AVERAGE(IFERROR(IF(E73="","",IF(E73&lt;0,5,IF(E73&lt;=15,90,IF(E73&lt;=20,75,IF(E73&lt;=25,60,IF(E73&lt;=30,45,IF(E73&lt;=40,30,IF(E73&lt;=60,15,5)))))))),""),IFERROR(IF(F73="","",IF(F73&lt;0,5,IF(F73&lt;=10,90,IF(F73&lt;=15,75,IF(F73&lt;=20,60,IF(F73&lt;=25,45,IF(F73&lt;=35,30,IF(F73&lt;=50,15,5)))))))),""),IFERROR(IF(G73="","",IF(G73&gt;=8,100,IF(G73&gt;=6,90,IF(G73&gt;=4,75,IF(G73&gt;=2,60,IF(G73&gt;=1,45,IF(G73&gt;=0,30,15))))))),""),IFERROR(IF(H73="","",IF(H73&lt;=2,90,IF(H73&lt;=4,75,IF(H73&lt;=7,60,IF(H73&lt;=10,45,IF(H73&lt;=15,30,IF(H73&lt;=25,15,5))))))),""),IFERROR(IF(I73="","",IF(I73&lt;=0.5,100,IF(I73&lt;=1,90,IF(I73&lt;=1.5,75,IF(I73&lt;=2,60,IF(I73&lt;=2.5,45,IF(I73&lt;=3,30,15))))))),"")),"")</f>
        <v/>
      </c>
      <c r="K73" s="33" t="n">
        <v>8.6943</v>
      </c>
      <c r="L73" s="33" t="n">
        <v>24.768</v>
      </c>
      <c r="M73" s="33" t="n">
        <v>19.87</v>
      </c>
      <c r="N73" s="33" t="n">
        <v>-0.149</v>
      </c>
      <c r="O73" s="33">
        <f>IFERROR(AVERAGE(IFERROR(IF(K73="","",IF(K73&gt;=25,100,IF(K73&gt;=20,90,IF(K73&gt;=15,75,IF(K73&gt;=10,60,IF(K73&gt;=5,45,IF(K73&gt;=0,30,15))))))),""),IFERROR(IF(L73="","",IF(L73&gt;=60,100,IF(L73&gt;=50,90,IF(L73&gt;=40,75,IF(L73&gt;=30,60,IF(L73&gt;=20,45,IF(L73&gt;=10,30,15))))))),""),IFERROR(IF(M73="","",IF(M73&gt;=25,100,IF(M73&gt;=20,90,IF(M73&gt;=15,75,IF(M73&gt;=10,60,IF(M73&gt;=5,45,IF(M73&gt;=0,30,15))))))),""),IFERROR(IF(N73="","",IF(N73&lt;=0,100,IF(N73&lt;=1,90,IF(N73&lt;=2,75,IF(N73&lt;=3,60,IF(N73&lt;=4,45,IF(N73&lt;=5,30,15))))))),"")),"")</f>
        <v/>
      </c>
      <c r="P73" s="33" t="n">
        <v>-2.27</v>
      </c>
      <c r="Q73" s="33" t="n">
        <v>15.5</v>
      </c>
      <c r="R73" s="33" t="n">
        <v>62.9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IFERROR(AVERAGE(T73,U73,V73,W73,X73)*20,"")</f>
        <v/>
      </c>
      <c r="Z73" s="33" t="n">
        <v>4</v>
      </c>
      <c r="AA73" s="33" t="n">
        <v>5</v>
      </c>
      <c r="AB73" s="33" t="n">
        <v>3</v>
      </c>
      <c r="AC73" s="71" t="n">
        <v>87.5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IFERROR(AVERAGE(AE73,AF73,AG73,AH73,AL73)*20,"")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2026-05-18</t>
        </is>
      </c>
      <c r="E74" s="33" t="n">
        <v>21.43329</v>
      </c>
      <c r="F74" s="33" t="n">
        <v>1.521</v>
      </c>
      <c r="G74" s="33" t="n">
        <v>89.2</v>
      </c>
      <c r="H74" s="33" t="n">
        <v>0.1794825</v>
      </c>
      <c r="I74" s="33">
        <f>IF(OR(E75="",R75="",R75&lt;=0,E75&lt;0),"",E75/R75)</f>
        <v/>
      </c>
      <c r="J74" s="33">
        <f>IFERROR(AVERAGE(IFERROR(IF(E74="","",IF(E74&lt;0,5,IF(E74&lt;=15,90,IF(E74&lt;=20,75,IF(E74&lt;=25,60,IF(E74&lt;=30,45,IF(E74&lt;=40,30,IF(E74&lt;=60,15,5)))))))),""),IFERROR(IF(F74="","",IF(F74&lt;0,5,IF(F74&lt;=10,90,IF(F74&lt;=15,75,IF(F74&lt;=20,60,IF(F74&lt;=25,45,IF(F74&lt;=35,30,IF(F74&lt;=50,15,5)))))))),""),IFERROR(IF(G74="","",IF(G74&gt;=8,100,IF(G74&gt;=6,90,IF(G74&gt;=4,75,IF(G74&gt;=2,60,IF(G74&gt;=1,45,IF(G74&gt;=0,30,15))))))),""),IFERROR(IF(H74="","",IF(H74&lt;=2,90,IF(H74&lt;=4,75,IF(H74&lt;=7,60,IF(H74&lt;=10,45,IF(H74&lt;=15,30,IF(H74&lt;=25,15,5))))))),""),IFERROR(IF(I74="","",IF(I74&lt;=0.5,100,IF(I74&lt;=1,90,IF(I74&lt;=1.5,75,IF(I74&lt;=2,60,IF(I74&lt;=2.5,45,IF(I74&lt;=3,30,15))))))),"")),"")</f>
        <v/>
      </c>
      <c r="K74" s="33" t="n">
        <v>9.699999999999999</v>
      </c>
      <c r="L74" s="33" t="n">
        <v>29.61</v>
      </c>
      <c r="M74" s="33" t="n">
        <v>20.17</v>
      </c>
      <c r="N74" s="33" t="n">
        <v>-0.5600000000000001</v>
      </c>
      <c r="O74" s="33">
        <f>IFERROR(AVERAGE(IFERROR(IF(K74="","",IF(K74&gt;=25,100,IF(K74&gt;=20,90,IF(K74&gt;=15,75,IF(K74&gt;=10,60,IF(K74&gt;=5,45,IF(K74&gt;=0,30,15))))))),""),IFERROR(IF(L74="","",IF(L74&gt;=60,100,IF(L74&gt;=50,90,IF(L74&gt;=40,75,IF(L74&gt;=30,60,IF(L74&gt;=20,45,IF(L74&gt;=10,30,15))))))),""),IFERROR(IF(M74="","",IF(M74&gt;=25,100,IF(M74&gt;=20,90,IF(M74&gt;=15,75,IF(M74&gt;=10,60,IF(M74&gt;=5,45,IF(M74&gt;=0,30,15))))))),""),IFERROR(IF(N74="","",IF(N74&lt;=0,100,IF(N74&lt;=1,90,IF(N74&lt;=2,75,IF(N74&lt;=3,60,IF(N74&lt;=4,45,IF(N74&lt;=5,30,15))))))),"")),"")</f>
        <v/>
      </c>
      <c r="P74" s="33" t="n">
        <v>-5.19</v>
      </c>
      <c r="Q74" s="33" t="n">
        <v>5.5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IFERROR(AVERAGE(T74,U74,V74,W74,X74)*20,"")</f>
        <v/>
      </c>
      <c r="Z74" s="33" t="n">
        <v>3</v>
      </c>
      <c r="AA74" s="33" t="n">
        <v>5</v>
      </c>
      <c r="AB74" s="33" t="n">
        <v>3</v>
      </c>
      <c r="AC74" s="71" t="n">
        <v>78.3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IFERROR(AVERAGE(AE74,AF74,AG74,AH74,AL74)*20,"")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2026-06-12</t>
        </is>
      </c>
      <c r="E75" s="33" t="n">
        <v>19.810123</v>
      </c>
      <c r="F75" s="33" t="n">
        <v>44.664</v>
      </c>
      <c r="G75" s="33" t="n">
        <v>1.81</v>
      </c>
      <c r="H75" s="33" t="n">
        <v>24.167109</v>
      </c>
      <c r="I75" s="33">
        <f>IF(OR(E76="",R76="",R76&lt;=0,E76&lt;0),"",E76/R76)</f>
        <v/>
      </c>
      <c r="J75" s="33">
        <f>IFERROR(AVERAGE(IFERROR(IF(E75="","",IF(E75&lt;0,5,IF(E75&lt;=15,90,IF(E75&lt;=20,75,IF(E75&lt;=25,60,IF(E75&lt;=30,45,IF(E75&lt;=40,30,IF(E75&lt;=60,15,5)))))))),""),IFERROR(IF(F75="","",IF(F75&lt;0,5,IF(F75&lt;=10,90,IF(F75&lt;=15,75,IF(F75&lt;=20,60,IF(F75&lt;=25,45,IF(F75&lt;=35,30,IF(F75&lt;=50,15,5)))))))),""),IFERROR(IF(G75="","",IF(G75&gt;=8,100,IF(G75&gt;=6,90,IF(G75&gt;=4,75,IF(G75&gt;=2,60,IF(G75&gt;=1,45,IF(G75&gt;=0,30,15))))))),""),IFERROR(IF(H75="","",IF(H75&lt;=2,90,IF(H75&lt;=4,75,IF(H75&lt;=7,60,IF(H75&lt;=10,45,IF(H75&lt;=15,30,IF(H75&lt;=25,15,5))))))),""),IFERROR(IF(I75="","",IF(I75&lt;=0.5,100,IF(I75&lt;=1,90,IF(I75&lt;=1.5,75,IF(I75&lt;=2,60,IF(I75&lt;=2.5,45,IF(I75&lt;=3,30,15))))))),"")),"")</f>
        <v/>
      </c>
      <c r="K75" s="33" t="n">
        <v>21.3</v>
      </c>
      <c r="L75" s="33" t="n">
        <v>76.28</v>
      </c>
      <c r="M75" s="33" t="n">
        <v>43.41</v>
      </c>
      <c r="N75" s="33" t="n">
        <v>1.08</v>
      </c>
      <c r="O75" s="33">
        <f>IFERROR(AVERAGE(IFERROR(IF(K75="","",IF(K75&gt;=25,100,IF(K75&gt;=20,90,IF(K75&gt;=15,75,IF(K75&gt;=10,60,IF(K75&gt;=5,45,IF(K75&gt;=0,30,15))))))),""),IFERROR(IF(L75="","",IF(L75&gt;=60,100,IF(L75&gt;=50,90,IF(L75&gt;=40,75,IF(L75&gt;=30,60,IF(L75&gt;=20,45,IF(L75&gt;=10,30,15))))))),""),IFERROR(IF(M75="","",IF(M75&gt;=25,100,IF(M75&gt;=20,90,IF(M75&gt;=15,75,IF(M75&gt;=10,60,IF(M75&gt;=5,45,IF(M75&gt;=0,30,15))))))),""),IFERROR(IF(N75="","",IF(N75&lt;=0,100,IF(N75&lt;=1,90,IF(N75&lt;=2,75,IF(N75&lt;=3,60,IF(N75&lt;=4,45,IF(N75&lt;=5,30,15))))))),"")),"")</f>
        <v/>
      </c>
      <c r="P75" s="33" t="n">
        <v>24.38</v>
      </c>
      <c r="Q75" s="33" t="n">
        <v>47.9</v>
      </c>
      <c r="R75" s="33" t="n">
        <v>87.5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IFERROR(AVERAGE(T75,U75,V75,W75,X75)*20,"")</f>
        <v/>
      </c>
      <c r="Z75" s="33" t="n">
        <v>5</v>
      </c>
      <c r="AA75" s="33" t="n">
        <v>1</v>
      </c>
      <c r="AB75" s="33" t="n">
        <v>4</v>
      </c>
      <c r="AC75" s="71" t="n">
        <v>38.3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IFERROR(AVERAGE(AE75,AF75,AG75,AH75,AL75)*20,"")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2026-06-12</t>
        </is>
      </c>
      <c r="E76" s="33" t="n">
        <v>46.385418</v>
      </c>
      <c r="F76" s="33" t="n">
        <v>91.07599999999999</v>
      </c>
      <c r="G76" s="33" t="n">
        <v>0.66</v>
      </c>
      <c r="H76" s="33" t="n">
        <v>28.758232</v>
      </c>
      <c r="I76" s="33">
        <f>IF(OR(E77="",R77="",R77&lt;=0,E77&lt;0),"",E77/R77)</f>
        <v/>
      </c>
      <c r="J76" s="33">
        <f>IFERROR(AVERAGE(IFERROR(IF(E76="","",IF(E76&lt;0,5,IF(E76&lt;=15,90,IF(E76&lt;=20,75,IF(E76&lt;=25,60,IF(E76&lt;=30,45,IF(E76&lt;=40,30,IF(E76&lt;=60,15,5)))))))),""),IFERROR(IF(F76="","",IF(F76&lt;0,5,IF(F76&lt;=10,90,IF(F76&lt;=15,75,IF(F76&lt;=20,60,IF(F76&lt;=25,45,IF(F76&lt;=35,30,IF(F76&lt;=50,15,5)))))))),""),IFERROR(IF(G76="","",IF(G76&gt;=8,100,IF(G76&gt;=6,90,IF(G76&gt;=4,75,IF(G76&gt;=2,60,IF(G76&gt;=1,45,IF(G76&gt;=0,30,15))))))),""),IFERROR(IF(H76="","",IF(H76&lt;=2,90,IF(H76&lt;=4,75,IF(H76&lt;=7,60,IF(H76&lt;=10,45,IF(H76&lt;=15,30,IF(H76&lt;=25,15,5))))))),""),IFERROR(IF(I76="","",IF(I76&lt;=0.5,100,IF(I76&lt;=1,90,IF(I76&lt;=1.5,75,IF(I76&lt;=2,60,IF(I76&lt;=2.5,45,IF(I76&lt;=3,30,15))))))),"")),"")</f>
        <v/>
      </c>
      <c r="K76" s="33" t="n">
        <v>17.3565</v>
      </c>
      <c r="L76" s="33" t="n">
        <v>51.5</v>
      </c>
      <c r="M76" s="33" t="n">
        <v>19.06</v>
      </c>
      <c r="N76" s="33" t="n">
        <v>0.53</v>
      </c>
      <c r="O76" s="33">
        <f>IFERROR(AVERAGE(IFERROR(IF(K76="","",IF(K76&gt;=25,100,IF(K76&gt;=20,90,IF(K76&gt;=15,75,IF(K76&gt;=10,60,IF(K76&gt;=5,45,IF(K76&gt;=0,30,15))))))),""),IFERROR(IF(L76="","",IF(L76&gt;=60,100,IF(L76&gt;=50,90,IF(L76&gt;=40,75,IF(L76&gt;=30,60,IF(L76&gt;=20,45,IF(L76&gt;=10,30,15))))))),""),IFERROR(IF(M76="","",IF(M76&gt;=25,100,IF(M76&gt;=20,90,IF(M76&gt;=15,75,IF(M76&gt;=10,60,IF(M76&gt;=5,45,IF(M76&gt;=0,30,15))))))),""),IFERROR(IF(N76="","",IF(N76&lt;=0,100,IF(N76&lt;=1,90,IF(N76&lt;=2,75,IF(N76&lt;=3,60,IF(N76&lt;=4,45,IF(N76&lt;=5,30,15))))))),"")),"")</f>
        <v/>
      </c>
      <c r="P76" s="33" t="n">
        <v>11.45</v>
      </c>
      <c r="Q76" s="33" t="n">
        <v>27.6</v>
      </c>
      <c r="R76" s="33" t="n">
        <v>-80.59999999999999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IFERROR(AVERAGE(T76,U76,V76,W76,X76)*20,"")</f>
        <v/>
      </c>
      <c r="Z76" s="33" t="n">
        <v>4</v>
      </c>
      <c r="AA76" s="33" t="n">
        <v>5</v>
      </c>
      <c r="AB76" s="33" t="n">
        <v>5</v>
      </c>
      <c r="AC76" s="71" t="n">
        <v>60.8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IFERROR(AVERAGE(AE76,AF76,AG76,AH76,AL76)*20,"")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2026-06-10</t>
        </is>
      </c>
      <c r="E77" s="33" t="n">
        <v>75.77</v>
      </c>
      <c r="F77" s="33" t="n">
        <v>220.49</v>
      </c>
      <c r="G77" s="33" t="n">
        <v>0.53</v>
      </c>
      <c r="H77" s="33" t="n">
        <v>54.5524</v>
      </c>
      <c r="I77" s="33">
        <f>IF(OR(E78="",R78="",R78&lt;=0,E78&lt;0),"",E78/R78)</f>
        <v/>
      </c>
      <c r="J77" s="33">
        <f>IFERROR(AVERAGE(IFERROR(IF(E77="","",IF(E77&lt;0,5,IF(E77&lt;=15,90,IF(E77&lt;=20,75,IF(E77&lt;=25,60,IF(E77&lt;=30,45,IF(E77&lt;=40,30,IF(E77&lt;=60,15,5)))))))),""),IFERROR(IF(F77="","",IF(F77&lt;0,5,IF(F77&lt;=10,90,IF(F77&lt;=15,75,IF(F77&lt;=20,60,IF(F77&lt;=25,45,IF(F77&lt;=35,30,IF(F77&lt;=50,15,5)))))))),""),IFERROR(IF(G77="","",IF(G77&gt;=8,100,IF(G77&gt;=6,90,IF(G77&gt;=4,75,IF(G77&gt;=2,60,IF(G77&gt;=1,45,IF(G77&gt;=0,30,15))))))),""),IFERROR(IF(H77="","",IF(H77&lt;=2,90,IF(H77&lt;=4,75,IF(H77&lt;=7,60,IF(H77&lt;=10,45,IF(H77&lt;=15,30,IF(H77&lt;=25,15,5))))))),""),IFERROR(IF(I77="","",IF(I77&lt;=0.5,100,IF(I77&lt;=1,90,IF(I77&lt;=1.5,75,IF(I77&lt;=2,60,IF(I77&lt;=2.5,45,IF(I77&lt;=3,30,15))))))),"")),"")</f>
        <v/>
      </c>
      <c r="K77" s="33" t="n">
        <v>12.7</v>
      </c>
      <c r="L77" s="33" t="n">
        <v>75.98999999999999</v>
      </c>
      <c r="M77" s="33" t="n">
        <v>34.23</v>
      </c>
      <c r="N77" s="33" t="n">
        <v>-4.9</v>
      </c>
      <c r="O77" s="33">
        <f>IFERROR(AVERAGE(IFERROR(IF(K77="","",IF(K77&gt;=25,100,IF(K77&gt;=20,90,IF(K77&gt;=15,75,IF(K77&gt;=10,60,IF(K77&gt;=5,45,IF(K77&gt;=0,30,15))))))),""),IFERROR(IF(L77="","",IF(L77&gt;=60,100,IF(L77&gt;=50,90,IF(L77&gt;=40,75,IF(L77&gt;=30,60,IF(L77&gt;=20,45,IF(L77&gt;=10,30,15))))))),""),IFERROR(IF(M77="","",IF(M77&gt;=25,100,IF(M77&gt;=20,90,IF(M77&gt;=15,75,IF(M77&gt;=10,60,IF(M77&gt;=5,45,IF(M77&gt;=0,30,15))))))),""),IFERROR(IF(N77="","",IF(N77&lt;=0,100,IF(N77&lt;=1,90,IF(N77&lt;=2,75,IF(N77&lt;=3,60,IF(N77&lt;=4,45,IF(N77&lt;=5,30,15))))))),"")),"")</f>
        <v/>
      </c>
      <c r="P77" s="33" t="n">
        <v>120.18</v>
      </c>
      <c r="Q77" s="33" t="n">
        <v>93.40000000000001</v>
      </c>
      <c r="R77" s="33" t="n">
        <v>144.4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IFERROR(AVERAGE(T77,U77,V77,W77,X77)*20,"")</f>
        <v/>
      </c>
      <c r="Z77" s="33" t="n">
        <v>5</v>
      </c>
      <c r="AA77" s="33" t="n">
        <v>3</v>
      </c>
      <c r="AB77" s="33" t="n">
        <v>2</v>
      </c>
      <c r="AC77" s="71" t="n">
        <v>60.8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IFERROR(AVERAGE(AE77,AF77,AG77,AH77,AL77)*20,"")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2026-06-10</t>
        </is>
      </c>
      <c r="E78" s="33" t="n">
        <v>9.06</v>
      </c>
      <c r="F78" s="33" t="n">
        <v>38.255</v>
      </c>
      <c r="G78" s="33" t="n">
        <v>1.51</v>
      </c>
      <c r="H78" s="33" t="n">
        <v>17.8547</v>
      </c>
      <c r="I78" s="33">
        <f>IF(OR(E79="",R79="",R79&lt;=0,E79&lt;0),"",E79/R79)</f>
        <v/>
      </c>
      <c r="J78" s="33">
        <f>IFERROR(AVERAGE(IFERROR(IF(E78="","",IF(E78&lt;0,5,IF(E78&lt;=15,90,IF(E78&lt;=20,75,IF(E78&lt;=25,60,IF(E78&lt;=30,45,IF(E78&lt;=40,30,IF(E78&lt;=60,15,5)))))))),""),IFERROR(IF(F78="","",IF(F78&lt;0,5,IF(F78&lt;=10,90,IF(F78&lt;=15,75,IF(F78&lt;=20,60,IF(F78&lt;=25,45,IF(F78&lt;=35,30,IF(F78&lt;=50,15,5)))))))),""),IFERROR(IF(G78="","",IF(G78&gt;=8,100,IF(G78&gt;=6,90,IF(G78&gt;=4,75,IF(G78&gt;=2,60,IF(G78&gt;=1,45,IF(G78&gt;=0,30,15))))))),""),IFERROR(IF(H78="","",IF(H78&lt;=2,90,IF(H78&lt;=4,75,IF(H78&lt;=7,60,IF(H78&lt;=10,45,IF(H78&lt;=15,30,IF(H78&lt;=25,15,5))))))),""),IFERROR(IF(I78="","",IF(I78&lt;=0.5,100,IF(I78&lt;=1,90,IF(I78&lt;=1.5,75,IF(I78&lt;=2,60,IF(I78&lt;=2.5,45,IF(I78&lt;=3,30,15))))))),"")),"")</f>
        <v/>
      </c>
      <c r="K78" s="33" t="n">
        <v>45</v>
      </c>
      <c r="L78" s="33" t="n">
        <v>56.04</v>
      </c>
      <c r="M78" s="33" t="n">
        <v>33.83</v>
      </c>
      <c r="N78" s="33" t="n">
        <v>-0.65</v>
      </c>
      <c r="O78" s="33">
        <f>IFERROR(AVERAGE(IFERROR(IF(K78="","",IF(K78&gt;=25,100,IF(K78&gt;=20,90,IF(K78&gt;=15,75,IF(K78&gt;=10,60,IF(K78&gt;=5,45,IF(K78&gt;=0,30,15))))))),""),IFERROR(IF(L78="","",IF(L78&gt;=60,100,IF(L78&gt;=50,90,IF(L78&gt;=40,75,IF(L78&gt;=30,60,IF(L78&gt;=20,45,IF(L78&gt;=10,30,15))))))),""),IFERROR(IF(M78="","",IF(M78&gt;=25,100,IF(M78&gt;=20,90,IF(M78&gt;=15,75,IF(M78&gt;=10,60,IF(M78&gt;=5,45,IF(M78&gt;=0,30,15))))))),""),IFERROR(IF(N78="","",IF(N78&lt;=0,100,IF(N78&lt;=1,90,IF(N78&lt;=2,75,IF(N78&lt;=3,60,IF(N78&lt;=4,45,IF(N78&lt;=5,30,15))))))),"")),"")</f>
        <v/>
      </c>
      <c r="Q78" s="33" t="n">
        <v>251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IFERROR(AVERAGE(T78,U78,V78,W78,X78)*20,"")</f>
        <v/>
      </c>
      <c r="Z78" s="33" t="n">
        <v>5</v>
      </c>
      <c r="AA78" s="33" t="n">
        <v>5</v>
      </c>
      <c r="AB78" s="33" t="n">
        <v>3</v>
      </c>
      <c r="AC78" s="71" t="n">
        <v>99.2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IFERROR(AVERAGE(AE78,AF78,AG78,AH78,AL78)*20,"")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2026-05-26</t>
        </is>
      </c>
      <c r="E79" s="33" t="n">
        <v>47.1054</v>
      </c>
      <c r="F79" s="33" t="n">
        <v>57.81</v>
      </c>
      <c r="G79" s="33" t="n">
        <v>-0.71</v>
      </c>
      <c r="H79" s="33" t="n">
        <v>11.3005</v>
      </c>
      <c r="I79" s="33">
        <f>IF(OR(E80="",R80="",R80&lt;=0,E80&lt;0),"",E80/R80)</f>
        <v/>
      </c>
      <c r="J79" s="33">
        <f>IFERROR(AVERAGE(IFERROR(IF(E79="","",IF(E79&lt;0,5,IF(E79&lt;=15,90,IF(E79&lt;=20,75,IF(E79&lt;=25,60,IF(E79&lt;=30,45,IF(E79&lt;=40,30,IF(E79&lt;=60,15,5)))))))),""),IFERROR(IF(F79="","",IF(F79&lt;0,5,IF(F79&lt;=10,90,IF(F79&lt;=15,75,IF(F79&lt;=20,60,IF(F79&lt;=25,45,IF(F79&lt;=35,30,IF(F79&lt;=50,15,5)))))))),""),IFERROR(IF(G79="","",IF(G79&gt;=8,100,IF(G79&gt;=6,90,IF(G79&gt;=4,75,IF(G79&gt;=2,60,IF(G79&gt;=1,45,IF(G79&gt;=0,30,15))))))),""),IFERROR(IF(H79="","",IF(H79&lt;=2,90,IF(H79&lt;=4,75,IF(H79&lt;=7,60,IF(H79&lt;=10,45,IF(H79&lt;=15,30,IF(H79&lt;=25,15,5))))))),""),IFERROR(IF(I79="","",IF(I79&lt;=0.5,100,IF(I79&lt;=1,90,IF(I79&lt;=1.5,75,IF(I79&lt;=2,60,IF(I79&lt;=2.5,45,IF(I79&lt;=3,30,15))))))),"")),"")</f>
        <v/>
      </c>
      <c r="K79" s="33" t="n">
        <v>4.945</v>
      </c>
      <c r="L79" s="33" t="n">
        <v>36.778</v>
      </c>
      <c r="M79" s="33" t="n">
        <v>-8.15</v>
      </c>
      <c r="N79" s="33" t="n">
        <v>1.494</v>
      </c>
      <c r="O79" s="33">
        <f>IFERROR(AVERAGE(IFERROR(IF(K79="","",IF(K79&gt;=25,100,IF(K79&gt;=20,90,IF(K79&gt;=15,75,IF(K79&gt;=10,60,IF(K79&gt;=5,45,IF(K79&gt;=0,30,15))))))),""),IFERROR(IF(L79="","",IF(L79&gt;=60,100,IF(L79&gt;=50,90,IF(L79&gt;=40,75,IF(L79&gt;=30,60,IF(L79&gt;=20,45,IF(L79&gt;=10,30,15))))))),""),IFERROR(IF(M79="","",IF(M79&gt;=25,100,IF(M79&gt;=20,90,IF(M79&gt;=15,75,IF(M79&gt;=10,60,IF(M79&gt;=5,45,IF(M79&gt;=0,30,15))))))),""),IFERROR(IF(N79="","",IF(N79&lt;=0,100,IF(N79&lt;=1,90,IF(N79&lt;=2,75,IF(N79&lt;=3,60,IF(N79&lt;=4,45,IF(N79&lt;=5,30,15))))))),"")),"")</f>
        <v/>
      </c>
      <c r="P79" s="33" t="n">
        <v>20.55</v>
      </c>
      <c r="Q79" s="33" t="n">
        <v>20.5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IFERROR(AVERAGE(T79,U79,V79,W79,X79)*20,"")</f>
        <v/>
      </c>
      <c r="Z79" s="33" t="n">
        <v>4</v>
      </c>
      <c r="AA79" s="33" t="n">
        <v>5</v>
      </c>
      <c r="AB79" s="33" t="n">
        <v>3</v>
      </c>
      <c r="AC79" s="71" t="n">
        <v>99.2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IFERROR(AVERAGE(AE79,AF79,AG79,AH79,AL79)*20,"")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2026-05-26</t>
        </is>
      </c>
      <c r="E80" s="33" t="n">
        <v>50.3191</v>
      </c>
      <c r="F80" s="33" t="n">
        <v>133.715</v>
      </c>
      <c r="G80" s="33" t="n">
        <v>0.16</v>
      </c>
      <c r="H80" s="33" t="n">
        <v>28.4765</v>
      </c>
      <c r="I80" s="33">
        <f>IF(OR(E81="",R81="",R81&lt;=0,E81&lt;0),"",E81/R81)</f>
        <v/>
      </c>
      <c r="J80" s="33">
        <f>IFERROR(AVERAGE(IFERROR(IF(E80="","",IF(E80&lt;0,5,IF(E80&lt;=15,90,IF(E80&lt;=20,75,IF(E80&lt;=25,60,IF(E80&lt;=30,45,IF(E80&lt;=40,30,IF(E80&lt;=60,15,5)))))))),""),IFERROR(IF(F80="","",IF(F80&lt;0,5,IF(F80&lt;=10,90,IF(F80&lt;=15,75,IF(F80&lt;=20,60,IF(F80&lt;=25,45,IF(F80&lt;=35,30,IF(F80&lt;=50,15,5)))))))),""),IFERROR(IF(G80="","",IF(G80&gt;=8,100,IF(G80&gt;=6,90,IF(G80&gt;=4,75,IF(G80&gt;=2,60,IF(G80&gt;=1,45,IF(G80&gt;=0,30,15))))))),""),IFERROR(IF(H80="","",IF(H80&lt;=2,90,IF(H80&lt;=4,75,IF(H80&lt;=7,60,IF(H80&lt;=10,45,IF(H80&lt;=15,30,IF(H80&lt;=25,15,5))))))),""),IFERROR(IF(I80="","",IF(I80&lt;=0.5,100,IF(I80&lt;=1,90,IF(I80&lt;=1.5,75,IF(I80&lt;=2,60,IF(I80&lt;=2.5,45,IF(I80&lt;=3,30,15))))))),"")),"")</f>
        <v/>
      </c>
      <c r="K80" s="33" t="n">
        <v>6.4095</v>
      </c>
      <c r="L80" s="33" t="n">
        <v>37.715</v>
      </c>
      <c r="M80" s="33" t="n">
        <v>4.58</v>
      </c>
      <c r="N80" s="33" t="n">
        <v>1.26</v>
      </c>
      <c r="O80" s="33">
        <f>IFERROR(AVERAGE(IFERROR(IF(K80="","",IF(K80&gt;=25,100,IF(K80&gt;=20,90,IF(K80&gt;=15,75,IF(K80&gt;=10,60,IF(K80&gt;=5,45,IF(K80&gt;=0,30,15))))))),""),IFERROR(IF(L80="","",IF(L80&gt;=60,100,IF(L80&gt;=50,90,IF(L80&gt;=40,75,IF(L80&gt;=30,60,IF(L80&gt;=20,45,IF(L80&gt;=10,30,15))))))),""),IFERROR(IF(M80="","",IF(M80&gt;=25,100,IF(M80&gt;=20,90,IF(M80&gt;=15,75,IF(M80&gt;=10,60,IF(M80&gt;=5,45,IF(M80&gt;=0,30,15))))))),""),IFERROR(IF(N80="","",IF(N80&lt;=0,100,IF(N80&lt;=1,90,IF(N80&lt;=2,75,IF(N80&lt;=3,60,IF(N80&lt;=4,45,IF(N80&lt;=5,30,15))))))),"")),"")</f>
        <v/>
      </c>
      <c r="P80" s="33" t="n">
        <v>-1.33</v>
      </c>
      <c r="Q80" s="33" t="n">
        <v>90.09999999999999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IFERROR(AVERAGE(T80,U80,V80,W80,X80)*20,"")</f>
        <v/>
      </c>
      <c r="Z80" s="33" t="n">
        <v>5</v>
      </c>
      <c r="AA80" s="33" t="n">
        <v>5</v>
      </c>
      <c r="AB80" s="33" t="n">
        <v>3</v>
      </c>
      <c r="AC80" s="71" t="n">
        <v>95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IFERROR(AVERAGE(AE80,AF80,AG80,AH80,AL80)*20,"")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2026-06-10</t>
        </is>
      </c>
      <c r="E81" s="33" t="n">
        <v>39.4242</v>
      </c>
      <c r="F81" s="33" t="n">
        <v>50.61</v>
      </c>
      <c r="G81" s="33" t="n">
        <v>0.2</v>
      </c>
      <c r="H81" s="33" t="n">
        <v>5.7596</v>
      </c>
      <c r="I81" s="33">
        <f>IF(OR(E82="",R82="",R82&lt;=0,E82&lt;0),"",E82/R82)</f>
        <v/>
      </c>
      <c r="J81" s="33">
        <f>IFERROR(AVERAGE(IFERROR(IF(E81="","",IF(E81&lt;0,5,IF(E81&lt;=15,90,IF(E81&lt;=20,75,IF(E81&lt;=25,60,IF(E81&lt;=30,45,IF(E81&lt;=40,30,IF(E81&lt;=60,15,5)))))))),""),IFERROR(IF(F81="","",IF(F81&lt;0,5,IF(F81&lt;=10,90,IF(F81&lt;=15,75,IF(F81&lt;=20,60,IF(F81&lt;=25,45,IF(F81&lt;=35,30,IF(F81&lt;=50,15,5)))))))),""),IFERROR(IF(G81="","",IF(G81&gt;=8,100,IF(G81&gt;=6,90,IF(G81&gt;=4,75,IF(G81&gt;=2,60,IF(G81&gt;=1,45,IF(G81&gt;=0,30,15))))))),""),IFERROR(IF(H81="","",IF(H81&lt;=2,90,IF(H81&lt;=4,75,IF(H81&lt;=7,60,IF(H81&lt;=10,45,IF(H81&lt;=15,30,IF(H81&lt;=25,15,5))))))),""),IFERROR(IF(I81="","",IF(I81&lt;=0.5,100,IF(I81&lt;=1,90,IF(I81&lt;=1.5,75,IF(I81&lt;=2,60,IF(I81&lt;=2.5,45,IF(I81&lt;=3,30,15))))))),"")),"")</f>
        <v/>
      </c>
      <c r="K81" s="33" t="n">
        <v>20.2741</v>
      </c>
      <c r="L81" s="33" t="n">
        <v>12.037</v>
      </c>
      <c r="M81" s="33" t="n">
        <v>1.06</v>
      </c>
      <c r="N81" s="33" t="n">
        <v>-0.726</v>
      </c>
      <c r="O81" s="33">
        <f>IFERROR(AVERAGE(IFERROR(IF(K81="","",IF(K81&gt;=25,100,IF(K81&gt;=20,90,IF(K81&gt;=15,75,IF(K81&gt;=10,60,IF(K81&gt;=5,45,IF(K81&gt;=0,30,15))))))),""),IFERROR(IF(L81="","",IF(L81&gt;=60,100,IF(L81&gt;=50,90,IF(L81&gt;=40,75,IF(L81&gt;=30,60,IF(L81&gt;=20,45,IF(L81&gt;=10,30,15))))))),""),IFERROR(IF(M81="","",IF(M81&gt;=25,100,IF(M81&gt;=20,90,IF(M81&gt;=15,75,IF(M81&gt;=10,60,IF(M81&gt;=5,45,IF(M81&gt;=0,30,15))))))),""),IFERROR(IF(N81="","",IF(N81&lt;=0,100,IF(N81&lt;=1,90,IF(N81&lt;=2,75,IF(N81&lt;=3,60,IF(N81&lt;=4,45,IF(N81&lt;=5,30,15))))))),"")),"")</f>
        <v/>
      </c>
      <c r="P81" s="33" t="n">
        <v>14.76</v>
      </c>
      <c r="Q81" s="33" t="n">
        <v>39.3</v>
      </c>
      <c r="R81" s="33" t="n">
        <v>53.3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IFERROR(AVERAGE(T81,U81,V81,W81,X81)*20,"")</f>
        <v/>
      </c>
      <c r="Z81" s="33" t="n">
        <v>4</v>
      </c>
      <c r="AA81" s="33" t="n">
        <v>3</v>
      </c>
      <c r="AB81" s="33" t="n">
        <v>3</v>
      </c>
      <c r="AC81" s="71" t="n">
        <v>84.2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IFERROR(AVERAGE(AE81,AF81,AG81,AH81,AL81)*20,"")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2026-05-26</t>
        </is>
      </c>
      <c r="E82" s="33" t="n">
        <v>37.2213</v>
      </c>
      <c r="F82" s="33" t="n">
        <v>-524.62</v>
      </c>
      <c r="G82" s="33" t="n">
        <v>-3.05</v>
      </c>
      <c r="H82" s="33" t="n">
        <v>28.1119</v>
      </c>
      <c r="I82" s="33">
        <f>IF(OR(E83="",R83="",R83&lt;=0,E83&lt;0),"",E83/R83)</f>
        <v/>
      </c>
      <c r="J82" s="33">
        <f>IFERROR(AVERAGE(IFERROR(IF(E82="","",IF(E82&lt;0,5,IF(E82&lt;=15,90,IF(E82&lt;=20,75,IF(E82&lt;=25,60,IF(E82&lt;=30,45,IF(E82&lt;=40,30,IF(E82&lt;=60,15,5)))))))),""),IFERROR(IF(F82="","",IF(F82&lt;0,5,IF(F82&lt;=10,90,IF(F82&lt;=15,75,IF(F82&lt;=20,60,IF(F82&lt;=25,45,IF(F82&lt;=35,30,IF(F82&lt;=50,15,5)))))))),""),IFERROR(IF(G82="","",IF(G82&gt;=8,100,IF(G82&gt;=6,90,IF(G82&gt;=4,75,IF(G82&gt;=2,60,IF(G82&gt;=1,45,IF(G82&gt;=0,30,15))))))),""),IFERROR(IF(H82="","",IF(H82&lt;=2,90,IF(H82&lt;=4,75,IF(H82&lt;=7,60,IF(H82&lt;=10,45,IF(H82&lt;=15,30,IF(H82&lt;=25,15,5))))))),""),IFERROR(IF(I82="","",IF(I82&lt;=0.5,100,IF(I82&lt;=1,90,IF(I82&lt;=1.5,75,IF(I82&lt;=2,60,IF(I82&lt;=2.5,45,IF(I82&lt;=3,30,15))))))),"")),"")</f>
        <v/>
      </c>
      <c r="K82" s="33" t="n">
        <v>-3.9503</v>
      </c>
      <c r="L82" s="33" t="n">
        <v>29.642</v>
      </c>
      <c r="M82" s="33" t="n">
        <v>-82.5</v>
      </c>
      <c r="N82" s="33" t="n">
        <v>9.871</v>
      </c>
      <c r="O82" s="33">
        <f>IFERROR(AVERAGE(IFERROR(IF(K82="","",IF(K82&gt;=25,100,IF(K82&gt;=20,90,IF(K82&gt;=15,75,IF(K82&gt;=10,60,IF(K82&gt;=5,45,IF(K82&gt;=0,30,15))))))),""),IFERROR(IF(L82="","",IF(L82&gt;=60,100,IF(L82&gt;=50,90,IF(L82&gt;=40,75,IF(L82&gt;=30,60,IF(L82&gt;=20,45,IF(L82&gt;=10,30,15))))))),""),IFERROR(IF(M82="","",IF(M82&gt;=25,100,IF(M82&gt;=20,90,IF(M82&gt;=15,75,IF(M82&gt;=10,60,IF(M82&gt;=5,45,IF(M82&gt;=0,30,15))))))),""),IFERROR(IF(N82="","",IF(N82&lt;=0,100,IF(N82&lt;=1,90,IF(N82&lt;=2,75,IF(N82&lt;=3,60,IF(N82&lt;=4,45,IF(N82&lt;=5,30,15))))))),"")),"")</f>
        <v/>
      </c>
      <c r="P82" s="33" t="n">
        <v>26.93</v>
      </c>
      <c r="Q82" s="33" t="n">
        <v>51.4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IFERROR(AVERAGE(T82,U82,V82,W82,X82)*20,"")</f>
        <v/>
      </c>
      <c r="Z82" s="33" t="n">
        <v>4</v>
      </c>
      <c r="AA82" s="33" t="n">
        <v>5</v>
      </c>
      <c r="AB82" s="33" t="n">
        <v>3</v>
      </c>
      <c r="AC82" s="71" t="n">
        <v>100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IFERROR(AVERAGE(AE82,AF82,AG82,AH82,AL82)*20,"")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2026-05-26</t>
        </is>
      </c>
      <c r="E83" s="33" t="inlineStr"/>
      <c r="F83" s="33" t="n">
        <v>-46.195</v>
      </c>
      <c r="G83" s="33" t="n">
        <v>-1.68</v>
      </c>
      <c r="H83" s="33" t="n">
        <v>1632.4184</v>
      </c>
      <c r="I83" s="33">
        <f>IF(OR(E84="",R84="",R84&lt;=0,E84&lt;0),"",E84/R84)</f>
        <v/>
      </c>
      <c r="J83" s="33">
        <f>IFERROR(AVERAGE(IFERROR(IF(E83="","",IF(E83&lt;0,5,IF(E83&lt;=15,90,IF(E83&lt;=20,75,IF(E83&lt;=25,60,IF(E83&lt;=30,45,IF(E83&lt;=40,30,IF(E83&lt;=60,15,5)))))))),""),IFERROR(IF(F83="","",IF(F83&lt;0,5,IF(F83&lt;=10,90,IF(F83&lt;=15,75,IF(F83&lt;=20,60,IF(F83&lt;=25,45,IF(F83&lt;=35,30,IF(F83&lt;=50,15,5)))))))),""),IFERROR(IF(G83="","",IF(G83&gt;=8,100,IF(G83&gt;=6,90,IF(G83&gt;=4,75,IF(G83&gt;=2,60,IF(G83&gt;=1,45,IF(G83&gt;=0,30,15))))))),""),IFERROR(IF(H83="","",IF(H83&lt;=2,90,IF(H83&lt;=4,75,IF(H83&lt;=7,60,IF(H83&lt;=10,45,IF(H83&lt;=15,30,IF(H83&lt;=25,15,5))))))),""),IFERROR(IF(I83="","",IF(I83&lt;=0.5,100,IF(I83&lt;=1,90,IF(I83&lt;=1.5,75,IF(I83&lt;=2,60,IF(I83&lt;=2.5,45,IF(I83&lt;=3,30,15))))))),"")),"")</f>
        <v/>
      </c>
      <c r="K83" s="33" t="n">
        <v>-14.6604</v>
      </c>
      <c r="L83" s="33" t="inlineStr"/>
      <c r="M83" s="33" t="n">
        <v>-2578.29</v>
      </c>
      <c r="N83" s="33" t="n">
        <v>0.122</v>
      </c>
      <c r="O83" s="33">
        <f>IFERROR(AVERAGE(IFERROR(IF(K83="","",IF(K83&gt;=25,100,IF(K83&gt;=20,90,IF(K83&gt;=15,75,IF(K83&gt;=10,60,IF(K83&gt;=5,45,IF(K83&gt;=0,30,15))))))),""),IFERROR(IF(L83="","",IF(L83&gt;=60,100,IF(L83&gt;=50,90,IF(L83&gt;=40,75,IF(L83&gt;=30,60,IF(L83&gt;=20,45,IF(L83&gt;=10,30,15))))))),""),IFERROR(IF(M83="","",IF(M83&gt;=25,100,IF(M83&gt;=20,90,IF(M83&gt;=15,75,IF(M83&gt;=10,60,IF(M83&gt;=5,45,IF(M83&gt;=0,30,15))))))),""),IFERROR(IF(N83="","",IF(N83&lt;=0,100,IF(N83&lt;=1,90,IF(N83&lt;=2,75,IF(N83&lt;=3,60,IF(N83&lt;=4,45,IF(N83&lt;=5,30,15))))))),"")),"")</f>
        <v/>
      </c>
      <c r="P83" s="33" t="n">
        <v>24.82</v>
      </c>
      <c r="Q83" s="33" t="n">
        <v>1075.3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IFERROR(AVERAGE(T83,U83,V83,W83,X83)*20,"")</f>
        <v/>
      </c>
      <c r="Z83" s="33" t="n">
        <v>1</v>
      </c>
      <c r="AA83" s="33" t="n">
        <v>3</v>
      </c>
      <c r="AB83" s="33" t="n">
        <v>2</v>
      </c>
      <c r="AC83" s="71" t="n">
        <v>66.7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IFERROR(AVERAGE(AE83,AF83,AG83,AH83,AL83)*20,"")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2026-05-26</t>
        </is>
      </c>
      <c r="E84" s="33" t="n">
        <v>35.51</v>
      </c>
      <c r="F84" s="33" t="n">
        <v>42.859</v>
      </c>
      <c r="G84" s="33" t="n">
        <v>2.55</v>
      </c>
      <c r="H84" s="33" t="n">
        <v>20.4906</v>
      </c>
      <c r="I84" s="33">
        <f>IF(OR(E85="",R85="",R85&lt;=0,E85&lt;0),"",E85/R85)</f>
        <v/>
      </c>
      <c r="J84" s="33">
        <f>IFERROR(AVERAGE(IFERROR(IF(E84="","",IF(E84&lt;0,5,IF(E84&lt;=15,90,IF(E84&lt;=20,75,IF(E84&lt;=25,60,IF(E84&lt;=30,45,IF(E84&lt;=40,30,IF(E84&lt;=60,15,5)))))))),""),IFERROR(IF(F84="","",IF(F84&lt;0,5,IF(F84&lt;=10,90,IF(F84&lt;=15,75,IF(F84&lt;=20,60,IF(F84&lt;=25,45,IF(F84&lt;=35,30,IF(F84&lt;=50,15,5)))))))),""),IFERROR(IF(G84="","",IF(G84&gt;=8,100,IF(G84&gt;=6,90,IF(G84&gt;=4,75,IF(G84&gt;=2,60,IF(G84&gt;=1,45,IF(G84&gt;=0,30,15))))))),""),IFERROR(IF(H84="","",IF(H84&lt;=2,90,IF(H84&lt;=4,75,IF(H84&lt;=7,60,IF(H84&lt;=10,45,IF(H84&lt;=15,30,IF(H84&lt;=25,15,5))))))),""),IFERROR(IF(I84="","",IF(I84&lt;=0.5,100,IF(I84&lt;=1,90,IF(I84&lt;=1.5,75,IF(I84&lt;=2,60,IF(I84&lt;=2.5,45,IF(I84&lt;=3,30,15))))))),"")),"")</f>
        <v/>
      </c>
      <c r="L84" s="33" t="n">
        <v>63.54</v>
      </c>
      <c r="M84" s="33" t="n">
        <v>54.36</v>
      </c>
      <c r="N84" s="33" t="n">
        <v>-2.92</v>
      </c>
      <c r="O84" s="33">
        <f>IFERROR(AVERAGE(IFERROR(IF(K84="","",IF(K84&gt;=25,100,IF(K84&gt;=20,90,IF(K84&gt;=15,75,IF(K84&gt;=10,60,IF(K84&gt;=5,45,IF(K84&gt;=0,30,15))))))),""),IFERROR(IF(L84="","",IF(L84&gt;=60,100,IF(L84&gt;=50,90,IF(L84&gt;=40,75,IF(L84&gt;=30,60,IF(L84&gt;=20,45,IF(L84&gt;=10,30,15))))))),""),IFERROR(IF(M84="","",IF(M84&gt;=25,100,IF(M84&gt;=20,90,IF(M84&gt;=15,75,IF(M84&gt;=10,60,IF(M84&gt;=5,45,IF(M84&gt;=0,30,15))))))),""),IFERROR(IF(N84="","",IF(N84&lt;=0,100,IF(N84&lt;=1,90,IF(N84&lt;=2,75,IF(N84&lt;=3,60,IF(N84&lt;=4,45,IF(N84&lt;=5,30,15))))))),"")),"")</f>
        <v/>
      </c>
      <c r="P84" s="33" t="n">
        <v>27.15</v>
      </c>
      <c r="Q84" s="33" t="n">
        <v>35.1</v>
      </c>
      <c r="R84" s="33" t="n">
        <v>25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IFERROR(AVERAGE(T84,U84,V84,W84,X84)*20,"")</f>
        <v/>
      </c>
      <c r="Z84" s="33" t="n">
        <v>5</v>
      </c>
      <c r="AA84" s="33" t="n">
        <v>2</v>
      </c>
      <c r="AB84" s="33" t="n">
        <v>3</v>
      </c>
      <c r="AC84" s="71" t="n">
        <v>55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IFERROR(AVERAGE(AE84,AF84,AG84,AH84,AL84)*20,"")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2026-05-26</t>
        </is>
      </c>
      <c r="E85" s="33" t="n">
        <v>24.8162</v>
      </c>
      <c r="F85" s="33" t="n">
        <v>28.867</v>
      </c>
      <c r="G85" s="33" t="n">
        <v>2.46</v>
      </c>
      <c r="H85" s="33" t="n">
        <v>7.6777</v>
      </c>
      <c r="I85" s="33">
        <f>IF(OR(E86="",R86="",R86&lt;=0,E86&lt;0),"",E86/R86)</f>
        <v/>
      </c>
      <c r="J85" s="33">
        <f>IFERROR(AVERAGE(IFERROR(IF(E85="","",IF(E85&lt;0,5,IF(E85&lt;=15,90,IF(E85&lt;=20,75,IF(E85&lt;=25,60,IF(E85&lt;=30,45,IF(E85&lt;=40,30,IF(E85&lt;=60,15,5)))))))),""),IFERROR(IF(F85="","",IF(F85&lt;0,5,IF(F85&lt;=10,90,IF(F85&lt;=15,75,IF(F85&lt;=20,60,IF(F85&lt;=25,45,IF(F85&lt;=35,30,IF(F85&lt;=50,15,5)))))))),""),IFERROR(IF(G85="","",IF(G85&gt;=8,100,IF(G85&gt;=6,90,IF(G85&gt;=4,75,IF(G85&gt;=2,60,IF(G85&gt;=1,45,IF(G85&gt;=0,30,15))))))),""),IFERROR(IF(H85="","",IF(H85&lt;=2,90,IF(H85&lt;=4,75,IF(H85&lt;=7,60,IF(H85&lt;=10,45,IF(H85&lt;=15,30,IF(H85&lt;=25,15,5))))))),""),IFERROR(IF(I85="","",IF(I85&lt;=0.5,100,IF(I85&lt;=1,90,IF(I85&lt;=1.5,75,IF(I85&lt;=2,60,IF(I85&lt;=2.5,45,IF(I85&lt;=3,30,15))))))),"")),"")</f>
        <v/>
      </c>
      <c r="K85" s="33" t="n">
        <v>18.0658</v>
      </c>
      <c r="L85" s="33" t="n">
        <v>64.32899999999999</v>
      </c>
      <c r="M85" s="33" t="n">
        <v>19.41</v>
      </c>
      <c r="N85" s="33" t="n">
        <v>1.34</v>
      </c>
      <c r="O85" s="33">
        <f>IFERROR(AVERAGE(IFERROR(IF(K85="","",IF(K85&gt;=25,100,IF(K85&gt;=20,90,IF(K85&gt;=15,75,IF(K85&gt;=10,60,IF(K85&gt;=5,45,IF(K85&gt;=0,30,15))))))),""),IFERROR(IF(L85="","",IF(L85&gt;=60,100,IF(L85&gt;=50,90,IF(L85&gt;=40,75,IF(L85&gt;=30,60,IF(L85&gt;=20,45,IF(L85&gt;=10,30,15))))))),""),IFERROR(IF(M85="","",IF(M85&gt;=25,100,IF(M85&gt;=20,90,IF(M85&gt;=15,75,IF(M85&gt;=10,60,IF(M85&gt;=5,45,IF(M85&gt;=0,30,15))))))),""),IFERROR(IF(N85="","",IF(N85&lt;=0,100,IF(N85&lt;=1,90,IF(N85&lt;=2,75,IF(N85&lt;=3,60,IF(N85&lt;=4,45,IF(N85&lt;=5,30,15))))))),"")),"")</f>
        <v/>
      </c>
      <c r="P85" s="33" t="n">
        <v>3.19</v>
      </c>
      <c r="Q85" s="33" t="n">
        <v>12</v>
      </c>
      <c r="R85" s="33" t="n">
        <v>37.1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IFERROR(AVERAGE(T85,U85,V85,W85,X85)*20,"")</f>
        <v/>
      </c>
      <c r="Z85" s="33" t="n">
        <v>3</v>
      </c>
      <c r="AA85" s="33" t="n">
        <v>3</v>
      </c>
      <c r="AB85" s="33" t="n">
        <v>3</v>
      </c>
      <c r="AC85" s="71" t="n">
        <v>80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IFERROR(AVERAGE(AE85,AF85,AG85,AH85,AL85)*20,"")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2026-05-26</t>
        </is>
      </c>
      <c r="E86" s="33" t="n">
        <v>68.73444000000001</v>
      </c>
      <c r="F86" s="33" t="n">
        <v>145.185</v>
      </c>
      <c r="G86" s="33" t="n">
        <v>1.29</v>
      </c>
      <c r="H86" s="33" t="n">
        <v>16.622208</v>
      </c>
      <c r="I86" s="33">
        <f>IF(OR(E87="",R87="",R87&lt;=0,E87&lt;0),"",E87/R87)</f>
        <v/>
      </c>
      <c r="J86" s="33">
        <f>IFERROR(AVERAGE(IFERROR(IF(E86="","",IF(E86&lt;0,5,IF(E86&lt;=15,90,IF(E86&lt;=20,75,IF(E86&lt;=25,60,IF(E86&lt;=30,45,IF(E86&lt;=40,30,IF(E86&lt;=60,15,5)))))))),""),IFERROR(IF(F86="","",IF(F86&lt;0,5,IF(F86&lt;=10,90,IF(F86&lt;=15,75,IF(F86&lt;=20,60,IF(F86&lt;=25,45,IF(F86&lt;=35,30,IF(F86&lt;=50,15,5)))))))),""),IFERROR(IF(G86="","",IF(G86&gt;=8,100,IF(G86&gt;=6,90,IF(G86&gt;=4,75,IF(G86&gt;=2,60,IF(G86&gt;=1,45,IF(G86&gt;=0,30,15))))))),""),IFERROR(IF(H86="","",IF(H86&lt;=2,90,IF(H86&lt;=4,75,IF(H86&lt;=7,60,IF(H86&lt;=10,45,IF(H86&lt;=15,30,IF(H86&lt;=25,15,5))))))),""),IFERROR(IF(I86="","",IF(I86&lt;=0.5,100,IF(I86&lt;=1,90,IF(I86&lt;=1.5,75,IF(I86&lt;=2,60,IF(I86&lt;=2.5,45,IF(I86&lt;=3,30,15))))))),"")),"")</f>
        <v/>
      </c>
      <c r="K86" s="33" t="n">
        <v>11</v>
      </c>
      <c r="L86" s="33" t="n">
        <v>42.13</v>
      </c>
      <c r="M86" s="33" t="n">
        <v>14.95</v>
      </c>
      <c r="N86" s="33" t="n">
        <v>0.91</v>
      </c>
      <c r="O86" s="33">
        <f>IFERROR(AVERAGE(IFERROR(IF(K86="","",IF(K86&gt;=25,100,IF(K86&gt;=20,90,IF(K86&gt;=15,75,IF(K86&gt;=10,60,IF(K86&gt;=5,45,IF(K86&gt;=0,30,15))))))),""),IFERROR(IF(L86="","",IF(L86&gt;=60,100,IF(L86&gt;=50,90,IF(L86&gt;=40,75,IF(L86&gt;=30,60,IF(L86&gt;=20,45,IF(L86&gt;=10,30,15))))))),""),IFERROR(IF(M86="","",IF(M86&gt;=25,100,IF(M86&gt;=20,90,IF(M86&gt;=15,75,IF(M86&gt;=10,60,IF(M86&gt;=5,45,IF(M86&gt;=0,30,15))))))),""),IFERROR(IF(N86="","",IF(N86&lt;=0,100,IF(N86&lt;=1,90,IF(N86&lt;=2,75,IF(N86&lt;=3,60,IF(N86&lt;=4,45,IF(N86&lt;=5,30,15))))))),"")),"")</f>
        <v/>
      </c>
      <c r="P86" s="33" t="n">
        <v>9.5</v>
      </c>
      <c r="Q86" s="33" t="n">
        <v>33.1</v>
      </c>
      <c r="R86" s="33" t="n">
        <v>232.3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IFERROR(AVERAGE(T86,U86,V86,W86,X86)*20,"")</f>
        <v/>
      </c>
      <c r="Z86" s="33" t="n">
        <v>5</v>
      </c>
      <c r="AA86" s="33" t="n">
        <v>5</v>
      </c>
      <c r="AB86" s="33" t="n">
        <v>3</v>
      </c>
      <c r="AC86" s="71" t="n">
        <v>95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IFERROR(AVERAGE(AE86,AF86,AG86,AH86,AL86)*20,"")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2026-05-26</t>
        </is>
      </c>
      <c r="E87" s="33" t="n">
        <v>24.799158</v>
      </c>
      <c r="F87" s="33" t="n">
        <v>21.63</v>
      </c>
      <c r="G87" s="33" t="n">
        <v>2.44</v>
      </c>
      <c r="H87" s="33" t="n">
        <v>6.628044</v>
      </c>
      <c r="I87" s="33">
        <f>IF(OR(E88="",R88="",R88&lt;=0,E88&lt;0),"",E88/R88)</f>
        <v/>
      </c>
      <c r="J87" s="33">
        <f>IFERROR(AVERAGE(IFERROR(IF(E87="","",IF(E87&lt;0,5,IF(E87&lt;=15,90,IF(E87&lt;=20,75,IF(E87&lt;=25,60,IF(E87&lt;=30,45,IF(E87&lt;=40,30,IF(E87&lt;=60,15,5)))))))),""),IFERROR(IF(F87="","",IF(F87&lt;0,5,IF(F87&lt;=10,90,IF(F87&lt;=15,75,IF(F87&lt;=20,60,IF(F87&lt;=25,45,IF(F87&lt;=35,30,IF(F87&lt;=50,15,5)))))))),""),IFERROR(IF(G87="","",IF(G87&gt;=8,100,IF(G87&gt;=6,90,IF(G87&gt;=4,75,IF(G87&gt;=2,60,IF(G87&gt;=1,45,IF(G87&gt;=0,30,15))))))),""),IFERROR(IF(H87="","",IF(H87&lt;=2,90,IF(H87&lt;=4,75,IF(H87&lt;=7,60,IF(H87&lt;=10,45,IF(H87&lt;=15,30,IF(H87&lt;=25,15,5))))))),""),IFERROR(IF(I87="","",IF(I87&lt;=0.5,100,IF(I87&lt;=1,90,IF(I87&lt;=1.5,75,IF(I87&lt;=2,60,IF(I87&lt;=2.5,45,IF(I87&lt;=3,30,15))))))),"")),"")</f>
        <v/>
      </c>
      <c r="K87" s="33" t="n">
        <v>17.2</v>
      </c>
      <c r="L87" s="33" t="n">
        <v>37.35</v>
      </c>
      <c r="M87" s="33" t="n">
        <v>17.88</v>
      </c>
      <c r="N87" s="33" t="n">
        <v>1.84</v>
      </c>
      <c r="O87" s="33">
        <f>IFERROR(AVERAGE(IFERROR(IF(K87="","",IF(K87&gt;=25,100,IF(K87&gt;=20,90,IF(K87&gt;=15,75,IF(K87&gt;=10,60,IF(K87&gt;=5,45,IF(K87&gt;=0,30,15))))))),""),IFERROR(IF(L87="","",IF(L87&gt;=60,100,IF(L87&gt;=50,90,IF(L87&gt;=40,75,IF(L87&gt;=30,60,IF(L87&gt;=20,45,IF(L87&gt;=10,30,15))))))),""),IFERROR(IF(M87="","",IF(M87&gt;=25,100,IF(M87&gt;=20,90,IF(M87&gt;=15,75,IF(M87&gt;=10,60,IF(M87&gt;=5,45,IF(M87&gt;=0,30,15))))))),""),IFERROR(IF(N87="","",IF(N87&lt;=0,100,IF(N87&lt;=1,90,IF(N87&lt;=2,75,IF(N87&lt;=3,60,IF(N87&lt;=4,45,IF(N87&lt;=5,30,15))))))),"")),"")</f>
        <v/>
      </c>
      <c r="P87" s="33" t="n">
        <v>22.31</v>
      </c>
      <c r="Q87" s="33" t="n">
        <v>58.4</v>
      </c>
      <c r="R87" s="33" t="n">
        <v>24.1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IFERROR(AVERAGE(T87,U87,V87,W87,X87)*20,"")</f>
        <v/>
      </c>
      <c r="Z87" s="33" t="n">
        <v>4</v>
      </c>
      <c r="AA87" s="33" t="n">
        <v>2</v>
      </c>
      <c r="AB87" s="33" t="n">
        <v>3</v>
      </c>
      <c r="AC87" s="71" t="n">
        <v>62.5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IFERROR(AVERAGE(AE87,AF87,AG87,AH87,AL87)*20,"")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2026-05-26</t>
        </is>
      </c>
      <c r="E88" s="33" t="n">
        <v>16.511003</v>
      </c>
      <c r="F88" s="33" t="n">
        <v>13.547</v>
      </c>
      <c r="G88" s="33" t="n">
        <v>5.48</v>
      </c>
      <c r="H88" s="33" t="n">
        <v>3.256818</v>
      </c>
      <c r="I88" s="33">
        <f>IF(OR(E89="",R89="",R89&lt;=0,E89&lt;0),"",E89/R89)</f>
        <v/>
      </c>
      <c r="J88" s="33">
        <f>IFERROR(AVERAGE(IFERROR(IF(E88="","",IF(E88&lt;0,5,IF(E88&lt;=15,90,IF(E88&lt;=20,75,IF(E88&lt;=25,60,IF(E88&lt;=30,45,IF(E88&lt;=40,30,IF(E88&lt;=60,15,5)))))))),""),IFERROR(IF(F88="","",IF(F88&lt;0,5,IF(F88&lt;=10,90,IF(F88&lt;=15,75,IF(F88&lt;=20,60,IF(F88&lt;=25,45,IF(F88&lt;=35,30,IF(F88&lt;=50,15,5)))))))),""),IFERROR(IF(G88="","",IF(G88&gt;=8,100,IF(G88&gt;=6,90,IF(G88&gt;=4,75,IF(G88&gt;=2,60,IF(G88&gt;=1,45,IF(G88&gt;=0,30,15))))))),""),IFERROR(IF(H88="","",IF(H88&lt;=2,90,IF(H88&lt;=4,75,IF(H88&lt;=7,60,IF(H88&lt;=10,45,IF(H88&lt;=15,30,IF(H88&lt;=25,15,5))))))),""),IFERROR(IF(I88="","",IF(I88&lt;=0.5,100,IF(I88&lt;=1,90,IF(I88&lt;=1.5,75,IF(I88&lt;=2,60,IF(I88&lt;=2.5,45,IF(I88&lt;=3,30,15))))))),"")),"")</f>
        <v/>
      </c>
      <c r="K88" s="33" t="n">
        <v>17</v>
      </c>
      <c r="L88" s="33" t="n">
        <v>36.07</v>
      </c>
      <c r="M88" s="33" t="n">
        <v>18.14</v>
      </c>
      <c r="N88" s="33" t="n">
        <v>0.96</v>
      </c>
      <c r="O88" s="33">
        <f>IFERROR(AVERAGE(IFERROR(IF(K88="","",IF(K88&gt;=25,100,IF(K88&gt;=20,90,IF(K88&gt;=15,75,IF(K88&gt;=10,60,IF(K88&gt;=5,45,IF(K88&gt;=0,30,15))))))),""),IFERROR(IF(L88="","",IF(L88&gt;=60,100,IF(L88&gt;=50,90,IF(L88&gt;=40,75,IF(L88&gt;=30,60,IF(L88&gt;=20,45,IF(L88&gt;=10,30,15))))))),""),IFERROR(IF(M88="","",IF(M88&gt;=25,100,IF(M88&gt;=20,90,IF(M88&gt;=15,75,IF(M88&gt;=10,60,IF(M88&gt;=5,45,IF(M88&gt;=0,30,15))))))),""),IFERROR(IF(N88="","",IF(N88&lt;=0,100,IF(N88&lt;=1,90,IF(N88&lt;=2,75,IF(N88&lt;=3,60,IF(N88&lt;=4,45,IF(N88&lt;=5,30,15))))))),"")),"")</f>
        <v/>
      </c>
      <c r="P88" s="33" t="n">
        <v>1.97</v>
      </c>
      <c r="Q88" s="33" t="n">
        <v>14.5</v>
      </c>
      <c r="R88" s="33" t="n">
        <v>7150</v>
      </c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IFERROR(AVERAGE(T88,U88,V88,W88,X88)*20,"")</f>
        <v/>
      </c>
      <c r="Z88" s="33" t="n">
        <v>4</v>
      </c>
      <c r="AA88" s="33" t="n">
        <v>2</v>
      </c>
      <c r="AB88" s="33" t="n">
        <v>3</v>
      </c>
      <c r="AC88" s="71" t="n">
        <v>28.3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IFERROR(AVERAGE(AE88,AF88,AG88,AH88,AL88)*20,"")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2026-05-26</t>
        </is>
      </c>
      <c r="E89" s="33" t="n">
        <v>46.44572</v>
      </c>
      <c r="F89" s="33" t="n">
        <v>44.974</v>
      </c>
      <c r="G89" s="33" t="n">
        <v>0.97</v>
      </c>
      <c r="H89" s="33" t="n">
        <v>10.344423</v>
      </c>
      <c r="I89" s="33">
        <f>IF(OR(E90="",R90="",R90&lt;=0,E90&lt;0),"",E90/R90)</f>
        <v/>
      </c>
      <c r="J89" s="33">
        <f>IFERROR(AVERAGE(IFERROR(IF(E89="","",IF(E89&lt;0,5,IF(E89&lt;=15,90,IF(E89&lt;=20,75,IF(E89&lt;=25,60,IF(E89&lt;=30,45,IF(E89&lt;=40,30,IF(E89&lt;=60,15,5)))))))),""),IFERROR(IF(F89="","",IF(F89&lt;0,5,IF(F89&lt;=10,90,IF(F89&lt;=15,75,IF(F89&lt;=20,60,IF(F89&lt;=25,45,IF(F89&lt;=35,30,IF(F89&lt;=50,15,5)))))))),""),IFERROR(IF(G89="","",IF(G89&gt;=8,100,IF(G89&gt;=6,90,IF(G89&gt;=4,75,IF(G89&gt;=2,60,IF(G89&gt;=1,45,IF(G89&gt;=0,30,15))))))),""),IFERROR(IF(H89="","",IF(H89&lt;=2,90,IF(H89&lt;=4,75,IF(H89&lt;=7,60,IF(H89&lt;=10,45,IF(H89&lt;=15,30,IF(H89&lt;=25,15,5))))))),""),IFERROR(IF(I89="","",IF(I89&lt;=0.5,100,IF(I89&lt;=1,90,IF(I89&lt;=1.5,75,IF(I89&lt;=2,60,IF(I89&lt;=2.5,45,IF(I89&lt;=3,30,15))))))),"")),"")</f>
        <v/>
      </c>
      <c r="K89" s="33" t="n">
        <v>10.4</v>
      </c>
      <c r="L89" s="33" t="n">
        <v>36.36</v>
      </c>
      <c r="M89" s="33" t="n">
        <v>9.19</v>
      </c>
      <c r="N89" s="33" t="n">
        <v>2.01</v>
      </c>
      <c r="O89" s="33">
        <f>IFERROR(AVERAGE(IFERROR(IF(K89="","",IF(K89&gt;=25,100,IF(K89&gt;=20,90,IF(K89&gt;=15,75,IF(K89&gt;=10,60,IF(K89&gt;=5,45,IF(K89&gt;=0,30,15))))))),""),IFERROR(IF(L89="","",IF(L89&gt;=60,100,IF(L89&gt;=50,90,IF(L89&gt;=40,75,IF(L89&gt;=30,60,IF(L89&gt;=20,45,IF(L89&gt;=10,30,15))))))),""),IFERROR(IF(M89="","",IF(M89&gt;=25,100,IF(M89&gt;=20,90,IF(M89&gt;=15,75,IF(M89&gt;=10,60,IF(M89&gt;=5,45,IF(M89&gt;=0,30,15))))))),""),IFERROR(IF(N89="","",IF(N89&lt;=0,100,IF(N89&lt;=1,90,IF(N89&lt;=2,75,IF(N89&lt;=3,60,IF(N89&lt;=4,45,IF(N89&lt;=5,30,15))))))),"")),"")</f>
        <v/>
      </c>
      <c r="P89" s="33" t="n">
        <v>3.27</v>
      </c>
      <c r="Q89" s="33" t="n">
        <v>20</v>
      </c>
      <c r="R89" s="33" t="n">
        <v>138.9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IFERROR(AVERAGE(T89,U89,V89,W89,X89)*20,"")</f>
        <v/>
      </c>
      <c r="Z89" s="33" t="n">
        <v>4</v>
      </c>
      <c r="AA89" s="33" t="n">
        <v>5</v>
      </c>
      <c r="AB89" s="33" t="n">
        <v>3</v>
      </c>
      <c r="AC89" s="71" t="n">
        <v>96.7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IFERROR(AVERAGE(AE89,AF89,AG89,AH89,AL89)*20,"")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2026-05-26</t>
        </is>
      </c>
      <c r="E90" s="33" t="n">
        <v>11.521631</v>
      </c>
      <c r="F90" s="33" t="n">
        <v>18.525</v>
      </c>
      <c r="G90" s="33" t="n">
        <v>-37.38</v>
      </c>
      <c r="H90" s="33" t="n">
        <v>0.662092</v>
      </c>
      <c r="I90" s="33">
        <f>IF(OR(E91="",R91="",R91&lt;=0,E91&lt;0),"",E91/R91)</f>
        <v/>
      </c>
      <c r="J90" s="33">
        <f>IFERROR(AVERAGE(IFERROR(IF(E90="","",IF(E90&lt;0,5,IF(E90&lt;=15,90,IF(E90&lt;=20,75,IF(E90&lt;=25,60,IF(E90&lt;=30,45,IF(E90&lt;=40,30,IF(E90&lt;=60,15,5)))))))),""),IFERROR(IF(F90="","",IF(F90&lt;0,5,IF(F90&lt;=10,90,IF(F90&lt;=15,75,IF(F90&lt;=20,60,IF(F90&lt;=25,45,IF(F90&lt;=35,30,IF(F90&lt;=50,15,5)))))))),""),IFERROR(IF(G90="","",IF(G90&gt;=8,100,IF(G90&gt;=6,90,IF(G90&gt;=4,75,IF(G90&gt;=2,60,IF(G90&gt;=1,45,IF(G90&gt;=0,30,15))))))),""),IFERROR(IF(H90="","",IF(H90&lt;=2,90,IF(H90&lt;=4,75,IF(H90&lt;=7,60,IF(H90&lt;=10,45,IF(H90&lt;=15,30,IF(H90&lt;=25,15,5))))))),""),IFERROR(IF(I90="","",IF(I90&lt;=0.5,100,IF(I90&lt;=1,90,IF(I90&lt;=1.5,75,IF(I90&lt;=2,60,IF(I90&lt;=2.5,45,IF(I90&lt;=3,30,15))))))),"")),"")</f>
        <v/>
      </c>
      <c r="K90" s="33" t="n">
        <v>8.199999999999999</v>
      </c>
      <c r="L90" s="33" t="n">
        <v>8.390000000000001</v>
      </c>
      <c r="M90" s="33" t="n">
        <v>-20.33</v>
      </c>
      <c r="N90" s="33" t="n">
        <v>4.26</v>
      </c>
      <c r="O90" s="33">
        <f>IFERROR(AVERAGE(IFERROR(IF(K90="","",IF(K90&gt;=25,100,IF(K90&gt;=20,90,IF(K90&gt;=15,75,IF(K90&gt;=10,60,IF(K90&gt;=5,45,IF(K90&gt;=0,30,15))))))),""),IFERROR(IF(L90="","",IF(L90&gt;=60,100,IF(L90&gt;=50,90,IF(L90&gt;=40,75,IF(L90&gt;=30,60,IF(L90&gt;=20,45,IF(L90&gt;=10,30,15))))))),""),IFERROR(IF(M90="","",IF(M90&gt;=25,100,IF(M90&gt;=20,90,IF(M90&gt;=15,75,IF(M90&gt;=10,60,IF(M90&gt;=5,45,IF(M90&gt;=0,30,15))))))),""),IFERROR(IF(N90="","",IF(N90&lt;=0,100,IF(N90&lt;=1,90,IF(N90&lt;=2,75,IF(N90&lt;=3,60,IF(N90&lt;=4,45,IF(N90&lt;=5,30,15))))))),"")),"")</f>
        <v/>
      </c>
      <c r="P90" s="33" t="n">
        <v>61.71</v>
      </c>
      <c r="Q90" s="33" t="n">
        <v>122.7</v>
      </c>
      <c r="R90" s="33" t="n">
        <v>326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IFERROR(AVERAGE(T90,U90,V90,W90,X90)*20,"")</f>
        <v/>
      </c>
      <c r="Z90" s="33" t="n">
        <v>5</v>
      </c>
      <c r="AA90" s="33" t="n">
        <v>1</v>
      </c>
      <c r="AB90" s="33" t="n">
        <v>3</v>
      </c>
      <c r="AC90" s="71" t="n">
        <v>43.3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IFERROR(AVERAGE(AE90,AF90,AG90,AH90,AL90)*20,"")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2026-06-10</t>
        </is>
      </c>
      <c r="E91" s="33" t="n">
        <v>20.416412</v>
      </c>
      <c r="F91" s="33" t="n">
        <v>18.447</v>
      </c>
      <c r="G91" s="33" t="n">
        <v>3.64</v>
      </c>
      <c r="H91" s="33" t="n">
        <v>1.745409</v>
      </c>
      <c r="I91" s="33">
        <f>IF(OR(E92="",R92="",R92&lt;=0,E92&lt;0),"",E92/R92)</f>
        <v/>
      </c>
      <c r="J91" s="33">
        <f>IFERROR(AVERAGE(IFERROR(IF(E91="","",IF(E91&lt;0,5,IF(E91&lt;=15,90,IF(E91&lt;=20,75,IF(E91&lt;=25,60,IF(E91&lt;=30,45,IF(E91&lt;=40,30,IF(E91&lt;=60,15,5)))))))),""),IFERROR(IF(F91="","",IF(F91&lt;0,5,IF(F91&lt;=10,90,IF(F91&lt;=15,75,IF(F91&lt;=20,60,IF(F91&lt;=25,45,IF(F91&lt;=35,30,IF(F91&lt;=50,15,5)))))))),""),IFERROR(IF(G91="","",IF(G91&gt;=8,100,IF(G91&gt;=6,90,IF(G91&gt;=4,75,IF(G91&gt;=2,60,IF(G91&gt;=1,45,IF(G91&gt;=0,30,15))))))),""),IFERROR(IF(H91="","",IF(H91&lt;=2,90,IF(H91&lt;=4,75,IF(H91&lt;=7,60,IF(H91&lt;=10,45,IF(H91&lt;=15,30,IF(H91&lt;=25,15,5))))))),""),IFERROR(IF(I91="","",IF(I91&lt;=0.5,100,IF(I91&lt;=1,90,IF(I91&lt;=1.5,75,IF(I91&lt;=2,60,IF(I91&lt;=2.5,45,IF(I91&lt;=3,30,15))))))),"")),"")</f>
        <v/>
      </c>
      <c r="K91" s="33" t="n">
        <v>38.5</v>
      </c>
      <c r="L91" s="33" t="n">
        <v>20</v>
      </c>
      <c r="M91" s="33" t="n">
        <v>7.05</v>
      </c>
      <c r="N91" s="33" t="n">
        <v>1.68</v>
      </c>
      <c r="O91" s="33">
        <f>IFERROR(AVERAGE(IFERROR(IF(K91="","",IF(K91&gt;=25,100,IF(K91&gt;=20,90,IF(K91&gt;=15,75,IF(K91&gt;=10,60,IF(K91&gt;=5,45,IF(K91&gt;=0,30,15))))))),""),IFERROR(IF(L91="","",IF(L91&gt;=60,100,IF(L91&gt;=50,90,IF(L91&gt;=40,75,IF(L91&gt;=30,60,IF(L91&gt;=20,45,IF(L91&gt;=10,30,15))))))),""),IFERROR(IF(M91="","",IF(M91&gt;=25,100,IF(M91&gt;=20,90,IF(M91&gt;=15,75,IF(M91&gt;=10,60,IF(M91&gt;=5,45,IF(M91&gt;=0,30,15))))))),""),IFERROR(IF(N91="","",IF(N91&lt;=0,100,IF(N91&lt;=1,90,IF(N91&lt;=2,75,IF(N91&lt;=3,60,IF(N91&lt;=4,45,IF(N91&lt;=5,30,15))))))),"")),"")</f>
        <v/>
      </c>
      <c r="P91" s="33" t="n">
        <v>3.53</v>
      </c>
      <c r="Q91" s="33" t="n">
        <v>39.5</v>
      </c>
      <c r="R91" s="33" t="n">
        <v>57.3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IFERROR(AVERAGE(T91,U91,V91,W91,X91)*20,"")</f>
        <v/>
      </c>
      <c r="Z91" s="33" t="n">
        <v>4</v>
      </c>
      <c r="AA91" s="33" t="n">
        <v>4</v>
      </c>
      <c r="AB91" s="33" t="n">
        <v>3</v>
      </c>
      <c r="AC91" s="71" t="n">
        <v>65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IFERROR(AVERAGE(AE91,AF91,AG91,AH91,AL91)*20,"")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2026-05-26</t>
        </is>
      </c>
      <c r="E92" s="33" t="n">
        <v>13.929759</v>
      </c>
      <c r="F92" s="33" t="n">
        <v>13.649</v>
      </c>
      <c r="G92" s="33" t="n">
        <v>6.16</v>
      </c>
      <c r="H92" s="33" t="n">
        <v>1.412866</v>
      </c>
      <c r="I92" s="33">
        <f>IF(OR(E93="",R93="",R93&lt;=0,E93&lt;0),"",E93/R93)</f>
        <v/>
      </c>
      <c r="J92" s="33">
        <f>IFERROR(AVERAGE(IFERROR(IF(E92="","",IF(E92&lt;0,5,IF(E92&lt;=15,90,IF(E92&lt;=20,75,IF(E92&lt;=25,60,IF(E92&lt;=30,45,IF(E92&lt;=40,30,IF(E92&lt;=60,15,5)))))))),""),IFERROR(IF(F92="","",IF(F92&lt;0,5,IF(F92&lt;=10,90,IF(F92&lt;=15,75,IF(F92&lt;=20,60,IF(F92&lt;=25,45,IF(F92&lt;=35,30,IF(F92&lt;=50,15,5)))))))),""),IFERROR(IF(G92="","",IF(G92&gt;=8,100,IF(G92&gt;=6,90,IF(G92&gt;=4,75,IF(G92&gt;=2,60,IF(G92&gt;=1,45,IF(G92&gt;=0,30,15))))))),""),IFERROR(IF(H92="","",IF(H92&lt;=2,90,IF(H92&lt;=4,75,IF(H92&lt;=7,60,IF(H92&lt;=10,45,IF(H92&lt;=15,30,IF(H92&lt;=25,15,5))))))),""),IFERROR(IF(I92="","",IF(I92&lt;=0.5,100,IF(I92&lt;=1,90,IF(I92&lt;=1.5,75,IF(I92&lt;=2,60,IF(I92&lt;=2.5,45,IF(I92&lt;=3,30,15))))))),"")),"")</f>
        <v/>
      </c>
      <c r="K92" s="33" t="n">
        <v>3.3</v>
      </c>
      <c r="L92" s="33" t="n">
        <v>31.96</v>
      </c>
      <c r="M92" s="33" t="n">
        <v>10.28</v>
      </c>
      <c r="N92" s="33" t="n">
        <v>3.55</v>
      </c>
      <c r="O92" s="33">
        <f>IFERROR(AVERAGE(IFERROR(IF(K92="","",IF(K92&gt;=25,100,IF(K92&gt;=20,90,IF(K92&gt;=15,75,IF(K92&gt;=10,60,IF(K92&gt;=5,45,IF(K92&gt;=0,30,15))))))),""),IFERROR(IF(L92="","",IF(L92&gt;=60,100,IF(L92&gt;=50,90,IF(L92&gt;=40,75,IF(L92&gt;=30,60,IF(L92&gt;=20,45,IF(L92&gt;=10,30,15))))))),""),IFERROR(IF(M92="","",IF(M92&gt;=25,100,IF(M92&gt;=20,90,IF(M92&gt;=15,75,IF(M92&gt;=10,60,IF(M92&gt;=5,45,IF(M92&gt;=0,30,15))))))),""),IFERROR(IF(N92="","",IF(N92&lt;=0,100,IF(N92&lt;=1,90,IF(N92&lt;=2,75,IF(N92&lt;=3,60,IF(N92&lt;=4,45,IF(N92&lt;=5,30,15))))))),"")),"")</f>
        <v/>
      </c>
      <c r="P92" s="33" t="n">
        <v>6.37</v>
      </c>
      <c r="Q92" s="33" t="n">
        <v>18.4</v>
      </c>
      <c r="R92" s="33" t="n">
        <v>-30.3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IFERROR(AVERAGE(T92,U92,V92,W92,X92)*20,"")</f>
        <v/>
      </c>
      <c r="Z92" s="33" t="n">
        <v>2</v>
      </c>
      <c r="AA92" s="33" t="n">
        <v>3</v>
      </c>
      <c r="AB92" s="33" t="n">
        <v>3</v>
      </c>
      <c r="AC92" s="71" t="n">
        <v>62.5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IFERROR(AVERAGE(AE92,AF92,AG92,AH92,AL92)*20,"")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2026-05-26</t>
        </is>
      </c>
      <c r="E93" s="33" t="n">
        <v>21.51</v>
      </c>
      <c r="F93" s="33" t="n">
        <v>17.113</v>
      </c>
      <c r="G93" s="33" t="n">
        <v>2.53</v>
      </c>
      <c r="H93" s="33" t="n">
        <v>9.710100000000001</v>
      </c>
      <c r="I93" s="33">
        <f>IF(OR(E94="",R94="",R94&lt;=0,E94&lt;0),"",E94/R94)</f>
        <v/>
      </c>
      <c r="J93" s="33">
        <f>IFERROR(AVERAGE(IFERROR(IF(E93="","",IF(E93&lt;0,5,IF(E93&lt;=15,90,IF(E93&lt;=20,75,IF(E93&lt;=25,60,IF(E93&lt;=30,45,IF(E93&lt;=40,30,IF(E93&lt;=60,15,5)))))))),""),IFERROR(IF(F93="","",IF(F93&lt;0,5,IF(F93&lt;=10,90,IF(F93&lt;=15,75,IF(F93&lt;=20,60,IF(F93&lt;=25,45,IF(F93&lt;=35,30,IF(F93&lt;=50,15,5)))))))),""),IFERROR(IF(G93="","",IF(G93&gt;=8,100,IF(G93&gt;=6,90,IF(G93&gt;=4,75,IF(G93&gt;=2,60,IF(G93&gt;=1,45,IF(G93&gt;=0,30,15))))))),""),IFERROR(IF(H93="","",IF(H93&lt;=2,90,IF(H93&lt;=4,75,IF(H93&lt;=7,60,IF(H93&lt;=10,45,IF(H93&lt;=15,30,IF(H93&lt;=25,15,5))))))),""),IFERROR(IF(I93="","",IF(I93&lt;=0.5,100,IF(I93&lt;=1,90,IF(I93&lt;=1.5,75,IF(I93&lt;=2,60,IF(I93&lt;=2.5,45,IF(I93&lt;=3,30,15))))))),"")),"")</f>
        <v/>
      </c>
      <c r="K93" s="33" t="n">
        <v>29</v>
      </c>
      <c r="L93" s="33" t="n">
        <v>68.31</v>
      </c>
      <c r="M93" s="33" t="n">
        <v>22.91</v>
      </c>
      <c r="N93" s="33" t="n">
        <v>0.23</v>
      </c>
      <c r="O93" s="33">
        <f>IFERROR(AVERAGE(IFERROR(IF(K93="","",IF(K93&gt;=25,100,IF(K93&gt;=20,90,IF(K93&gt;=15,75,IF(K93&gt;=10,60,IF(K93&gt;=5,45,IF(K93&gt;=0,30,15))))))),""),IFERROR(IF(L93="","",IF(L93&gt;=60,100,IF(L93&gt;=50,90,IF(L93&gt;=40,75,IF(L93&gt;=30,60,IF(L93&gt;=20,45,IF(L93&gt;=10,30,15))))))),""),IFERROR(IF(M93="","",IF(M93&gt;=25,100,IF(M93&gt;=20,90,IF(M93&gt;=15,75,IF(M93&gt;=10,60,IF(M93&gt;=5,45,IF(M93&gt;=0,30,15))))))),""),IFERROR(IF(N93="","",IF(N93&lt;=0,100,IF(N93&lt;=1,90,IF(N93&lt;=2,75,IF(N93&lt;=3,60,IF(N93&lt;=4,45,IF(N93&lt;=5,30,15))))))),"")),"")</f>
        <v/>
      </c>
      <c r="P93" s="33" t="n">
        <v>12.42</v>
      </c>
      <c r="Q93" s="33" t="n">
        <v>18.3</v>
      </c>
      <c r="R93" s="33" t="n">
        <v>23.4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IFERROR(AVERAGE(T93,U93,V93,W93,X93)*20,"")</f>
        <v/>
      </c>
      <c r="Z93" s="33" t="n">
        <v>3</v>
      </c>
      <c r="AA93" s="33" t="n">
        <v>1</v>
      </c>
      <c r="AB93" s="33" t="n">
        <v>4</v>
      </c>
      <c r="AC93" s="71" t="n">
        <v>34.2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IFERROR(AVERAGE(AE93,AF93,AG93,AH93,AL93)*20,"")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2026-05-26</t>
        </is>
      </c>
      <c r="E94" s="33" t="n">
        <v>26.87</v>
      </c>
      <c r="F94" s="33" t="n">
        <v>28.572</v>
      </c>
      <c r="G94" s="33" t="n">
        <v>1.46</v>
      </c>
      <c r="H94" s="33" t="n">
        <v>11.1514</v>
      </c>
      <c r="I94" s="33">
        <f>IF(OR(E95="",R95="",R95&lt;=0,E95&lt;0),"",E95/R95)</f>
        <v/>
      </c>
      <c r="J94" s="33">
        <f>IFERROR(AVERAGE(IFERROR(IF(E94="","",IF(E94&lt;0,5,IF(E94&lt;=15,90,IF(E94&lt;=20,75,IF(E94&lt;=25,60,IF(E94&lt;=30,45,IF(E94&lt;=40,30,IF(E94&lt;=60,15,5)))))))),""),IFERROR(IF(F94="","",IF(F94&lt;0,5,IF(F94&lt;=10,90,IF(F94&lt;=15,75,IF(F94&lt;=20,60,IF(F94&lt;=25,45,IF(F94&lt;=35,30,IF(F94&lt;=50,15,5)))))))),""),IFERROR(IF(G94="","",IF(G94&gt;=8,100,IF(G94&gt;=6,90,IF(G94&gt;=4,75,IF(G94&gt;=2,60,IF(G94&gt;=1,45,IF(G94&gt;=0,30,15))))))),""),IFERROR(IF(H94="","",IF(H94&lt;=2,90,IF(H94&lt;=4,75,IF(H94&lt;=7,60,IF(H94&lt;=10,45,IF(H94&lt;=15,30,IF(H94&lt;=25,15,5))))))),""),IFERROR(IF(I94="","",IF(I94&lt;=0.5,100,IF(I94&lt;=1,90,IF(I94&lt;=1.5,75,IF(I94&lt;=2,60,IF(I94&lt;=2.5,45,IF(I94&lt;=3,30,15))))))),"")),"")</f>
        <v/>
      </c>
      <c r="K94" s="33" t="n">
        <v>30.4</v>
      </c>
      <c r="L94" s="33" t="n">
        <v>60.37</v>
      </c>
      <c r="M94" s="33" t="n">
        <v>15.25</v>
      </c>
      <c r="N94" s="33" t="n">
        <v>-0.14</v>
      </c>
      <c r="O94" s="33">
        <f>IFERROR(AVERAGE(IFERROR(IF(K94="","",IF(K94&gt;=25,100,IF(K94&gt;=20,90,IF(K94&gt;=15,75,IF(K94&gt;=10,60,IF(K94&gt;=5,45,IF(K94&gt;=0,30,15))))))),""),IFERROR(IF(L94="","",IF(L94&gt;=60,100,IF(L94&gt;=50,90,IF(L94&gt;=40,75,IF(L94&gt;=30,60,IF(L94&gt;=20,45,IF(L94&gt;=10,30,15))))))),""),IFERROR(IF(M94="","",IF(M94&gt;=25,100,IF(M94&gt;=20,90,IF(M94&gt;=15,75,IF(M94&gt;=10,60,IF(M94&gt;=5,45,IF(M94&gt;=0,30,15))))))),""),IFERROR(IF(N94="","",IF(N94&lt;=0,100,IF(N94&lt;=1,90,IF(N94&lt;=2,75,IF(N94&lt;=3,60,IF(N94&lt;=4,45,IF(N94&lt;=5,30,15))))))),"")),"")</f>
        <v/>
      </c>
      <c r="P94" s="33" t="n">
        <v>12.51</v>
      </c>
      <c r="Q94" s="33" t="n">
        <v>21.8</v>
      </c>
      <c r="R94" s="33" t="n">
        <v>82</v>
      </c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IFERROR(AVERAGE(T94,U94,V94,W94,X94)*20,"")</f>
        <v/>
      </c>
      <c r="Z94" s="33" t="n">
        <v>4</v>
      </c>
      <c r="AA94" s="33" t="n">
        <v>3</v>
      </c>
      <c r="AB94" s="33" t="n">
        <v>3</v>
      </c>
      <c r="AC94" s="71" t="n">
        <v>65.8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4</v>
      </c>
      <c r="AG94" s="33" t="n">
        <v>5</v>
      </c>
      <c r="AH94" s="33" t="n">
        <v>2</v>
      </c>
      <c r="AI94" s="33">
        <f>IFERROR(AVERAGE(AE94,AF94,AG94,AH94,AL94)*20,"")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2026-05-26</t>
        </is>
      </c>
      <c r="E95" s="33" t="n">
        <v>26.907345</v>
      </c>
      <c r="F95" s="33" t="n">
        <v>18.974</v>
      </c>
      <c r="G95" s="33" t="n">
        <v>-0.1</v>
      </c>
      <c r="H95" s="33" t="n">
        <v>3.842011</v>
      </c>
      <c r="I95" s="33">
        <f>IF(OR(E96="",R96="",R96&lt;=0,E96&lt;0),"",E96/R96)</f>
        <v/>
      </c>
      <c r="J95" s="33">
        <f>IFERROR(AVERAGE(IFERROR(IF(E95="","",IF(E95&lt;0,5,IF(E95&lt;=15,90,IF(E95&lt;=20,75,IF(E95&lt;=25,60,IF(E95&lt;=30,45,IF(E95&lt;=40,30,IF(E95&lt;=60,15,5)))))))),""),IFERROR(IF(F95="","",IF(F95&lt;0,5,IF(F95&lt;=10,90,IF(F95&lt;=15,75,IF(F95&lt;=20,60,IF(F95&lt;=25,45,IF(F95&lt;=35,30,IF(F95&lt;=50,15,5)))))))),""),IFERROR(IF(G95="","",IF(G95&gt;=8,100,IF(G95&gt;=6,90,IF(G95&gt;=4,75,IF(G95&gt;=2,60,IF(G95&gt;=1,45,IF(G95&gt;=0,30,15))))))),""),IFERROR(IF(H95="","",IF(H95&lt;=2,90,IF(H95&lt;=4,75,IF(H95&lt;=7,60,IF(H95&lt;=10,45,IF(H95&lt;=15,30,IF(H95&lt;=25,15,5))))))),""),IFERROR(IF(I95="","",IF(I95&lt;=0.5,100,IF(I95&lt;=1,90,IF(I95&lt;=1.5,75,IF(I95&lt;=2,60,IF(I95&lt;=2.5,45,IF(I95&lt;=3,30,15))))))),"")),"")</f>
        <v/>
      </c>
      <c r="K95" s="33" t="n">
        <v>12.3</v>
      </c>
      <c r="L95" s="33" t="n">
        <v>50.6</v>
      </c>
      <c r="M95" s="33" t="n">
        <v>-0.33</v>
      </c>
      <c r="N95" s="33" t="n">
        <v>0.57</v>
      </c>
      <c r="O95" s="33">
        <f>IFERROR(AVERAGE(IFERROR(IF(K95="","",IF(K95&gt;=25,100,IF(K95&gt;=20,90,IF(K95&gt;=15,75,IF(K95&gt;=10,60,IF(K95&gt;=5,45,IF(K95&gt;=0,30,15))))))),""),IFERROR(IF(L95="","",IF(L95&gt;=60,100,IF(L95&gt;=50,90,IF(L95&gt;=40,75,IF(L95&gt;=30,60,IF(L95&gt;=20,45,IF(L95&gt;=10,30,15))))))),""),IFERROR(IF(M95="","",IF(M95&gt;=25,100,IF(M95&gt;=20,90,IF(M95&gt;=15,75,IF(M95&gt;=10,60,IF(M95&gt;=5,45,IF(M95&gt;=0,30,15))))))),""),IFERROR(IF(N95="","",IF(N95&lt;=0,100,IF(N95&lt;=1,90,IF(N95&lt;=2,75,IF(N95&lt;=3,60,IF(N95&lt;=4,45,IF(N95&lt;=5,30,15))))))),"")),"")</f>
        <v/>
      </c>
      <c r="P95" s="33" t="n">
        <v>11.73</v>
      </c>
      <c r="Q95" s="33" t="n">
        <v>16.6</v>
      </c>
      <c r="R95" s="33" t="n">
        <v>74.8</v>
      </c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IFERROR(AVERAGE(T95,U95,V95,W95,X95)*20,"")</f>
        <v/>
      </c>
      <c r="Z95" s="33" t="n">
        <v>5</v>
      </c>
      <c r="AA95" s="33" t="n">
        <v>4</v>
      </c>
      <c r="AB95" s="33" t="n">
        <v>3</v>
      </c>
      <c r="AC95" s="71" t="n">
        <v>54.2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4</v>
      </c>
      <c r="AH95" s="33" t="n">
        <v>2</v>
      </c>
      <c r="AI95" s="33">
        <f>IFERROR(AVERAGE(AE95,AF95,AG95,AH95,AL95)*20,"")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2026-05-26</t>
        </is>
      </c>
      <c r="E96" s="33" t="n">
        <v>17.006153</v>
      </c>
      <c r="F96" s="33" t="n">
        <v>14.223</v>
      </c>
      <c r="G96" s="33" t="n">
        <v>3.35</v>
      </c>
      <c r="H96" s="33" t="n">
        <v>7.230944</v>
      </c>
      <c r="I96" s="33">
        <f>IF(OR(E97="",R97="",R97&lt;=0,E97&lt;0),"",E97/R97)</f>
        <v/>
      </c>
      <c r="J96" s="33">
        <f>IFERROR(AVERAGE(IFERROR(IF(E96="","",IF(E96&lt;0,5,IF(E96&lt;=15,90,IF(E96&lt;=20,75,IF(E96&lt;=25,60,IF(E96&lt;=30,45,IF(E96&lt;=40,30,IF(E96&lt;=60,15,5)))))))),""),IFERROR(IF(F96="","",IF(F96&lt;0,5,IF(F96&lt;=10,90,IF(F96&lt;=15,75,IF(F96&lt;=20,60,IF(F96&lt;=25,45,IF(F96&lt;=35,30,IF(F96&lt;=50,15,5)))))))),""),IFERROR(IF(G96="","",IF(G96&gt;=8,100,IF(G96&gt;=6,90,IF(G96&gt;=4,75,IF(G96&gt;=2,60,IF(G96&gt;=1,45,IF(G96&gt;=0,30,15))))))),""),IFERROR(IF(H96="","",IF(H96&lt;=2,90,IF(H96&lt;=4,75,IF(H96&lt;=7,60,IF(H96&lt;=10,45,IF(H96&lt;=15,30,IF(H96&lt;=25,15,5))))))),""),IFERROR(IF(I96="","",IF(I96&lt;=0.5,100,IF(I96&lt;=1,90,IF(I96&lt;=1.5,75,IF(I96&lt;=2,60,IF(I96&lt;=2.5,45,IF(I96&lt;=3,30,15))))))),"")),"")</f>
        <v/>
      </c>
      <c r="K96" s="33" t="n">
        <v>22.8</v>
      </c>
      <c r="L96" s="33" t="n">
        <v>81.94</v>
      </c>
      <c r="M96" s="33" t="n">
        <v>22.45</v>
      </c>
      <c r="N96" s="33" t="n">
        <v>0.57</v>
      </c>
      <c r="O96" s="33">
        <f>IFERROR(AVERAGE(IFERROR(IF(K96="","",IF(K96&gt;=25,100,IF(K96&gt;=20,90,IF(K96&gt;=15,75,IF(K96&gt;=10,60,IF(K96&gt;=5,45,IF(K96&gt;=0,30,15))))))),""),IFERROR(IF(L96="","",IF(L96&gt;=60,100,IF(L96&gt;=50,90,IF(L96&gt;=40,75,IF(L96&gt;=30,60,IF(L96&gt;=20,45,IF(L96&gt;=10,30,15))))))),""),IFERROR(IF(M96="","",IF(M96&gt;=25,100,IF(M96&gt;=20,90,IF(M96&gt;=15,75,IF(M96&gt;=10,60,IF(M96&gt;=5,45,IF(M96&gt;=0,30,15))))))),""),IFERROR(IF(N96="","",IF(N96&lt;=0,100,IF(N96&lt;=1,90,IF(N96&lt;=2,75,IF(N96&lt;=3,60,IF(N96&lt;=4,45,IF(N96&lt;=5,30,15))))))),"")),"")</f>
        <v/>
      </c>
      <c r="P96" s="33" t="n">
        <v>19.89</v>
      </c>
      <c r="Q96" s="33" t="n">
        <v>33.1</v>
      </c>
      <c r="R96" s="33" t="n">
        <v>62.4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3</v>
      </c>
      <c r="V96" s="33" t="n">
        <v>5</v>
      </c>
      <c r="W96" s="33" t="n">
        <v>5</v>
      </c>
      <c r="X96" s="33" t="n">
        <v>5</v>
      </c>
      <c r="Y96" s="33">
        <f>IFERROR(AVERAGE(T96,U96,V96,W96,X96)*20,"")</f>
        <v/>
      </c>
      <c r="Z96" s="33" t="n">
        <v>5</v>
      </c>
      <c r="AA96" s="33" t="n">
        <v>1</v>
      </c>
      <c r="AB96" s="33" t="n">
        <v>3</v>
      </c>
      <c r="AC96" s="71" t="n">
        <v>40.8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4</v>
      </c>
      <c r="AG96" s="33" t="n">
        <v>4</v>
      </c>
      <c r="AH96" s="33" t="n">
        <v>2</v>
      </c>
      <c r="AI96" s="33">
        <f>IFERROR(AVERAGE(AE96,AF96,AG96,AH96,AL96)*20,"")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2026-06-12</t>
        </is>
      </c>
      <c r="E97" s="33" t="n">
        <v>16.957012</v>
      </c>
      <c r="F97" s="33" t="n">
        <v>20.61</v>
      </c>
      <c r="G97" s="33" t="n">
        <v>-4.73</v>
      </c>
      <c r="H97" s="33" t="n">
        <v>7.8684883</v>
      </c>
      <c r="I97" s="33">
        <f>IF(OR(E98="",R98="",R98&lt;=0,E98&lt;0),"",E98/R98)</f>
        <v/>
      </c>
      <c r="J97" s="33">
        <f>IFERROR(AVERAGE(IFERROR(IF(E97="","",IF(E97&lt;0,5,IF(E97&lt;=15,90,IF(E97&lt;=20,75,IF(E97&lt;=25,60,IF(E97&lt;=30,45,IF(E97&lt;=40,30,IF(E97&lt;=60,15,5)))))))),""),IFERROR(IF(F97="","",IF(F97&lt;0,5,IF(F97&lt;=10,90,IF(F97&lt;=15,75,IF(F97&lt;=20,60,IF(F97&lt;=25,45,IF(F97&lt;=35,30,IF(F97&lt;=50,15,5)))))))),""),IFERROR(IF(G97="","",IF(G97&gt;=8,100,IF(G97&gt;=6,90,IF(G97&gt;=4,75,IF(G97&gt;=2,60,IF(G97&gt;=1,45,IF(G97&gt;=0,30,15))))))),""),IFERROR(IF(H97="","",IF(H97&lt;=2,90,IF(H97&lt;=4,75,IF(H97&lt;=7,60,IF(H97&lt;=10,45,IF(H97&lt;=15,30,IF(H97&lt;=25,15,5))))))),""),IFERROR(IF(I97="","",IF(I97&lt;=0.5,100,IF(I97&lt;=1,90,IF(I97&lt;=1.5,75,IF(I97&lt;=2,60,IF(I97&lt;=2.5,45,IF(I97&lt;=3,30,15))))))),"")),"")</f>
        <v/>
      </c>
      <c r="K97" s="33" t="n">
        <v>11.9</v>
      </c>
      <c r="L97" s="33" t="n">
        <v>65.81999999999999</v>
      </c>
      <c r="M97" s="33" t="n">
        <v>-36.72</v>
      </c>
      <c r="N97" s="33" t="n">
        <v>3.92</v>
      </c>
      <c r="O97" s="33">
        <f>IFERROR(AVERAGE(IFERROR(IF(K97="","",IF(K97&gt;=25,100,IF(K97&gt;=20,90,IF(K97&gt;=15,75,IF(K97&gt;=10,60,IF(K97&gt;=5,45,IF(K97&gt;=0,30,15))))))),""),IFERROR(IF(L97="","",IF(L97&gt;=60,100,IF(L97&gt;=50,90,IF(L97&gt;=40,75,IF(L97&gt;=30,60,IF(L97&gt;=20,45,IF(L97&gt;=10,30,15))))))),""),IFERROR(IF(M97="","",IF(M97&gt;=25,100,IF(M97&gt;=20,90,IF(M97&gt;=15,75,IF(M97&gt;=10,60,IF(M97&gt;=5,45,IF(M97&gt;=0,30,15))))))),""),IFERROR(IF(N97="","",IF(N97&lt;=0,100,IF(N97&lt;=1,90,IF(N97&lt;=2,75,IF(N97&lt;=3,60,IF(N97&lt;=4,45,IF(N97&lt;=5,30,15))))))),"")),"")</f>
        <v/>
      </c>
      <c r="P97" s="33" t="n">
        <v>10.59</v>
      </c>
      <c r="Q97" s="33" t="n">
        <v>20.6</v>
      </c>
      <c r="R97" s="33" t="n">
        <v>25.6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IFERROR(AVERAGE(T97,U97,V97,W97,X97)*20,"")</f>
        <v/>
      </c>
      <c r="Z97" s="33" t="n">
        <v>3</v>
      </c>
      <c r="AA97" s="33" t="n">
        <v>1</v>
      </c>
      <c r="AB97" s="33" t="n">
        <v>3</v>
      </c>
      <c r="AC97" s="71" t="n">
        <v>35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IFERROR(AVERAGE(AE97,AF97,AG97,AH97,AL97)*20,"")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2026-05-26</t>
        </is>
      </c>
      <c r="E98" s="33" t="n">
        <v>575.99243</v>
      </c>
      <c r="F98" s="33" t="n">
        <v>16.3</v>
      </c>
      <c r="G98" s="33" t="n">
        <v>-5.19</v>
      </c>
      <c r="H98" s="33" t="n">
        <v>60.476312</v>
      </c>
      <c r="I98" s="33">
        <f>IF(OR(E99="",R99="",R99&lt;=0,E99&lt;0),"",E99/R99)</f>
        <v/>
      </c>
      <c r="J98" s="33">
        <f>IFERROR(AVERAGE(IFERROR(IF(E98="","",IF(E98&lt;0,5,IF(E98&lt;=15,90,IF(E98&lt;=20,75,IF(E98&lt;=25,60,IF(E98&lt;=30,45,IF(E98&lt;=40,30,IF(E98&lt;=60,15,5)))))))),""),IFERROR(IF(F98="","",IF(F98&lt;=2,100,IF(F98&lt;=4,90,IF(F98&lt;=6,75,IF(F98&lt;=9,60,IF(F98&lt;=12,45,IF(F98&lt;=18,30,15))))))),""),IFERROR(IF(G98="","",IF(G98&gt;=8,100,IF(G98&gt;=6,90,IF(G98&gt;=4,75,IF(G98&gt;=2,60,IF(G98&gt;=1,45,IF(G98&gt;=0,30,15))))))),""),IFERROR(IF(H98="","",IF(H98&lt;=2,90,IF(H98&lt;=4,75,IF(H98&lt;=7,60,IF(H98&lt;=10,45,IF(H98&lt;=15,30,IF(H98&lt;=25,15,5))))))),""),IFERROR(IF(I98="","",IF(I98&lt;=0.5,100,IF(I98&lt;=1,90,IF(I98&lt;=1.5,75,IF(I98&lt;=2,60,IF(I98&lt;=2.5,45,IF(I98&lt;=3,30,15))))))),"")),"")</f>
        <v/>
      </c>
      <c r="K98" s="33" t="n">
        <v>-8.199999999999999</v>
      </c>
      <c r="L98" s="33" t="n">
        <v>72.47</v>
      </c>
      <c r="M98" s="33" t="n">
        <v>-359.35</v>
      </c>
      <c r="N98" s="33" t="n">
        <v>0.13</v>
      </c>
      <c r="O98" s="33">
        <f>IFERROR(AVERAGE(IFERROR(IF(K98="","",IF(K98&gt;=25,100,IF(K98&gt;=20,90,IF(K98&gt;=15,75,IF(K98&gt;=10,60,IF(K98&gt;=5,45,IF(K98&gt;=0,30,15))))))),""),IFERROR(IF(L98="","",IF(L98&gt;=60,100,IF(L98&gt;=50,90,IF(L98&gt;=40,75,IF(L98&gt;=30,60,IF(L98&gt;=20,45,IF(L98&gt;=10,30,15))))))),""),IFERROR(IF(M98="","",IF(M98&gt;=25,100,IF(M98&gt;=20,90,IF(M98&gt;=15,75,IF(M98&gt;=10,60,IF(M98&gt;=5,45,IF(M98&gt;=0,30,15))))))),""),IFERROR(IF(N98="","",IF(N98&lt;=0,100,IF(N98&lt;=1,90,IF(N98&lt;=2,75,IF(N98&lt;=3,60,IF(N98&lt;=4,45,IF(N98&lt;=5,30,15))))))),"")),"")</f>
        <v/>
      </c>
      <c r="P98" s="33" t="n">
        <v>239.83</v>
      </c>
      <c r="Q98" s="33" t="n">
        <v>683.9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IFERROR(AVERAGE(T98,U98,V98,W98,X98)*20,"")</f>
        <v/>
      </c>
      <c r="Z98" s="33" t="n">
        <v>3</v>
      </c>
      <c r="AA98" s="33" t="n">
        <v>5</v>
      </c>
      <c r="AB98" s="33" t="n">
        <v>3</v>
      </c>
      <c r="AC98" s="71" t="n">
        <v>77.5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IFERROR(AVERAGE(AE98,AF98,AG98,AH98,AL98)*20,"")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2026-05-26</t>
        </is>
      </c>
      <c r="E99" s="33" t="n">
        <v>-64.48572</v>
      </c>
      <c r="F99" s="33" t="n">
        <v>13.4</v>
      </c>
      <c r="G99" s="33" t="n">
        <v>-14.35</v>
      </c>
      <c r="H99" s="33" t="n">
        <v>45.398555</v>
      </c>
      <c r="I99" s="33">
        <f>IF(OR(E100="",R100="",R100&lt;=0,E100&lt;0),"",E100/R100)</f>
        <v/>
      </c>
      <c r="J99" s="33">
        <f>IFERROR(AVERAGE(IFERROR(IF(E99="","",IF(E99&lt;0,5,IF(E99&lt;=15,90,IF(E99&lt;=20,75,IF(E99&lt;=25,60,IF(E99&lt;=30,45,IF(E99&lt;=40,30,IF(E99&lt;=60,15,5)))))))),""),IFERROR(IF(F99="","",IF(F99&lt;=2,100,IF(F99&lt;=4,90,IF(F99&lt;=6,75,IF(F99&lt;=9,60,IF(F99&lt;=12,45,IF(F99&lt;=18,30,15))))))),""),IFERROR(IF(G99="","",IF(G99&gt;=8,100,IF(G99&gt;=6,90,IF(G99&gt;=4,75,IF(G99&gt;=2,60,IF(G99&gt;=1,45,IF(G99&gt;=0,30,15))))))),""),IFERROR(IF(H99="","",IF(H99&lt;=2,90,IF(H99&lt;=4,75,IF(H99&lt;=7,60,IF(H99&lt;=10,45,IF(H99&lt;=15,30,IF(H99&lt;=25,15,5))))))),""),IFERROR(IF(I99="","",IF(I99&lt;=0.5,100,IF(I99&lt;=1,90,IF(I99&lt;=1.5,75,IF(I99&lt;=2,60,IF(I99&lt;=2.5,45,IF(I99&lt;=3,30,15))))))),"")),"")</f>
        <v/>
      </c>
      <c r="K99" s="33" t="n">
        <v>-1.9</v>
      </c>
      <c r="L99" s="33" t="n">
        <v>40.92</v>
      </c>
      <c r="M99" s="33" t="n">
        <v>-567.23</v>
      </c>
      <c r="N99" s="33" t="n">
        <v>-12326.29</v>
      </c>
      <c r="O99" s="33">
        <f>IFERROR(AVERAGE(IFERROR(IF(K99="","",IF(K99&gt;=25,100,IF(K99&gt;=20,90,IF(K99&gt;=15,75,IF(K99&gt;=10,60,IF(K99&gt;=5,45,IF(K99&gt;=0,30,15))))))),""),IFERROR(IF(L99="","",IF(L99&gt;=60,100,IF(L99&gt;=50,90,IF(L99&gt;=40,75,IF(L99&gt;=30,60,IF(L99&gt;=20,45,IF(L99&gt;=10,30,15))))))),""),IFERROR(IF(M99="","",IF(M99&gt;=25,100,IF(M99&gt;=20,90,IF(M99&gt;=15,75,IF(M99&gt;=10,60,IF(M99&gt;=5,45,IF(M99&gt;=0,30,15))))))),""),IFERROR(IF(N99="","",IF(N99&lt;=0,100,IF(N99&lt;=1,90,IF(N99&lt;=2,75,IF(N99&lt;=3,60,IF(N99&lt;=4,45,IF(N99&lt;=5,30,15))))))),"")),"")</f>
        <v/>
      </c>
      <c r="P99" s="33" t="n">
        <v>156.45</v>
      </c>
      <c r="Q99" s="33" t="n">
        <v>139.3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IFERROR(AVERAGE(T99,U99,V99,W99,X99)*20,"")</f>
        <v/>
      </c>
      <c r="Z99" s="33" t="n">
        <v>2</v>
      </c>
      <c r="AA99" s="33" t="n">
        <v>5</v>
      </c>
      <c r="AB99" s="33" t="n">
        <v>3</v>
      </c>
      <c r="AC99" s="71" t="n">
        <v>60.8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IFERROR(AVERAGE(AE99,AF99,AG99,AH99,AL99)*20,"")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2026-05-26</t>
        </is>
      </c>
      <c r="E100" s="33" t="n">
        <v>83.71429000000001</v>
      </c>
      <c r="F100" s="33" t="n">
        <v>5.2</v>
      </c>
      <c r="G100" s="33" t="n">
        <v>-5.18</v>
      </c>
      <c r="H100" s="33" t="n">
        <v>23.630496</v>
      </c>
      <c r="I100" s="33">
        <f>IF(OR(E101="",R101="",R101&lt;=0,E101&lt;0),"",E101/R101)</f>
        <v/>
      </c>
      <c r="J100" s="33">
        <f>IFERROR(AVERAGE(IFERROR(IF(E100="","",IF(E100&lt;0,5,IF(E100&lt;=15,90,IF(E100&lt;=20,75,IF(E100&lt;=25,60,IF(E100&lt;=30,45,IF(E100&lt;=40,30,IF(E100&lt;=60,15,5)))))))),""),IFERROR(IF(F100="","",IF(F100&lt;=2,100,IF(F100&lt;=4,90,IF(F100&lt;=6,75,IF(F100&lt;=9,60,IF(F100&lt;=12,45,IF(F100&lt;=18,30,15))))))),""),IFERROR(IF(G100="","",IF(G100&gt;=8,100,IF(G100&gt;=6,90,IF(G100&gt;=4,75,IF(G100&gt;=2,60,IF(G100&gt;=1,45,IF(G100&gt;=0,30,15))))))),""),IFERROR(IF(H100="","",IF(H100&lt;=2,90,IF(H100&lt;=4,75,IF(H100&lt;=7,60,IF(H100&lt;=10,45,IF(H100&lt;=15,30,IF(H100&lt;=25,15,5))))))),""),IFERROR(IF(I100="","",IF(I100&lt;=0.5,100,IF(I100&lt;=1,90,IF(I100&lt;=1.5,75,IF(I100&lt;=2,60,IF(I100&lt;=2.5,45,IF(I100&lt;=3,30,15))))))),"")),"")</f>
        <v/>
      </c>
      <c r="L100" s="33" t="n">
        <v>16.85</v>
      </c>
      <c r="M100" s="33" t="n">
        <v>-130</v>
      </c>
      <c r="N100" s="33" t="n">
        <v>-2.35</v>
      </c>
      <c r="O100" s="33">
        <f>IFERROR(AVERAGE(IFERROR(IF(K100="","",IF(K100&gt;=25,100,IF(K100&gt;=20,90,IF(K100&gt;=15,75,IF(K100&gt;=10,60,IF(K100&gt;=5,45,IF(K100&gt;=0,30,15))))))),""),IFERROR(IF(L100="","",IF(L100&gt;=60,100,IF(L100&gt;=50,90,IF(L100&gt;=40,75,IF(L100&gt;=30,60,IF(L100&gt;=20,45,IF(L100&gt;=10,30,15))))))),""),IFERROR(IF(M100="","",IF(M100&gt;=25,100,IF(M100&gt;=20,90,IF(M100&gt;=15,75,IF(M100&gt;=10,60,IF(M100&gt;=5,45,IF(M100&gt;=0,30,15))))))),""),IFERROR(IF(N100="","",IF(N100&lt;=0,100,IF(N100&lt;=1,90,IF(N100&lt;=2,75,IF(N100&lt;=3,60,IF(N100&lt;=4,45,IF(N100&lt;=5,30,15))))))),"")),"")</f>
        <v/>
      </c>
      <c r="P100" s="33" t="n">
        <v>-20.72</v>
      </c>
      <c r="Q100" s="33" t="n">
        <v>44.9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IFERROR(AVERAGE(T100,U100,V100,W100,X100)*20,"")</f>
        <v/>
      </c>
      <c r="Z100" s="33" t="n">
        <v>3</v>
      </c>
      <c r="AA100" s="33" t="n">
        <v>3</v>
      </c>
      <c r="AB100" s="33" t="n">
        <v>3</v>
      </c>
      <c r="AC100" s="71" t="n">
        <v>64.2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IFERROR(AVERAGE(AE100,AF100,AG100,AH100,AL100)*20,"")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2026-05-26</t>
        </is>
      </c>
      <c r="E101" s="33" t="n">
        <v>-44.446095</v>
      </c>
      <c r="F101" s="33" t="n">
        <v>7.6</v>
      </c>
      <c r="G101" s="33" t="n">
        <v>-11.24</v>
      </c>
      <c r="H101" s="33" t="n">
        <v>28.219298</v>
      </c>
      <c r="I101" s="33">
        <f>IF(OR(E102="",R102="",R102&lt;=0,E102&lt;0),"",E102/R102)</f>
        <v/>
      </c>
      <c r="J101" s="33">
        <f>IFERROR(AVERAGE(IFERROR(IF(E101="","",IF(E101&lt;0,5,IF(E101&lt;=15,90,IF(E101&lt;=20,75,IF(E101&lt;=25,60,IF(E101&lt;=30,45,IF(E101&lt;=40,30,IF(E101&lt;=60,15,5)))))))),""),IFERROR(IF(F101="","",IF(F101&lt;=2,100,IF(F101&lt;=4,90,IF(F101&lt;=6,75,IF(F101&lt;=9,60,IF(F101&lt;=12,45,IF(F101&lt;=18,30,15))))))),""),IFERROR(IF(G101="","",IF(G101&gt;=8,100,IF(G101&gt;=6,90,IF(G101&gt;=4,75,IF(G101&gt;=2,60,IF(G101&gt;=1,45,IF(G101&gt;=0,30,15))))))),""),IFERROR(IF(H101="","",IF(H101&lt;=2,90,IF(H101&lt;=4,75,IF(H101&lt;=7,60,IF(H101&lt;=10,45,IF(H101&lt;=15,30,IF(H101&lt;=25,15,5))))))),""),IFERROR(IF(I101="","",IF(I101&lt;=0.5,100,IF(I101&lt;=1,90,IF(I101&lt;=1.5,75,IF(I101&lt;=2,60,IF(I101&lt;=2.5,45,IF(I101&lt;=3,30,15))))))),"")),"")</f>
        <v/>
      </c>
      <c r="K101" s="33" t="n">
        <v>-5.1</v>
      </c>
      <c r="L101" s="33" t="n">
        <v>53.58</v>
      </c>
      <c r="M101" s="33" t="n">
        <v>-323.37</v>
      </c>
      <c r="N101" s="33" t="n">
        <v>3.67</v>
      </c>
      <c r="O101" s="33">
        <f>IFERROR(AVERAGE(IFERROR(IF(K101="","",IF(K101&gt;=25,100,IF(K101&gt;=20,90,IF(K101&gt;=15,75,IF(K101&gt;=10,60,IF(K101&gt;=5,45,IF(K101&gt;=0,30,15))))))),""),IFERROR(IF(L101="","",IF(L101&gt;=60,100,IF(L101&gt;=50,90,IF(L101&gt;=40,75,IF(L101&gt;=30,60,IF(L101&gt;=20,45,IF(L101&gt;=10,30,15))))))),""),IFERROR(IF(M101="","",IF(M101&gt;=25,100,IF(M101&gt;=20,90,IF(M101&gt;=15,75,IF(M101&gt;=10,60,IF(M101&gt;=5,45,IF(M101&gt;=0,30,15))))))),""),IFERROR(IF(N101="","",IF(N101&lt;=0,100,IF(N101&lt;=1,90,IF(N101&lt;=2,75,IF(N101&lt;=3,60,IF(N101&lt;=4,45,IF(N101&lt;=5,30,15))))))),"")),"")</f>
        <v/>
      </c>
      <c r="P101" s="33" t="n">
        <v>103.98</v>
      </c>
      <c r="Q101" s="33" t="n">
        <v>0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IFERROR(AVERAGE(T101,U101,V101,W101,X101)*20,"")</f>
        <v/>
      </c>
      <c r="Z101" s="33" t="n">
        <v>3</v>
      </c>
      <c r="AA101" s="33" t="n">
        <v>5</v>
      </c>
      <c r="AB101" s="33" t="n">
        <v>3</v>
      </c>
      <c r="AC101" s="71" t="n">
        <v>50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IFERROR(AVERAGE(AE101,AF101,AG101,AH101,AL101)*20,"")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2026-05-26</t>
        </is>
      </c>
      <c r="E102" s="33" t="n">
        <v>34.358208</v>
      </c>
      <c r="F102" s="33" t="n">
        <v>14.7</v>
      </c>
      <c r="G102" s="33" t="n">
        <v>-9.91</v>
      </c>
      <c r="H102" s="33" t="n">
        <v>44.877838</v>
      </c>
      <c r="I102" s="33">
        <f>IF(OR(E103="",R103="",R103&lt;=0,E103&lt;0),"",E103/R103)</f>
        <v/>
      </c>
      <c r="J102" s="33">
        <f>IFERROR(AVERAGE(IFERROR(IF(E102="","",IF(E102&lt;0,5,IF(E102&lt;=15,90,IF(E102&lt;=20,75,IF(E102&lt;=25,60,IF(E102&lt;=30,45,IF(E102&lt;=40,30,IF(E102&lt;=60,15,5)))))))),""),IFERROR(IF(F102="","",IF(F102&lt;=2,100,IF(F102&lt;=4,90,IF(F102&lt;=6,75,IF(F102&lt;=9,60,IF(F102&lt;=12,45,IF(F102&lt;=18,30,15))))))),""),IFERROR(IF(G102="","",IF(G102&gt;=8,100,IF(G102&gt;=6,90,IF(G102&gt;=4,75,IF(G102&gt;=2,60,IF(G102&gt;=1,45,IF(G102&gt;=0,30,15))))))),""),IFERROR(IF(H102="","",IF(H102&lt;=2,90,IF(H102&lt;=4,75,IF(H102&lt;=7,60,IF(H102&lt;=10,45,IF(H102&lt;=15,30,IF(H102&lt;=25,15,5))))))),""),IFERROR(IF(I102="","",IF(I102&lt;=0.5,100,IF(I102&lt;=1,90,IF(I102&lt;=1.5,75,IF(I102&lt;=2,60,IF(I102&lt;=2.5,45,IF(I102&lt;=3,30,15))))))),"")),"")</f>
        <v/>
      </c>
      <c r="K102" s="33" t="n">
        <v>-6.2</v>
      </c>
      <c r="L102" s="33" t="n">
        <v>12.37</v>
      </c>
      <c r="M102" s="33" t="n">
        <v>-484.87</v>
      </c>
      <c r="N102" s="33" t="n">
        <v>-6.41</v>
      </c>
      <c r="O102" s="33">
        <f>IFERROR(AVERAGE(IFERROR(IF(K102="","",IF(K102&gt;=25,100,IF(K102&gt;=20,90,IF(K102&gt;=15,75,IF(K102&gt;=10,60,IF(K102&gt;=5,45,IF(K102&gt;=0,30,15))))))),""),IFERROR(IF(L102="","",IF(L102&gt;=60,100,IF(L102&gt;=50,90,IF(L102&gt;=40,75,IF(L102&gt;=30,60,IF(L102&gt;=20,45,IF(L102&gt;=10,30,15))))))),""),IFERROR(IF(M102="","",IF(M102&gt;=25,100,IF(M102&gt;=20,90,IF(M102&gt;=15,75,IF(M102&gt;=10,60,IF(M102&gt;=5,45,IF(M102&gt;=0,30,15))))))),""),IFERROR(IF(N102="","",IF(N102&lt;=0,100,IF(N102&lt;=1,90,IF(N102&lt;=2,75,IF(N102&lt;=3,60,IF(N102&lt;=4,45,IF(N102&lt;=5,30,15))))))),"")),"")</f>
        <v/>
      </c>
      <c r="P102" s="33" t="n">
        <v>319.34</v>
      </c>
      <c r="Q102" s="33" t="n">
        <v>-28.8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IFERROR(AVERAGE(T102,U102,V102,W102,X102)*20,"")</f>
        <v/>
      </c>
      <c r="Z102" s="33" t="n">
        <v>2</v>
      </c>
      <c r="AA102" s="33" t="n">
        <v>5</v>
      </c>
      <c r="AB102" s="33" t="n">
        <v>3</v>
      </c>
      <c r="AC102" s="71" t="n">
        <v>53.3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IFERROR(AVERAGE(AE102,AF102,AG102,AH102,AL102)*20,"")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2026-05-26</t>
        </is>
      </c>
      <c r="E103" s="33" t="n">
        <v>-33.370346</v>
      </c>
      <c r="F103" s="33" t="n">
        <v>3.1</v>
      </c>
      <c r="G103" s="33" t="n">
        <v>-24.93</v>
      </c>
      <c r="H103" s="33" t="n">
        <v>5.941074</v>
      </c>
      <c r="I103" s="33">
        <f>IF(OR(E104="",R104="",R104&lt;=0,E104&lt;0),"",E104/R104)</f>
        <v/>
      </c>
      <c r="J103" s="33">
        <f>IFERROR(AVERAGE(IFERROR(IF(E103="","",IF(E103&lt;0,5,IF(E103&lt;=15,90,IF(E103&lt;=20,75,IF(E103&lt;=25,60,IF(E103&lt;=30,45,IF(E103&lt;=40,30,IF(E103&lt;=60,15,5)))))))),""),IFERROR(IF(F103="","",IF(F103&lt;=2,100,IF(F103&lt;=4,90,IF(F103&lt;=6,75,IF(F103&lt;=9,60,IF(F103&lt;=12,45,IF(F103&lt;=18,30,15))))))),""),IFERROR(IF(G103="","",IF(G103&gt;=8,100,IF(G103&gt;=6,90,IF(G103&gt;=4,75,IF(G103&gt;=2,60,IF(G103&gt;=1,45,IF(G103&gt;=0,30,15))))))),""),IFERROR(IF(H103="","",IF(H103&lt;=2,90,IF(H103&lt;=4,75,IF(H103&lt;=7,60,IF(H103&lt;=10,45,IF(H103&lt;=15,30,IF(H103&lt;=25,15,5))))))),""),IFERROR(IF(I103="","",IF(I103&lt;=0.5,100,IF(I103&lt;=1,90,IF(I103&lt;=1.5,75,IF(I103&lt;=2,60,IF(I103&lt;=2.5,45,IF(I103&lt;=3,30,15))))))),"")),"")</f>
        <v/>
      </c>
      <c r="K103" s="33" t="n">
        <v>-8.4</v>
      </c>
      <c r="L103" s="33" t="n">
        <v>34.9</v>
      </c>
      <c r="M103" s="33" t="n">
        <v>-144.92</v>
      </c>
      <c r="N103" s="33" t="n">
        <v>-22.08</v>
      </c>
      <c r="O103" s="33">
        <f>IFERROR(AVERAGE(IFERROR(IF(K103="","",IF(K103&gt;=25,100,IF(K103&gt;=20,90,IF(K103&gt;=15,75,IF(K103&gt;=10,60,IF(K103&gt;=5,45,IF(K103&gt;=0,30,15))))))),""),IFERROR(IF(L103="","",IF(L103&gt;=60,100,IF(L103&gt;=50,90,IF(L103&gt;=40,75,IF(L103&gt;=30,60,IF(L103&gt;=20,45,IF(L103&gt;=10,30,15))))))),""),IFERROR(IF(M103="","",IF(M103&gt;=25,100,IF(M103&gt;=20,90,IF(M103&gt;=15,75,IF(M103&gt;=10,60,IF(M103&gt;=5,45,IF(M103&gt;=0,30,15))))))),""),IFERROR(IF(N103="","",IF(N103&lt;=0,100,IF(N103&lt;=1,90,IF(N103&lt;=2,75,IF(N103&lt;=3,60,IF(N103&lt;=4,45,IF(N103&lt;=5,30,15))))))),"")),"")</f>
        <v/>
      </c>
      <c r="P103" s="33" t="n">
        <v>79.94</v>
      </c>
      <c r="Q103" s="33" t="n">
        <v>-24.9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2</v>
      </c>
      <c r="U103" s="33" t="n">
        <v>2</v>
      </c>
      <c r="V103" s="33" t="n">
        <v>2</v>
      </c>
      <c r="W103" s="33" t="n">
        <v>3</v>
      </c>
      <c r="X103" s="33" t="n">
        <v>1</v>
      </c>
      <c r="Y103" s="33">
        <f>IFERROR(AVERAGE(T103,U103,V103,W103,X103)*20,"")</f>
        <v/>
      </c>
      <c r="Z103" s="33" t="n">
        <v>2</v>
      </c>
      <c r="AA103" s="33" t="n">
        <v>1</v>
      </c>
      <c r="AB103" s="33" t="n">
        <v>3</v>
      </c>
      <c r="AC103" s="71" t="n">
        <v>47.5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3</v>
      </c>
      <c r="AH103" s="33" t="n">
        <v>4</v>
      </c>
      <c r="AI103" s="33">
        <f>IFERROR(AVERAGE(AE103,AF103,AG103,AH103,AL103)*20,"")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2026-05-26</t>
        </is>
      </c>
      <c r="E104" s="33" t="n">
        <v>-74.31269</v>
      </c>
      <c r="F104" s="33" t="n">
        <v>2.4</v>
      </c>
      <c r="G104" s="33" t="n">
        <v>-49.11</v>
      </c>
      <c r="H104" s="33" t="n">
        <v>4.974554</v>
      </c>
      <c r="I104" s="33">
        <f>IF(OR(E105="",R105="",R105&lt;=0,E105&lt;0),"",E105/R105)</f>
        <v/>
      </c>
      <c r="J104" s="33">
        <f>IFERROR(AVERAGE(IFERROR(IF(E104="","",IF(E104&lt;0,5,IF(E104&lt;=15,90,IF(E104&lt;=20,75,IF(E104&lt;=25,60,IF(E104&lt;=30,45,IF(E104&lt;=40,30,IF(E104&lt;=60,15,5)))))))),""),IFERROR(IF(F104="","",IF(F104&lt;=2,100,IF(F104&lt;=4,90,IF(F104&lt;=6,75,IF(F104&lt;=9,60,IF(F104&lt;=12,45,IF(F104&lt;=18,30,15))))))),""),IFERROR(IF(G104="","",IF(G104&gt;=8,100,IF(G104&gt;=6,90,IF(G104&gt;=4,75,IF(G104&gt;=2,60,IF(G104&gt;=1,45,IF(G104&gt;=0,30,15))))))),""),IFERROR(IF(H104="","",IF(H104&lt;=2,90,IF(H104&lt;=4,75,IF(H104&lt;=7,60,IF(H104&lt;=10,45,IF(H104&lt;=15,30,IF(H104&lt;=25,15,5))))))),""),IFERROR(IF(I104="","",IF(I104&lt;=0.5,100,IF(I104&lt;=1,90,IF(I104&lt;=1.5,75,IF(I104&lt;=2,60,IF(I104&lt;=2.5,45,IF(I104&lt;=3,30,15))))))),"")),"")</f>
        <v/>
      </c>
      <c r="K104" s="33" t="n">
        <v>-6.4</v>
      </c>
      <c r="L104" s="33" t="n">
        <v>3.41</v>
      </c>
      <c r="M104" s="33" t="n">
        <v>-286.49</v>
      </c>
      <c r="N104" s="33" t="n">
        <v>3.36</v>
      </c>
      <c r="O104" s="33">
        <f>IFERROR(AVERAGE(IFERROR(IF(K104="","",IF(K104&gt;=25,100,IF(K104&gt;=20,90,IF(K104&gt;=15,75,IF(K104&gt;=10,60,IF(K104&gt;=5,45,IF(K104&gt;=0,30,15))))))),""),IFERROR(IF(L104="","",IF(L104&gt;=60,100,IF(L104&gt;=50,90,IF(L104&gt;=40,75,IF(L104&gt;=30,60,IF(L104&gt;=20,45,IF(L104&gt;=10,30,15))))))),""),IFERROR(IF(M104="","",IF(M104&gt;=25,100,IF(M104&gt;=20,90,IF(M104&gt;=15,75,IF(M104&gt;=10,60,IF(M104&gt;=5,45,IF(M104&gt;=0,30,15))))))),""),IFERROR(IF(N104="","",IF(N104&lt;=0,100,IF(N104&lt;=1,90,IF(N104&lt;=2,75,IF(N104&lt;=3,60,IF(N104&lt;=4,45,IF(N104&lt;=5,30,15))))))),"")),"")</f>
        <v/>
      </c>
      <c r="P104" s="33" t="n">
        <v>23</v>
      </c>
      <c r="Q104" s="33" t="n">
        <v>169.4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IFERROR(AVERAGE(T104,U104,V104,W104,X104)*20,"")</f>
        <v/>
      </c>
      <c r="Z104" s="33" t="n">
        <v>2</v>
      </c>
      <c r="AA104" s="33" t="n">
        <v>1</v>
      </c>
      <c r="AB104" s="33" t="n">
        <v>3</v>
      </c>
      <c r="AC104" s="71" t="n">
        <v>53.3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IFERROR(AVERAGE(AE104,AF104,AG104,AH104,AL104)*20,"")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2026-05-26</t>
        </is>
      </c>
      <c r="E105" s="33" t="n">
        <v>-60.58681</v>
      </c>
      <c r="F105" s="33" t="n">
        <v>10.1</v>
      </c>
      <c r="G105" s="33" t="n">
        <v>-6.03</v>
      </c>
      <c r="H105" s="33" t="n">
        <v>44.567183</v>
      </c>
      <c r="I105" s="33">
        <f>IF(OR(E106="",R106="",R106&lt;=0,E106&lt;0),"",E106/R106)</f>
        <v/>
      </c>
      <c r="J105" s="33">
        <f>IFERROR(AVERAGE(IFERROR(IF(E105="","",IF(E105&lt;0,5,IF(E105&lt;=15,90,IF(E105&lt;=20,75,IF(E105&lt;=25,60,IF(E105&lt;=30,45,IF(E105&lt;=40,30,IF(E105&lt;=60,15,5)))))))),""),IFERROR(IF(F105="","",IF(F105&lt;=2,100,IF(F105&lt;=4,90,IF(F105&lt;=6,75,IF(F105&lt;=9,60,IF(F105&lt;=12,45,IF(F105&lt;=18,30,15))))))),""),IFERROR(IF(G105="","",IF(G105&gt;=8,100,IF(G105&gt;=6,90,IF(G105&gt;=4,75,IF(G105&gt;=2,60,IF(G105&gt;=1,45,IF(G105&gt;=0,30,15))))))),""),IFERROR(IF(H105="","",IF(H105&lt;=2,90,IF(H105&lt;=4,75,IF(H105&lt;=7,60,IF(H105&lt;=10,45,IF(H105&lt;=15,30,IF(H105&lt;=25,15,5))))))),""),IFERROR(IF(I105="","",IF(I105&lt;=0.5,100,IF(I105&lt;=1,90,IF(I105&lt;=1.5,75,IF(I105&lt;=2,60,IF(I105&lt;=2.5,45,IF(I105&lt;=3,30,15))))))),"")),"")</f>
        <v/>
      </c>
      <c r="K105" s="33" t="n">
        <v>-6.7</v>
      </c>
      <c r="L105" s="33" t="n">
        <v>59.67</v>
      </c>
      <c r="M105" s="33" t="n">
        <v>-286.43</v>
      </c>
      <c r="N105" s="33" t="n">
        <v>-0.91</v>
      </c>
      <c r="O105" s="33">
        <f>IFERROR(AVERAGE(IFERROR(IF(K105="","",IF(K105&gt;=25,100,IF(K105&gt;=20,90,IF(K105&gt;=15,75,IF(K105&gt;=10,60,IF(K105&gt;=5,45,IF(K105&gt;=0,30,15))))))),""),IFERROR(IF(L105="","",IF(L105&gt;=60,100,IF(L105&gt;=50,90,IF(L105&gt;=40,75,IF(L105&gt;=30,60,IF(L105&gt;=20,45,IF(L105&gt;=10,30,15))))))),""),IFERROR(IF(M105="","",IF(M105&gt;=25,100,IF(M105&gt;=20,90,IF(M105&gt;=15,75,IF(M105&gt;=10,60,IF(M105&gt;=5,45,IF(M105&gt;=0,30,15))))))),""),IFERROR(IF(N105="","",IF(N105&lt;=0,100,IF(N105&lt;=1,90,IF(N105&lt;=2,75,IF(N105&lt;=3,60,IF(N105&lt;=4,45,IF(N105&lt;=5,30,15))))))),"")),"")</f>
        <v/>
      </c>
      <c r="P105" s="33" t="n">
        <v>43.73</v>
      </c>
      <c r="Q105" s="33" t="n">
        <v>225.5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IFERROR(AVERAGE(T105,U105,V105,W105,X105)*20,"")</f>
        <v/>
      </c>
      <c r="Z105" s="33" t="n">
        <v>3</v>
      </c>
      <c r="AA105" s="33" t="n">
        <v>5</v>
      </c>
      <c r="AB105" s="33" t="n">
        <v>3</v>
      </c>
      <c r="AC105" s="71" t="n">
        <v>77.5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IFERROR(AVERAGE(AE105,AF105,AG105,AH105,AL105)*20,"")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2026-06-09</t>
        </is>
      </c>
      <c r="E106" s="33" t="n">
        <v>-83.38</v>
      </c>
      <c r="F106" s="33" t="n">
        <v>4.6</v>
      </c>
      <c r="G106" s="33" t="n">
        <v>-11.5</v>
      </c>
      <c r="H106" s="33" t="n">
        <v>14.97</v>
      </c>
      <c r="I106" s="33">
        <f>IF(OR(E107="",R107="",R107&lt;=0,E107&lt;0),"",E107/R107)</f>
        <v/>
      </c>
      <c r="J106" s="33">
        <f>IFERROR(AVERAGE(IFERROR(IF(E106="","",IF(E106&lt;0,5,IF(E106&lt;=15,90,IF(E106&lt;=20,75,IF(E106&lt;=25,60,IF(E106&lt;=30,45,IF(E106&lt;=40,30,IF(E106&lt;=60,15,5)))))))),""),IFERROR(IF(F106="","",IF(F106&lt;=2,100,IF(F106&lt;=4,90,IF(F106&lt;=6,75,IF(F106&lt;=9,60,IF(F106&lt;=12,45,IF(F106&lt;=18,30,15))))))),""),IFERROR(IF(G106="","",IF(G106&gt;=8,100,IF(G106&gt;=6,90,IF(G106&gt;=4,75,IF(G106&gt;=2,60,IF(G106&gt;=1,45,IF(G106&gt;=0,30,15))))))),""),IFERROR(IF(H106="","",IF(H106&lt;=2,90,IF(H106&lt;=4,75,IF(H106&lt;=7,60,IF(H106&lt;=10,45,IF(H106&lt;=15,30,IF(H106&lt;=25,15,5))))))),""),IFERROR(IF(I106="","",IF(I106&lt;=0.5,100,IF(I106&lt;=1,90,IF(I106&lt;=1.5,75,IF(I106&lt;=2,60,IF(I106&lt;=2.5,45,IF(I106&lt;=3,30,15))))))),"")),"")</f>
        <v/>
      </c>
      <c r="K106" s="33" t="n">
        <v>-15.81</v>
      </c>
      <c r="L106" s="33" t="n">
        <v>-20.81</v>
      </c>
      <c r="M106" s="33" t="n">
        <v>-186.29</v>
      </c>
      <c r="N106" s="33" t="n">
        <v>-19.59</v>
      </c>
      <c r="O106" s="33">
        <f>IFERROR(AVERAGE(IFERROR(IF(K106="","",IF(K106&gt;=25,100,IF(K106&gt;=20,90,IF(K106&gt;=15,75,IF(K106&gt;=10,60,IF(K106&gt;=5,45,IF(K106&gt;=0,30,15))))))),""),IFERROR(IF(L106="","",IF(L106&gt;=60,100,IF(L106&gt;=50,90,IF(L106&gt;=40,75,IF(L106&gt;=30,60,IF(L106&gt;=20,45,IF(L106&gt;=10,30,15))))))),""),IFERROR(IF(M106="","",IF(M106&gt;=25,100,IF(M106&gt;=20,90,IF(M106&gt;=15,75,IF(M106&gt;=10,60,IF(M106&gt;=5,45,IF(M106&gt;=0,30,15))))))),""),IFERROR(IF(N106="","",IF(N106&lt;=0,100,IF(N106&lt;=1,90,IF(N106&lt;=2,75,IF(N106&lt;=3,60,IF(N106&lt;=4,45,IF(N106&lt;=5,30,15))))))),"")),"")</f>
        <v/>
      </c>
      <c r="P106" s="33" t="n">
        <v>17.2</v>
      </c>
      <c r="Q106" s="33" t="n">
        <v>-22.4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IFERROR(AVERAGE(T106,U106,V106,W106,X106)*20,"")</f>
        <v/>
      </c>
      <c r="Z106" s="33" t="n">
        <v>3</v>
      </c>
      <c r="AA106" s="33" t="n">
        <v>3</v>
      </c>
      <c r="AB106" s="33" t="n">
        <v>3</v>
      </c>
      <c r="AC106" s="71" t="n">
        <v>40.8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3</v>
      </c>
      <c r="AH106" s="33" t="n">
        <v>3</v>
      </c>
      <c r="AI106" s="33">
        <f>IFERROR(AVERAGE(AE106,AF106,AG106,AH106,AL106)*20,"")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2026-05-26</t>
        </is>
      </c>
      <c r="E107" s="33" t="n">
        <v>-42.379627</v>
      </c>
      <c r="F107" s="33" t="n">
        <v>6.2</v>
      </c>
      <c r="G107" s="33" t="n">
        <v>-12.55</v>
      </c>
      <c r="H107" s="33" t="n">
        <v>15.096712</v>
      </c>
      <c r="I107" s="33">
        <f>IF(OR(E108="",R108="",R108&lt;=0,E108&lt;0),"",E108/R108)</f>
        <v/>
      </c>
      <c r="J107" s="33">
        <f>IFERROR(AVERAGE(IFERROR(IF(E107="","",IF(E107&lt;0,5,IF(E107&lt;=15,90,IF(E107&lt;=20,75,IF(E107&lt;=25,60,IF(E107&lt;=30,45,IF(E107&lt;=40,30,IF(E107&lt;=60,15,5)))))))),""),IFERROR(IF(F107="","",IF(F107&lt;=2,100,IF(F107&lt;=4,90,IF(F107&lt;=6,75,IF(F107&lt;=9,60,IF(F107&lt;=12,45,IF(F107&lt;=18,30,15))))))),""),IFERROR(IF(G107="","",IF(G107&gt;=8,100,IF(G107&gt;=6,90,IF(G107&gt;=4,75,IF(G107&gt;=2,60,IF(G107&gt;=1,45,IF(G107&gt;=0,30,15))))))),""),IFERROR(IF(H107="","",IF(H107&lt;=2,90,IF(H107&lt;=4,75,IF(H107&lt;=7,60,IF(H107&lt;=10,45,IF(H107&lt;=15,30,IF(H107&lt;=25,15,5))))))),""),IFERROR(IF(I107="","",IF(I107&lt;=0.5,100,IF(I107&lt;=1,90,IF(I107&lt;=1.5,75,IF(I107&lt;=2,60,IF(I107&lt;=2.5,45,IF(I107&lt;=3,30,15))))))),"")),"")</f>
        <v/>
      </c>
      <c r="K107" s="33" t="n">
        <v>-10</v>
      </c>
      <c r="L107" s="33" t="n">
        <v>32.35</v>
      </c>
      <c r="M107" s="33" t="n">
        <v>-194.81</v>
      </c>
      <c r="N107" s="33" t="n">
        <v>-1.41</v>
      </c>
      <c r="O107" s="33">
        <f>IFERROR(AVERAGE(IFERROR(IF(K107="","",IF(K107&gt;=25,100,IF(K107&gt;=20,90,IF(K107&gt;=15,75,IF(K107&gt;=10,60,IF(K107&gt;=5,45,IF(K107&gt;=0,30,15))))))),""),IFERROR(IF(L107="","",IF(L107&gt;=60,100,IF(L107&gt;=50,90,IF(L107&gt;=40,75,IF(L107&gt;=30,60,IF(L107&gt;=20,45,IF(L107&gt;=10,30,15))))))),""),IFERROR(IF(M107="","",IF(M107&gt;=25,100,IF(M107&gt;=20,90,IF(M107&gt;=15,75,IF(M107&gt;=10,60,IF(M107&gt;=5,45,IF(M107&gt;=0,30,15))))))),""),IFERROR(IF(N107="","",IF(N107&lt;=0,100,IF(N107&lt;=1,90,IF(N107&lt;=2,75,IF(N107&lt;=3,60,IF(N107&lt;=4,45,IF(N107&lt;=5,30,15))))))),"")),"")</f>
        <v/>
      </c>
      <c r="P107" s="33" t="n">
        <v>35.69</v>
      </c>
      <c r="Q107" s="33" t="n">
        <v>3.6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IFERROR(AVERAGE(T107,U107,V107,W107,X107)*20,"")</f>
        <v/>
      </c>
      <c r="Z107" s="33" t="n">
        <v>3</v>
      </c>
      <c r="AA107" s="33" t="n">
        <v>3</v>
      </c>
      <c r="AB107" s="33" t="n">
        <v>3</v>
      </c>
      <c r="AC107" s="71" t="n">
        <v>63.3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IFERROR(AVERAGE(AE107,AF107,AG107,AH107,AL107)*20,"")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2026-05-26</t>
        </is>
      </c>
      <c r="E108" s="33" t="n">
        <v>83.0119</v>
      </c>
      <c r="F108" s="33" t="n">
        <v>27.7</v>
      </c>
      <c r="G108" s="33" t="n">
        <v>-12.9</v>
      </c>
      <c r="H108" s="33" t="n">
        <v>74.243503</v>
      </c>
      <c r="I108" s="33">
        <f>IF(OR(E109="",R109="",R109&lt;=0,E109&lt;0),"",E109/R109)</f>
        <v/>
      </c>
      <c r="J108" s="33">
        <f>IFERROR(AVERAGE(IFERROR(IF(E108="","",IF(E108&lt;0,5,IF(E108&lt;=15,90,IF(E108&lt;=20,75,IF(E108&lt;=25,60,IF(E108&lt;=30,45,IF(E108&lt;=40,30,IF(E108&lt;=60,15,5)))))))),""),IFERROR(IF(F108="","",IF(F108&lt;=2,100,IF(F108&lt;=4,90,IF(F108&lt;=6,75,IF(F108&lt;=9,60,IF(F108&lt;=12,45,IF(F108&lt;=18,30,15))))))),""),IFERROR(IF(G108="","",IF(G108&gt;=8,100,IF(G108&gt;=6,90,IF(G108&gt;=4,75,IF(G108&gt;=2,60,IF(G108&gt;=1,45,IF(G108&gt;=0,30,15))))))),""),IFERROR(IF(H108="","",IF(H108&lt;=2,90,IF(H108&lt;=4,75,IF(H108&lt;=7,60,IF(H108&lt;=10,45,IF(H108&lt;=15,30,IF(H108&lt;=25,15,5))))))),""),IFERROR(IF(I108="","",IF(I108&lt;=0.5,100,IF(I108&lt;=1,90,IF(I108&lt;=1.5,75,IF(I108&lt;=2,60,IF(I108&lt;=2.5,45,IF(I108&lt;=3,30,15))))))),"")),"")</f>
        <v/>
      </c>
      <c r="K108" s="33" t="n">
        <v>-7.5</v>
      </c>
      <c r="L108" s="33" t="n">
        <v>64.02</v>
      </c>
      <c r="M108" s="33" t="n">
        <v>-1003.63</v>
      </c>
      <c r="N108" s="33" t="n">
        <v>-3.52</v>
      </c>
      <c r="O108" s="33">
        <f>IFERROR(AVERAGE(IFERROR(IF(K108="","",IF(K108&gt;=25,100,IF(K108&gt;=20,90,IF(K108&gt;=15,75,IF(K108&gt;=10,60,IF(K108&gt;=5,45,IF(K108&gt;=0,30,15))))))),""),IFERROR(IF(L108="","",IF(L108&gt;=60,100,IF(L108&gt;=50,90,IF(L108&gt;=40,75,IF(L108&gt;=30,60,IF(L108&gt;=20,45,IF(L108&gt;=10,30,15))))))),""),IFERROR(IF(M108="","",IF(M108&gt;=25,100,IF(M108&gt;=20,90,IF(M108&gt;=15,75,IF(M108&gt;=10,60,IF(M108&gt;=5,45,IF(M108&gt;=0,30,15))))))),""),IFERROR(IF(N108="","",IF(N108&lt;=0,100,IF(N108&lt;=1,90,IF(N108&lt;=2,75,IF(N108&lt;=3,60,IF(N108&lt;=4,45,IF(N108&lt;=5,30,15))))))),"")),"")</f>
        <v/>
      </c>
      <c r="P108" s="33" t="n">
        <v>123.78</v>
      </c>
      <c r="Q108" s="33" t="n">
        <v>-1.1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4</v>
      </c>
      <c r="U108" s="33" t="n">
        <v>3</v>
      </c>
      <c r="V108" s="33" t="n">
        <v>4</v>
      </c>
      <c r="W108" s="33" t="n">
        <v>4</v>
      </c>
      <c r="X108" s="33" t="n">
        <v>4</v>
      </c>
      <c r="Y108" s="33">
        <f>IFERROR(AVERAGE(T108,U108,V108,W108,X108)*20,"")</f>
        <v/>
      </c>
      <c r="Z108" s="33" t="n">
        <v>4</v>
      </c>
      <c r="AA108" s="33" t="n">
        <v>5</v>
      </c>
      <c r="AB108" s="33" t="n">
        <v>3</v>
      </c>
      <c r="AC108" s="71" t="n">
        <v>78.3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3</v>
      </c>
      <c r="AF108" s="33" t="n">
        <v>4</v>
      </c>
      <c r="AG108" s="33" t="n">
        <v>2</v>
      </c>
      <c r="AH108" s="33" t="n">
        <v>3</v>
      </c>
      <c r="AI108" s="33">
        <f>IFERROR(AVERAGE(AE108,AF108,AG108,AH108,AL108)*20,"")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2026-05-26</t>
        </is>
      </c>
      <c r="E109" s="33" t="n">
        <v>65.85418</v>
      </c>
      <c r="F109" s="33" t="n">
        <v>114</v>
      </c>
      <c r="G109" s="33" t="n">
        <v>0.88</v>
      </c>
      <c r="H109" s="33" t="n">
        <v>62.684137</v>
      </c>
      <c r="I109" s="33">
        <f>IF(OR(E110="",R110="",R110&lt;=0,E110&lt;0),"",E110/R110)</f>
        <v/>
      </c>
      <c r="J109" s="33">
        <f>IFERROR(AVERAGE(IFERROR(IF(E109="","",IF(E109&lt;0,5,IF(E109&lt;=15,90,IF(E109&lt;=20,75,IF(E109&lt;=25,60,IF(E109&lt;=30,45,IF(E109&lt;=40,30,IF(E109&lt;=60,15,5)))))))),""),IFERROR(IF(F109="","",IF(F109&lt;0,5,IF(F109&lt;=20,100,IF(F109&lt;=30,90,IF(F109&lt;=40,75,IF(F109&lt;=55,60,IF(F109&lt;=75,45,IF(F109&lt;=100,30,15)))))))),""),IFERROR(IF(G109="","",IF(G109&gt;=8,100,IF(G109&gt;=6,90,IF(G109&gt;=4,75,IF(G109&gt;=2,60,IF(G109&gt;=1,45,IF(G109&gt;=0,30,15))))))),""),IFERROR(IF(H109="","",IF(H109&lt;=2,90,IF(H109&lt;=4,75,IF(H109&lt;=7,60,IF(H109&lt;=10,45,IF(H109&lt;=15,30,IF(H109&lt;=25,15,5))))))),""),IFERROR(IF(I109="","",IF(I109&lt;=0.5,100,IF(I109&lt;=1,90,IF(I109&lt;=1.5,75,IF(I109&lt;=2,60,IF(I109&lt;=2.5,45,IF(I109&lt;=3,30,15))))))),"")),"")</f>
        <v/>
      </c>
      <c r="K109" s="33" t="n">
        <v>30.9</v>
      </c>
      <c r="L109" s="33" t="n">
        <v>84.06999999999999</v>
      </c>
      <c r="M109" s="33" t="n">
        <v>51.46</v>
      </c>
      <c r="N109" s="33" t="n">
        <v>-1.03</v>
      </c>
      <c r="O109" s="33">
        <f>IFERROR(AVERAGE(IFERROR(IF(K109="","",IF(K109&gt;=25,100,IF(K109&gt;=20,90,IF(K109&gt;=15,75,IF(K109&gt;=10,60,IF(K109&gt;=5,45,IF(K109&gt;=0,30,15))))))),""),IFERROR(IF(L109="","",IF(L109&gt;=60,100,IF(L109&gt;=50,90,IF(L109&gt;=40,75,IF(L109&gt;=30,60,IF(L109&gt;=20,45,IF(L109&gt;=10,30,15))))))),""),IFERROR(IF(M109="","",IF(M109&gt;=25,100,IF(M109&gt;=20,90,IF(M109&gt;=15,75,IF(M109&gt;=10,60,IF(M109&gt;=5,45,IF(M109&gt;=0,30,15))))))),""),IFERROR(IF(N109="","",IF(N109&lt;=0,100,IF(N109&lt;=1,90,IF(N109&lt;=2,75,IF(N109&lt;=3,60,IF(N109&lt;=4,45,IF(N109&lt;=5,30,15))))))),"")),"")</f>
        <v/>
      </c>
      <c r="P109" s="33" t="n">
        <v>32.92</v>
      </c>
      <c r="Q109" s="33" t="n">
        <v>84.7</v>
      </c>
      <c r="R109" s="33" t="n">
        <v>325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IFERROR(AVERAGE(T109,U109,V109,W109,X109)*20,"")</f>
        <v/>
      </c>
      <c r="Z109" s="33" t="n">
        <v>5</v>
      </c>
      <c r="AA109" s="33" t="n">
        <v>4</v>
      </c>
      <c r="AB109" s="33" t="n">
        <v>3</v>
      </c>
      <c r="AC109" s="71" t="n">
        <v>22.5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IFERROR(AVERAGE(AE109,AF109,AG109,AH109,AL109)*20,"")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2026-05-26</t>
        </is>
      </c>
      <c r="E110" s="33" t="n">
        <v>73.28758000000001</v>
      </c>
      <c r="F110" s="33" t="n">
        <v>71.3</v>
      </c>
      <c r="G110" s="33" t="n">
        <v>1.44</v>
      </c>
      <c r="H110" s="33" t="n">
        <v>13.142056</v>
      </c>
      <c r="I110" s="33">
        <f>IF(OR(E111="",R111="",R111&lt;=0,E111&lt;0),"",E111/R111)</f>
        <v/>
      </c>
      <c r="J110" s="33">
        <f>IFERROR(AVERAGE(IFERROR(IF(E110="","",IF(E110&lt;0,5,IF(E110&lt;=15,90,IF(E110&lt;=20,75,IF(E110&lt;=25,60,IF(E110&lt;=30,45,IF(E110&lt;=40,30,IF(E110&lt;=60,15,5)))))))),""),IFERROR(IF(F110="","",IF(F110&lt;0,5,IF(F110&lt;=20,100,IF(F110&lt;=30,90,IF(F110&lt;=40,75,IF(F110&lt;=55,60,IF(F110&lt;=75,45,IF(F110&lt;=100,30,15)))))))),""),IFERROR(IF(G110="","",IF(G110&gt;=8,100,IF(G110&gt;=6,90,IF(G110&gt;=4,75,IF(G110&gt;=2,60,IF(G110&gt;=1,45,IF(G110&gt;=0,30,15))))))),""),IFERROR(IF(H110="","",IF(H110&lt;=2,90,IF(H110&lt;=4,75,IF(H110&lt;=7,60,IF(H110&lt;=10,45,IF(H110&lt;=15,30,IF(H110&lt;=25,15,5))))))),""),IFERROR(IF(I110="","",IF(I110&lt;=0.5,100,IF(I110&lt;=1,90,IF(I110&lt;=1.5,75,IF(I110&lt;=2,60,IF(I110&lt;=2.5,45,IF(I110&lt;=3,30,15))))))),"")),"")</f>
        <v/>
      </c>
      <c r="K110" s="33" t="n">
        <v>-61.7</v>
      </c>
      <c r="L110" s="33" t="n">
        <v>67.17</v>
      </c>
      <c r="M110" s="33" t="n">
        <v>23.18</v>
      </c>
      <c r="N110" s="33" t="n">
        <v>0.08</v>
      </c>
      <c r="O110" s="33">
        <f>IFERROR(AVERAGE(IFERROR(IF(K110="","",IF(K110&gt;=25,100,IF(K110&gt;=20,90,IF(K110&gt;=15,75,IF(K110&gt;=10,60,IF(K110&gt;=5,45,IF(K110&gt;=0,30,15))))))),""),IFERROR(IF(L110="","",IF(L110&gt;=60,100,IF(L110&gt;=50,90,IF(L110&gt;=40,75,IF(L110&gt;=30,60,IF(L110&gt;=20,45,IF(L110&gt;=10,30,15))))))),""),IFERROR(IF(M110="","",IF(M110&gt;=25,100,IF(M110&gt;=20,90,IF(M110&gt;=15,75,IF(M110&gt;=10,60,IF(M110&gt;=5,45,IF(M110&gt;=0,30,15))))))),""),IFERROR(IF(N110="","",IF(N110&lt;=0,100,IF(N110&lt;=1,90,IF(N110&lt;=2,75,IF(N110&lt;=3,60,IF(N110&lt;=4,45,IF(N110&lt;=5,30,15))))))),"")),"")</f>
        <v/>
      </c>
      <c r="P110" s="33" t="n">
        <v>31.38</v>
      </c>
      <c r="Q110" s="33" t="n">
        <v>30.1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IFERROR(AVERAGE(T110,U110,V110,W110,X110)*20,"")</f>
        <v/>
      </c>
      <c r="Z110" s="33" t="n">
        <v>2</v>
      </c>
      <c r="AA110" s="33" t="n">
        <v>3</v>
      </c>
      <c r="AB110" s="33" t="n">
        <v>3</v>
      </c>
      <c r="AC110" s="71" t="n">
        <v>16.7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IFERROR(AVERAGE(AE110,AF110,AG110,AH110,AL110)*20,"")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2026-05-26</t>
        </is>
      </c>
      <c r="E111" s="33" t="n">
        <v>19.880857</v>
      </c>
      <c r="F111" s="33" t="n">
        <v>22.4</v>
      </c>
      <c r="G111" s="33" t="n">
        <v>4.42</v>
      </c>
      <c r="H111" s="33" t="n">
        <v>7.381683</v>
      </c>
      <c r="I111" s="33">
        <f>IF(OR(E112="",R112="",R112&lt;=0,E112&lt;0),"",E112/R112)</f>
        <v/>
      </c>
      <c r="J111" s="33">
        <f>IFERROR(AVERAGE(IFERROR(IF(E111="","",IF(E111&lt;0,5,IF(E111&lt;=15,90,IF(E111&lt;=20,75,IF(E111&lt;=25,60,IF(E111&lt;=30,45,IF(E111&lt;=40,30,IF(E111&lt;=60,15,5)))))))),""),IFERROR(IF(F111="","",IF(F111&lt;0,5,IF(F111&lt;=20,100,IF(F111&lt;=30,90,IF(F111&lt;=40,75,IF(F111&lt;=55,60,IF(F111&lt;=75,45,IF(F111&lt;=100,30,15)))))))),""),IFERROR(IF(G111="","",IF(G111&gt;=8,100,IF(G111&gt;=6,90,IF(G111&gt;=4,75,IF(G111&gt;=2,60,IF(G111&gt;=1,45,IF(G111&gt;=0,30,15))))))),""),IFERROR(IF(H111="","",IF(H111&lt;=2,90,IF(H111&lt;=4,75,IF(H111&lt;=7,60,IF(H111&lt;=10,45,IF(H111&lt;=15,30,IF(H111&lt;=25,15,5))))))),""),IFERROR(IF(I111="","",IF(I111&lt;=0.5,100,IF(I111&lt;=1,90,IF(I111&lt;=1.5,75,IF(I111&lt;=2,60,IF(I111&lt;=2.5,45,IF(I111&lt;=3,30,15))))))),"")),"")</f>
        <v/>
      </c>
      <c r="K111" s="33" t="n">
        <v>12.1</v>
      </c>
      <c r="L111" s="33" t="n">
        <v>76.56</v>
      </c>
      <c r="M111" s="33" t="n">
        <v>33.12</v>
      </c>
      <c r="N111" s="33" t="n">
        <v>-0.08</v>
      </c>
      <c r="O111" s="33">
        <f>IFERROR(AVERAGE(IFERROR(IF(K111="","",IF(K111&gt;=25,100,IF(K111&gt;=20,90,IF(K111&gt;=15,75,IF(K111&gt;=10,60,IF(K111&gt;=5,45,IF(K111&gt;=0,30,15))))))),""),IFERROR(IF(L111="","",IF(L111&gt;=60,100,IF(L111&gt;=50,90,IF(L111&gt;=40,75,IF(L111&gt;=30,60,IF(L111&gt;=20,45,IF(L111&gt;=10,30,15))))))),""),IFERROR(IF(M111="","",IF(M111&gt;=25,100,IF(M111&gt;=20,90,IF(M111&gt;=15,75,IF(M111&gt;=10,60,IF(M111&gt;=5,45,IF(M111&gt;=0,30,15))))))),""),IFERROR(IF(N111="","",IF(N111&lt;=0,100,IF(N111&lt;=1,90,IF(N111&lt;=2,75,IF(N111&lt;=3,60,IF(N111&lt;=4,45,IF(N111&lt;=5,30,15))))))),"")),"")</f>
        <v/>
      </c>
      <c r="P111" s="33" t="n">
        <v>22.38</v>
      </c>
      <c r="Q111" s="33" t="n">
        <v>22.1</v>
      </c>
      <c r="R111" s="33" t="n">
        <v>2.3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IFERROR(AVERAGE(T111,U111,V111,W111,X111)*20,"")</f>
        <v/>
      </c>
      <c r="Z111" s="33" t="n">
        <v>2</v>
      </c>
      <c r="AA111" s="33" t="n">
        <v>1</v>
      </c>
      <c r="AB111" s="33" t="n">
        <v>3</v>
      </c>
      <c r="AC111" s="71" t="n">
        <v>15.8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IFERROR(AVERAGE(AE111,AF111,AG111,AH111,AL111)*20,"")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2026-05-26</t>
        </is>
      </c>
      <c r="E112" s="33" t="n">
        <v>11.963926</v>
      </c>
      <c r="F112" s="33" t="n">
        <v>11.4</v>
      </c>
      <c r="G112" s="33" t="n">
        <v>10.83</v>
      </c>
      <c r="H112" s="33" t="n">
        <v>3.527924</v>
      </c>
      <c r="I112" s="33">
        <f>IF(OR(E113="",R113="",R113&lt;=0,E113&lt;0),"",E113/R113)</f>
        <v/>
      </c>
      <c r="J112" s="33">
        <f>IFERROR(AVERAGE(IFERROR(IF(E112="","",IF(E112&lt;0,5,IF(E112&lt;=15,90,IF(E112&lt;=20,75,IF(E112&lt;=25,60,IF(E112&lt;=30,45,IF(E112&lt;=40,30,IF(E112&lt;=60,15,5)))))))),""),IFERROR(IF(F112="","",IF(F112&lt;0,5,IF(F112&lt;=20,100,IF(F112&lt;=30,90,IF(F112&lt;=40,75,IF(F112&lt;=55,60,IF(F112&lt;=75,45,IF(F112&lt;=100,30,15)))))))),""),IFERROR(IF(G112="","",IF(G112&gt;=8,100,IF(G112&gt;=6,90,IF(G112&gt;=4,75,IF(G112&gt;=2,60,IF(G112&gt;=1,45,IF(G112&gt;=0,30,15))))))),""),IFERROR(IF(H112="","",IF(H112&lt;=2,90,IF(H112&lt;=4,75,IF(H112&lt;=7,60,IF(H112&lt;=10,45,IF(H112&lt;=15,30,IF(H112&lt;=25,15,5))))))),""),IFERROR(IF(I112="","",IF(I112&lt;=0.5,100,IF(I112&lt;=1,90,IF(I112&lt;=1.5,75,IF(I112&lt;=2,60,IF(I112&lt;=2.5,45,IF(I112&lt;=3,30,15))))))),"")),"")</f>
        <v/>
      </c>
      <c r="K112" s="33" t="n">
        <v>10.1</v>
      </c>
      <c r="L112" s="33" t="n">
        <v>77.68000000000001</v>
      </c>
      <c r="M112" s="33" t="n">
        <v>34.23</v>
      </c>
      <c r="N112" s="33" t="n">
        <v>0.78</v>
      </c>
      <c r="O112" s="33">
        <f>IFERROR(AVERAGE(IFERROR(IF(K112="","",IF(K112&gt;=25,100,IF(K112&gt;=20,90,IF(K112&gt;=15,75,IF(K112&gt;=10,60,IF(K112&gt;=5,45,IF(K112&gt;=0,30,15))))))),""),IFERROR(IF(L112="","",IF(L112&gt;=60,100,IF(L112&gt;=50,90,IF(L112&gt;=40,75,IF(L112&gt;=30,60,IF(L112&gt;=20,45,IF(L112&gt;=10,30,15))))))),""),IFERROR(IF(M112="","",IF(M112&gt;=25,100,IF(M112&gt;=20,90,IF(M112&gt;=15,75,IF(M112&gt;=10,60,IF(M112&gt;=5,45,IF(M112&gt;=0,30,15))))))),""),IFERROR(IF(N112="","",IF(N112&lt;=0,100,IF(N112&lt;=1,90,IF(N112&lt;=2,75,IF(N112&lt;=3,60,IF(N112&lt;=4,45,IF(N112&lt;=5,30,15))))))),"")),"")</f>
        <v/>
      </c>
      <c r="P112" s="33" t="n">
        <v>9.82</v>
      </c>
      <c r="Q112" s="33" t="n">
        <v>12.1</v>
      </c>
      <c r="R112" s="33" t="n">
        <v>17.9</v>
      </c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IFERROR(AVERAGE(T112,U112,V112,W112,X112)*20,"")</f>
        <v/>
      </c>
      <c r="Z112" s="33" t="n">
        <v>4</v>
      </c>
      <c r="AA112" s="33" t="n">
        <v>2</v>
      </c>
      <c r="AB112" s="33" t="n">
        <v>3</v>
      </c>
      <c r="AC112" s="71" t="n">
        <v>20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IFERROR(AVERAGE(AE112,AF112,AG112,AH112,AL112)*20,"")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2026-06-12</t>
        </is>
      </c>
      <c r="E113" s="33" t="n">
        <v>29.516645</v>
      </c>
      <c r="F113" s="33" t="n">
        <v>40.882</v>
      </c>
      <c r="G113" s="33" t="n">
        <v>2.27</v>
      </c>
      <c r="H113" s="33" t="n">
        <v>9.823676000000001</v>
      </c>
      <c r="I113" s="33">
        <f>IF(OR(E114="",R114="",R114&lt;=0,E114&lt;0),"",E114/R114)</f>
        <v/>
      </c>
      <c r="J113" s="33">
        <f>IFERROR(AVERAGE(IFERROR(IF(E113="","",IF(E113&lt;0,5,IF(E113&lt;=15,90,IF(E113&lt;=20,75,IF(E113&lt;=25,60,IF(E113&lt;=30,45,IF(E113&lt;=40,30,IF(E113&lt;=60,15,5)))))))),""),IFERROR(IF(F113="","",IF(F113&lt;0,5,IF(F113&lt;=10,90,IF(F113&lt;=15,75,IF(F113&lt;=20,60,IF(F113&lt;=25,45,IF(F113&lt;=35,30,IF(F113&lt;=50,15,5)))))))),""),IFERROR(IF(G113="","",IF(G113&gt;=8,100,IF(G113&gt;=6,90,IF(G113&gt;=4,75,IF(G113&gt;=2,60,IF(G113&gt;=1,45,IF(G113&gt;=0,30,15))))))),""),IFERROR(IF(H113="","",IF(H113&lt;=2,90,IF(H113&lt;=4,75,IF(H113&lt;=7,60,IF(H113&lt;=10,45,IF(H113&lt;=15,30,IF(H113&lt;=25,15,5))))))),""),IFERROR(IF(I113="","",IF(I113&lt;=0.5,100,IF(I113&lt;=1,90,IF(I113&lt;=1.5,75,IF(I113&lt;=2,60,IF(I113&lt;=2.5,45,IF(I113&lt;=3,30,15))))))),"")),"")</f>
        <v/>
      </c>
      <c r="K113" s="33" t="n"/>
      <c r="L113" s="33" t="n">
        <v>62.14</v>
      </c>
      <c r="M113" s="33" t="n">
        <v>22.29</v>
      </c>
      <c r="N113" s="33" t="n">
        <v>0.25</v>
      </c>
      <c r="O113" s="33">
        <f>IFERROR(AVERAGE(IFERROR(IF(K113="","",IF(K113&gt;=25,100,IF(K113&gt;=20,90,IF(K113&gt;=15,75,IF(K113&gt;=10,60,IF(K113&gt;=5,45,IF(K113&gt;=0,30,15))))))),""),IFERROR(IF(L113="","",IF(L113&gt;=60,100,IF(L113&gt;=50,90,IF(L113&gt;=40,75,IF(L113&gt;=30,60,IF(L113&gt;=20,45,IF(L113&gt;=10,30,15))))))),""),IFERROR(IF(M113="","",IF(M113&gt;=25,100,IF(M113&gt;=20,90,IF(M113&gt;=15,75,IF(M113&gt;=10,60,IF(M113&gt;=5,45,IF(M113&gt;=0,30,15))))))),""),IFERROR(IF(N113="","",IF(N113&lt;=0,100,IF(N113&lt;=1,90,IF(N113&lt;=2,75,IF(N113&lt;=3,60,IF(N113&lt;=4,45,IF(N113&lt;=5,30,15))))))),"")),"")</f>
        <v/>
      </c>
      <c r="P113" s="33" t="n">
        <v>-0.28</v>
      </c>
      <c r="Q113" s="33" t="n">
        <v>31.5</v>
      </c>
      <c r="R113" s="33" t="n">
        <v>35.8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IFERROR(AVERAGE(T113,U113,V113,W113,X113)*20,"")</f>
        <v/>
      </c>
      <c r="Z113" s="33" t="n">
        <v>5</v>
      </c>
      <c r="AA113" s="33" t="n">
        <v>5</v>
      </c>
      <c r="AB113" s="33" t="n">
        <v>3</v>
      </c>
      <c r="AC113" s="71" t="n">
        <v>96.7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IFERROR(AVERAGE(AE113,AF113,AG113,AH113,AL113)*20,"")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2026-05-26</t>
        </is>
      </c>
      <c r="E114" s="33" t="n">
        <v>37.893215</v>
      </c>
      <c r="F114" s="33" t="n">
        <v>46.384</v>
      </c>
      <c r="G114" s="33" t="n">
        <v>-0.06</v>
      </c>
      <c r="H114" s="33" t="n">
        <v>6.590063</v>
      </c>
      <c r="I114" s="33">
        <f>IF(OR(E115="",R115="",R115&lt;=0,E115&lt;0),"",E115/R115)</f>
        <v/>
      </c>
      <c r="J114" s="33">
        <f>IFERROR(AVERAGE(IFERROR(IF(E114="","",IF(E114&lt;0,5,IF(E114&lt;=15,90,IF(E114&lt;=20,75,IF(E114&lt;=25,60,IF(E114&lt;=30,45,IF(E114&lt;=40,30,IF(E114&lt;=60,15,5)))))))),""),IFERROR(IF(F114="","",IF(F114&lt;0,5,IF(F114&lt;=10,90,IF(F114&lt;=15,75,IF(F114&lt;=20,60,IF(F114&lt;=25,45,IF(F114&lt;=35,30,IF(F114&lt;=50,15,5)))))))),""),IFERROR(IF(G114="","",IF(G114&gt;=8,100,IF(G114&gt;=6,90,IF(G114&gt;=4,75,IF(G114&gt;=2,60,IF(G114&gt;=1,45,IF(G114&gt;=0,30,15))))))),""),IFERROR(IF(H114="","",IF(H114&lt;=2,90,IF(H114&lt;=4,75,IF(H114&lt;=7,60,IF(H114&lt;=10,45,IF(H114&lt;=15,30,IF(H114&lt;=25,15,5))))))),""),IFERROR(IF(I114="","",IF(I114&lt;=0.5,100,IF(I114&lt;=1,90,IF(I114&lt;=1.5,75,IF(I114&lt;=2,60,IF(I114&lt;=2.5,45,IF(I114&lt;=3,30,15))))))),"")),"")</f>
        <v/>
      </c>
      <c r="K114" s="33" t="n">
        <v>10</v>
      </c>
      <c r="L114" s="33" t="n">
        <v>21</v>
      </c>
      <c r="M114" s="33" t="n">
        <v>-0.38</v>
      </c>
      <c r="N114" s="33" t="n">
        <v>1.52</v>
      </c>
      <c r="O114" s="33">
        <f>IFERROR(AVERAGE(IFERROR(IF(K114="","",IF(K114&gt;=25,100,IF(K114&gt;=20,90,IF(K114&gt;=15,75,IF(K114&gt;=10,60,IF(K114&gt;=5,45,IF(K114&gt;=0,30,15))))))),""),IFERROR(IF(L114="","",IF(L114&gt;=60,100,IF(L114&gt;=50,90,IF(L114&gt;=40,75,IF(L114&gt;=30,60,IF(L114&gt;=20,45,IF(L114&gt;=10,30,15))))))),""),IFERROR(IF(M114="","",IF(M114&gt;=25,100,IF(M114&gt;=20,90,IF(M114&gt;=15,75,IF(M114&gt;=10,60,IF(M114&gt;=5,45,IF(M114&gt;=0,30,15))))))),""),IFERROR(IF(N114="","",IF(N114&lt;=0,100,IF(N114&lt;=1,90,IF(N114&lt;=2,75,IF(N114&lt;=3,60,IF(N114&lt;=4,45,IF(N114&lt;=5,30,15))))))),"")),"")</f>
        <v/>
      </c>
      <c r="P114" s="33" t="n">
        <v>5.22</v>
      </c>
      <c r="Q114" s="33" t="n">
        <v>30.4</v>
      </c>
      <c r="R114" s="33" t="n">
        <v>51.6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IFERROR(AVERAGE(T114,U114,V114,W114,X114)*20,"")</f>
        <v/>
      </c>
      <c r="Z114" s="33" t="n">
        <v>5</v>
      </c>
      <c r="AA114" s="33" t="n">
        <v>5</v>
      </c>
      <c r="AB114" s="33" t="n">
        <v>2</v>
      </c>
      <c r="AC114" s="71" t="n">
        <v>89.2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IFERROR(AVERAGE(AE114,AF114,AG114,AH114,AL114)*20,"")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2026-06-12</t>
        </is>
      </c>
      <c r="E115" s="33" t="n">
        <v>52.300385</v>
      </c>
      <c r="F115" s="33" t="n">
        <v>89.533</v>
      </c>
      <c r="G115" s="33" t="n">
        <v>0.8100000000000001</v>
      </c>
      <c r="H115" s="33" t="n">
        <v>26.206078</v>
      </c>
      <c r="I115" s="33">
        <f>IF(OR(E116="",R116="",R116&lt;=0,E116&lt;0),"",E116/R116)</f>
        <v/>
      </c>
      <c r="J115" s="33">
        <f>IFERROR(AVERAGE(IFERROR(IF(E115="","",IF(E115&lt;0,5,IF(E115&lt;=15,90,IF(E115&lt;=20,75,IF(E115&lt;=25,60,IF(E115&lt;=30,45,IF(E115&lt;=40,30,IF(E115&lt;=60,15,5)))))))),""),IFERROR(IF(F115="","",IF(F115&lt;0,5,IF(F115&lt;=10,90,IF(F115&lt;=15,75,IF(F115&lt;=20,60,IF(F115&lt;=25,45,IF(F115&lt;=35,30,IF(F115&lt;=50,15,5)))))))),""),IFERROR(IF(G115="","",IF(G115&gt;=8,100,IF(G115&gt;=6,90,IF(G115&gt;=4,75,IF(G115&gt;=2,60,IF(G115&gt;=1,45,IF(G115&gt;=0,30,15))))))),""),IFERROR(IF(H115="","",IF(H115&lt;=2,90,IF(H115&lt;=4,75,IF(H115&lt;=7,60,IF(H115&lt;=10,45,IF(H115&lt;=15,30,IF(H115&lt;=25,15,5))))))),""),IFERROR(IF(I115="","",IF(I115&lt;=0.5,100,IF(I115&lt;=1,90,IF(I115&lt;=1.5,75,IF(I115&lt;=2,60,IF(I115&lt;=2.5,45,IF(I115&lt;=3,30,15))))))),"")),"")</f>
        <v/>
      </c>
      <c r="K115" s="33" t="n">
        <v>24.7</v>
      </c>
      <c r="L115" s="33" t="n">
        <v>55.17</v>
      </c>
      <c r="M115" s="33" t="n">
        <v>21.19</v>
      </c>
      <c r="N115" s="33" t="n">
        <v>-1.57</v>
      </c>
      <c r="O115" s="33">
        <f>IFERROR(AVERAGE(IFERROR(IF(K115="","",IF(K115&gt;=25,100,IF(K115&gt;=20,90,IF(K115&gt;=15,75,IF(K115&gt;=10,60,IF(K115&gt;=5,45,IF(K115&gt;=0,30,15))))))),""),IFERROR(IF(L115="","",IF(L115&gt;=60,100,IF(L115&gt;=50,90,IF(L115&gt;=40,75,IF(L115&gt;=30,60,IF(L115&gt;=20,45,IF(L115&gt;=10,30,15))))))),""),IFERROR(IF(M115="","",IF(M115&gt;=25,100,IF(M115&gt;=20,90,IF(M115&gt;=15,75,IF(M115&gt;=10,60,IF(M115&gt;=5,45,IF(M115&gt;=0,30,15))))))),""),IFERROR(IF(N115="","",IF(N115&lt;=0,100,IF(N115&lt;=1,90,IF(N115&lt;=2,75,IF(N115&lt;=3,60,IF(N115&lt;=4,45,IF(N115&lt;=5,30,15))))))),"")),"")</f>
        <v/>
      </c>
      <c r="P115" s="33" t="n">
        <v>15.86</v>
      </c>
      <c r="Q115" s="33" t="n">
        <v>26.1</v>
      </c>
      <c r="R115" s="33" t="n">
        <v>43.1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IFERROR(AVERAGE(T115,U115,V115,W115,X115)*20,"")</f>
        <v/>
      </c>
      <c r="Z115" s="33" t="n">
        <v>4</v>
      </c>
      <c r="AA115" s="33" t="n">
        <v>5</v>
      </c>
      <c r="AB115" s="33" t="n">
        <v>2</v>
      </c>
      <c r="AC115" s="71" t="n">
        <v>75.8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IFERROR(AVERAGE(AE115,AF115,AG115,AH115,AL115)*20,"")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n">
        <v>46192</v>
      </c>
      <c r="E116" s="33" t="n">
        <v>41.6</v>
      </c>
      <c r="F116" s="33" t="n">
        <v>63</v>
      </c>
      <c r="G116" s="33" t="n">
        <v>0.97</v>
      </c>
      <c r="H116" s="33" t="n">
        <v>34.8</v>
      </c>
      <c r="I116" s="33">
        <f>IF(OR(E117="",R117="",R117&lt;=0,E117&lt;0),"",E117/R117)</f>
        <v/>
      </c>
      <c r="J116" s="33">
        <f>IFERROR(AVERAGE(IFERROR(IF(E116="","",IF(E116&lt;0,5,IF(E116&lt;=15,90,IF(E116&lt;=20,75,IF(E116&lt;=25,60,IF(E116&lt;=30,45,IF(E116&lt;=40,30,IF(E116&lt;=60,15,5)))))))),""),IFERROR(IF(F116="","",IF(F116&lt;0,5,IF(F116&lt;=10,90,IF(F116&lt;=15,75,IF(F116&lt;=20,60,IF(F116&lt;=25,45,IF(F116&lt;=35,30,IF(F116&lt;=50,15,5)))))))),""),IFERROR(IF(G116="","",IF(G116&gt;=8,100,IF(G116&gt;=6,90,IF(G116&gt;=4,75,IF(G116&gt;=2,60,IF(G116&gt;=1,45,IF(G116&gt;=0,30,15))))))),""),IFERROR(IF(H116="","",IF(H116&lt;=2,90,IF(H116&lt;=4,75,IF(H116&lt;=7,60,IF(H116&lt;=10,45,IF(H116&lt;=15,30,IF(H116&lt;=25,15,5))))))),""),IFERROR(IF(I116="","",IF(I116&lt;=0.5,100,IF(I116&lt;=1,90,IF(I116&lt;=1.5,75,IF(I116&lt;=2,60,IF(I116&lt;=2.5,45,IF(I116&lt;=3,30,15))))))),"")),"")</f>
        <v/>
      </c>
      <c r="K116" s="33" t="n">
        <v>49.5</v>
      </c>
      <c r="L116" s="33" t="n">
        <v>68.09999999999999</v>
      </c>
      <c r="M116" s="33" t="n">
        <v>33.7</v>
      </c>
      <c r="N116" s="33" t="n">
        <v>-2.15</v>
      </c>
      <c r="O116" s="33">
        <f>IFERROR(AVERAGE(IFERROR(IF(K116="","",IF(K116&gt;=25,100,IF(K116&gt;=20,90,IF(K116&gt;=15,75,IF(K116&gt;=10,60,IF(K116&gt;=5,45,IF(K116&gt;=0,30,15))))))),""),IFERROR(IF(L116="","",IF(L116&gt;=60,100,IF(L116&gt;=50,90,IF(L116&gt;=40,75,IF(L116&gt;=30,60,IF(L116&gt;=20,45,IF(L116&gt;=10,30,15))))))),""),IFERROR(IF(M116="","",IF(M116&gt;=25,100,IF(M116&gt;=20,90,IF(M116&gt;=15,75,IF(M116&gt;=10,60,IF(M116&gt;=5,45,IF(M116&gt;=0,30,15))))))),""),IFERROR(IF(N116="","",IF(N116&lt;=0,100,IF(N116&lt;=1,90,IF(N116&lt;=2,75,IF(N116&lt;=3,60,IF(N116&lt;=4,45,IF(N116&lt;=5,30,15))))))),"")),"")</f>
        <v/>
      </c>
      <c r="P116" s="33" t="n">
        <v>150</v>
      </c>
      <c r="Q116" s="33" t="n">
        <v>205.7</v>
      </c>
      <c r="R116" s="33" t="n">
        <v>412.5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IFERROR(AVERAGE(T116,U116,V116,W116,X116)*20,"")</f>
        <v/>
      </c>
      <c r="Z116" s="33" t="n">
        <v>5</v>
      </c>
      <c r="AA116" s="33" t="n">
        <v>5</v>
      </c>
      <c r="AB116" s="33" t="n">
        <v>3</v>
      </c>
      <c r="AC116" s="71" t="n">
        <v>40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IFERROR(AVERAGE(AE116,AF116,AG116,AH116,AL116)*20,"")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2026-05-26</t>
        </is>
      </c>
      <c r="E117" s="33" t="n">
        <v>21.107512</v>
      </c>
      <c r="F117" s="33" t="n">
        <v>24.568</v>
      </c>
      <c r="G117" s="33" t="n">
        <v>1.9</v>
      </c>
      <c r="H117" s="33" t="n">
        <v>1.880059</v>
      </c>
      <c r="I117" s="33">
        <f>IF(OR(E118="",R118="",R118&lt;=0,E118&lt;0),"",E118/R118)</f>
        <v/>
      </c>
      <c r="J117" s="33">
        <f>IFERROR(AVERAGE(IFERROR(IF(E117="","",IF(E117&lt;0,5,IF(E117&lt;=15,90,IF(E117&lt;=20,75,IF(E117&lt;=25,60,IF(E117&lt;=30,45,IF(E117&lt;=40,30,IF(E117&lt;=60,15,5)))))))),""),IFERROR(IF(F117="","",IF(F117&lt;0,5,IF(F117&lt;=10,90,IF(F117&lt;=15,75,IF(F117&lt;=20,60,IF(F117&lt;=25,45,IF(F117&lt;=35,30,IF(F117&lt;=50,15,5)))))))),""),IFERROR(IF(G117="","",IF(G117&gt;=8,100,IF(G117&gt;=6,90,IF(G117&gt;=4,75,IF(G117&gt;=2,60,IF(G117&gt;=1,45,IF(G117&gt;=0,30,15))))))),""),IFERROR(IF(H117="","",IF(H117&lt;=2,90,IF(H117&lt;=4,75,IF(H117&lt;=7,60,IF(H117&lt;=10,45,IF(H117&lt;=15,30,IF(H117&lt;=25,15,5))))))),""),IFERROR(IF(I117="","",IF(I117&lt;=0.5,100,IF(I117&lt;=1,90,IF(I117&lt;=1.5,75,IF(I117&lt;=2,60,IF(I117&lt;=2.5,45,IF(I117&lt;=3,30,15))))))),"")),"")</f>
        <v/>
      </c>
      <c r="K117" s="33" t="n">
        <v>15.8</v>
      </c>
      <c r="L117" s="33" t="n">
        <v>9.199999999999999</v>
      </c>
      <c r="M117" s="33" t="n">
        <v>3.77</v>
      </c>
      <c r="N117" s="33" t="n">
        <v>1</v>
      </c>
      <c r="O117" s="33">
        <f>IFERROR(AVERAGE(IFERROR(IF(K117="","",IF(K117&gt;=25,100,IF(K117&gt;=20,90,IF(K117&gt;=15,75,IF(K117&gt;=10,60,IF(K117&gt;=5,45,IF(K117&gt;=0,30,15))))))),""),IFERROR(IF(L117="","",IF(L117&gt;=60,100,IF(L117&gt;=50,90,IF(L117&gt;=40,75,IF(L117&gt;=30,60,IF(L117&gt;=20,45,IF(L117&gt;=10,30,15))))))),""),IFERROR(IF(M117="","",IF(M117&gt;=25,100,IF(M117&gt;=20,90,IF(M117&gt;=15,75,IF(M117&gt;=10,60,IF(M117&gt;=5,45,IF(M117&gt;=0,30,15))))))),""),IFERROR(IF(N117="","",IF(N117&lt;=0,100,IF(N117&lt;=1,90,IF(N117&lt;=2,75,IF(N117&lt;=3,60,IF(N117&lt;=4,45,IF(N117&lt;=5,30,15))))))),"")),"")</f>
        <v/>
      </c>
      <c r="P117" s="33" t="n">
        <v>-0.6899999999999999</v>
      </c>
      <c r="Q117" s="33" t="n">
        <v>16.9</v>
      </c>
      <c r="R117" s="33" t="n">
        <v>17.1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IFERROR(AVERAGE(T117,U117,V117,W117,X117)*20,"")</f>
        <v/>
      </c>
      <c r="Z117" s="33" t="n">
        <v>5</v>
      </c>
      <c r="AA117" s="33" t="n">
        <v>5</v>
      </c>
      <c r="AB117" s="33" t="n">
        <v>3</v>
      </c>
      <c r="AC117" s="71" t="n">
        <v>80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IFERROR(AVERAGE(AE117,AF117,AG117,AH117,AL117)*20,"")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2026-06-12</t>
        </is>
      </c>
      <c r="E118" s="33" t="n">
        <v>24.15682</v>
      </c>
      <c r="F118" s="33" t="n">
        <v>70.56</v>
      </c>
      <c r="G118" s="33" t="n">
        <v>2.14</v>
      </c>
      <c r="H118" s="33" t="n">
        <v>6.135206</v>
      </c>
      <c r="I118" s="33">
        <f>IF(OR(E119="",R119="",R119&lt;=0,E119&lt;0),"",E119/R119)</f>
        <v/>
      </c>
      <c r="J118" s="33">
        <f>IFERROR(AVERAGE(IFERROR(IF(E118="","",IF(E118&lt;0,5,IF(E118&lt;=15,90,IF(E118&lt;=20,75,IF(E118&lt;=25,60,IF(E118&lt;=30,45,IF(E118&lt;=40,30,IF(E118&lt;=60,15,5)))))))),""),IFERROR(IF(F118="","",IF(F118&lt;0,5,IF(F118&lt;=10,90,IF(F118&lt;=15,75,IF(F118&lt;=20,60,IF(F118&lt;=25,45,IF(F118&lt;=35,30,IF(F118&lt;=50,15,5)))))))),""),IFERROR(IF(G118="","",IF(G118&gt;=8,100,IF(G118&gt;=6,90,IF(G118&gt;=4,75,IF(G118&gt;=2,60,IF(G118&gt;=1,45,IF(G118&gt;=0,30,15))))))),""),IFERROR(IF(H118="","",IF(H118&lt;=2,90,IF(H118&lt;=4,75,IF(H118&lt;=7,60,IF(H118&lt;=10,45,IF(H118&lt;=15,30,IF(H118&lt;=25,15,5))))))),""),IFERROR(IF(I118="","",IF(I118&lt;=0.5,100,IF(I118&lt;=1,90,IF(I118&lt;=1.5,75,IF(I118&lt;=2,60,IF(I118&lt;=2.5,45,IF(I118&lt;=3,30,15))))))),"")),"")</f>
        <v/>
      </c>
      <c r="K118" s="33" t="n">
        <v>11.9</v>
      </c>
      <c r="L118" s="33" t="n">
        <v>70.23</v>
      </c>
      <c r="M118" s="33" t="n">
        <v>13.1</v>
      </c>
      <c r="N118" s="33" t="n">
        <v>-1.01</v>
      </c>
      <c r="O118" s="33">
        <f>IFERROR(AVERAGE(IFERROR(IF(K118="","",IF(K118&gt;=25,100,IF(K118&gt;=20,90,IF(K118&gt;=15,75,IF(K118&gt;=10,60,IF(K118&gt;=5,45,IF(K118&gt;=0,30,15))))))),""),IFERROR(IF(L118="","",IF(L118&gt;=60,100,IF(L118&gt;=50,90,IF(L118&gt;=40,75,IF(L118&gt;=30,60,IF(L118&gt;=20,45,IF(L118&gt;=10,30,15))))))),""),IFERROR(IF(M118="","",IF(M118&gt;=25,100,IF(M118&gt;=20,90,IF(M118&gt;=15,75,IF(M118&gt;=10,60,IF(M118&gt;=5,45,IF(M118&gt;=0,30,15))))))),""),IFERROR(IF(N118="","",IF(N118&lt;=0,100,IF(N118&lt;=1,90,IF(N118&lt;=2,75,IF(N118&lt;=3,60,IF(N118&lt;=4,45,IF(N118&lt;=5,30,15))))))),"")),"")</f>
        <v/>
      </c>
      <c r="P118" s="33" t="n">
        <v>9.98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IFERROR(AVERAGE(T118,U118,V118,W118,X118)*20,"")</f>
        <v/>
      </c>
      <c r="Z118" s="33" t="n">
        <v>4</v>
      </c>
      <c r="AA118" s="33" t="n">
        <v>3</v>
      </c>
      <c r="AB118" s="33" t="n">
        <v>3</v>
      </c>
      <c r="AC118" s="71" t="n">
        <v>40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IFERROR(AVERAGE(AE118,AF118,AG118,AH118,AL118)*20,"")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2026-05-26</t>
        </is>
      </c>
      <c r="E119" s="33" t="n">
        <v>78.6221</v>
      </c>
      <c r="F119" s="33" t="n">
        <v>83.3</v>
      </c>
      <c r="G119" s="33" t="n">
        <v>1.17</v>
      </c>
      <c r="H119" s="33" t="n">
        <v>21.680235</v>
      </c>
      <c r="I119" s="33">
        <f>IF(OR(E120="",R120="",R120&lt;=0,E120&lt;0),"",E120/R120)</f>
        <v/>
      </c>
      <c r="J119" s="33">
        <f>IFERROR(AVERAGE(IFERROR(IF(E119="","",IF(E119&lt;0,5,IF(E119&lt;=15,90,IF(E119&lt;=20,75,IF(E119&lt;=25,60,IF(E119&lt;=30,45,IF(E119&lt;=40,30,IF(E119&lt;=60,15,5)))))))),""),IFERROR(IF(F119="","",IF(F119&lt;0,5,IF(F119&lt;=20,100,IF(F119&lt;=30,90,IF(F119&lt;=40,75,IF(F119&lt;=55,60,IF(F119&lt;=75,45,IF(F119&lt;=100,30,15)))))))),""),IFERROR(IF(G119="","",IF(G119&gt;=8,100,IF(G119&gt;=6,90,IF(G119&gt;=4,75,IF(G119&gt;=2,60,IF(G119&gt;=1,45,IF(G119&gt;=0,30,15))))))),""),IFERROR(IF(H119="","",IF(H119&lt;=2,90,IF(H119&lt;=4,75,IF(H119&lt;=7,60,IF(H119&lt;=10,45,IF(H119&lt;=15,30,IF(H119&lt;=25,15,5))))))),""),IFERROR(IF(I119="","",IF(I119&lt;=0.5,100,IF(I119&lt;=1,90,IF(I119&lt;=1.5,75,IF(I119&lt;=2,60,IF(I119&lt;=2.5,45,IF(I119&lt;=3,30,15))))))),"")),"")</f>
        <v/>
      </c>
      <c r="K119" s="33" t="n">
        <v>-0.4</v>
      </c>
      <c r="L119" s="33" t="n">
        <v>79.89</v>
      </c>
      <c r="M119" s="33" t="n">
        <v>26.13</v>
      </c>
      <c r="N119" s="33" t="n">
        <v>3.76</v>
      </c>
      <c r="O119" s="33">
        <f>IFERROR(AVERAGE(IFERROR(IF(K119="","",IF(K119&gt;=25,100,IF(K119&gt;=20,90,IF(K119&gt;=15,75,IF(K119&gt;=10,60,IF(K119&gt;=5,45,IF(K119&gt;=0,30,15))))))),""),IFERROR(IF(L119="","",IF(L119&gt;=60,100,IF(L119&gt;=50,90,IF(L119&gt;=40,75,IF(L119&gt;=30,60,IF(L119&gt;=20,45,IF(L119&gt;=10,30,15))))))),""),IFERROR(IF(M119="","",IF(M119&gt;=25,100,IF(M119&gt;=20,90,IF(M119&gt;=15,75,IF(M119&gt;=10,60,IF(M119&gt;=5,45,IF(M119&gt;=0,30,15))))))),""),IFERROR(IF(N119="","",IF(N119&lt;=0,100,IF(N119&lt;=1,90,IF(N119&lt;=2,75,IF(N119&lt;=3,60,IF(N119&lt;=4,45,IF(N119&lt;=5,30,15))))))),"")),"")</f>
        <v/>
      </c>
      <c r="P119" s="33" t="n">
        <v>26.95</v>
      </c>
      <c r="Q119" s="33" t="n">
        <v>32.2</v>
      </c>
      <c r="R119" s="33" t="n">
        <v>104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IFERROR(AVERAGE(T119,U119,V119,W119,X119)*20,"")</f>
        <v/>
      </c>
      <c r="Z119" s="33" t="n">
        <v>5</v>
      </c>
      <c r="AA119" s="33" t="n">
        <v>5</v>
      </c>
      <c r="AB119" s="33" t="n">
        <v>3</v>
      </c>
      <c r="AC119" s="71" t="n">
        <v>45.8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IFERROR(AVERAGE(AE119,AF119,AG119,AH119,AL119)*20,"")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2026-05-26</t>
        </is>
      </c>
      <c r="E120" s="33" t="n">
        <v>109.03945</v>
      </c>
      <c r="F120" s="33" t="n">
        <v>120.4</v>
      </c>
      <c r="G120" s="33" t="n">
        <v>0.82</v>
      </c>
      <c r="H120" s="33" t="n">
        <v>35.522409</v>
      </c>
      <c r="I120" s="33">
        <f>IF(OR(E121="",R121="",R121&lt;=0,E121&lt;0),"",E121/R121)</f>
        <v/>
      </c>
      <c r="J120" s="33">
        <f>IFERROR(AVERAGE(IFERROR(IF(E120="","",IF(E120&lt;0,5,IF(E120&lt;=15,90,IF(E120&lt;=20,75,IF(E120&lt;=25,60,IF(E120&lt;=30,45,IF(E120&lt;=40,30,IF(E120&lt;=60,15,5)))))))),""),IFERROR(IF(F120="","",IF(F120&lt;0,5,IF(F120&lt;=20,100,IF(F120&lt;=30,90,IF(F120&lt;=40,75,IF(F120&lt;=55,60,IF(F120&lt;=75,45,IF(F120&lt;=100,30,15)))))))),""),IFERROR(IF(G120="","",IF(G120&gt;=8,100,IF(G120&gt;=6,90,IF(G120&gt;=4,75,IF(G120&gt;=2,60,IF(G120&gt;=1,45,IF(G120&gt;=0,30,15))))))),""),IFERROR(IF(H120="","",IF(H120&lt;=2,90,IF(H120&lt;=4,75,IF(H120&lt;=7,60,IF(H120&lt;=10,45,IF(H120&lt;=15,30,IF(H120&lt;=25,15,5))))))),""),IFERROR(IF(I120="","",IF(I120&lt;=0.5,100,IF(I120&lt;=1,90,IF(I120&lt;=1.5,75,IF(I120&lt;=2,60,IF(I120&lt;=2.5,45,IF(I120&lt;=3,30,15))))))),"")),"")</f>
        <v/>
      </c>
      <c r="K120" s="33" t="n">
        <v>-1263.2</v>
      </c>
      <c r="L120" s="33" t="n">
        <v>74.67</v>
      </c>
      <c r="M120" s="33" t="n">
        <v>28.1</v>
      </c>
      <c r="N120" s="33" t="n">
        <v>-24.17</v>
      </c>
      <c r="O120" s="33">
        <f>IFERROR(AVERAGE(IFERROR(IF(K120="","",IF(K120&gt;=25,100,IF(K120&gt;=20,90,IF(K120&gt;=15,75,IF(K120&gt;=10,60,IF(K120&gt;=5,45,IF(K120&gt;=0,30,15))))))),""),IFERROR(IF(L120="","",IF(L120&gt;=60,100,IF(L120&gt;=50,90,IF(L120&gt;=40,75,IF(L120&gt;=30,60,IF(L120&gt;=20,45,IF(L120&gt;=10,30,15))))))),""),IFERROR(IF(M120="","",IF(M120&gt;=25,100,IF(M120&gt;=20,90,IF(M120&gt;=15,75,IF(M120&gt;=10,60,IF(M120&gt;=5,45,IF(M120&gt;=0,30,15))))))),""),IFERROR(IF(N120="","",IF(N120&lt;=0,100,IF(N120&lt;=1,90,IF(N120&lt;=2,75,IF(N120&lt;=3,60,IF(N120&lt;=4,45,IF(N120&lt;=5,30,15))))))),"")),"")</f>
        <v/>
      </c>
      <c r="P120" s="33" t="n">
        <v>29.01</v>
      </c>
      <c r="Q120" s="33" t="n">
        <v>23.3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3</v>
      </c>
      <c r="V120" s="33" t="n">
        <v>4</v>
      </c>
      <c r="W120" s="33" t="n">
        <v>3</v>
      </c>
      <c r="X120" s="33" t="n">
        <v>2</v>
      </c>
      <c r="Y120" s="33">
        <f>IFERROR(AVERAGE(T120,U120,V120,W120,X120)*20,"")</f>
        <v/>
      </c>
      <c r="Z120" s="33" t="n">
        <v>4</v>
      </c>
      <c r="AA120" s="33" t="n">
        <v>5</v>
      </c>
      <c r="AB120" s="33" t="n">
        <v>3</v>
      </c>
      <c r="AC120" s="71" t="n">
        <v>43.3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IFERROR(AVERAGE(AE120,AF120,AG120,AH120,AL120)*20,"")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2026-05-26</t>
        </is>
      </c>
      <c r="E121" s="33" t="n">
        <v>43.39514</v>
      </c>
      <c r="F121" s="33" t="n">
        <v>44.2</v>
      </c>
      <c r="G121" s="33" t="n">
        <v>2.12</v>
      </c>
      <c r="H121" s="33" t="n">
        <v>10.042084</v>
      </c>
      <c r="I121" s="33">
        <f>IF(OR(E122="",R122="",R122&lt;=0,E122&lt;0),"",E122/R122)</f>
        <v/>
      </c>
      <c r="J121" s="33">
        <f>IFERROR(AVERAGE(IFERROR(IF(E121="","",IF(E121&lt;0,5,IF(E121&lt;=15,90,IF(E121&lt;=20,75,IF(E121&lt;=25,60,IF(E121&lt;=30,45,IF(E121&lt;=40,30,IF(E121&lt;=60,15,5)))))))),""),IFERROR(IF(F121="","",IF(F121&lt;0,5,IF(F121&lt;=20,100,IF(F121&lt;=30,90,IF(F121&lt;=40,75,IF(F121&lt;=55,60,IF(F121&lt;=75,45,IF(F121&lt;=100,30,15)))))))),""),IFERROR(IF(G121="","",IF(G121&gt;=8,100,IF(G121&gt;=6,90,IF(G121&gt;=4,75,IF(G121&gt;=2,60,IF(G121&gt;=1,45,IF(G121&gt;=0,30,15))))))),""),IFERROR(IF(H121="","",IF(H121&lt;=2,90,IF(H121&lt;=4,75,IF(H121&lt;=7,60,IF(H121&lt;=10,45,IF(H121&lt;=15,30,IF(H121&lt;=25,15,5))))))),""),IFERROR(IF(I121="","",IF(I121&lt;=0.5,100,IF(I121&lt;=1,90,IF(I121&lt;=1.5,75,IF(I121&lt;=2,60,IF(I121&lt;=2.5,45,IF(I121&lt;=3,30,15))))))),"")),"")</f>
        <v/>
      </c>
      <c r="K121" s="33" t="n">
        <v>-5.7</v>
      </c>
      <c r="L121" s="33" t="n">
        <v>71.75</v>
      </c>
      <c r="M121" s="33" t="n">
        <v>22.72</v>
      </c>
      <c r="N121" s="33" t="n">
        <v>69.34999999999999</v>
      </c>
      <c r="O121" s="33">
        <f>IFERROR(AVERAGE(IFERROR(IF(K121="","",IF(K121&gt;=25,100,IF(K121&gt;=20,90,IF(K121&gt;=15,75,IF(K121&gt;=10,60,IF(K121&gt;=5,45,IF(K121&gt;=0,30,15))))))),""),IFERROR(IF(L121="","",IF(L121&gt;=60,100,IF(L121&gt;=50,90,IF(L121&gt;=40,75,IF(L121&gt;=30,60,IF(L121&gt;=20,45,IF(L121&gt;=10,30,15))))))),""),IFERROR(IF(M121="","",IF(M121&gt;=25,100,IF(M121&gt;=20,90,IF(M121&gt;=15,75,IF(M121&gt;=10,60,IF(M121&gt;=5,45,IF(M121&gt;=0,30,15))))))),""),IFERROR(IF(N121="","",IF(N121&lt;=0,100,IF(N121&lt;=1,90,IF(N121&lt;=2,75,IF(N121&lt;=3,60,IF(N121&lt;=4,45,IF(N121&lt;=5,30,15))))))),"")),"")</f>
        <v/>
      </c>
      <c r="P121" s="33" t="n">
        <v>24.26</v>
      </c>
      <c r="Q121" s="33" t="n">
        <v>26.7</v>
      </c>
      <c r="R121" s="33" t="n">
        <v>2.2</v>
      </c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IFERROR(AVERAGE(T121,U121,V121,W121,X121)*20,"")</f>
        <v/>
      </c>
      <c r="Z121" s="33" t="n">
        <v>4</v>
      </c>
      <c r="AA121" s="33" t="n">
        <v>3</v>
      </c>
      <c r="AB121" s="33" t="n">
        <v>3</v>
      </c>
      <c r="AC121" s="71" t="n">
        <v>42.5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IFERROR(AVERAGE(AE121,AF121,AG121,AH121,AL121)*20,"")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2026-05-26</t>
        </is>
      </c>
      <c r="E122" s="33" t="n">
        <v>12.32414</v>
      </c>
      <c r="F122" s="33" t="n">
        <v>11.8</v>
      </c>
      <c r="G122" s="33" t="n">
        <v>6.72</v>
      </c>
      <c r="H122" s="33" t="n">
        <v>3.583644</v>
      </c>
      <c r="I122" s="33">
        <f>IF(OR(E123="",R123="",R123&lt;=0,E123&lt;0),"",E123/R123)</f>
        <v/>
      </c>
      <c r="J122" s="33">
        <f>IFERROR(AVERAGE(IFERROR(IF(E122="","",IF(E122&lt;0,5,IF(E122&lt;=15,90,IF(E122&lt;=20,75,IF(E122&lt;=25,60,IF(E122&lt;=30,45,IF(E122&lt;=40,30,IF(E122&lt;=60,15,5)))))))),""),IFERROR(IF(F122="","",IF(F122&lt;0,5,IF(F122&lt;=20,100,IF(F122&lt;=30,90,IF(F122&lt;=40,75,IF(F122&lt;=55,60,IF(F122&lt;=75,45,IF(F122&lt;=100,30,15)))))))),""),IFERROR(IF(G122="","",IF(G122&gt;=8,100,IF(G122&gt;=6,90,IF(G122&gt;=4,75,IF(G122&gt;=2,60,IF(G122&gt;=1,45,IF(G122&gt;=0,30,15))))))),""),IFERROR(IF(H122="","",IF(H122&lt;=2,90,IF(H122&lt;=4,75,IF(H122&lt;=7,60,IF(H122&lt;=10,45,IF(H122&lt;=15,30,IF(H122&lt;=25,15,5))))))),""),IFERROR(IF(I122="","",IF(I122&lt;=0.5,100,IF(I122&lt;=1,90,IF(I122&lt;=1.5,75,IF(I122&lt;=2,60,IF(I122&lt;=2.5,45,IF(I122&lt;=3,30,15))))))),"")),"")</f>
        <v/>
      </c>
      <c r="K122" s="33" t="n">
        <v>12.3</v>
      </c>
      <c r="L122" s="33" t="n">
        <v>83.17</v>
      </c>
      <c r="M122" s="33" t="n">
        <v>21.67</v>
      </c>
      <c r="N122" s="33" t="n">
        <v>-10.71</v>
      </c>
      <c r="O122" s="33">
        <f>IFERROR(AVERAGE(IFERROR(IF(K122="","",IF(K122&gt;=25,100,IF(K122&gt;=20,90,IF(K122&gt;=15,75,IF(K122&gt;=10,60,IF(K122&gt;=5,45,IF(K122&gt;=0,30,15))))))),""),IFERROR(IF(L122="","",IF(L122&gt;=60,100,IF(L122&gt;=50,90,IF(L122&gt;=40,75,IF(L122&gt;=30,60,IF(L122&gt;=20,45,IF(L122&gt;=10,30,15))))))),""),IFERROR(IF(M122="","",IF(M122&gt;=25,100,IF(M122&gt;=20,90,IF(M122&gt;=15,75,IF(M122&gt;=10,60,IF(M122&gt;=5,45,IF(M122&gt;=0,30,15))))))),""),IFERROR(IF(N122="","",IF(N122&lt;=0,100,IF(N122&lt;=1,90,IF(N122&lt;=2,75,IF(N122&lt;=3,60,IF(N122&lt;=4,45,IF(N122&lt;=5,30,15))))))),"")),"")</f>
        <v/>
      </c>
      <c r="P122" s="33" t="n">
        <v>15.01</v>
      </c>
      <c r="Q122" s="33" t="n">
        <v>13.6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1</v>
      </c>
      <c r="U122" s="33" t="n">
        <v>2</v>
      </c>
      <c r="V122" s="33" t="n">
        <v>2</v>
      </c>
      <c r="W122" s="33" t="n">
        <v>3</v>
      </c>
      <c r="X122" s="33" t="n">
        <v>1</v>
      </c>
      <c r="Y122" s="33">
        <f>IFERROR(AVERAGE(T122,U122,V122,W122,X122)*20,"")</f>
        <v/>
      </c>
      <c r="Z122" s="33" t="n">
        <v>3</v>
      </c>
      <c r="AA122" s="33" t="n">
        <v>1</v>
      </c>
      <c r="AB122" s="33" t="n">
        <v>3</v>
      </c>
      <c r="AC122" s="71" t="n">
        <v>24.2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4</v>
      </c>
      <c r="AF122" s="33" t="n">
        <v>4</v>
      </c>
      <c r="AG122" s="33" t="n">
        <v>5</v>
      </c>
      <c r="AH122" s="33" t="n">
        <v>5</v>
      </c>
      <c r="AI122" s="33">
        <f>IFERROR(AVERAGE(AE122,AF122,AG122,AH122,AL122)*20,"")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2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2026-05-27</t>
        </is>
      </c>
      <c r="E123" s="61" t="n">
        <v>83.39</v>
      </c>
      <c r="F123" s="61" t="n"/>
      <c r="G123" s="62" t="n">
        <v>0.61</v>
      </c>
      <c r="H123" s="61" t="n">
        <v>10.17</v>
      </c>
      <c r="I123" s="33">
        <f>IF(OR(E124="",R124="",R124&lt;=0,E124&lt;0),"",E124/R124)</f>
        <v/>
      </c>
      <c r="J123" s="63">
        <f>IFERROR(AVERAGE(IFERROR(IF(E123="","",IF(E123&lt;0,5,IF(E123&lt;=15,90,IF(E123&lt;=20,75,IF(E123&lt;=25,60,IF(E123&lt;=30,45,IF(E123&lt;=40,30,IF(E123&lt;=60,15,5)))))))),""),IFERROR(IF(F123="","",IF(F123&lt;0,5,IF(F123&lt;=10,90,IF(F123&lt;=15,75,IF(F123&lt;=20,60,IF(F123&lt;=25,45,IF(F123&lt;=35,30,IF(F123&lt;=50,15,5)))))))),""),IFERROR(IF(G123="","",IF(G123&gt;=8,100,IF(G123&gt;=6,90,IF(G123&gt;=4,75,IF(G123&gt;=2,60,IF(G123&gt;=1,45,IF(G123&gt;=0,30,15))))))),""),IFERROR(IF(H123="","",IF(H123&lt;=2,90,IF(H123&lt;=4,75,IF(H123&lt;=7,60,IF(H123&lt;=10,45,IF(H123&lt;=15,30,IF(H123&lt;=25,15,5))))))),""),IFERROR(IF(I123="","",IF(I123&lt;=0.5,100,IF(I123&lt;=1,90,IF(I123&lt;=1.5,75,IF(I123&lt;=2,60,IF(I123&lt;=2.5,45,IF(I123&lt;=3,30,15))))))),"")),"")</f>
        <v/>
      </c>
      <c r="K123" s="62" t="n">
        <v>-19.8</v>
      </c>
      <c r="L123" s="62" t="n">
        <v>59.19</v>
      </c>
      <c r="M123" s="62" t="n">
        <v>4.49</v>
      </c>
      <c r="N123" s="61" t="n"/>
      <c r="O123" s="63">
        <f>IFERROR(AVERAGE(IFERROR(IF(K123="","",IF(K123&gt;=25,100,IF(K123&gt;=20,90,IF(K123&gt;=15,75,IF(K123&gt;=10,60,IF(K123&gt;=5,45,IF(K123&gt;=0,30,15))))))),""),IFERROR(IF(L123="","",IF(L123&gt;=60,100,IF(L123&gt;=50,90,IF(L123&gt;=40,75,IF(L123&gt;=30,60,IF(L123&gt;=20,45,IF(L123&gt;=10,30,15))))))),""),IFERROR(IF(M123="","",IF(M123&gt;=25,100,IF(M123&gt;=20,90,IF(M123&gt;=15,75,IF(M123&gt;=10,60,IF(M123&gt;=5,45,IF(M123&gt;=0,30,15))))))),""),IFERROR(IF(N123="","",IF(N123&lt;=0,100,IF(N123&lt;=1,90,IF(N123&lt;=2,75,IF(N123&lt;=3,60,IF(N123&lt;=4,45,IF(N123&lt;=5,30,15))))))),"")),"")</f>
        <v/>
      </c>
      <c r="P123" s="62" t="n">
        <v>5</v>
      </c>
      <c r="Q123" s="62" t="n">
        <v>20.1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IFERROR(AVERAGE(T123,U123,V123,W123,X123)*20,"")</f>
        <v/>
      </c>
      <c r="Z123" s="60" t="n">
        <v>3</v>
      </c>
      <c r="AA123" s="60" t="n">
        <v>4</v>
      </c>
      <c r="AB123" s="60" t="n">
        <v>3</v>
      </c>
      <c r="AC123" s="70" t="n">
        <v>32.5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IFERROR(AVERAGE(AE123,AF123,AG123,AH123,AL123)*20,"")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2026-05-27</t>
        </is>
      </c>
      <c r="E124" s="61" t="n">
        <v>49.25</v>
      </c>
      <c r="F124" s="61" t="n"/>
      <c r="G124" s="62" t="n">
        <v>-0.45</v>
      </c>
      <c r="H124" s="61" t="n">
        <v>10.05</v>
      </c>
      <c r="I124" s="33">
        <f>IF(OR(E125="",R125="",R125&lt;=0,E125&lt;0),"",E125/R125)</f>
        <v/>
      </c>
      <c r="J124" s="63">
        <f>IFERROR(AVERAGE(IFERROR(IF(E124="","",IF(E124&lt;0,5,IF(E124&lt;=15,90,IF(E124&lt;=20,75,IF(E124&lt;=25,60,IF(E124&lt;=30,45,IF(E124&lt;=40,30,IF(E124&lt;=60,15,5)))))))),""),IFERROR(IF(F124="","",IF(F124&lt;0,5,IF(F124&lt;=10,90,IF(F124&lt;=15,75,IF(F124&lt;=20,60,IF(F124&lt;=25,45,IF(F124&lt;=35,30,IF(F124&lt;=50,15,5)))))))),""),IFERROR(IF(G124="","",IF(G124&gt;=8,100,IF(G124&gt;=6,90,IF(G124&gt;=4,75,IF(G124&gt;=2,60,IF(G124&gt;=1,45,IF(G124&gt;=0,30,15))))))),""),IFERROR(IF(H124="","",IF(H124&lt;=2,90,IF(H124&lt;=4,75,IF(H124&lt;=7,60,IF(H124&lt;=10,45,IF(H124&lt;=15,30,IF(H124&lt;=25,15,5))))))),""),IFERROR(IF(I124="","",IF(I124&lt;=0.5,100,IF(I124&lt;=1,90,IF(I124&lt;=1.5,75,IF(I124&lt;=2,60,IF(I124&lt;=2.5,45,IF(I124&lt;=3,30,15))))))),"")),"")</f>
        <v/>
      </c>
      <c r="K124" s="62" t="n">
        <v>-3.4</v>
      </c>
      <c r="L124" s="62" t="n">
        <v>87.2</v>
      </c>
      <c r="M124" s="62" t="n">
        <v>-5.13</v>
      </c>
      <c r="N124" s="61" t="n"/>
      <c r="O124" s="63">
        <f>IFERROR(AVERAGE(IFERROR(IF(K124="","",IF(K124&gt;=25,100,IF(K124&gt;=20,90,IF(K124&gt;=15,75,IF(K124&gt;=10,60,IF(K124&gt;=5,45,IF(K124&gt;=0,30,15))))))),""),IFERROR(IF(L124="","",IF(L124&gt;=60,100,IF(L124&gt;=50,90,IF(L124&gt;=40,75,IF(L124&gt;=30,60,IF(L124&gt;=20,45,IF(L124&gt;=10,30,15))))))),""),IFERROR(IF(M124="","",IF(M124&gt;=25,100,IF(M124&gt;=20,90,IF(M124&gt;=15,75,IF(M124&gt;=10,60,IF(M124&gt;=5,45,IF(M124&gt;=0,30,15))))))),""),IFERROR(IF(N124="","",IF(N124&lt;=0,100,IF(N124&lt;=1,90,IF(N124&lt;=2,75,IF(N124&lt;=3,60,IF(N124&lt;=4,45,IF(N124&lt;=5,30,15))))))),"")),"")</f>
        <v/>
      </c>
      <c r="P124" s="62" t="n">
        <v>-3.1</v>
      </c>
      <c r="Q124" s="62" t="n">
        <v>11.5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IFERROR(AVERAGE(T124,U124,V124,W124,X124)*20,"")</f>
        <v/>
      </c>
      <c r="Z124" s="60" t="n">
        <v>2</v>
      </c>
      <c r="AA124" s="60" t="n">
        <v>3</v>
      </c>
      <c r="AB124" s="60" t="n">
        <v>5</v>
      </c>
      <c r="AC124" s="70" t="n">
        <v>54.2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IFERROR(AVERAGE(AE124,AF124,AG124,AH124,AL124)*20,"")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 Equip - IP</t>
        </is>
      </c>
      <c r="D125" s="60" t="inlineStr">
        <is>
          <t>2026-05-27</t>
        </is>
      </c>
      <c r="E125" s="61" t="n">
        <v>230.88</v>
      </c>
      <c r="F125" s="61" t="n"/>
      <c r="G125" s="62" t="n">
        <v>-0.25</v>
      </c>
      <c r="H125" s="61" t="n">
        <v>22.16</v>
      </c>
      <c r="I125" s="33">
        <f>IF(OR(E127="",R127="",R127&lt;=0,E127&lt;0),"",E127/R127)</f>
        <v/>
      </c>
      <c r="J125" s="63">
        <f>IFERROR(AVERAGE(IFERROR(IF(E125="","",IF(E125&lt;0,5,IF(E125&lt;=15,90,IF(E125&lt;=20,75,IF(E125&lt;=25,60,IF(E125&lt;=30,45,IF(E125&lt;=40,30,IF(E125&lt;=60,15,5)))))))),""),IFERROR(IF(F125="","",IF(F125&lt;0,5,IF(F125&lt;=10,90,IF(F125&lt;=15,75,IF(F125&lt;=20,60,IF(F125&lt;=25,45,IF(F125&lt;=35,30,IF(F125&lt;=50,15,5)))))))),""),IFERROR(IF(G125="","",IF(G125&gt;=8,100,IF(G125&gt;=6,90,IF(G125&gt;=4,75,IF(G125&gt;=2,60,IF(G125&gt;=1,45,IF(G125&gt;=0,30,15))))))),""),IFERROR(IF(H125="","",IF(H125&lt;=2,90,IF(H125&lt;=4,75,IF(H125&lt;=7,60,IF(H125&lt;=10,45,IF(H125&lt;=15,30,IF(H125&lt;=25,15,5))))))),""),IFERROR(IF(I125="","",IF(I125&lt;=0.5,100,IF(I125&lt;=1,90,IF(I125&lt;=1.5,75,IF(I125&lt;=2,60,IF(I125&lt;=2.5,45,IF(I125&lt;=3,30,15))))))),"")),"")</f>
        <v/>
      </c>
      <c r="K125" s="62" t="n">
        <v>-40</v>
      </c>
      <c r="L125" s="62" t="n">
        <v>88.8</v>
      </c>
      <c r="M125" s="62" t="n">
        <v>-6.09</v>
      </c>
      <c r="N125" s="61" t="n"/>
      <c r="O125" s="63">
        <f>IFERROR(AVERAGE(IFERROR(IF(K125="","",IF(K125&gt;=25,100,IF(K125&gt;=20,90,IF(K125&gt;=15,75,IF(K125&gt;=10,60,IF(K125&gt;=5,45,IF(K125&gt;=0,30,15))))))),""),IFERROR(IF(L125="","",IF(L125&gt;=60,100,IF(L125&gt;=50,90,IF(L125&gt;=40,75,IF(L125&gt;=30,60,IF(L125&gt;=20,45,IF(L125&gt;=10,30,15))))))),""),IFERROR(IF(M125="","",IF(M125&gt;=25,100,IF(M125&gt;=20,90,IF(M125&gt;=15,75,IF(M125&gt;=10,60,IF(M125&gt;=5,45,IF(M125&gt;=0,30,15))))))),""),IFERROR(IF(N125="","",IF(N125&lt;=0,100,IF(N125&lt;=1,90,IF(N125&lt;=2,75,IF(N125&lt;=3,60,IF(N125&lt;=4,45,IF(N125&lt;=5,30,15))))))),"")),"")</f>
        <v/>
      </c>
      <c r="P125" s="62" t="n">
        <v>11.9</v>
      </c>
      <c r="Q125" s="62" t="n">
        <v>38.7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IFERROR(AVERAGE(T125,U125,V125,W125,X125)*20,"")</f>
        <v/>
      </c>
      <c r="Z125" s="60" t="n">
        <v>4</v>
      </c>
      <c r="AA125" s="60" t="n">
        <v>5</v>
      </c>
      <c r="AB125" s="60" t="n">
        <v>3</v>
      </c>
      <c r="AC125" s="70" t="n">
        <v>74.2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IFERROR(AVERAGE(AE125,AF125,AG125,AH125,AL125)*20,"")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2026-05-27</t>
        </is>
      </c>
      <c r="E126" s="61" t="n">
        <v>24.15</v>
      </c>
      <c r="F126" s="61" t="n">
        <v>26.6</v>
      </c>
      <c r="G126" s="62" t="n">
        <v>2.15</v>
      </c>
      <c r="H126" s="61" t="n">
        <v>5.24</v>
      </c>
      <c r="I126" s="33">
        <f>IF(OR(E128="",R128="",R128&lt;=0,E128&lt;0),"",E128/R128)</f>
        <v/>
      </c>
      <c r="J126" s="63">
        <f>IFERROR(AVERAGE(IFERROR(IF(E126="","",IF(E126&lt;0,5,IF(E126&lt;=15,90,IF(E126&lt;=20,75,IF(E126&lt;=25,60,IF(E126&lt;=30,45,IF(E126&lt;=40,30,IF(E126&lt;=60,15,5)))))))),""),IFERROR(IF(F126="","",IF(F126&lt;0,5,IF(F126&lt;=10,90,IF(F126&lt;=15,75,IF(F126&lt;=20,60,IF(F126&lt;=25,45,IF(F126&lt;=35,30,IF(F126&lt;=50,15,5)))))))),""),IFERROR(IF(G126="","",IF(G126&gt;=8,100,IF(G126&gt;=6,90,IF(G126&gt;=4,75,IF(G126&gt;=2,60,IF(G126&gt;=1,45,IF(G126&gt;=0,30,15))))))),""),IFERROR(IF(H126="","",IF(H126&lt;=2,90,IF(H126&lt;=4,75,IF(H126&lt;=7,60,IF(H126&lt;=10,45,IF(H126&lt;=15,30,IF(H126&lt;=25,15,5))))))),""),IFERROR(IF(I126="","",IF(I126&lt;=0.5,100,IF(I126&lt;=1,90,IF(I126&lt;=1.5,75,IF(I126&lt;=2,60,IF(I126&lt;=2.5,45,IF(I126&lt;=3,30,15))))))),"")),"")</f>
        <v/>
      </c>
      <c r="K126" s="62" t="n">
        <v>8.199999999999999</v>
      </c>
      <c r="L126" s="62" t="n">
        <v>45.1</v>
      </c>
      <c r="M126" s="62" t="n">
        <v>11.9</v>
      </c>
      <c r="N126" s="61" t="n">
        <v>0.9</v>
      </c>
      <c r="O126" s="63">
        <f>IFERROR(AVERAGE(IFERROR(IF(K126="","",IF(K126&gt;=25,100,IF(K126&gt;=20,90,IF(K126&gt;=15,75,IF(K126&gt;=10,60,IF(K126&gt;=5,45,IF(K126&gt;=0,30,15))))))),""),IFERROR(IF(L126="","",IF(L126&gt;=60,100,IF(L126&gt;=50,90,IF(L126&gt;=40,75,IF(L126&gt;=30,60,IF(L126&gt;=20,45,IF(L126&gt;=10,30,15))))))),""),IFERROR(IF(M126="","",IF(M126&gt;=25,100,IF(M126&gt;=20,90,IF(M126&gt;=15,75,IF(M126&gt;=10,60,IF(M126&gt;=5,45,IF(M126&gt;=0,30,15))))))),""),IFERROR(IF(N126="","",IF(N126&lt;=0,100,IF(N126&lt;=1,90,IF(N126&lt;=2,75,IF(N126&lt;=3,60,IF(N126&lt;=4,45,IF(N126&lt;=5,30,15))))))),"")),"")</f>
        <v/>
      </c>
      <c r="P126" s="62" t="n">
        <v>7.4</v>
      </c>
      <c r="Q126" s="62" t="n">
        <v>15.8</v>
      </c>
      <c r="R126" s="62" t="n">
        <v>119.1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IFERROR(AVERAGE(T126,U126,V126,W126,X126)*20,"")</f>
        <v/>
      </c>
      <c r="Z126" s="60" t="n">
        <v>4</v>
      </c>
      <c r="AA126" s="60" t="n">
        <v>5</v>
      </c>
      <c r="AB126" s="60" t="n">
        <v>3</v>
      </c>
      <c r="AC126" s="70" t="n">
        <v>81.7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IFERROR(AVERAGE(AE126,AF126,AG126,AH126,AL126)*20,"")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2026-06-05</t>
        </is>
      </c>
      <c r="E127" s="33" t="n">
        <v>24.315016</v>
      </c>
      <c r="F127" s="33" t="n">
        <v>29.119</v>
      </c>
      <c r="G127" s="33" t="n">
        <v>2.72</v>
      </c>
      <c r="H127" s="33" t="n">
        <v>5.625334</v>
      </c>
      <c r="I127" s="33">
        <f>IF(OR(E128="",R128="",R128&lt;=0,E128&lt;0),"",E128/R128)</f>
        <v/>
      </c>
      <c r="J127" s="33">
        <f>IFERROR(AVERAGE(IFERROR(IF(E127="","",IF(E127&lt;0,5,IF(E127&lt;=15,90,IF(E127&lt;=20,75,IF(E127&lt;=25,60,IF(E127&lt;=30,45,IF(E127&lt;=40,30,IF(E127&lt;=60,15,5)))))))),""),IFERROR(IF(F127="","",IF(F127&lt;0,5,IF(F127&lt;=10,90,IF(F127&lt;=15,75,IF(F127&lt;=20,60,IF(F127&lt;=25,45,IF(F127&lt;=35,30,IF(F127&lt;=50,15,5)))))))),""),IFERROR(IF(G127="","",IF(G127&gt;=8,100,IF(G127&gt;=6,90,IF(G127&gt;=4,75,IF(G127&gt;=2,60,IF(G127&gt;=1,45,IF(G127&gt;=0,30,15))))))),""),IFERROR(IF(H127="","",IF(H127&lt;=2,90,IF(H127&lt;=4,75,IF(H127&lt;=7,60,IF(H127&lt;=10,45,IF(H127&lt;=15,30,IF(H127&lt;=25,15,5))))))),""),IFERROR(IF(I127="","",IF(I127&lt;=0.5,100,IF(I127&lt;=1,90,IF(I127&lt;=1.5,75,IF(I127&lt;=2,60,IF(I127&lt;=2.5,45,IF(I127&lt;=3,30,15))))))),"")),"")</f>
        <v/>
      </c>
      <c r="L127" s="33" t="n">
        <v>21.92</v>
      </c>
      <c r="M127" s="33" t="n">
        <v>14.43</v>
      </c>
      <c r="N127" s="33" t="n">
        <v>-1.48</v>
      </c>
      <c r="O127" s="33">
        <f>IFERROR(AVERAGE(IFERROR(IF(K127="","",IF(K127&gt;=25,100,IF(K127&gt;=20,90,IF(K127&gt;=15,75,IF(K127&gt;=10,60,IF(K127&gt;=5,45,IF(K127&gt;=0,30,15))))))),""),IFERROR(IF(L127="","",IF(L127&gt;=60,100,IF(L127&gt;=50,90,IF(L127&gt;=40,75,IF(L127&gt;=30,60,IF(L127&gt;=20,45,IF(L127&gt;=10,30,15))))))),""),IFERROR(IF(M127="","",IF(M127&gt;=25,100,IF(M127&gt;=20,90,IF(M127&gt;=15,75,IF(M127&gt;=10,60,IF(M127&gt;=5,45,IF(M127&gt;=0,30,15))))))),""),IFERROR(IF(N127="","",IF(N127&lt;=0,100,IF(N127&lt;=1,90,IF(N127&lt;=2,75,IF(N127&lt;=3,60,IF(N127&lt;=4,45,IF(N127&lt;=5,30,15))))))),"")),"")</f>
        <v/>
      </c>
      <c r="P127" s="33" t="n">
        <v>23.23</v>
      </c>
      <c r="Q127" s="33" t="n">
        <v>-4.7</v>
      </c>
      <c r="R127" s="33" t="n">
        <v>-3.9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IFERROR(AVERAGE(T127,U127,V127,W127,X127)*20,"")</f>
        <v/>
      </c>
      <c r="Z127" s="33" t="n">
        <v>5</v>
      </c>
      <c r="AA127" s="33" t="n">
        <v>4</v>
      </c>
      <c r="AB127" s="33" t="n">
        <v>3</v>
      </c>
      <c r="AC127" s="71" t="n">
        <v>70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IFERROR(AVERAGE(AE127,AF127,AG127,AH127,AL127)*20,"")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2026-06-05</t>
        </is>
      </c>
      <c r="E128" s="33" t="n">
        <v>40.285538</v>
      </c>
      <c r="F128" s="33" t="n">
        <v>45.036</v>
      </c>
      <c r="G128" s="33" t="n">
        <v>-1.75</v>
      </c>
      <c r="H128" s="33" t="n">
        <v>6.7182517</v>
      </c>
      <c r="I128" s="33">
        <f>IF(OR(E129="",R129="",R129&lt;=0,E129&lt;0),"",E129/R129)</f>
        <v/>
      </c>
      <c r="J128" s="33">
        <f>IFERROR(AVERAGE(IFERROR(IF(E128="","",IF(E128&lt;0,5,IF(E128&lt;=15,90,IF(E128&lt;=20,75,IF(E128&lt;=25,60,IF(E128&lt;=30,45,IF(E128&lt;=40,30,IF(E128&lt;=60,15,5)))))))),""),IFERROR(IF(F128="","",IF(F128&lt;0,5,IF(F128&lt;=10,90,IF(F128&lt;=15,75,IF(F128&lt;=20,60,IF(F128&lt;=25,45,IF(F128&lt;=35,30,IF(F128&lt;=50,15,5)))))))),""),IFERROR(IF(G128="","",IF(G128&gt;=8,100,IF(G128&gt;=6,90,IF(G128&gt;=4,75,IF(G128&gt;=2,60,IF(G128&gt;=1,45,IF(G128&gt;=0,30,15))))))),""),IFERROR(IF(H128="","",IF(H128&lt;=2,90,IF(H128&lt;=4,75,IF(H128&lt;=7,60,IF(H128&lt;=10,45,IF(H128&lt;=15,30,IF(H128&lt;=25,15,5))))))),""),IFERROR(IF(I128="","",IF(I128&lt;=0.5,100,IF(I128&lt;=1,90,IF(I128&lt;=1.5,75,IF(I128&lt;=2,60,IF(I128&lt;=2.5,45,IF(I128&lt;=3,30,15))))))),"")),"")</f>
        <v/>
      </c>
      <c r="L128" s="33" t="n">
        <v>26.24</v>
      </c>
      <c r="M128" s="33" t="n">
        <v>-11.35</v>
      </c>
      <c r="N128" s="33" t="n">
        <v>1.77</v>
      </c>
      <c r="O128" s="33">
        <f>IFERROR(AVERAGE(IFERROR(IF(K128="","",IF(K128&gt;=25,100,IF(K128&gt;=20,90,IF(K128&gt;=15,75,IF(K128&gt;=10,60,IF(K128&gt;=5,45,IF(K128&gt;=0,30,15))))))),""),IFERROR(IF(L128="","",IF(L128&gt;=60,100,IF(L128&gt;=50,90,IF(L128&gt;=40,75,IF(L128&gt;=30,60,IF(L128&gt;=20,45,IF(L128&gt;=10,30,15))))))),""),IFERROR(IF(M128="","",IF(M128&gt;=25,100,IF(M128&gt;=20,90,IF(M128&gt;=15,75,IF(M128&gt;=10,60,IF(M128&gt;=5,45,IF(M128&gt;=0,30,15))))))),""),IFERROR(IF(N128="","",IF(N128&lt;=0,100,IF(N128&lt;=1,90,IF(N128&lt;=2,75,IF(N128&lt;=3,60,IF(N128&lt;=4,45,IF(N128&lt;=5,30,15))))))),"")),"")</f>
        <v/>
      </c>
      <c r="P128" s="33" t="n">
        <v>17.51</v>
      </c>
      <c r="Q128" s="33" t="n">
        <v>54.3</v>
      </c>
      <c r="R128" s="33" t="n">
        <v>35.9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IFERROR(AVERAGE(T128,U128,V128,W128,X128)*20,"")</f>
        <v/>
      </c>
      <c r="Z128" s="33" t="n">
        <v>5</v>
      </c>
      <c r="AA128" s="33" t="n">
        <v>5</v>
      </c>
      <c r="AB128" s="33" t="n">
        <v>3</v>
      </c>
      <c r="AC128" s="71" t="n">
        <v>65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IFERROR(AVERAGE(AE128,AF128,AG128,AH128,AL128)*20,"")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2026-06-05</t>
        </is>
      </c>
      <c r="F129" s="33" t="n">
        <v>115.395</v>
      </c>
      <c r="G129" s="33" t="n">
        <v>0.59</v>
      </c>
      <c r="H129" s="33" t="n">
        <v>41.696236</v>
      </c>
      <c r="I129" s="33">
        <f>IF(OR(E130="",R130="",R130&lt;=0,E130&lt;0),"",E130/R130)</f>
        <v/>
      </c>
      <c r="J129" s="33">
        <f>IFERROR(AVERAGE(IFERROR(IF(E129="","",IF(E129&lt;0,5,IF(E129&lt;=15,90,IF(E129&lt;=20,75,IF(E129&lt;=25,60,IF(E129&lt;=30,45,IF(E129&lt;=40,30,IF(E129&lt;=60,15,5)))))))),""),IFERROR(IF(F129="","",IF(F129&lt;0,5,IF(F129&lt;=10,90,IF(F129&lt;=15,75,IF(F129&lt;=20,60,IF(F129&lt;=25,45,IF(F129&lt;=35,30,IF(F129&lt;=50,15,5)))))))),""),IFERROR(IF(G129="","",IF(G129&gt;=8,100,IF(G129&gt;=6,90,IF(G129&gt;=4,75,IF(G129&gt;=2,60,IF(G129&gt;=1,45,IF(G129&gt;=0,30,15))))))),""),IFERROR(IF(H129="","",IF(H129&lt;=2,90,IF(H129&lt;=4,75,IF(H129&lt;=7,60,IF(H129&lt;=10,45,IF(H129&lt;=15,30,IF(H129&lt;=25,15,5))))))),""),IFERROR(IF(I129="","",IF(I129&lt;=0.5,100,IF(I129&lt;=1,90,IF(I129&lt;=1.5,75,IF(I129&lt;=2,60,IF(I129&lt;=2.5,45,IF(I129&lt;=3,30,15))))))),"")),"")</f>
        <v/>
      </c>
      <c r="L129" s="33" t="n">
        <v>63.27</v>
      </c>
      <c r="M129" s="33" t="n">
        <v>26.95</v>
      </c>
      <c r="N129" s="33" t="n">
        <v>-0.44</v>
      </c>
      <c r="O129" s="33">
        <f>IFERROR(AVERAGE(IFERROR(IF(K129="","",IF(K129&gt;=25,100,IF(K129&gt;=20,90,IF(K129&gt;=15,75,IF(K129&gt;=10,60,IF(K129&gt;=5,45,IF(K129&gt;=0,30,15))))))),""),IFERROR(IF(L129="","",IF(L129&gt;=60,100,IF(L129&gt;=50,90,IF(L129&gt;=40,75,IF(L129&gt;=30,60,IF(L129&gt;=20,45,IF(L129&gt;=10,30,15))))))),""),IFERROR(IF(M129="","",IF(M129&gt;=25,100,IF(M129&gt;=20,90,IF(M129&gt;=15,75,IF(M129&gt;=10,60,IF(M129&gt;=5,45,IF(M129&gt;=0,30,15))))))),""),IFERROR(IF(N129="","",IF(N129&lt;=0,100,IF(N129&lt;=1,90,IF(N129&lt;=2,75,IF(N129&lt;=3,60,IF(N129&lt;=4,45,IF(N129&lt;=5,30,15))))))),"")),"")</f>
        <v/>
      </c>
      <c r="P129" s="33" t="n">
        <v>-6.48</v>
      </c>
      <c r="Q129" s="33" t="n">
        <v>28.3</v>
      </c>
      <c r="R129" s="33" t="n">
        <v>63.7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IFERROR(AVERAGE(T129,U129,V129,W129,X129)*20,"")</f>
        <v/>
      </c>
      <c r="Z129" s="33" t="n">
        <v>5</v>
      </c>
      <c r="AA129" s="33" t="n">
        <v>5</v>
      </c>
      <c r="AB129" s="33" t="n">
        <v>5</v>
      </c>
      <c r="AC129" s="71" t="n">
        <v>90.8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IFERROR(AVERAGE(AE129,AF129,AG129,AH129,AL129)*20,"")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2026-06-05</t>
        </is>
      </c>
      <c r="E130" s="33" t="n">
        <v>41.809223</v>
      </c>
      <c r="F130" s="33" t="n">
        <v>69.858</v>
      </c>
      <c r="G130" s="33" t="n">
        <v>0.34</v>
      </c>
      <c r="H130" s="33" t="n">
        <v>10.832969</v>
      </c>
      <c r="I130" s="33">
        <f>IF(OR(E131="",R131="",R131&lt;=0,E131&lt;0),"",E131/R131)</f>
        <v/>
      </c>
      <c r="J130" s="33">
        <f>IFERROR(AVERAGE(IFERROR(IF(E130="","",IF(E130&lt;0,5,IF(E130&lt;=15,90,IF(E130&lt;=20,75,IF(E130&lt;=25,60,IF(E130&lt;=30,45,IF(E130&lt;=40,30,IF(E130&lt;=60,15,5)))))))),""),IFERROR(IF(F130="","",IF(F130&lt;0,5,IF(F130&lt;=10,90,IF(F130&lt;=15,75,IF(F130&lt;=20,60,IF(F130&lt;=25,45,IF(F130&lt;=35,30,IF(F130&lt;=50,15,5)))))))),""),IFERROR(IF(G130="","",IF(G130&gt;=8,100,IF(G130&gt;=6,90,IF(G130&gt;=4,75,IF(G130&gt;=2,60,IF(G130&gt;=1,45,IF(G130&gt;=0,30,15))))))),""),IFERROR(IF(H130="","",IF(H130&lt;=2,90,IF(H130&lt;=4,75,IF(H130&lt;=7,60,IF(H130&lt;=10,45,IF(H130&lt;=15,30,IF(H130&lt;=25,15,5))))))),""),IFERROR(IF(I130="","",IF(I130&lt;=0.5,100,IF(I130&lt;=1,90,IF(I130&lt;=1.5,75,IF(I130&lt;=2,60,IF(I130&lt;=2.5,45,IF(I130&lt;=3,30,15))))))),"")),"")</f>
        <v/>
      </c>
      <c r="L130" s="33" t="n">
        <v>42.2</v>
      </c>
      <c r="M130" s="33" t="n">
        <v>4.35</v>
      </c>
      <c r="N130" s="33" t="n">
        <v>-1.98</v>
      </c>
      <c r="O130" s="33">
        <f>IFERROR(AVERAGE(IFERROR(IF(K130="","",IF(K130&gt;=25,100,IF(K130&gt;=20,90,IF(K130&gt;=15,75,IF(K130&gt;=10,60,IF(K130&gt;=5,45,IF(K130&gt;=0,30,15))))))),""),IFERROR(IF(L130="","",IF(L130&gt;=60,100,IF(L130&gt;=50,90,IF(L130&gt;=40,75,IF(L130&gt;=30,60,IF(L130&gt;=20,45,IF(L130&gt;=10,30,15))))))),""),IFERROR(IF(M130="","",IF(M130&gt;=25,100,IF(M130&gt;=20,90,IF(M130&gt;=15,75,IF(M130&gt;=10,60,IF(M130&gt;=5,45,IF(M130&gt;=0,30,15))))))),""),IFERROR(IF(N130="","",IF(N130&lt;=0,100,IF(N130&lt;=1,90,IF(N130&lt;=2,75,IF(N130&lt;=3,60,IF(N130&lt;=4,45,IF(N130&lt;=5,30,15))))))),"")),"")</f>
        <v/>
      </c>
      <c r="P130" s="33" t="n">
        <v>1.62</v>
      </c>
      <c r="Q130" s="33" t="n">
        <v>32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IFERROR(AVERAGE(T130,U130,V130,W130,X130)*20,"")</f>
        <v/>
      </c>
      <c r="Z130" s="33" t="n">
        <v>5</v>
      </c>
      <c r="AA130" s="33" t="n">
        <v>5</v>
      </c>
      <c r="AB130" s="33" t="n">
        <v>3</v>
      </c>
      <c r="AC130" s="71" t="n">
        <v>90.8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IFERROR(AVERAGE(AE130,AF130,AG130,AH130,AL130)*20,"")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2026-06-05</t>
        </is>
      </c>
      <c r="E131" s="33" t="n">
        <v>25.074677</v>
      </c>
      <c r="F131" s="33" t="n">
        <v>41.316</v>
      </c>
      <c r="G131" s="33" t="n">
        <v>0.48</v>
      </c>
      <c r="H131" s="33" t="n">
        <v>6.191235</v>
      </c>
      <c r="I131" s="33">
        <f>IF(OR(E132="",R132="",R132&lt;=0,E132&lt;0),"",E132/R132)</f>
        <v/>
      </c>
      <c r="J131" s="33">
        <f>IFERROR(AVERAGE(IFERROR(IF(E131="","",IF(E131&lt;0,5,IF(E131&lt;=15,90,IF(E131&lt;=20,75,IF(E131&lt;=25,60,IF(E131&lt;=30,45,IF(E131&lt;=40,30,IF(E131&lt;=60,15,5)))))))),""),IFERROR(IF(F131="","",IF(F131&lt;0,5,IF(F131&lt;=10,90,IF(F131&lt;=15,75,IF(F131&lt;=20,60,IF(F131&lt;=25,45,IF(F131&lt;=35,30,IF(F131&lt;=50,15,5)))))))),""),IFERROR(IF(G131="","",IF(G131&gt;=8,100,IF(G131&gt;=6,90,IF(G131&gt;=4,75,IF(G131&gt;=2,60,IF(G131&gt;=1,45,IF(G131&gt;=0,30,15))))))),""),IFERROR(IF(H131="","",IF(H131&lt;=2,90,IF(H131&lt;=4,75,IF(H131&lt;=7,60,IF(H131&lt;=10,45,IF(H131&lt;=15,30,IF(H131&lt;=25,15,5))))))),""),IFERROR(IF(I131="","",IF(I131&lt;=0.5,100,IF(I131&lt;=1,90,IF(I131&lt;=1.5,75,IF(I131&lt;=2,60,IF(I131&lt;=2.5,45,IF(I131&lt;=3,30,15))))))),"")),"")</f>
        <v/>
      </c>
      <c r="L131" s="33" t="n">
        <v>39</v>
      </c>
      <c r="M131" s="33" t="n">
        <v>3.58</v>
      </c>
      <c r="N131" s="33" t="n">
        <v>-0.06</v>
      </c>
      <c r="O131" s="33">
        <f>IFERROR(AVERAGE(IFERROR(IF(K131="","",IF(K131&gt;=25,100,IF(K131&gt;=20,90,IF(K131&gt;=15,75,IF(K131&gt;=10,60,IF(K131&gt;=5,45,IF(K131&gt;=0,30,15))))))),""),IFERROR(IF(L131="","",IF(L131&gt;=60,100,IF(L131&gt;=50,90,IF(L131&gt;=40,75,IF(L131&gt;=30,60,IF(L131&gt;=20,45,IF(L131&gt;=10,30,15))))))),""),IFERROR(IF(M131="","",IF(M131&gt;=25,100,IF(M131&gt;=20,90,IF(M131&gt;=15,75,IF(M131&gt;=10,60,IF(M131&gt;=5,45,IF(M131&gt;=0,30,15))))))),""),IFERROR(IF(N131="","",IF(N131&lt;=0,100,IF(N131&lt;=1,90,IF(N131&lt;=2,75,IF(N131&lt;=3,60,IF(N131&lt;=4,45,IF(N131&lt;=5,30,15))))))),"")),"")</f>
        <v/>
      </c>
      <c r="P131" s="33" t="n">
        <v>-0.85</v>
      </c>
      <c r="Q131" s="33" t="n">
        <v>26.3</v>
      </c>
      <c r="R131" s="33" t="n">
        <v>170.4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IFERROR(AVERAGE(T131,U131,V131,W131,X131)*20,"")</f>
        <v/>
      </c>
      <c r="Z131" s="33" t="n">
        <v>5</v>
      </c>
      <c r="AA131" s="33" t="n">
        <v>5</v>
      </c>
      <c r="AB131" s="33" t="n">
        <v>3</v>
      </c>
      <c r="AC131" s="71" t="n">
        <v>79.2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IFERROR(AVERAGE(AE131,AF131,AG131,AH131,AL131)*20,"")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2026-06-05</t>
        </is>
      </c>
      <c r="E132" s="33" t="n">
        <v>-174.74916</v>
      </c>
      <c r="F132" s="33" t="n">
        <v>-107.91</v>
      </c>
      <c r="G132" s="33" t="n">
        <v>-0.83</v>
      </c>
      <c r="H132" s="33" t="n">
        <v>146.77313</v>
      </c>
      <c r="I132" s="33">
        <f>IF(OR(E133="",R133="",R133&lt;=0,E133&lt;0),"",E133/R133)</f>
        <v/>
      </c>
      <c r="J132" s="33">
        <f>IFERROR(AVERAGE(IFERROR(IF(E132="","",IF(E132&lt;0,5,IF(E132&lt;=15,90,IF(E132&lt;=20,75,IF(E132&lt;=25,60,IF(E132&lt;=30,45,IF(E132&lt;=40,30,IF(E132&lt;=60,15,5)))))))),""),IFERROR(IF(F132="","",IF(F132&lt;0,5,IF(F132&lt;=10,90,IF(F132&lt;=15,75,IF(F132&lt;=20,60,IF(F132&lt;=25,45,IF(F132&lt;=35,30,IF(F132&lt;=50,15,5)))))))),""),IFERROR(IF(G132="","",IF(G132&gt;=8,100,IF(G132&gt;=6,90,IF(G132&gt;=4,75,IF(G132&gt;=2,60,IF(G132&gt;=1,45,IF(G132&gt;=0,30,15))))))),""),IFERROR(IF(H132="","",IF(H132&lt;=2,90,IF(H132&lt;=4,75,IF(H132&lt;=7,60,IF(H132&lt;=10,45,IF(H132&lt;=15,30,IF(H132&lt;=25,15,5))))))),""),IFERROR(IF(I132="","",IF(I132&lt;=0.5,100,IF(I132&lt;=1,90,IF(I132&lt;=1.5,75,IF(I132&lt;=2,60,IF(I132&lt;=2.5,45,IF(I132&lt;=3,30,15))))))),"")),"")</f>
        <v/>
      </c>
      <c r="L132" s="33" t="n">
        <v>30.07</v>
      </c>
      <c r="M132" s="33" t="n">
        <v>-117.41</v>
      </c>
      <c r="O132" s="33">
        <f>IFERROR(AVERAGE(IFERROR(IF(K132="","",IF(K132&gt;=25,100,IF(K132&gt;=20,90,IF(K132&gt;=15,75,IF(K132&gt;=10,60,IF(K132&gt;=5,45,IF(K132&gt;=0,30,15))))))),""),IFERROR(IF(L132="","",IF(L132&gt;=60,100,IF(L132&gt;=50,90,IF(L132&gt;=40,75,IF(L132&gt;=30,60,IF(L132&gt;=20,45,IF(L132&gt;=10,30,15))))))),""),IFERROR(IF(M132="","",IF(M132&gt;=25,100,IF(M132&gt;=20,90,IF(M132&gt;=15,75,IF(M132&gt;=10,60,IF(M132&gt;=5,45,IF(M132&gt;=0,30,15))))))),""),IFERROR(IF(N132="","",IF(N132&lt;=0,100,IF(N132&lt;=1,90,IF(N132&lt;=2,75,IF(N132&lt;=3,60,IF(N132&lt;=4,45,IF(N132&lt;=5,30,15))))))),"")),"")</f>
        <v/>
      </c>
      <c r="P132" s="33" t="n">
        <v>6.56</v>
      </c>
      <c r="Q132" s="33" t="n">
        <v>-38.7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IFERROR(AVERAGE(T132,U132,V132,W132,X132)*20,"")</f>
        <v/>
      </c>
      <c r="Z132" s="33" t="n">
        <v>4</v>
      </c>
      <c r="AA132" s="33" t="n">
        <v>5</v>
      </c>
      <c r="AB132" s="33" t="n">
        <v>3</v>
      </c>
      <c r="AC132" s="71" t="n">
        <v>65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IFERROR(AVERAGE(AE132,AF132,AG132,AH132,AL132)*20,"")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2026-06-05</t>
        </is>
      </c>
      <c r="E133" s="33" t="n">
        <v>58.657845</v>
      </c>
      <c r="F133" s="33" t="n">
        <v>295.255</v>
      </c>
      <c r="G133" s="33" t="n">
        <v>0.64</v>
      </c>
      <c r="H133" s="33" t="n">
        <v>32.358646</v>
      </c>
      <c r="I133" s="33">
        <f>IF(OR(E134="",R134="",R134&lt;=0,E134&lt;0),"",E134/R134)</f>
        <v/>
      </c>
      <c r="J133" s="33">
        <f>IFERROR(AVERAGE(IFERROR(IF(E133="","",IF(E133&lt;0,5,IF(E133&lt;=15,90,IF(E133&lt;=20,75,IF(E133&lt;=25,60,IF(E133&lt;=30,45,IF(E133&lt;=40,30,IF(E133&lt;=60,15,5)))))))),""),IFERROR(IF(F133="","",IF(F133&lt;0,5,IF(F133&lt;=10,90,IF(F133&lt;=15,75,IF(F133&lt;=20,60,IF(F133&lt;=25,45,IF(F133&lt;=35,30,IF(F133&lt;=50,15,5)))))))),""),IFERROR(IF(G133="","",IF(G133&gt;=8,100,IF(G133&gt;=6,90,IF(G133&gt;=4,75,IF(G133&gt;=2,60,IF(G133&gt;=1,45,IF(G133&gt;=0,30,15))))))),""),IFERROR(IF(H133="","",IF(H133&lt;=2,90,IF(H133&lt;=4,75,IF(H133&lt;=7,60,IF(H133&lt;=10,45,IF(H133&lt;=15,30,IF(H133&lt;=25,15,5))))))),""),IFERROR(IF(I133="","",IF(I133&lt;=0.5,100,IF(I133&lt;=1,90,IF(I133&lt;=1.5,75,IF(I133&lt;=2,60,IF(I133&lt;=2.5,45,IF(I133&lt;=3,30,15))))))),"")),"")</f>
        <v/>
      </c>
      <c r="L133" s="33" t="n">
        <v>68.44</v>
      </c>
      <c r="M133" s="33" t="n">
        <v>22.27</v>
      </c>
      <c r="N133" s="33" t="n">
        <v>-1.43</v>
      </c>
      <c r="O133" s="33">
        <f>IFERROR(AVERAGE(IFERROR(IF(K133="","",IF(K133&gt;=25,100,IF(K133&gt;=20,90,IF(K133&gt;=15,75,IF(K133&gt;=10,60,IF(K133&gt;=5,45,IF(K133&gt;=0,30,15))))))),""),IFERROR(IF(L133="","",IF(L133&gt;=60,100,IF(L133&gt;=50,90,IF(L133&gt;=40,75,IF(L133&gt;=30,60,IF(L133&gt;=20,45,IF(L133&gt;=10,30,15))))))),""),IFERROR(IF(M133="","",IF(M133&gt;=25,100,IF(M133&gt;=20,90,IF(M133&gt;=15,75,IF(M133&gt;=10,60,IF(M133&gt;=5,45,IF(M133&gt;=0,30,15))))))),""),IFERROR(IF(N133="","",IF(N133&lt;=0,100,IF(N133&lt;=1,90,IF(N133&lt;=2,75,IF(N133&lt;=3,60,IF(N133&lt;=4,45,IF(N133&lt;=5,30,15))))))),"")),"")</f>
        <v/>
      </c>
      <c r="P133" s="33" t="n">
        <v>-7.46</v>
      </c>
      <c r="Q133" s="33" t="n">
        <v>42.2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IFERROR(AVERAGE(T133,U133,V133,W133,X133)*20,"")</f>
        <v/>
      </c>
      <c r="Z133" s="33" t="n">
        <v>5</v>
      </c>
      <c r="AA133" s="33" t="n">
        <v>5</v>
      </c>
      <c r="AB133" s="33" t="n">
        <v>4</v>
      </c>
      <c r="AC133" s="71" t="n">
        <v>95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IFERROR(AVERAGE(AE133,AF133,AG133,AH133,AL133)*20,"")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2026-06-05</t>
        </is>
      </c>
      <c r="E134" s="33" t="n">
        <v>39.81096</v>
      </c>
      <c r="F134" s="33" t="n">
        <v>58.063</v>
      </c>
      <c r="G134" s="33" t="n">
        <v>2.09</v>
      </c>
      <c r="H134" s="33" t="n">
        <v>21.789188</v>
      </c>
      <c r="I134" s="33">
        <f>IF(OR(E135="",R135="",R135&lt;=0,E135&lt;0),"",E135/R135)</f>
        <v/>
      </c>
      <c r="J134" s="33">
        <f>IFERROR(AVERAGE(IFERROR(IF(E134="","",IF(E134&lt;0,5,IF(E134&lt;=15,90,IF(E134&lt;=20,75,IF(E134&lt;=25,60,IF(E134&lt;=30,45,IF(E134&lt;=40,30,IF(E134&lt;=60,15,5)))))))),""),IFERROR(IF(F134="","",IF(F134&lt;0,5,IF(F134&lt;=10,90,IF(F134&lt;=15,75,IF(F134&lt;=20,60,IF(F134&lt;=25,45,IF(F134&lt;=35,30,IF(F134&lt;=50,15,5)))))))),""),IFERROR(IF(G134="","",IF(G134&gt;=8,100,IF(G134&gt;=6,90,IF(G134&gt;=4,75,IF(G134&gt;=2,60,IF(G134&gt;=1,45,IF(G134&gt;=0,30,15))))))),""),IFERROR(IF(H134="","",IF(H134&lt;=2,90,IF(H134&lt;=4,75,IF(H134&lt;=7,60,IF(H134&lt;=10,45,IF(H134&lt;=15,30,IF(H134&lt;=25,15,5))))))),""),IFERROR(IF(I134="","",IF(I134&lt;=0.5,100,IF(I134&lt;=1,90,IF(I134&lt;=1.5,75,IF(I134&lt;=2,60,IF(I134&lt;=2.5,45,IF(I134&lt;=3,30,15))))))),"")),"")</f>
        <v/>
      </c>
      <c r="L134" s="33" t="n">
        <v>80.41</v>
      </c>
      <c r="M134" s="33" t="n">
        <v>46.48</v>
      </c>
      <c r="N134" s="33" t="n">
        <v>-2.52</v>
      </c>
      <c r="O134" s="33">
        <f>IFERROR(AVERAGE(IFERROR(IF(K134="","",IF(K134&gt;=25,100,IF(K134&gt;=20,90,IF(K134&gt;=15,75,IF(K134&gt;=10,60,IF(K134&gt;=5,45,IF(K134&gt;=0,30,15))))))),""),IFERROR(IF(L134="","",IF(L134&gt;=60,100,IF(L134&gt;=50,90,IF(L134&gt;=40,75,IF(L134&gt;=30,60,IF(L134&gt;=20,45,IF(L134&gt;=10,30,15))))))),""),IFERROR(IF(M134="","",IF(M134&gt;=25,100,IF(M134&gt;=20,90,IF(M134&gt;=15,75,IF(M134&gt;=10,60,IF(M134&gt;=5,45,IF(M134&gt;=0,30,15))))))),""),IFERROR(IF(N134="","",IF(N134&lt;=0,100,IF(N134&lt;=1,90,IF(N134&lt;=2,75,IF(N134&lt;=3,60,IF(N134&lt;=4,45,IF(N134&lt;=5,30,15))))))),"")),"")</f>
        <v/>
      </c>
      <c r="P134" s="33" t="n">
        <v>15.88</v>
      </c>
      <c r="Q134" s="33" t="n">
        <v>8.1</v>
      </c>
      <c r="R134" s="33" t="n">
        <v>-0.7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IFERROR(AVERAGE(T134,U134,V134,W134,X134)*20,"")</f>
        <v/>
      </c>
      <c r="Z134" s="33" t="n">
        <v>4</v>
      </c>
      <c r="AA134" s="33" t="n">
        <v>4</v>
      </c>
      <c r="AB134" s="33" t="n">
        <v>3</v>
      </c>
      <c r="AC134" s="71" t="n">
        <v>56.7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IFERROR(AVERAGE(AE134,AF134,AG134,AH134,AL134)*20,"")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2026-06-10</t>
        </is>
      </c>
      <c r="E135" s="33" t="n">
        <v>31.898638</v>
      </c>
      <c r="F135" s="33" t="n">
        <v>59.95</v>
      </c>
      <c r="G135" s="33" t="n">
        <v>1.14</v>
      </c>
      <c r="H135" s="33" t="n">
        <v>17.259521</v>
      </c>
      <c r="I135" s="33">
        <f>IF(OR(E136="",R136="",R136&lt;=0,E136&lt;0),"",E136/R136)</f>
        <v/>
      </c>
      <c r="J135" s="33">
        <f>IFERROR(AVERAGE(IFERROR(IF(E135="","",IF(E135&lt;0,5,IF(E135&lt;=15,90,IF(E135&lt;=20,75,IF(E135&lt;=25,60,IF(E135&lt;=30,45,IF(E135&lt;=40,30,IF(E135&lt;=60,15,5)))))))),""),IFERROR(IF(F135="","",IF(F135&lt;0,5,IF(F135&lt;=10,90,IF(F135&lt;=15,75,IF(F135&lt;=20,60,IF(F135&lt;=25,45,IF(F135&lt;=35,30,IF(F135&lt;=50,15,5)))))))),""),IFERROR(IF(G135="","",IF(G135&gt;=8,100,IF(G135&gt;=6,90,IF(G135&gt;=4,75,IF(G135&gt;=2,60,IF(G135&gt;=1,45,IF(G135&gt;=0,30,15))))))),""),IFERROR(IF(H135="","",IF(H135&lt;=2,90,IF(H135&lt;=4,75,IF(H135&lt;=7,60,IF(H135&lt;=10,45,IF(H135&lt;=15,30,IF(H135&lt;=25,15,5))))))),""),IFERROR(IF(I135="","",IF(I135&lt;=0.5,100,IF(I135&lt;=1,90,IF(I135&lt;=1.5,75,IF(I135&lt;=2,60,IF(I135&lt;=2.5,45,IF(I135&lt;=3,30,15))))))),"")),"")</f>
        <v/>
      </c>
      <c r="L135" s="33" t="n">
        <v>41.57</v>
      </c>
      <c r="M135" s="33" t="n">
        <v>21.91</v>
      </c>
      <c r="N135" s="33" t="n">
        <v>0.86</v>
      </c>
      <c r="O135" s="33">
        <f>IFERROR(AVERAGE(IFERROR(IF(K135="","",IF(K135&gt;=25,100,IF(K135&gt;=20,90,IF(K135&gt;=15,75,IF(K135&gt;=10,60,IF(K135&gt;=5,45,IF(K135&gt;=0,30,15))))))),""),IFERROR(IF(L135="","",IF(L135&gt;=60,100,IF(L135&gt;=50,90,IF(L135&gt;=40,75,IF(L135&gt;=30,60,IF(L135&gt;=20,45,IF(L135&gt;=10,30,15))))))),""),IFERROR(IF(M135="","",IF(M135&gt;=25,100,IF(M135&gt;=20,90,IF(M135&gt;=15,75,IF(M135&gt;=10,60,IF(M135&gt;=5,45,IF(M135&gt;=0,30,15))))))),""),IFERROR(IF(N135="","",IF(N135&lt;=0,100,IF(N135&lt;=1,90,IF(N135&lt;=2,75,IF(N135&lt;=3,60,IF(N135&lt;=4,45,IF(N135&lt;=5,30,15))))))),"")),"")</f>
        <v/>
      </c>
      <c r="P135" s="33" t="n">
        <v>-7.94</v>
      </c>
      <c r="Q135" s="33" t="n">
        <v>44.1</v>
      </c>
      <c r="R135" s="33" t="n">
        <v>120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IFERROR(AVERAGE(T135,U135,V135,W135,X135)*20,"")</f>
        <v/>
      </c>
      <c r="Z135" s="33" t="n">
        <v>5</v>
      </c>
      <c r="AA135" s="33" t="n">
        <v>5</v>
      </c>
      <c r="AB135" s="33" t="n">
        <v>3</v>
      </c>
      <c r="AC135" s="71" t="n">
        <v>95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IFERROR(AVERAGE(AE135,AF135,AG135,AH135,AL135)*20,"")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2026-06-05</t>
        </is>
      </c>
      <c r="E136" s="33" t="n">
        <v>-435.26764</v>
      </c>
      <c r="F136" s="33" t="n">
        <v>-43.6</v>
      </c>
      <c r="G136" s="33" t="n">
        <v>-2.57</v>
      </c>
      <c r="H136" s="33" t="n">
        <v>6.111559</v>
      </c>
      <c r="I136" s="33">
        <f>IF(OR(E137="",R137="",R137&lt;=0,E137&lt;0),"",E137/R137)</f>
        <v/>
      </c>
      <c r="J136" s="33">
        <f>IFERROR(AVERAGE(IFERROR(IF(E136="","",IF(E136&lt;0,5,IF(E136&lt;=15,90,IF(E136&lt;=20,75,IF(E136&lt;=25,60,IF(E136&lt;=30,45,IF(E136&lt;=40,30,IF(E136&lt;=60,15,5)))))))),""),IFERROR(IF(F136="","",IF(F136&lt;0,5,IF(F136&lt;=20,100,IF(F136&lt;=30,90,IF(F136&lt;=40,75,IF(F136&lt;=55,60,IF(F136&lt;=75,45,IF(F136&lt;=100,30,15)))))))),""),IFERROR(IF(G136="","",IF(G136&gt;=8,100,IF(G136&gt;=6,90,IF(G136&gt;=4,75,IF(G136&gt;=2,60,IF(G136&gt;=1,45,IF(G136&gt;=0,30,15))))))),""),IFERROR(IF(H136="","",IF(H136&lt;=2,90,IF(H136&lt;=4,75,IF(H136&lt;=7,60,IF(H136&lt;=10,45,IF(H136&lt;=15,30,IF(H136&lt;=25,15,5))))))),""),IFERROR(IF(I136="","",IF(I136&lt;=0.5,100,IF(I136&lt;=1,90,IF(I136&lt;=1.5,75,IF(I136&lt;=2,60,IF(I136&lt;=2.5,45,IF(I136&lt;=3,30,15))))))),"")),"")</f>
        <v/>
      </c>
      <c r="L136" s="33" t="n">
        <v>63.39</v>
      </c>
      <c r="M136" s="33" t="n">
        <v>-16.11</v>
      </c>
      <c r="O136" s="33">
        <f>IFERROR(AVERAGE(IFERROR(IF(K136="","",IF(K136&gt;=25,100,IF(K136&gt;=20,90,IF(K136&gt;=15,75,IF(K136&gt;=10,60,IF(K136&gt;=5,45,IF(K136&gt;=0,30,15))))))),""),IFERROR(IF(L136="","",IF(L136&gt;=60,100,IF(L136&gt;=50,90,IF(L136&gt;=40,75,IF(L136&gt;=30,60,IF(L136&gt;=20,45,IF(L136&gt;=10,30,15))))))),""),IFERROR(IF(M136="","",IF(M136&gt;=25,100,IF(M136&gt;=20,90,IF(M136&gt;=15,75,IF(M136&gt;=10,60,IF(M136&gt;=5,45,IF(M136&gt;=0,30,15))))))),""),IFERROR(IF(N136="","",IF(N136&lt;=0,100,IF(N136&lt;=1,90,IF(N136&lt;=2,75,IF(N136&lt;=3,60,IF(N136&lt;=4,45,IF(N136&lt;=5,30,15))))))),"")),"")</f>
        <v/>
      </c>
      <c r="P136" s="33" t="n">
        <v>58.29</v>
      </c>
      <c r="Q136" s="33" t="n">
        <v>36.1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3</v>
      </c>
      <c r="W136" s="33" t="n">
        <v>4</v>
      </c>
      <c r="X136" s="33" t="n">
        <v>1</v>
      </c>
      <c r="Y136" s="33">
        <f>IFERROR(AVERAGE(T136,U136,V136,W136,X136)*20,"")</f>
        <v/>
      </c>
      <c r="Z136" s="33" t="n">
        <v>3</v>
      </c>
      <c r="AA136" s="33" t="n">
        <v>3</v>
      </c>
      <c r="AB136" s="33" t="n">
        <v>3</v>
      </c>
      <c r="AC136" s="71" t="n">
        <v>17.5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3</v>
      </c>
      <c r="AH136" s="33" t="n">
        <v>2</v>
      </c>
      <c r="AI136" s="33">
        <f>IFERROR(AVERAGE(AE136,AF136,AG136,AH136,AL136)*20,"")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2026-06-12</t>
        </is>
      </c>
      <c r="E137" s="33" t="n">
        <v>29.13</v>
      </c>
      <c r="F137" s="33" t="n">
        <v>24.4</v>
      </c>
      <c r="G137" s="33" t="n">
        <v>-8.44</v>
      </c>
      <c r="H137" s="33" t="n">
        <v>9.99</v>
      </c>
      <c r="I137" s="33">
        <f>IF(OR(E137="",R137="",R137&lt;=0,E137&lt;0),"",E137/R137)</f>
        <v/>
      </c>
      <c r="J137" s="33">
        <f>IFERROR(AVERAGE(IFERROR(IF(E137="","",IF(E137&lt;0,5,IF(E137&lt;=15,90,IF(E137&lt;=20,75,IF(E137&lt;=25,60,IF(E137&lt;=30,45,IF(E137&lt;=40,30,IF(E137&lt;=60,15,5)))))))),""),IFERROR(IF(F137="","",IF(F137&lt;0,5,IF(F137&lt;=10,90,IF(F137&lt;=15,75,IF(F137&lt;=20,60,IF(F137&lt;=25,45,IF(F137&lt;=35,30,IF(F137&lt;=50,15,5)))))))),""),IFERROR(IF(G137="","",IF(G137&gt;=8,100,IF(G137&gt;=6,90,IF(G137&gt;=4,75,IF(G137&gt;=2,60,IF(G137&gt;=1,45,IF(G137&gt;=0,30,15))))))),""),IFERROR(IF(H137="","",IF(H137&lt;=2,90,IF(H137&lt;=4,75,IF(H137&lt;=7,60,IF(H137&lt;=10,45,IF(H137&lt;=15,30,IF(H137&lt;=25,15,5))))))),""),IFERROR(IF(I137="","",IF(I137&lt;=0.5,100,IF(I137&lt;=1,90,IF(I137&lt;=1.5,75,IF(I137&lt;=2,60,IF(I137&lt;=2.5,45,IF(I137&lt;=3,30,15))))))),"")),"")</f>
        <v/>
      </c>
      <c r="L137" s="33" t="n">
        <v>46.92</v>
      </c>
      <c r="M137" s="33" t="n">
        <v>-84.29000000000001</v>
      </c>
      <c r="N137" s="33" t="n">
        <v>5.14</v>
      </c>
      <c r="O137" s="33">
        <f>IFERROR(AVERAGE(IFERROR(IF(K137="","",IF(K137&gt;=25,100,IF(K137&gt;=20,90,IF(K137&gt;=15,75,IF(K137&gt;=10,60,IF(K137&gt;=5,45,IF(K137&gt;=0,30,15))))))),""),IFERROR(IF(L137="","",IF(L137&gt;=60,100,IF(L137&gt;=50,90,IF(L137&gt;=40,75,IF(L137&gt;=30,60,IF(L137&gt;=20,45,IF(L137&gt;=10,30,15))))))),""),IFERROR(IF(M137="","",IF(M137&gt;=25,100,IF(M137&gt;=20,90,IF(M137&gt;=15,75,IF(M137&gt;=10,60,IF(M137&gt;=5,45,IF(M137&gt;=0,30,15))))))),""),IFERROR(IF(N137="","",IF(N137&lt;=0,100,IF(N137&lt;=1,90,IF(N137&lt;=2,75,IF(N137&lt;=3,60,IF(N137&lt;=4,45,IF(N137&lt;=5,30,15))))))),"")),"")</f>
        <v/>
      </c>
      <c r="P137" s="33" t="n">
        <v>24.81</v>
      </c>
      <c r="Q137" s="33" t="n">
        <v>55.3</v>
      </c>
      <c r="R137" s="33" t="n">
        <v>303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IFERROR(AVERAGE(T137,U137,V137,W137,X137)*20,"")</f>
        <v/>
      </c>
      <c r="Z137" s="33" t="n">
        <v>5</v>
      </c>
      <c r="AA137" s="33" t="n">
        <v>4</v>
      </c>
      <c r="AB137" s="33" t="n">
        <v>4</v>
      </c>
      <c r="AC137" s="33" t="n">
        <v>79.2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IFERROR(AVERAGE(AE137,AF137,AG137,AH137,AL137)*20,"")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2026-06-12</t>
        </is>
      </c>
      <c r="G138" s="33" t="n">
        <v>-1.81</v>
      </c>
      <c r="H138" s="33" t="n">
        <v>2.7</v>
      </c>
      <c r="I138" s="33">
        <f>IF(OR(E138="",R138="",R138&lt;=0,E138&lt;0),"",E138/R138)</f>
        <v/>
      </c>
      <c r="J138" s="33">
        <f>IFERROR(AVERAGE(IFERROR(IF(E138="","",IF(E138&lt;0,5,IF(E138&lt;=15,90,IF(E138&lt;=20,75,IF(E138&lt;=25,60,IF(E138&lt;=30,45,IF(E138&lt;=40,30,IF(E138&lt;=60,15,5)))))))),""),IFERROR(IF(F138="","",IF(F138&lt;0,5,IF(F138&lt;=10,90,IF(F138&lt;=15,75,IF(F138&lt;=20,60,IF(F138&lt;=25,45,IF(F138&lt;=35,30,IF(F138&lt;=50,15,5)))))))),""),IFERROR(IF(G138="","",IF(G138&gt;=8,100,IF(G138&gt;=6,90,IF(G138&gt;=4,75,IF(G138&gt;=2,60,IF(G138&gt;=1,45,IF(G138&gt;=0,30,15))))))),""),IFERROR(IF(H138="","",IF(H138&lt;=2,90,IF(H138&lt;=4,75,IF(H138&lt;=7,60,IF(H138&lt;=10,45,IF(H138&lt;=15,30,IF(H138&lt;=25,15,5))))))),""),IFERROR(IF(I138="","",IF(I138&lt;=0.5,100,IF(I138&lt;=1,90,IF(I138&lt;=1.5,75,IF(I138&lt;=2,60,IF(I138&lt;=2.5,45,IF(I138&lt;=3,30,15))))))),"")),"")</f>
        <v/>
      </c>
      <c r="L138" s="33" t="n">
        <v>7.6</v>
      </c>
      <c r="M138" s="33" t="n">
        <v>-4.89</v>
      </c>
      <c r="O138" s="33">
        <f>IFERROR(AVERAGE(IFERROR(IF(K138="","",IF(K138&gt;=25,100,IF(K138&gt;=20,90,IF(K138&gt;=15,75,IF(K138&gt;=10,60,IF(K138&gt;=5,45,IF(K138&gt;=0,30,15))))))),""),IFERROR(IF(L138="","",IF(L138&gt;=60,100,IF(L138&gt;=50,90,IF(L138&gt;=40,75,IF(L138&gt;=30,60,IF(L138&gt;=20,45,IF(L138&gt;=10,30,15))))))),""),IFERROR(IF(M138="","",IF(M138&gt;=25,100,IF(M138&gt;=20,90,IF(M138&gt;=15,75,IF(M138&gt;=10,60,IF(M138&gt;=5,45,IF(M138&gt;=0,30,15))))))),""),IFERROR(IF(N138="","",IF(N138&lt;=0,100,IF(N138&lt;=1,90,IF(N138&lt;=2,75,IF(N138&lt;=3,60,IF(N138&lt;=4,45,IF(N138&lt;=5,30,15))))))),"")),"")</f>
        <v/>
      </c>
      <c r="Q138" s="33" t="n">
        <v>232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IFERROR(AVERAGE(T138,U138,V138,W138,X138)*20,"")</f>
        <v/>
      </c>
      <c r="Z138" s="33" t="n">
        <v>3</v>
      </c>
      <c r="AA138" s="33" t="n">
        <v>3</v>
      </c>
      <c r="AB138" s="33" t="n">
        <v>3</v>
      </c>
      <c r="AC138" s="33" t="n">
        <v>53.3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IFERROR(AVERAGE(AE138,AF138,AG138,AH138,AL138)*20,"")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2026-06-12</t>
        </is>
      </c>
      <c r="E139" s="33" t="n">
        <v>12.27</v>
      </c>
      <c r="F139" s="33" t="n">
        <v>10.36</v>
      </c>
      <c r="G139" s="33" t="n">
        <v>2.77</v>
      </c>
      <c r="H139" s="33" t="n">
        <v>1.31</v>
      </c>
      <c r="I139" s="33">
        <f>IF(OR(E139="",R139="",R139&lt;=0,E139&lt;0),"",E139/R139)</f>
        <v/>
      </c>
      <c r="J139" s="33">
        <f>IFERROR(AVERAGE(IFERROR(IF(E139="","",IF(E139&lt;0,5,IF(E139&lt;=15,90,IF(E139&lt;=20,75,IF(E139&lt;=25,60,IF(E139&lt;=30,45,IF(E139&lt;=40,30,IF(E139&lt;=60,15,5)))))))),""),IFERROR(IF(F139="","",IF(F139&lt;0,5,IF(F139&lt;=10,90,IF(F139&lt;=15,75,IF(F139&lt;=20,60,IF(F139&lt;=25,45,IF(F139&lt;=35,30,IF(F139&lt;=50,15,5)))))))),""),IFERROR(IF(G139="","",IF(G139&gt;=8,100,IF(G139&gt;=6,90,IF(G139&gt;=4,75,IF(G139&gt;=2,60,IF(G139&gt;=1,45,IF(G139&gt;=0,30,15))))))),""),IFERROR(IF(H139="","",IF(H139&lt;=2,90,IF(H139&lt;=4,75,IF(H139&lt;=7,60,IF(H139&lt;=10,45,IF(H139&lt;=15,30,IF(H139&lt;=25,15,5))))))),""),IFERROR(IF(I139="","",IF(I139&lt;=0.5,100,IF(I139&lt;=1,90,IF(I139&lt;=1.5,75,IF(I139&lt;=2,60,IF(I139&lt;=2.5,45,IF(I139&lt;=3,30,15))))))),"")),"")</f>
        <v/>
      </c>
      <c r="L139" s="33" t="n">
        <v>24.32</v>
      </c>
      <c r="M139" s="33" t="n">
        <v>3.63</v>
      </c>
      <c r="N139" s="33" t="n">
        <v>1.21</v>
      </c>
      <c r="O139" s="33">
        <f>IFERROR(AVERAGE(IFERROR(IF(K139="","",IF(K139&gt;=25,100,IF(K139&gt;=20,90,IF(K139&gt;=15,75,IF(K139&gt;=10,60,IF(K139&gt;=5,45,IF(K139&gt;=0,30,15))))))),""),IFERROR(IF(L139="","",IF(L139&gt;=60,100,IF(L139&gt;=50,90,IF(L139&gt;=40,75,IF(L139&gt;=30,60,IF(L139&gt;=20,45,IF(L139&gt;=10,30,15))))))),""),IFERROR(IF(M139="","",IF(M139&gt;=25,100,IF(M139&gt;=20,90,IF(M139&gt;=15,75,IF(M139&gt;=10,60,IF(M139&gt;=5,45,IF(M139&gt;=0,30,15))))))),""),IFERROR(IF(N139="","",IF(N139&lt;=0,100,IF(N139&lt;=1,90,IF(N139&lt;=2,75,IF(N139&lt;=3,60,IF(N139&lt;=4,45,IF(N139&lt;=5,30,15))))))),"")),"")</f>
        <v/>
      </c>
      <c r="P139" s="33" t="n">
        <v>14.49</v>
      </c>
      <c r="Q139" s="33" t="n">
        <v>-5.1</v>
      </c>
      <c r="R139" s="33" t="n">
        <v>-61.7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IFERROR(AVERAGE(T139,U139,V139,W139,X139)*20,"")</f>
        <v/>
      </c>
      <c r="Z139" s="33" t="n">
        <v>2</v>
      </c>
      <c r="AA139" s="33" t="n">
        <v>1</v>
      </c>
      <c r="AB139" s="33" t="n">
        <v>3</v>
      </c>
      <c r="AC139" s="33" t="n">
        <v>46.7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IFERROR(AVERAGE(AE139,AF139,AG139,AH139,AL139)*20,"")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2026-06-12</t>
        </is>
      </c>
      <c r="E140" s="33" t="n">
        <v>36.73</v>
      </c>
      <c r="F140" s="33" t="n">
        <v>11.63</v>
      </c>
      <c r="G140" s="33" t="n">
        <v>-0.48</v>
      </c>
      <c r="H140" s="33" t="n">
        <v>1.61</v>
      </c>
      <c r="I140" s="33">
        <f>IF(OR(E140="",R140="",R140&lt;=0,E140&lt;0),"",E140/R140)</f>
        <v/>
      </c>
      <c r="J140" s="33">
        <f>IFERROR(AVERAGE(IFERROR(IF(E140="","",IF(E140&lt;0,5,IF(E140&lt;=15,90,IF(E140&lt;=20,75,IF(E140&lt;=25,60,IF(E140&lt;=30,45,IF(E140&lt;=40,30,IF(E140&lt;=60,15,5)))))))),""),IFERROR(IF(F140="","",IF(F140&lt;0,5,IF(F140&lt;=10,90,IF(F140&lt;=15,75,IF(F140&lt;=20,60,IF(F140&lt;=25,45,IF(F140&lt;=35,30,IF(F140&lt;=50,15,5)))))))),""),IFERROR(IF(G140="","",IF(G140&gt;=8,100,IF(G140&gt;=6,90,IF(G140&gt;=4,75,IF(G140&gt;=2,60,IF(G140&gt;=1,45,IF(G140&gt;=0,30,15))))))),""),IFERROR(IF(H140="","",IF(H140&lt;=2,90,IF(H140&lt;=4,75,IF(H140&lt;=7,60,IF(H140&lt;=10,45,IF(H140&lt;=15,30,IF(H140&lt;=25,15,5))))))),""),IFERROR(IF(I140="","",IF(I140&lt;=0.5,100,IF(I140&lt;=1,90,IF(I140&lt;=1.5,75,IF(I140&lt;=2,60,IF(I140&lt;=2.5,45,IF(I140&lt;=3,30,15))))))),"")),"")</f>
        <v/>
      </c>
      <c r="L140" s="33" t="n">
        <v>22.4</v>
      </c>
      <c r="M140" s="33" t="n">
        <v>-0.77</v>
      </c>
      <c r="N140" s="33" t="n">
        <v>0.19</v>
      </c>
      <c r="O140" s="33">
        <f>IFERROR(AVERAGE(IFERROR(IF(K140="","",IF(K140&gt;=25,100,IF(K140&gt;=20,90,IF(K140&gt;=15,75,IF(K140&gt;=10,60,IF(K140&gt;=5,45,IF(K140&gt;=0,30,15))))))),""),IFERROR(IF(L140="","",IF(L140&gt;=60,100,IF(L140&gt;=50,90,IF(L140&gt;=40,75,IF(L140&gt;=30,60,IF(L140&gt;=20,45,IF(L140&gt;=10,30,15))))))),""),IFERROR(IF(M140="","",IF(M140&gt;=25,100,IF(M140&gt;=20,90,IF(M140&gt;=15,75,IF(M140&gt;=10,60,IF(M140&gt;=5,45,IF(M140&gt;=0,30,15))))))),""),IFERROR(IF(N140="","",IF(N140&lt;=0,100,IF(N140&lt;=1,90,IF(N140&lt;=2,75,IF(N140&lt;=3,60,IF(N140&lt;=4,45,IF(N140&lt;=5,30,15))))))),"")),"")</f>
        <v/>
      </c>
      <c r="P140" s="33" t="n">
        <v>-0.28</v>
      </c>
      <c r="Q140" s="33" t="n">
        <v>-24.7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IFERROR(AVERAGE(T140,U140,V140,W140,X140)*20,"")</f>
        <v/>
      </c>
      <c r="Z140" s="33" t="n">
        <v>4</v>
      </c>
      <c r="AA140" s="33" t="n">
        <v>4</v>
      </c>
      <c r="AB140" s="33" t="n">
        <v>3</v>
      </c>
      <c r="AC140" s="33" t="n">
        <v>85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IFERROR(AVERAGE(AE140,AF140,AG140,AH140,AL140)*20,"")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2026-06-12</t>
        </is>
      </c>
      <c r="E141" s="33" t="n">
        <v>33.85</v>
      </c>
      <c r="G141" s="33" t="n">
        <v>-2.6</v>
      </c>
      <c r="H141" s="33" t="n">
        <v>3.66</v>
      </c>
      <c r="I141" s="33">
        <f>IF(OR(E141="",R141="",R141&lt;=0,E141&lt;0),"",E141/R141)</f>
        <v/>
      </c>
      <c r="J141" s="33">
        <f>IFERROR(AVERAGE(IFERROR(IF(E141="","",IF(E141&lt;0,5,IF(E141&lt;=15,90,IF(E141&lt;=20,75,IF(E141&lt;=25,60,IF(E141&lt;=30,45,IF(E141&lt;=40,30,IF(E141&lt;=60,15,5)))))))),""),IFERROR(IF(F141="","",IF(F141&lt;0,5,IF(F141&lt;=10,90,IF(F141&lt;=15,75,IF(F141&lt;=20,60,IF(F141&lt;=25,45,IF(F141&lt;=35,30,IF(F141&lt;=50,15,5)))))))),""),IFERROR(IF(G141="","",IF(G141&gt;=8,100,IF(G141&gt;=6,90,IF(G141&gt;=4,75,IF(G141&gt;=2,60,IF(G141&gt;=1,45,IF(G141&gt;=0,30,15))))))),""),IFERROR(IF(H141="","",IF(H141&lt;=2,90,IF(H141&lt;=4,75,IF(H141&lt;=7,60,IF(H141&lt;=10,45,IF(H141&lt;=15,30,IF(H141&lt;=25,15,5))))))),""),IFERROR(IF(I141="","",IF(I141&lt;=0.5,100,IF(I141&lt;=1,90,IF(I141&lt;=1.5,75,IF(I141&lt;=2,60,IF(I141&lt;=2.5,45,IF(I141&lt;=3,30,15))))))),"")),"")</f>
        <v/>
      </c>
      <c r="L141" s="33" t="n">
        <v>24.41</v>
      </c>
      <c r="M141" s="33" t="n">
        <v>-9.52</v>
      </c>
      <c r="O141" s="33">
        <f>IFERROR(AVERAGE(IFERROR(IF(K141="","",IF(K141&gt;=25,100,IF(K141&gt;=20,90,IF(K141&gt;=15,75,IF(K141&gt;=10,60,IF(K141&gt;=5,45,IF(K141&gt;=0,30,15))))))),""),IFERROR(IF(L141="","",IF(L141&gt;=60,100,IF(L141&gt;=50,90,IF(L141&gt;=40,75,IF(L141&gt;=30,60,IF(L141&gt;=20,45,IF(L141&gt;=10,30,15))))))),""),IFERROR(IF(M141="","",IF(M141&gt;=25,100,IF(M141&gt;=20,90,IF(M141&gt;=15,75,IF(M141&gt;=10,60,IF(M141&gt;=5,45,IF(M141&gt;=0,30,15))))))),""),IFERROR(IF(N141="","",IF(N141&lt;=0,100,IF(N141&lt;=1,90,IF(N141&lt;=2,75,IF(N141&lt;=3,60,IF(N141&lt;=4,45,IF(N141&lt;=5,30,15))))))),"")),"")</f>
        <v/>
      </c>
      <c r="P141" s="33" t="n">
        <v>-1.2</v>
      </c>
      <c r="Q141" s="33" t="n">
        <v>44.3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IFERROR(AVERAGE(T141,U141,V141,W141,X141)*20,"")</f>
        <v/>
      </c>
      <c r="Z141" s="33" t="n">
        <v>3</v>
      </c>
      <c r="AA141" s="33" t="n">
        <v>5</v>
      </c>
      <c r="AB141" s="33" t="n">
        <v>3</v>
      </c>
      <c r="AC141" s="33" t="n">
        <v>90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IFERROR(AVERAGE(AE141,AF141,AG141,AH141,AL141)*20,"")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2026-06-12</t>
        </is>
      </c>
      <c r="E142" s="33" t="n">
        <v>46.17</v>
      </c>
      <c r="F142" s="33" t="n">
        <v>16.1</v>
      </c>
      <c r="G142" s="33" t="n">
        <v>-35.2</v>
      </c>
      <c r="H142" s="33" t="n">
        <v>11.53</v>
      </c>
      <c r="I142" s="33">
        <f>IF(OR(E142="",R142="",R142&lt;=0,E142&lt;0),"",E142/R142)</f>
        <v/>
      </c>
      <c r="J142" s="33">
        <f>IFERROR(AVERAGE(IFERROR(IF(E142="","",IF(E142&lt;0,5,IF(E142&lt;=15,90,IF(E142&lt;=20,75,IF(E142&lt;=25,60,IF(E142&lt;=30,45,IF(E142&lt;=40,30,IF(E142&lt;=60,15,5)))))))),""),IFERROR(IF(F142="","",IF(F142&lt;=2,100,IF(F142&lt;=4,90,IF(F142&lt;=6,75,IF(F142&lt;=9,60,IF(F142&lt;=12,45,IF(F142&lt;=18,30,15))))))),""),IFERROR(IF(G142="","",IF(G142&gt;=8,100,IF(G142&gt;=6,90,IF(G142&gt;=4,75,IF(G142&gt;=2,60,IF(G142&gt;=1,45,IF(G142&gt;=0,30,15))))))),""),IFERROR(IF(H142="","",IF(H142&lt;=2,90,IF(H142&lt;=4,75,IF(H142&lt;=7,60,IF(H142&lt;=10,45,IF(H142&lt;=15,30,IF(H142&lt;=25,15,5))))))),""),IFERROR(IF(I142="","",IF(I142&lt;=0.5,100,IF(I142&lt;=1,90,IF(I142&lt;=1.5,75,IF(I142&lt;=2,60,IF(I142&lt;=2.5,45,IF(I142&lt;=3,30,15))))))),"")),"")</f>
        <v/>
      </c>
      <c r="L142" s="33" t="n">
        <v>61.9</v>
      </c>
      <c r="M142" s="33" t="n">
        <v>-398</v>
      </c>
      <c r="O142" s="33">
        <f>IFERROR(AVERAGE(IFERROR(IF(K142="","",IF(K142&gt;=25,100,IF(K142&gt;=20,90,IF(K142&gt;=15,75,IF(K142&gt;=10,60,IF(K142&gt;=5,45,IF(K142&gt;=0,30,15))))))),""),IFERROR(IF(L142="","",IF(L142&gt;=60,100,IF(L142&gt;=50,90,IF(L142&gt;=40,75,IF(L142&gt;=30,60,IF(L142&gt;=20,45,IF(L142&gt;=10,30,15))))))),""),IFERROR(IF(M142="","",IF(M142&gt;=25,100,IF(M142&gt;=20,90,IF(M142&gt;=15,75,IF(M142&gt;=10,60,IF(M142&gt;=5,45,IF(M142&gt;=0,30,15))))))),""),IFERROR(IF(N142="","",IF(N142&lt;=0,100,IF(N142&lt;=1,90,IF(N142&lt;=2,75,IF(N142&lt;=3,60,IF(N142&lt;=4,45,IF(N142&lt;=5,30,15))))))),"")),"")</f>
        <v/>
      </c>
      <c r="Q142" s="33" t="n">
        <v>31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IFERROR(AVERAGE(T142,U142,V142,W142,X142)*20,"")</f>
        <v/>
      </c>
      <c r="Z142" s="33" t="n">
        <v>3</v>
      </c>
      <c r="AA142" s="33" t="n">
        <v>3</v>
      </c>
      <c r="AB142" s="33" t="n">
        <v>3</v>
      </c>
      <c r="AC142" s="33" t="n">
        <v>51.7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IFERROR(AVERAGE(AE142,AF142,AG142,AH142,AL142)*20,"")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2026-06-12</t>
        </is>
      </c>
      <c r="F143" s="33" t="n">
        <v>9.300000000000001</v>
      </c>
      <c r="G143" s="33" t="n">
        <v>-5.91</v>
      </c>
      <c r="H143" s="33" t="n">
        <v>685.4</v>
      </c>
      <c r="I143" s="33">
        <f>IF(OR(E143="",R143="",R143&lt;=0,E143&lt;0),"",E143/R143)</f>
        <v/>
      </c>
      <c r="J143" s="33">
        <f>IFERROR(AVERAGE(IFERROR(IF(E143="","",IF(E143&lt;0,5,IF(E143&lt;=15,90,IF(E143&lt;=20,75,IF(E143&lt;=25,60,IF(E143&lt;=30,45,IF(E143&lt;=40,30,IF(E143&lt;=60,15,5)))))))),""),IFERROR(IF(F143="","",IF(F143&lt;=2,100,IF(F143&lt;=4,90,IF(F143&lt;=6,75,IF(F143&lt;=9,60,IF(F143&lt;=12,45,IF(F143&lt;=18,30,15))))))),""),IFERROR(IF(G143="","",IF(G143&gt;=8,100,IF(G143&gt;=6,90,IF(G143&gt;=4,75,IF(G143&gt;=2,60,IF(G143&gt;=1,45,IF(G143&gt;=0,30,15))))))),""),IFERROR(IF(H143="","",IF(H143&lt;=2,90,IF(H143&lt;=4,75,IF(H143&lt;=7,60,IF(H143&lt;=10,45,IF(H143&lt;=15,30,IF(H143&lt;=25,15,5))))))),""),IFERROR(IF(I143="","",IF(I143&lt;=0.5,100,IF(I143&lt;=1,90,IF(I143&lt;=1.5,75,IF(I143&lt;=2,60,IF(I143&lt;=2.5,45,IF(I143&lt;=3,30,15))))))),"")),"")</f>
        <v/>
      </c>
      <c r="O143" s="33">
        <f>IFERROR(AVERAGE(IFERROR(IF(K143="","",IF(K143&gt;=25,100,IF(K143&gt;=20,90,IF(K143&gt;=15,75,IF(K143&gt;=10,60,IF(K143&gt;=5,45,IF(K143&gt;=0,30,15))))))),""),IFERROR(IF(L143="","",IF(L143&gt;=60,100,IF(L143&gt;=50,90,IF(L143&gt;=40,75,IF(L143&gt;=30,60,IF(L143&gt;=20,45,IF(L143&gt;=10,30,15))))))),""),IFERROR(IF(M143="","",IF(M143&gt;=25,100,IF(M143&gt;=20,90,IF(M143&gt;=15,75,IF(M143&gt;=10,60,IF(M143&gt;=5,45,IF(M143&gt;=0,30,15))))))),""),IFERROR(IF(N143="","",IF(N143&lt;=0,100,IF(N143&lt;=1,90,IF(N143&lt;=2,75,IF(N143&lt;=3,60,IF(N143&lt;=4,45,IF(N143&lt;=5,30,15))))))),"")),"")</f>
        <v/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IFERROR(AVERAGE(T143,U143,V143,W143,X143)*20,"")</f>
        <v/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IFERROR(AVERAGE(AE143,AF143,AG143,AH143,AL143)*20,"")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2026-06-12</t>
        </is>
      </c>
      <c r="E144" s="33" t="n">
        <v>15.54</v>
      </c>
      <c r="F144" s="33" t="n">
        <v>1.8</v>
      </c>
      <c r="G144" s="33" t="n">
        <v>-11.64</v>
      </c>
      <c r="H144" s="33" t="n">
        <v>3.88</v>
      </c>
      <c r="I144" s="33">
        <f>IF(OR(E144="",R144="",R144&lt;=0,E144&lt;0),"",E144/R144)</f>
        <v/>
      </c>
      <c r="J144" s="33">
        <f>IFERROR(AVERAGE(IFERROR(IF(E144="","",IF(E144&lt;0,5,IF(E144&lt;=15,90,IF(E144&lt;=20,75,IF(E144&lt;=25,60,IF(E144&lt;=30,45,IF(E144&lt;=40,30,IF(E144&lt;=60,15,5)))))))),""),IFERROR(IF(F144="","",IF(F144&lt;=2,100,IF(F144&lt;=4,90,IF(F144&lt;=6,75,IF(F144&lt;=9,60,IF(F144&lt;=12,45,IF(F144&lt;=18,30,15))))))),""),IFERROR(IF(G144="","",IF(G144&gt;=8,100,IF(G144&gt;=6,90,IF(G144&gt;=4,75,IF(G144&gt;=2,60,IF(G144&gt;=1,45,IF(G144&gt;=0,30,15))))))),""),IFERROR(IF(H144="","",IF(H144&lt;=2,90,IF(H144&lt;=4,75,IF(H144&lt;=7,60,IF(H144&lt;=10,45,IF(H144&lt;=15,30,IF(H144&lt;=25,15,5))))))),""),IFERROR(IF(I144="","",IF(I144&lt;=0.5,100,IF(I144&lt;=1,90,IF(I144&lt;=1.5,75,IF(I144&lt;=2,60,IF(I144&lt;=2.5,45,IF(I144&lt;=3,30,15))))))),"")),"")</f>
        <v/>
      </c>
      <c r="L144" s="33" t="n">
        <v>38.56</v>
      </c>
      <c r="M144" s="33" t="n">
        <v>-45.15</v>
      </c>
      <c r="N144" s="33" t="n">
        <v>-0.21</v>
      </c>
      <c r="O144" s="33">
        <f>IFERROR(AVERAGE(IFERROR(IF(K144="","",IF(K144&gt;=25,100,IF(K144&gt;=20,90,IF(K144&gt;=15,75,IF(K144&gt;=10,60,IF(K144&gt;=5,45,IF(K144&gt;=0,30,15))))))),""),IFERROR(IF(L144="","",IF(L144&gt;=60,100,IF(L144&gt;=50,90,IF(L144&gt;=40,75,IF(L144&gt;=30,60,IF(L144&gt;=20,45,IF(L144&gt;=10,30,15))))))),""),IFERROR(IF(M144="","",IF(M144&gt;=25,100,IF(M144&gt;=20,90,IF(M144&gt;=15,75,IF(M144&gt;=10,60,IF(M144&gt;=5,45,IF(M144&gt;=0,30,15))))))),""),IFERROR(IF(N144="","",IF(N144&lt;=0,100,IF(N144&lt;=1,90,IF(N144&lt;=2,75,IF(N144&lt;=3,60,IF(N144&lt;=4,45,IF(N144&lt;=5,30,15))))))),"")),"")</f>
        <v/>
      </c>
      <c r="P144" s="33" t="n">
        <v>40.96</v>
      </c>
      <c r="Q144" s="33" t="n">
        <v>218.6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IFERROR(AVERAGE(T144,U144,V144,W144,X144)*20,"")</f>
        <v/>
      </c>
      <c r="Z144" s="33" t="n">
        <v>3</v>
      </c>
      <c r="AA144" s="33" t="n">
        <v>3</v>
      </c>
      <c r="AB144" s="33" t="n">
        <v>2</v>
      </c>
      <c r="AC144" s="33" t="n">
        <v>41.7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IFERROR(AVERAGE(AE144,AF144,AG144,AH144,AL144)*20,"")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2026-06-15</t>
        </is>
      </c>
      <c r="E145" s="33" t="n">
        <v>33.3</v>
      </c>
      <c r="F145" s="33" t="n">
        <v>32.7</v>
      </c>
      <c r="G145" s="33" t="n">
        <v>1.3</v>
      </c>
      <c r="H145" s="33" t="n">
        <v>15.5</v>
      </c>
      <c r="I145" s="33">
        <f>IF(OR(E145="",R145="",R145&lt;=0,E145&lt;0),"",E145/R145)</f>
        <v/>
      </c>
      <c r="J145" s="33">
        <f>IFERROR(AVERAGE(IFERROR(IF(E145="","",IF(E145&lt;0,5,IF(E145&lt;=15,90,IF(E145&lt;=20,75,IF(E145&lt;=25,60,IF(E145&lt;=30,45,IF(E145&lt;=40,30,IF(E145&lt;=60,15,5)))))))),""),IFERROR(IF(F145="","",IF(F145&lt;0,5,IF(F145&lt;=10,90,IF(F145&lt;=15,75,IF(F145&lt;=20,60,IF(F145&lt;=25,45,IF(F145&lt;=35,30,IF(F145&lt;=50,15,5)))))))),""),IFERROR(IF(G145="","",IF(G145&gt;=8,100,IF(G145&gt;=6,90,IF(G145&gt;=4,75,IF(G145&gt;=2,60,IF(G145&gt;=1,45,IF(G145&gt;=0,30,15))))))),""),IFERROR(IF(H145="","",IF(H145&lt;=2,90,IF(H145&lt;=4,75,IF(H145&lt;=7,60,IF(H145&lt;=10,45,IF(H145&lt;=15,30,IF(H145&lt;=25,15,5))))))),""),IFERROR(IF(I145="","",IF(I145&lt;=0.5,100,IF(I145&lt;=1,90,IF(I145&lt;=1.5,75,IF(I145&lt;=2,60,IF(I145&lt;=2.5,45,IF(I145&lt;=3,30,15))))))),"")),"")</f>
        <v/>
      </c>
      <c r="K145" s="33" t="n">
        <v>19.2</v>
      </c>
      <c r="L145" s="33" t="n">
        <v>57.3</v>
      </c>
      <c r="M145" s="33" t="n">
        <v>20.2</v>
      </c>
      <c r="N145" s="33" t="n">
        <v>1.06</v>
      </c>
      <c r="O145" s="33">
        <f>IFERROR(AVERAGE(IFERROR(IF(K145="","",IF(K145&gt;=25,100,IF(K145&gt;=20,90,IF(K145&gt;=15,75,IF(K145&gt;=10,60,IF(K145&gt;=5,45,IF(K145&gt;=0,30,15))))))),""),IFERROR(IF(L145="","",IF(L145&gt;=60,100,IF(L145&gt;=50,90,IF(L145&gt;=40,75,IF(L145&gt;=30,60,IF(L145&gt;=20,45,IF(L145&gt;=10,30,15))))))),""),IFERROR(IF(M145="","",IF(M145&gt;=25,100,IF(M145&gt;=20,90,IF(M145&gt;=15,75,IF(M145&gt;=10,60,IF(M145&gt;=5,45,IF(M145&gt;=0,30,15))))))),""),IFERROR(IF(N145="","",IF(N145&lt;=0,100,IF(N145&lt;=1,90,IF(N145&lt;=2,75,IF(N145&lt;=3,60,IF(N145&lt;=4,45,IF(N145&lt;=5,30,15))))))),"")),"")</f>
        <v/>
      </c>
      <c r="P145" s="33" t="n">
        <v>-4.1</v>
      </c>
      <c r="Q145" s="33" t="n">
        <v>18.6</v>
      </c>
      <c r="R145" s="33" t="n">
        <v>31.3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IFERROR(AVERAGE(T145,U145,V145,W145,X145)*20,"")</f>
        <v/>
      </c>
      <c r="Z145" s="33" t="n">
        <v>5</v>
      </c>
      <c r="AA145" s="33" t="n">
        <v>3</v>
      </c>
      <c r="AB145" s="33" t="n">
        <v>3</v>
      </c>
      <c r="AC145" s="33" t="n">
        <v>80.8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IFERROR(AVERAGE(AE145,AF145,AG145,AH145,AL145)*20,"")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2026-06-15</t>
        </is>
      </c>
      <c r="E146" s="33" t="n">
        <v>20.7</v>
      </c>
      <c r="F146" s="33" t="n">
        <v>17.6</v>
      </c>
      <c r="G146" s="33" t="n">
        <v>5.4</v>
      </c>
      <c r="H146" s="33" t="n">
        <v>5.23</v>
      </c>
      <c r="I146" s="33">
        <f>IF(OR(E146="",R146="",R146&lt;=0,E146&lt;0),"",E146/R146)</f>
        <v/>
      </c>
      <c r="J146" s="33">
        <f>IFERROR(AVERAGE(IFERROR(IF(E146="","",IF(E146&lt;0,5,IF(E146&lt;=15,90,IF(E146&lt;=20,75,IF(E146&lt;=25,60,IF(E146&lt;=30,45,IF(E146&lt;=40,30,IF(E146&lt;=60,15,5)))))))),""),IFERROR(IF(F146="","",IF(F146&lt;0,5,IF(F146&lt;=10,90,IF(F146&lt;=15,75,IF(F146&lt;=20,60,IF(F146&lt;=25,45,IF(F146&lt;=35,30,IF(F146&lt;=50,15,5)))))))),""),IFERROR(IF(G146="","",IF(G146&gt;=8,100,IF(G146&gt;=6,90,IF(G146&gt;=4,75,IF(G146&gt;=2,60,IF(G146&gt;=1,45,IF(G146&gt;=0,30,15))))))),""),IFERROR(IF(H146="","",IF(H146&lt;=2,90,IF(H146&lt;=4,75,IF(H146&lt;=7,60,IF(H146&lt;=10,45,IF(H146&lt;=15,30,IF(H146&lt;=25,15,5))))))),""),IFERROR(IF(I146="","",IF(I146&lt;=0.5,100,IF(I146&lt;=1,90,IF(I146&lt;=1.5,75,IF(I146&lt;=2,60,IF(I146&lt;=2.5,45,IF(I146&lt;=3,30,15))))))),"")),"")</f>
        <v/>
      </c>
      <c r="K146" s="33" t="n">
        <v>26</v>
      </c>
      <c r="L146" s="33" t="n">
        <v>54.8</v>
      </c>
      <c r="M146" s="33" t="n">
        <v>28.1</v>
      </c>
      <c r="N146" s="33" t="n">
        <v>0.4</v>
      </c>
      <c r="O146" s="33">
        <f>IFERROR(AVERAGE(IFERROR(IF(K146="","",IF(K146&gt;=25,100,IF(K146&gt;=20,90,IF(K146&gt;=15,75,IF(K146&gt;=10,60,IF(K146&gt;=5,45,IF(K146&gt;=0,30,15))))))),""),IFERROR(IF(L146="","",IF(L146&gt;=60,100,IF(L146&gt;=50,90,IF(L146&gt;=40,75,IF(L146&gt;=30,60,IF(L146&gt;=20,45,IF(L146&gt;=10,30,15))))))),""),IFERROR(IF(M146="","",IF(M146&gt;=25,100,IF(M146&gt;=20,90,IF(M146&gt;=15,75,IF(M146&gt;=10,60,IF(M146&gt;=5,45,IF(M146&gt;=0,30,15))))))),""),IFERROR(IF(N146="","",IF(N146&lt;=0,100,IF(N146&lt;=1,90,IF(N146&lt;=2,75,IF(N146&lt;=3,60,IF(N146&lt;=4,45,IF(N146&lt;=5,30,15))))))),"")),"")</f>
        <v/>
      </c>
      <c r="P146" s="33" t="n">
        <v>0.1</v>
      </c>
      <c r="Q146" s="33" t="n">
        <v>-3.5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IFERROR(AVERAGE(T146,U146,V146,W146,X146)*20,"")</f>
        <v/>
      </c>
      <c r="Z146" s="33" t="n">
        <v>2</v>
      </c>
      <c r="AA146" s="33" t="n">
        <v>1</v>
      </c>
      <c r="AB146" s="33" t="n">
        <v>3</v>
      </c>
      <c r="AC146" s="33" t="n">
        <v>43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IFERROR(AVERAGE(AE146,AF146,AG146,AH146,AL146)*20,"")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2026-06-15</t>
        </is>
      </c>
      <c r="E147" s="33" t="n">
        <v>28.9</v>
      </c>
      <c r="F147" s="33" t="n">
        <v>33.9</v>
      </c>
      <c r="G147" s="33" t="n">
        <v>2.19</v>
      </c>
      <c r="H147" s="33" t="n">
        <v>16.3</v>
      </c>
      <c r="I147" s="33">
        <f>IF(OR(E147="",R147="",R147&lt;=0,E147&lt;0),"",E147/R147)</f>
        <v/>
      </c>
      <c r="J147" s="33">
        <f>IFERROR(AVERAGE(IFERROR(IF(E147="","",IF(E147&lt;0,5,IF(E147&lt;=15,90,IF(E147&lt;=20,75,IF(E147&lt;=25,60,IF(E147&lt;=30,45,IF(E147&lt;=40,30,IF(E147&lt;=60,15,5)))))))),""),IFERROR(IF(F147="","",IF(F147&lt;0,5,IF(F147&lt;=10,90,IF(F147&lt;=15,75,IF(F147&lt;=20,60,IF(F147&lt;=25,45,IF(F147&lt;=35,30,IF(F147&lt;=50,15,5)))))))),""),IFERROR(IF(G147="","",IF(G147&gt;=8,100,IF(G147&gt;=6,90,IF(G147&gt;=4,75,IF(G147&gt;=2,60,IF(G147&gt;=1,45,IF(G147&gt;=0,30,15))))))),""),IFERROR(IF(H147="","",IF(H147&lt;=2,90,IF(H147&lt;=4,75,IF(H147&lt;=7,60,IF(H147&lt;=10,45,IF(H147&lt;=15,30,IF(H147&lt;=25,15,5))))))),""),IFERROR(IF(I147="","",IF(I147&lt;=0.5,100,IF(I147&lt;=1,90,IF(I147&lt;=1.5,75,IF(I147&lt;=2,60,IF(I147&lt;=2.5,45,IF(I147&lt;=3,30,15))))))),"")),"")</f>
        <v/>
      </c>
      <c r="K147" s="33" t="n">
        <v>9.1</v>
      </c>
      <c r="L147" s="33" t="n">
        <v>64.5</v>
      </c>
      <c r="M147" s="33" t="n">
        <v>35.8</v>
      </c>
      <c r="N147" s="33" t="n">
        <v>0.86</v>
      </c>
      <c r="O147" s="33">
        <f>IFERROR(AVERAGE(IFERROR(IF(K147="","",IF(K147&gt;=25,100,IF(K147&gt;=20,90,IF(K147&gt;=15,75,IF(K147&gt;=10,60,IF(K147&gt;=5,45,IF(K147&gt;=0,30,15))))))),""),IFERROR(IF(L147="","",IF(L147&gt;=60,100,IF(L147&gt;=50,90,IF(L147&gt;=40,75,IF(L147&gt;=30,60,IF(L147&gt;=20,45,IF(L147&gt;=10,30,15))))))),""),IFERROR(IF(M147="","",IF(M147&gt;=25,100,IF(M147&gt;=20,90,IF(M147&gt;=15,75,IF(M147&gt;=10,60,IF(M147&gt;=5,45,IF(M147&gt;=0,30,15))))))),""),IFERROR(IF(N147="","",IF(N147&lt;=0,100,IF(N147&lt;=1,90,IF(N147&lt;=2,75,IF(N147&lt;=3,60,IF(N147&lt;=4,45,IF(N147&lt;=5,30,15))))))),"")),"")</f>
        <v/>
      </c>
      <c r="P147" s="33" t="n">
        <v>-2.8</v>
      </c>
      <c r="Q147" s="33" t="n">
        <v>37.2</v>
      </c>
      <c r="R147" s="33" t="n">
        <v>110.5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IFERROR(AVERAGE(T147,U147,V147,W147,X147)*20,"")</f>
        <v/>
      </c>
      <c r="Z147" s="33" t="n">
        <v>5</v>
      </c>
      <c r="AA147" s="33" t="n">
        <v>1</v>
      </c>
      <c r="AB147" s="33" t="n">
        <v>3</v>
      </c>
      <c r="AC147" s="33" t="n">
        <v>87.5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IFERROR(AVERAGE(AE147,AF147,AG147,AH147,AL147)*20,"")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2026-06-15</t>
        </is>
      </c>
      <c r="E148" s="33" t="n">
        <v>32.1</v>
      </c>
      <c r="F148" s="33" t="n">
        <v>27</v>
      </c>
      <c r="G148" s="33" t="n">
        <v>-0.1</v>
      </c>
      <c r="H148" s="33" t="n">
        <v>5.67</v>
      </c>
      <c r="I148" s="33">
        <f>IF(OR(E148="",R148="",R148&lt;=0,E148&lt;0),"",E148/R148)</f>
        <v/>
      </c>
      <c r="J148" s="33">
        <f>IFERROR(AVERAGE(IFERROR(IF(E148="","",IF(E148&lt;0,5,IF(E148&lt;=15,90,IF(E148&lt;=20,75,IF(E148&lt;=25,60,IF(E148&lt;=30,45,IF(E148&lt;=40,30,IF(E148&lt;=60,15,5)))))))),""),IFERROR(IF(F148="","",IF(F148&lt;0,5,IF(F148&lt;=10,90,IF(F148&lt;=15,75,IF(F148&lt;=20,60,IF(F148&lt;=25,45,IF(F148&lt;=35,30,IF(F148&lt;=50,15,5)))))))),""),IFERROR(IF(G148="","",IF(G148&gt;=8,100,IF(G148&gt;=6,90,IF(G148&gt;=4,75,IF(G148&gt;=2,60,IF(G148&gt;=1,45,IF(G148&gt;=0,30,15))))))),""),IFERROR(IF(H148="","",IF(H148&lt;=2,90,IF(H148&lt;=4,75,IF(H148&lt;=7,60,IF(H148&lt;=10,45,IF(H148&lt;=15,30,IF(H148&lt;=25,15,5))))))),""),IFERROR(IF(I148="","",IF(I148&lt;=0.5,100,IF(I148&lt;=1,90,IF(I148&lt;=1.5,75,IF(I148&lt;=2,60,IF(I148&lt;=2.5,45,IF(I148&lt;=3,30,15))))))),"")),"")</f>
        <v/>
      </c>
      <c r="K148" s="33" t="n">
        <v>2.7</v>
      </c>
      <c r="L148" s="33" t="n">
        <v>31.7</v>
      </c>
      <c r="M148" s="33" t="n">
        <v>-0.5</v>
      </c>
      <c r="N148" s="33" t="n">
        <v>-0.7</v>
      </c>
      <c r="O148" s="33">
        <f>IFERROR(AVERAGE(IFERROR(IF(K148="","",IF(K148&gt;=25,100,IF(K148&gt;=20,90,IF(K148&gt;=15,75,IF(K148&gt;=10,60,IF(K148&gt;=5,45,IF(K148&gt;=0,30,15))))))),""),IFERROR(IF(L148="","",IF(L148&gt;=60,100,IF(L148&gt;=50,90,IF(L148&gt;=40,75,IF(L148&gt;=30,60,IF(L148&gt;=20,45,IF(L148&gt;=10,30,15))))))),""),IFERROR(IF(M148="","",IF(M148&gt;=25,100,IF(M148&gt;=20,90,IF(M148&gt;=15,75,IF(M148&gt;=10,60,IF(M148&gt;=5,45,IF(M148&gt;=0,30,15))))))),""),IFERROR(IF(N148="","",IF(N148&lt;=0,100,IF(N148&lt;=1,90,IF(N148&lt;=2,75,IF(N148&lt;=3,60,IF(N148&lt;=4,45,IF(N148&lt;=5,30,15))))))),"")),"")</f>
        <v/>
      </c>
      <c r="P148" s="33" t="n">
        <v>-9.9</v>
      </c>
      <c r="Q148" s="33" t="n">
        <v>23</v>
      </c>
      <c r="R148" s="33" t="n">
        <v>-33.3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IFERROR(AVERAGE(T148,U148,V148,W148,X148)*20,"")</f>
        <v/>
      </c>
      <c r="Z148" s="33" t="n">
        <v>4</v>
      </c>
      <c r="AA148" s="33" t="n">
        <v>5</v>
      </c>
      <c r="AB148" s="33" t="n">
        <v>3</v>
      </c>
      <c r="AC148" s="33" t="n">
        <v>98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IFERROR(AVERAGE(AE148,AF148,AG148,AH148,AL148)*20,"")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2026-06-15</t>
        </is>
      </c>
      <c r="E149" s="33" t="n">
        <v>17.9</v>
      </c>
      <c r="F149" s="33" t="n">
        <v>20.5</v>
      </c>
      <c r="G149" s="33" t="n">
        <v>3.2</v>
      </c>
      <c r="H149" s="33" t="n">
        <v>6.3</v>
      </c>
      <c r="I149" s="33">
        <f>IF(OR(E149="",R149="",R149&lt;=0,E149&lt;0),"",E149/R149)</f>
        <v/>
      </c>
      <c r="J149" s="33">
        <f>IFERROR(AVERAGE(IFERROR(IF(E149="","",IF(E149&lt;0,5,IF(E149&lt;=15,90,IF(E149&lt;=20,75,IF(E149&lt;=25,60,IF(E149&lt;=30,45,IF(E149&lt;=40,30,IF(E149&lt;=60,15,5)))))))),""),IFERROR(IF(F149="","",IF(F149&lt;0,5,IF(F149&lt;=10,90,IF(F149&lt;=15,75,IF(F149&lt;=20,60,IF(F149&lt;=25,45,IF(F149&lt;=35,30,IF(F149&lt;=50,15,5)))))))),""),IFERROR(IF(G149="","",IF(G149&gt;=8,100,IF(G149&gt;=6,90,IF(G149&gt;=4,75,IF(G149&gt;=2,60,IF(G149&gt;=1,45,IF(G149&gt;=0,30,15))))))),""),IFERROR(IF(H149="","",IF(H149&lt;=2,90,IF(H149&lt;=4,75,IF(H149&lt;=7,60,IF(H149&lt;=10,45,IF(H149&lt;=15,30,IF(H149&lt;=25,15,5))))))),""),IFERROR(IF(I149="","",IF(I149&lt;=0.5,100,IF(I149&lt;=1,90,IF(I149&lt;=1.5,75,IF(I149&lt;=2,60,IF(I149&lt;=2.5,45,IF(I149&lt;=3,30,15))))))),"")),"")</f>
        <v/>
      </c>
      <c r="K149" s="33" t="n">
        <v>14.4</v>
      </c>
      <c r="L149" s="33" t="n">
        <v>55</v>
      </c>
      <c r="M149" s="33" t="n">
        <v>20.2</v>
      </c>
      <c r="N149" s="33" t="n">
        <v>1.9</v>
      </c>
      <c r="O149" s="33">
        <f>IFERROR(AVERAGE(IFERROR(IF(K149="","",IF(K149&gt;=25,100,IF(K149&gt;=20,90,IF(K149&gt;=15,75,IF(K149&gt;=10,60,IF(K149&gt;=5,45,IF(K149&gt;=0,30,15))))))),""),IFERROR(IF(L149="","",IF(L149&gt;=60,100,IF(L149&gt;=50,90,IF(L149&gt;=40,75,IF(L149&gt;=30,60,IF(L149&gt;=20,45,IF(L149&gt;=10,30,15))))))),""),IFERROR(IF(M149="","",IF(M149&gt;=25,100,IF(M149&gt;=20,90,IF(M149&gt;=15,75,IF(M149&gt;=10,60,IF(M149&gt;=5,45,IF(M149&gt;=0,30,15))))))),""),IFERROR(IF(N149="","",IF(N149&lt;=0,100,IF(N149&lt;=1,90,IF(N149&lt;=2,75,IF(N149&lt;=3,60,IF(N149&lt;=4,45,IF(N149&lt;=5,30,15))))))),"")),"")</f>
        <v/>
      </c>
      <c r="P149" s="33" t="n">
        <v>-2.4</v>
      </c>
      <c r="Q149" s="33" t="n">
        <v>12.2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IFERROR(AVERAGE(T149,U149,V149,W149,X149)*20,"")</f>
        <v/>
      </c>
      <c r="Z149" s="33" t="n">
        <v>5</v>
      </c>
      <c r="AA149" s="33" t="n">
        <v>1</v>
      </c>
      <c r="AB149" s="33" t="n">
        <v>2</v>
      </c>
      <c r="AC149" s="33" t="n">
        <v>69.2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IFERROR(AVERAGE(AE149,AF149,AG149,AH149,AL149)*20,"")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2026-06-15</t>
        </is>
      </c>
      <c r="E150" s="33" t="n">
        <v>24.5</v>
      </c>
      <c r="F150" s="33" t="n">
        <v>49</v>
      </c>
      <c r="G150" s="33" t="n">
        <v>1.6</v>
      </c>
      <c r="H150" s="33" t="n">
        <v>11.5</v>
      </c>
      <c r="I150" s="33">
        <f>IF(OR(E150="",R150="",R150&lt;=0,E150&lt;0),"",E150/R150)</f>
        <v/>
      </c>
      <c r="J150" s="33">
        <f>IFERROR(AVERAGE(IFERROR(IF(E150="","",IF(E150&lt;0,5,IF(E150&lt;=15,90,IF(E150&lt;=20,75,IF(E150&lt;=25,60,IF(E150&lt;=30,45,IF(E150&lt;=40,30,IF(E150&lt;=60,15,5)))))))),""),IFERROR(IF(F150="","",IF(F150&lt;0,5,IF(F150&lt;=10,90,IF(F150&lt;=15,75,IF(F150&lt;=20,60,IF(F150&lt;=25,45,IF(F150&lt;=35,30,IF(F150&lt;=50,15,5)))))))),""),IFERROR(IF(G150="","",IF(G150&gt;=8,100,IF(G150&gt;=6,90,IF(G150&gt;=4,75,IF(G150&gt;=2,60,IF(G150&gt;=1,45,IF(G150&gt;=0,30,15))))))),""),IFERROR(IF(H150="","",IF(H150&lt;=2,90,IF(H150&lt;=4,75,IF(H150&lt;=7,60,IF(H150&lt;=10,45,IF(H150&lt;=15,30,IF(H150&lt;=25,15,5))))))),""),IFERROR(IF(I150="","",IF(I150&lt;=0.5,100,IF(I150&lt;=1,90,IF(I150&lt;=1.5,75,IF(I150&lt;=2,60,IF(I150&lt;=2.5,45,IF(I150&lt;=3,30,15))))))),"")),"")</f>
        <v/>
      </c>
      <c r="K150" s="33" t="n">
        <v>3.7</v>
      </c>
      <c r="L150" s="33" t="n">
        <v>57.7</v>
      </c>
      <c r="M150" s="33" t="n">
        <v>18.5</v>
      </c>
      <c r="N150" s="33" t="n">
        <v>4.3</v>
      </c>
      <c r="O150" s="33">
        <f>IFERROR(AVERAGE(IFERROR(IF(K150="","",IF(K150&gt;=25,100,IF(K150&gt;=20,90,IF(K150&gt;=15,75,IF(K150&gt;=10,60,IF(K150&gt;=5,45,IF(K150&gt;=0,30,15))))))),""),IFERROR(IF(L150="","",IF(L150&gt;=60,100,IF(L150&gt;=50,90,IF(L150&gt;=40,75,IF(L150&gt;=30,60,IF(L150&gt;=20,45,IF(L150&gt;=10,30,15))))))),""),IFERROR(IF(M150="","",IF(M150&gt;=25,100,IF(M150&gt;=20,90,IF(M150&gt;=15,75,IF(M150&gt;=10,60,IF(M150&gt;=5,45,IF(M150&gt;=0,30,15))))))),""),IFERROR(IF(N150="","",IF(N150&lt;=0,100,IF(N150&lt;=1,90,IF(N150&lt;=2,75,IF(N150&lt;=3,60,IF(N150&lt;=4,45,IF(N150&lt;=5,30,15))))))),"")),"")</f>
        <v/>
      </c>
      <c r="P150" s="33" t="n">
        <v>-17.6</v>
      </c>
      <c r="Q150" s="33" t="n">
        <v>35.1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IFERROR(AVERAGE(T150,U150,V150,W150,X150)*20,"")</f>
        <v/>
      </c>
      <c r="Z150" s="33" t="n">
        <v>5</v>
      </c>
      <c r="AA150" s="33" t="n">
        <v>1</v>
      </c>
      <c r="AB150" s="33" t="n">
        <v>3</v>
      </c>
      <c r="AC150" s="33" t="n">
        <v>78.3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IFERROR(AVERAGE(AE150,AF150,AG150,AH150,AL150)*20,"")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2026-06-15</t>
        </is>
      </c>
      <c r="E151" s="33" t="n">
        <v>29.4</v>
      </c>
      <c r="F151" s="33" t="n">
        <v>24.5</v>
      </c>
      <c r="G151" s="33" t="n">
        <v>2.4</v>
      </c>
      <c r="H151" s="33" t="n">
        <v>8.07</v>
      </c>
      <c r="I151" s="33">
        <f>IF(OR(E151="",R151="",R151&lt;=0,E151&lt;0),"",E151/R151)</f>
        <v/>
      </c>
      <c r="J151" s="33">
        <f>IFERROR(AVERAGE(IFERROR(IF(E151="","",IF(E151&lt;0,5,IF(E151&lt;=15,90,IF(E151&lt;=20,75,IF(E151&lt;=25,60,IF(E151&lt;=30,45,IF(E151&lt;=40,30,IF(E151&lt;=60,15,5)))))))),""),IFERROR(IF(F151="","",IF(F151&lt;0,5,IF(F151&lt;=10,90,IF(F151&lt;=15,75,IF(F151&lt;=20,60,IF(F151&lt;=25,45,IF(F151&lt;=35,30,IF(F151&lt;=50,15,5)))))))),""),IFERROR(IF(G151="","",IF(G151&gt;=8,100,IF(G151&gt;=6,90,IF(G151&gt;=4,75,IF(G151&gt;=2,60,IF(G151&gt;=1,45,IF(G151&gt;=0,30,15))))))),""),IFERROR(IF(H151="","",IF(H151&lt;=2,90,IF(H151&lt;=4,75,IF(H151&lt;=7,60,IF(H151&lt;=10,45,IF(H151&lt;=15,30,IF(H151&lt;=25,15,5))))))),""),IFERROR(IF(I151="","",IF(I151&lt;=0.5,100,IF(I151&lt;=1,90,IF(I151&lt;=1.5,75,IF(I151&lt;=2,60,IF(I151&lt;=2.5,45,IF(I151&lt;=3,30,15))))))),"")),"")</f>
        <v/>
      </c>
      <c r="K151" s="33" t="n">
        <v>5.6</v>
      </c>
      <c r="L151" s="33" t="n">
        <v>37.5</v>
      </c>
      <c r="M151" s="33" t="n">
        <v>19.5</v>
      </c>
      <c r="N151" s="33" t="n">
        <v>0.4</v>
      </c>
      <c r="O151" s="33">
        <f>IFERROR(AVERAGE(IFERROR(IF(K151="","",IF(K151&gt;=25,100,IF(K151&gt;=20,90,IF(K151&gt;=15,75,IF(K151&gt;=10,60,IF(K151&gt;=5,45,IF(K151&gt;=0,30,15))))))),""),IFERROR(IF(L151="","",IF(L151&gt;=60,100,IF(L151&gt;=50,90,IF(L151&gt;=40,75,IF(L151&gt;=30,60,IF(L151&gt;=20,45,IF(L151&gt;=10,30,15))))))),""),IFERROR(IF(M151="","",IF(M151&gt;=25,100,IF(M151&gt;=20,90,IF(M151&gt;=15,75,IF(M151&gt;=10,60,IF(M151&gt;=5,45,IF(M151&gt;=0,30,15))))))),""),IFERROR(IF(N151="","",IF(N151&lt;=0,100,IF(N151&lt;=1,90,IF(N151&lt;=2,75,IF(N151&lt;=3,60,IF(N151&lt;=4,45,IF(N151&lt;=5,30,15))))))),"")),"")</f>
        <v/>
      </c>
      <c r="P151" s="33" t="n">
        <v>-10.4</v>
      </c>
      <c r="Q151" s="33" t="n">
        <v>4.7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IFERROR(AVERAGE(T151,U151,V151,W151,X151)*20,"")</f>
        <v/>
      </c>
      <c r="Z151" s="33" t="n">
        <v>5</v>
      </c>
      <c r="AA151" s="33" t="n">
        <v>5</v>
      </c>
      <c r="AB151" s="33" t="n">
        <v>3</v>
      </c>
      <c r="AC151" s="33" t="n">
        <v>81.7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IFERROR(AVERAGE(AE151,AF151,AG151,AH151,AL151)*20,"")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2026-06-15</t>
        </is>
      </c>
      <c r="E152" s="33" t="n">
        <v>14.8</v>
      </c>
      <c r="F152" s="33" t="n">
        <v>13.5</v>
      </c>
      <c r="G152" s="33" t="n">
        <v>5.9</v>
      </c>
      <c r="H152" s="33" t="n">
        <v>2.84</v>
      </c>
      <c r="I152" s="33">
        <f>IF(OR(E152="",R152="",R152&lt;=0,E152&lt;0),"",E152/R152)</f>
        <v/>
      </c>
      <c r="J152" s="33">
        <f>IFERROR(AVERAGE(IFERROR(IF(E152="","",IF(E152&lt;0,5,IF(E152&lt;=15,90,IF(E152&lt;=20,75,IF(E152&lt;=25,60,IF(E152&lt;=30,45,IF(E152&lt;=40,30,IF(E152&lt;=60,15,5)))))))),""),IFERROR(IF(F152="","",IF(F152&lt;0,5,IF(F152&lt;=10,90,IF(F152&lt;=15,75,IF(F152&lt;=20,60,IF(F152&lt;=25,45,IF(F152&lt;=35,30,IF(F152&lt;=50,15,5)))))))),""),IFERROR(IF(G152="","",IF(G152&gt;=8,100,IF(G152&gt;=6,90,IF(G152&gt;=4,75,IF(G152&gt;=2,60,IF(G152&gt;=1,45,IF(G152&gt;=0,30,15))))))),""),IFERROR(IF(H152="","",IF(H152&lt;=2,90,IF(H152&lt;=4,75,IF(H152&lt;=7,60,IF(H152&lt;=10,45,IF(H152&lt;=15,30,IF(H152&lt;=25,15,5))))))),""),IFERROR(IF(I152="","",IF(I152&lt;=0.5,100,IF(I152&lt;=1,90,IF(I152&lt;=1.5,75,IF(I152&lt;=2,60,IF(I152&lt;=2.5,45,IF(I152&lt;=3,30,15))))))),"")),"")</f>
        <v/>
      </c>
      <c r="K152" s="33" t="n">
        <v>4.9</v>
      </c>
      <c r="L152" s="33" t="n">
        <v>41.1</v>
      </c>
      <c r="M152" s="33" t="n">
        <v>16.6</v>
      </c>
      <c r="N152" s="33" t="n">
        <v>-0.28</v>
      </c>
      <c r="O152" s="33">
        <f>IFERROR(AVERAGE(IFERROR(IF(K152="","",IF(K152&gt;=25,100,IF(K152&gt;=20,90,IF(K152&gt;=15,75,IF(K152&gt;=10,60,IF(K152&gt;=5,45,IF(K152&gt;=0,30,15))))))),""),IFERROR(IF(L152="","",IF(L152&gt;=60,100,IF(L152&gt;=50,90,IF(L152&gt;=40,75,IF(L152&gt;=30,60,IF(L152&gt;=20,45,IF(L152&gt;=10,30,15))))))),""),IFERROR(IF(M152="","",IF(M152&gt;=25,100,IF(M152&gt;=20,90,IF(M152&gt;=15,75,IF(M152&gt;=10,60,IF(M152&gt;=5,45,IF(M152&gt;=0,30,15))))))),""),IFERROR(IF(N152="","",IF(N152&lt;=0,100,IF(N152&lt;=1,90,IF(N152&lt;=2,75,IF(N152&lt;=3,60,IF(N152&lt;=4,45,IF(N152&lt;=5,30,15))))))),"")),"")</f>
        <v/>
      </c>
      <c r="P152" s="33" t="n">
        <v>-9.300000000000001</v>
      </c>
      <c r="Q152" s="33" t="n">
        <v>-1</v>
      </c>
      <c r="R152" s="33" t="n">
        <v>-44.2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IFERROR(AVERAGE(T152,U152,V152,W152,X152)*20,"")</f>
        <v/>
      </c>
      <c r="Z152" s="33" t="n">
        <v>4</v>
      </c>
      <c r="AA152" s="33" t="n">
        <v>1</v>
      </c>
      <c r="AB152" s="33" t="n">
        <v>3</v>
      </c>
      <c r="AC152" s="33" t="n">
        <v>37.5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IFERROR(AVERAGE(AE152,AF152,AG152,AH152,AL152)*20,"")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2026-06-17</t>
        </is>
      </c>
      <c r="E153" s="33" t="n">
        <v>39.4</v>
      </c>
      <c r="F153" s="33" t="n">
        <v>59.4</v>
      </c>
      <c r="G153" s="33" t="n">
        <v>1.18</v>
      </c>
      <c r="H153" s="33" t="n">
        <v>20.8</v>
      </c>
      <c r="I153" s="33">
        <f>IF(OR(E153="",R153="",R153&lt;=0,E153&lt;0),"",E153/R153)</f>
        <v/>
      </c>
      <c r="J153" s="33">
        <f>IFERROR(AVERAGE(IFERROR(IF(E153="","",IF(E153&lt;0,5,IF(E153&lt;=15,90,IF(E153&lt;=20,75,IF(E153&lt;=25,60,IF(E153&lt;=30,45,IF(E153&lt;=40,30,IF(E153&lt;=60,15,5)))))))),""),IFERROR(IF(F153="","",IF(F153&lt;0,5,IF(F153&lt;=10,90,IF(F153&lt;=15,75,IF(F153&lt;=20,60,IF(F153&lt;=25,45,IF(F153&lt;=35,30,IF(F153&lt;=50,15,5)))))))),""),IFERROR(IF(G153="","",IF(G153&gt;=8,100,IF(G153&gt;=6,90,IF(G153&gt;=4,75,IF(G153&gt;=2,60,IF(G153&gt;=1,45,IF(G153&gt;=0,30,15))))))),""),IFERROR(IF(H153="","",IF(H153&lt;=2,90,IF(H153&lt;=4,75,IF(H153&lt;=7,60,IF(H153&lt;=10,45,IF(H153&lt;=15,30,IF(H153&lt;=25,15,5))))))),""),IFERROR(IF(I153="","",IF(I153&lt;=0.5,100,IF(I153&lt;=1,90,IF(I153&lt;=1.5,75,IF(I153&lt;=2,60,IF(I153&lt;=2.5,45,IF(I153&lt;=3,30,15))))))),"")),"")</f>
        <v/>
      </c>
      <c r="K153" s="33" t="n">
        <v>35</v>
      </c>
      <c r="L153" s="33" t="n">
        <v>45</v>
      </c>
      <c r="M153" s="33" t="n">
        <v>24.7</v>
      </c>
      <c r="N153" s="33" t="n">
        <v>-0.11</v>
      </c>
      <c r="O153" s="33">
        <f>IFERROR(AVERAGE(IFERROR(IF(K153="","",IF(K153&gt;=25,100,IF(K153&gt;=20,90,IF(K153&gt;=15,75,IF(K153&gt;=10,60,IF(K153&gt;=5,45,IF(K153&gt;=0,30,15))))))),""),IFERROR(IF(L153="","",IF(L153&gt;=60,100,IF(L153&gt;=50,90,IF(L153&gt;=40,75,IF(L153&gt;=30,60,IF(L153&gt;=20,45,IF(L153&gt;=10,30,15))))))),""),IFERROR(IF(M153="","",IF(M153&gt;=25,100,IF(M153&gt;=20,90,IF(M153&gt;=15,75,IF(M153&gt;=10,60,IF(M153&gt;=5,45,IF(M153&gt;=0,30,15))))))),""),IFERROR(IF(N153="","",IF(N153&lt;=0,100,IF(N153&lt;=1,90,IF(N153&lt;=2,75,IF(N153&lt;=3,60,IF(N153&lt;=4,45,IF(N153&lt;=5,30,15))))))),"")),"")</f>
        <v/>
      </c>
      <c r="Q153" s="33" t="n">
        <v>45.5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5</v>
      </c>
      <c r="U153" s="33" t="n">
        <v>5</v>
      </c>
      <c r="V153" s="33" t="n">
        <v>4</v>
      </c>
      <c r="W153" s="33" t="n">
        <v>4</v>
      </c>
      <c r="X153" s="33" t="n">
        <v>5</v>
      </c>
      <c r="Y153" s="33">
        <f>IFERROR(AVERAGE(T153,U153,V153,W153,X153)*20,"")</f>
        <v/>
      </c>
      <c r="Z153" s="33" t="n">
        <v>5</v>
      </c>
      <c r="AA153" s="33" t="n">
        <v>5</v>
      </c>
      <c r="AB153" s="33" t="n">
        <v>3</v>
      </c>
      <c r="AC153" s="33" t="n">
        <v>98.3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4</v>
      </c>
      <c r="AG153" s="33" t="n">
        <v>5</v>
      </c>
      <c r="AH153" s="33" t="n">
        <v>4</v>
      </c>
      <c r="AI153" s="33">
        <f>IFERROR(AVERAGE(AE153,AF153,AG153,AH153,AL153)*20,"")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2026-06-17</t>
        </is>
      </c>
      <c r="E154" s="33" t="n">
        <v>68.5</v>
      </c>
      <c r="F154" s="33" t="n">
        <v>59.9</v>
      </c>
      <c r="G154" s="33" t="n">
        <v>1.65</v>
      </c>
      <c r="H154" s="33" t="n">
        <v>21.7</v>
      </c>
      <c r="I154" s="33">
        <f>IF(OR(E154="",R154="",R154&lt;=0,E154&lt;0),"",E154/R154)</f>
        <v/>
      </c>
      <c r="J154" s="33">
        <f>IFERROR(AVERAGE(IFERROR(IF(E154="","",IF(E154&lt;0,5,IF(E154&lt;=15,90,IF(E154&lt;=20,75,IF(E154&lt;=25,60,IF(E154&lt;=30,45,IF(E154&lt;=40,30,IF(E154&lt;=60,15,5)))))))),""),IFERROR(IF(F154="","",IF(F154&lt;0,5,IF(F154&lt;=20,100,IF(F154&lt;=30,90,IF(F154&lt;=40,75,IF(F154&lt;=55,60,IF(F154&lt;=75,45,IF(F154&lt;=100,30,15)))))))),""),IFERROR(IF(G154="","",IF(G154&gt;=8,100,IF(G154&gt;=6,90,IF(G154&gt;=4,75,IF(G154&gt;=2,60,IF(G154&gt;=1,45,IF(G154&gt;=0,30,15))))))),""),IFERROR(IF(H154="","",IF(H154&lt;=2,90,IF(H154&lt;=4,75,IF(H154&lt;=7,60,IF(H154&lt;=10,45,IF(H154&lt;=15,30,IF(H154&lt;=25,15,5))))))),""),IFERROR(IF(I154="","",IF(I154&lt;=0.5,100,IF(I154&lt;=1,90,IF(I154&lt;=1.5,75,IF(I154&lt;=2,60,IF(I154&lt;=2.5,45,IF(I154&lt;=3,30,15))))))),"")),"")</f>
        <v/>
      </c>
      <c r="L154" s="33" t="n">
        <v>72</v>
      </c>
      <c r="M154" s="33" t="n">
        <v>35.8</v>
      </c>
      <c r="N154" s="33" t="n">
        <v>-0.66</v>
      </c>
      <c r="O154" s="33">
        <f>IFERROR(AVERAGE(IFERROR(IF(K154="","",IF(K154&gt;=25,100,IF(K154&gt;=20,90,IF(K154&gt;=15,75,IF(K154&gt;=10,60,IF(K154&gt;=5,45,IF(K154&gt;=0,30,15))))))),""),IFERROR(IF(L154="","",IF(L154&gt;=60,100,IF(L154&gt;=50,90,IF(L154&gt;=40,75,IF(L154&gt;=30,60,IF(L154&gt;=20,45,IF(L154&gt;=10,30,15))))))),""),IFERROR(IF(M154="","",IF(M154&gt;=25,100,IF(M154&gt;=20,90,IF(M154&gt;=15,75,IF(M154&gt;=10,60,IF(M154&gt;=5,45,IF(M154&gt;=0,30,15))))))),""),IFERROR(IF(N154="","",IF(N154&lt;=0,100,IF(N154&lt;=1,90,IF(N154&lt;=2,75,IF(N154&lt;=3,60,IF(N154&lt;=4,45,IF(N154&lt;=5,30,15))))))),"")),"")</f>
        <v/>
      </c>
      <c r="P154" s="33" t="n">
        <v>18.8</v>
      </c>
      <c r="Q154" s="33" t="n">
        <v>31.1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IFERROR(AVERAGE(T154,U154,V154,W154,X154)*20,"")</f>
        <v/>
      </c>
      <c r="Z154" s="33" t="n">
        <v>4</v>
      </c>
      <c r="AA154" s="33" t="n">
        <v>5</v>
      </c>
      <c r="AB154" s="33" t="n">
        <v>5</v>
      </c>
      <c r="AC154" s="33" t="n">
        <v>43.3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5</v>
      </c>
      <c r="AH154" s="33" t="n">
        <v>4</v>
      </c>
      <c r="AI154" s="33">
        <f>IFERROR(AVERAGE(AE154,AF154,AG154,AH154,AL154)*20,"")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2026-06-17</t>
        </is>
      </c>
      <c r="E155" s="33" t="n">
        <v>21.9</v>
      </c>
      <c r="F155" s="33" t="n">
        <v>39.4</v>
      </c>
      <c r="G155" s="33" t="n">
        <v>2.75</v>
      </c>
      <c r="H155" s="33" t="n">
        <v>26.1</v>
      </c>
      <c r="I155" s="33">
        <f>IF(OR(E155="",R155="",R155&lt;=0,E155&lt;0),"",E155/R155)</f>
        <v/>
      </c>
      <c r="J155" s="33">
        <f>IFERROR(AVERAGE(IFERROR(IF(E155="","",IF(E155&lt;0,5,IF(E155&lt;=15,90,IF(E155&lt;=20,75,IF(E155&lt;=25,60,IF(E155&lt;=30,45,IF(E155&lt;=40,30,IF(E155&lt;=60,15,5)))))))),""),IFERROR(IF(F155="","",IF(F155&lt;0,5,IF(F155&lt;=20,100,IF(F155&lt;=30,90,IF(F155&lt;=40,75,IF(F155&lt;=55,60,IF(F155&lt;=75,45,IF(F155&lt;=100,30,15)))))))),""),IFERROR(IF(G155="","",IF(G155&gt;=8,100,IF(G155&gt;=6,90,IF(G155&gt;=4,75,IF(G155&gt;=2,60,IF(G155&gt;=1,45,IF(G155&gt;=0,30,15))))))),""),IFERROR(IF(H155="","",IF(H155&lt;=2,90,IF(H155&lt;=4,75,IF(H155&lt;=7,60,IF(H155&lt;=10,45,IF(H155&lt;=15,30,IF(H155&lt;=25,15,5))))))),""),IFERROR(IF(I155="","",IF(I155&lt;=0.5,100,IF(I155&lt;=1,90,IF(I155&lt;=1.5,75,IF(I155&lt;=2,60,IF(I155&lt;=2.5,45,IF(I155&lt;=3,30,15))))))),"")),"")</f>
        <v/>
      </c>
      <c r="K155" s="33" t="n">
        <v>52</v>
      </c>
      <c r="L155" s="33" t="n">
        <v>88.40000000000001</v>
      </c>
      <c r="M155" s="33" t="n">
        <v>71.8</v>
      </c>
      <c r="N155" s="33" t="n">
        <v>0.22</v>
      </c>
      <c r="O155" s="33">
        <f>IFERROR(AVERAGE(IFERROR(IF(K155="","",IF(K155&gt;=25,100,IF(K155&gt;=20,90,IF(K155&gt;=15,75,IF(K155&gt;=10,60,IF(K155&gt;=5,45,IF(K155&gt;=0,30,15))))))),""),IFERROR(IF(L155="","",IF(L155&gt;=60,100,IF(L155&gt;=50,90,IF(L155&gt;=40,75,IF(L155&gt;=30,60,IF(L155&gt;=20,45,IF(L155&gt;=10,30,15))))))),""),IFERROR(IF(M155="","",IF(M155&gt;=25,100,IF(M155&gt;=20,90,IF(M155&gt;=15,75,IF(M155&gt;=10,60,IF(M155&gt;=5,45,IF(M155&gt;=0,30,15))))))),""),IFERROR(IF(N155="","",IF(N155&lt;=0,100,IF(N155&lt;=1,90,IF(N155&lt;=2,75,IF(N155&lt;=3,60,IF(N155&lt;=4,45,IF(N155&lt;=5,30,15))))))),"")),"")</f>
        <v/>
      </c>
      <c r="Q155" s="33" t="n">
        <v>58.9</v>
      </c>
      <c r="R155" s="33" t="n">
        <v>69.5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5</v>
      </c>
      <c r="U155" s="33" t="n">
        <v>4</v>
      </c>
      <c r="V155" s="33" t="n">
        <v>3</v>
      </c>
      <c r="W155" s="33" t="n">
        <v>4</v>
      </c>
      <c r="X155" s="33" t="n">
        <v>2</v>
      </c>
      <c r="Y155" s="33">
        <f>IFERROR(AVERAGE(T155,U155,V155,W155,X155)*20,"")</f>
        <v/>
      </c>
      <c r="Z155" s="33" t="n">
        <v>4</v>
      </c>
      <c r="AA155" s="33" t="n">
        <v>2</v>
      </c>
      <c r="AB155" s="33" t="n">
        <v>3</v>
      </c>
      <c r="AC155" s="33" t="n">
        <v>43.3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2</v>
      </c>
      <c r="AI155" s="33">
        <f>IFERROR(AVERAGE(AE155,AF155,AG155,AH155,AL155)*20,"")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2026-06-17</t>
        </is>
      </c>
      <c r="E156" s="33" t="n">
        <v>8</v>
      </c>
      <c r="F156" s="33" t="n">
        <v>8.199999999999999</v>
      </c>
      <c r="G156" s="33" t="n">
        <v>13.2</v>
      </c>
      <c r="H156" s="33" t="n">
        <v>3.1</v>
      </c>
      <c r="I156" s="33">
        <f>IF(OR(E156="",R156="",R156&lt;=0,E156&lt;0),"",E156/R156)</f>
        <v/>
      </c>
      <c r="J156" s="33">
        <f>IFERROR(AVERAGE(IFERROR(IF(E156="","",IF(E156&lt;0,5,IF(E156&lt;=15,90,IF(E156&lt;=20,75,IF(E156&lt;=25,60,IF(E156&lt;=30,45,IF(E156&lt;=40,30,IF(E156&lt;=60,15,5)))))))),""),IFERROR(IF(F156="","",IF(F156&lt;0,5,IF(F156&lt;=20,100,IF(F156&lt;=30,90,IF(F156&lt;=40,75,IF(F156&lt;=55,60,IF(F156&lt;=75,45,IF(F156&lt;=100,30,15)))))))),""),IFERROR(IF(G156="","",IF(G156&gt;=8,100,IF(G156&gt;=6,90,IF(G156&gt;=4,75,IF(G156&gt;=2,60,IF(G156&gt;=1,45,IF(G156&gt;=0,30,15))))))),""),IFERROR(IF(H156="","",IF(H156&lt;=2,90,IF(H156&lt;=4,75,IF(H156&lt;=7,60,IF(H156&lt;=10,45,IF(H156&lt;=15,30,IF(H156&lt;=25,15,5))))))),""),IFERROR(IF(I156="","",IF(I156&lt;=0.5,100,IF(I156&lt;=1,90,IF(I156&lt;=1.5,75,IF(I156&lt;=2,60,IF(I156&lt;=2.5,45,IF(I156&lt;=3,30,15))))))),"")),"")</f>
        <v/>
      </c>
      <c r="L156" s="33" t="n">
        <v>89.40000000000001</v>
      </c>
      <c r="M156" s="33" t="n">
        <v>40.8</v>
      </c>
      <c r="N156" s="33" t="n">
        <v>0.15</v>
      </c>
      <c r="O156" s="33">
        <f>IFERROR(AVERAGE(IFERROR(IF(K156="","",IF(K156&gt;=25,100,IF(K156&gt;=20,90,IF(K156&gt;=15,75,IF(K156&gt;=10,60,IF(K156&gt;=5,45,IF(K156&gt;=0,30,15))))))),""),IFERROR(IF(L156="","",IF(L156&gt;=60,100,IF(L156&gt;=50,90,IF(L156&gt;=40,75,IF(L156&gt;=30,60,IF(L156&gt;=20,45,IF(L156&gt;=10,30,15))))))),""),IFERROR(IF(M156="","",IF(M156&gt;=25,100,IF(M156&gt;=20,90,IF(M156&gt;=15,75,IF(M156&gt;=10,60,IF(M156&gt;=5,45,IF(M156&gt;=0,30,15))))))),""),IFERROR(IF(N156="","",IF(N156&lt;=0,100,IF(N156&lt;=1,90,IF(N156&lt;=2,75,IF(N156&lt;=3,60,IF(N156&lt;=4,45,IF(N156&lt;=5,30,15))))))),"")),"")</f>
        <v/>
      </c>
      <c r="P156" s="33" t="n">
        <v>10.5</v>
      </c>
      <c r="Q156" s="33" t="n">
        <v>12.7</v>
      </c>
      <c r="R156" s="33" t="n">
        <v>8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IFERROR(AVERAGE(T156,U156,V156,W156,X156)*20,"")</f>
        <v/>
      </c>
      <c r="Z156" s="33" t="n">
        <v>2</v>
      </c>
      <c r="AA156" s="33" t="n">
        <v>1</v>
      </c>
      <c r="AB156" s="33" t="n">
        <v>3</v>
      </c>
      <c r="AC156" s="33" t="n">
        <v>19.2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IFERROR(AVERAGE(AE156,AF156,AG156,AH156,AL156)*20,"")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2026-06-17</t>
        </is>
      </c>
      <c r="E157" s="33" t="n">
        <v>42.1</v>
      </c>
      <c r="F157" s="33" t="n">
        <v>43.1</v>
      </c>
      <c r="G157" s="33" t="n">
        <v>2.31</v>
      </c>
      <c r="H157" s="33" t="n">
        <v>14.85</v>
      </c>
      <c r="I157" s="33">
        <f>IF(OR(E157="",R157="",R157&lt;=0,E157&lt;0),"",E157/R157)</f>
        <v/>
      </c>
      <c r="J157" s="33">
        <f>IFERROR(AVERAGE(IFERROR(IF(E157="","",IF(E157&lt;0,5,IF(E157&lt;=15,90,IF(E157&lt;=20,75,IF(E157&lt;=25,60,IF(E157&lt;=30,45,IF(E157&lt;=40,30,IF(E157&lt;=60,15,5)))))))),""),IFERROR(IF(F157="","",IF(F157&lt;0,5,IF(F157&lt;=20,100,IF(F157&lt;=30,90,IF(F157&lt;=40,75,IF(F157&lt;=55,60,IF(F157&lt;=75,45,IF(F157&lt;=100,30,15)))))))),""),IFERROR(IF(G157="","",IF(G157&gt;=8,100,IF(G157&gt;=6,90,IF(G157&gt;=4,75,IF(G157&gt;=2,60,IF(G157&gt;=1,45,IF(G157&gt;=0,30,15))))))),""),IFERROR(IF(H157="","",IF(H157&lt;=2,90,IF(H157&lt;=4,75,IF(H157&lt;=7,60,IF(H157&lt;=10,45,IF(H157&lt;=15,30,IF(H157&lt;=25,15,5))))))),""),IFERROR(IF(I157="","",IF(I157&lt;=0.5,100,IF(I157&lt;=1,90,IF(I157&lt;=1.5,75,IF(I157&lt;=2,60,IF(I157&lt;=2.5,45,IF(I157&lt;=3,30,15))))))),"")),"")</f>
        <v/>
      </c>
      <c r="L157" s="33" t="n">
        <v>80.3</v>
      </c>
      <c r="M157" s="33" t="n">
        <v>34.3</v>
      </c>
      <c r="N157" s="33" t="n">
        <v>-1.16</v>
      </c>
      <c r="O157" s="33">
        <f>IFERROR(AVERAGE(IFERROR(IF(K157="","",IF(K157&gt;=25,100,IF(K157&gt;=20,90,IF(K157&gt;=15,75,IF(K157&gt;=10,60,IF(K157&gt;=5,45,IF(K157&gt;=0,30,15))))))),""),IFERROR(IF(L157="","",IF(L157&gt;=60,100,IF(L157&gt;=50,90,IF(L157&gt;=40,75,IF(L157&gt;=30,60,IF(L157&gt;=20,45,IF(L157&gt;=10,30,15))))))),""),IFERROR(IF(M157="","",IF(M157&gt;=25,100,IF(M157&gt;=20,90,IF(M157&gt;=15,75,IF(M157&gt;=10,60,IF(M157&gt;=5,45,IF(M157&gt;=0,30,15))))))),""),IFERROR(IF(N157="","",IF(N157&lt;=0,100,IF(N157&lt;=1,90,IF(N157&lt;=2,75,IF(N157&lt;=3,60,IF(N157&lt;=4,45,IF(N157&lt;=5,30,15))))))),"")),"")</f>
        <v/>
      </c>
      <c r="P157" s="33" t="n">
        <v>15.5</v>
      </c>
      <c r="Q157" s="33" t="n">
        <v>20.1</v>
      </c>
      <c r="R157" s="33" t="n">
        <v>23.3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IFERROR(AVERAGE(T157,U157,V157,W157,X157)*20,"")</f>
        <v/>
      </c>
      <c r="Z157" s="33" t="n">
        <v>4</v>
      </c>
      <c r="AA157" s="33" t="n">
        <v>4</v>
      </c>
      <c r="AB157" s="33" t="n">
        <v>3</v>
      </c>
      <c r="AC157" s="33" t="n">
        <v>66.7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IFERROR(AVERAGE(AE157,AF157,AG157,AH157,AL157)*20,"")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2026-06-17</t>
        </is>
      </c>
      <c r="E158" s="33" t="n">
        <v>27.1</v>
      </c>
      <c r="F158" s="33" t="n">
        <v>20.7</v>
      </c>
      <c r="G158" s="33" t="n">
        <v>4.4</v>
      </c>
      <c r="H158" s="33" t="n">
        <v>6.3</v>
      </c>
      <c r="I158" s="33">
        <f>IF(OR(E158="",R158="",R158&lt;=0,E158&lt;0),"",E158/R158)</f>
        <v/>
      </c>
      <c r="J158" s="33">
        <f>IFERROR(AVERAGE(IFERROR(IF(E158="","",IF(E158&lt;0,5,IF(E158&lt;=15,90,IF(E158&lt;=20,75,IF(E158&lt;=25,60,IF(E158&lt;=30,45,IF(E158&lt;=40,30,IF(E158&lt;=60,15,5)))))))),""),IFERROR(IF(F158="","",IF(F158&lt;0,5,IF(F158&lt;=20,100,IF(F158&lt;=30,90,IF(F158&lt;=40,75,IF(F158&lt;=55,60,IF(F158&lt;=75,45,IF(F158&lt;=100,30,15)))))))),""),IFERROR(IF(G158="","",IF(G158&gt;=8,100,IF(G158&gt;=6,90,IF(G158&gt;=4,75,IF(G158&gt;=2,60,IF(G158&gt;=1,45,IF(G158&gt;=0,30,15))))))),""),IFERROR(IF(H158="","",IF(H158&lt;=2,90,IF(H158&lt;=4,75,IF(H158&lt;=7,60,IF(H158&lt;=10,45,IF(H158&lt;=15,30,IF(H158&lt;=25,15,5))))))),""),IFERROR(IF(I158="","",IF(I158&lt;=0.5,100,IF(I158&lt;=1,90,IF(I158&lt;=1.5,75,IF(I158&lt;=2,60,IF(I158&lt;=2.5,45,IF(I158&lt;=3,30,15))))))),"")),"")</f>
        <v/>
      </c>
      <c r="L158" s="33" t="n">
        <v>76.7</v>
      </c>
      <c r="M158" s="33" t="n">
        <v>28.1</v>
      </c>
      <c r="O158" s="33">
        <f>IFERROR(AVERAGE(IFERROR(IF(K158="","",IF(K158&gt;=25,100,IF(K158&gt;=20,90,IF(K158&gt;=15,75,IF(K158&gt;=10,60,IF(K158&gt;=5,45,IF(K158&gt;=0,30,15))))))),""),IFERROR(IF(L158="","",IF(L158&gt;=60,100,IF(L158&gt;=50,90,IF(L158&gt;=40,75,IF(L158&gt;=30,60,IF(L158&gt;=20,45,IF(L158&gt;=10,30,15))))))),""),IFERROR(IF(M158="","",IF(M158&gt;=25,100,IF(M158&gt;=20,90,IF(M158&gt;=15,75,IF(M158&gt;=10,60,IF(M158&gt;=5,45,IF(M158&gt;=0,30,15))))))),""),IFERROR(IF(N158="","",IF(N158&lt;=0,100,IF(N158&lt;=1,90,IF(N158&lt;=2,75,IF(N158&lt;=3,60,IF(N158&lt;=4,45,IF(N158&lt;=5,30,15))))))),"")),"")</f>
        <v/>
      </c>
      <c r="P158" s="33" t="n">
        <v>34.8</v>
      </c>
      <c r="Q158" s="33" t="n">
        <v>25.4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IFERROR(AVERAGE(T158,U158,V158,W158,X158)*20,"")</f>
        <v/>
      </c>
      <c r="Z158" s="33" t="n">
        <v>1</v>
      </c>
      <c r="AA158" s="33" t="n">
        <v>1</v>
      </c>
      <c r="AB158" s="33" t="n">
        <v>3</v>
      </c>
      <c r="AC158" s="33" t="n">
        <v>12.5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IFERROR(AVERAGE(AE158,AF158,AG158,AH158,AL158)*20,"")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2026-06-17</t>
        </is>
      </c>
      <c r="E159" s="33" t="n">
        <v>11.3</v>
      </c>
      <c r="F159" s="33" t="n">
        <v>10</v>
      </c>
      <c r="G159" s="33" t="n">
        <v>10.48</v>
      </c>
      <c r="H159" s="33" t="n">
        <v>3.52</v>
      </c>
      <c r="I159" s="33">
        <f>IF(OR(E159="",R159="",R159&lt;=0,E159&lt;0),"",E159/R159)</f>
        <v/>
      </c>
      <c r="J159" s="33">
        <f>IFERROR(AVERAGE(IFERROR(IF(E159="","",IF(E159&lt;0,5,IF(E159&lt;=15,90,IF(E159&lt;=20,75,IF(E159&lt;=25,60,IF(E159&lt;=30,45,IF(E159&lt;=40,30,IF(E159&lt;=60,15,5)))))))),""),IFERROR(IF(F159="","",IF(F159&lt;0,5,IF(F159&lt;=20,100,IF(F159&lt;=30,90,IF(F159&lt;=40,75,IF(F159&lt;=55,60,IF(F159&lt;=75,45,IF(F159&lt;=100,30,15)))))))),""),IFERROR(IF(G159="","",IF(G159&gt;=8,100,IF(G159&gt;=6,90,IF(G159&gt;=4,75,IF(G159&gt;=2,60,IF(G159&gt;=1,45,IF(G159&gt;=0,30,15))))))),""),IFERROR(IF(H159="","",IF(H159&lt;=2,90,IF(H159&lt;=4,75,IF(H159&lt;=7,60,IF(H159&lt;=10,45,IF(H159&lt;=15,30,IF(H159&lt;=25,15,5))))))),""),IFERROR(IF(I159="","",IF(I159&lt;=0.5,100,IF(I159&lt;=1,90,IF(I159&lt;=1.5,75,IF(I159&lt;=2,60,IF(I159&lt;=2.5,45,IF(I159&lt;=3,30,15))))))),"")),"")</f>
        <v/>
      </c>
      <c r="L159" s="33" t="n">
        <v>80.79000000000001</v>
      </c>
      <c r="M159" s="33" t="n">
        <v>36.87</v>
      </c>
      <c r="N159" s="33" t="n">
        <v>0.02</v>
      </c>
      <c r="O159" s="33">
        <f>IFERROR(AVERAGE(IFERROR(IF(K159="","",IF(K159&gt;=25,100,IF(K159&gt;=20,90,IF(K159&gt;=15,75,IF(K159&gt;=10,60,IF(K159&gt;=5,45,IF(K159&gt;=0,30,15))))))),""),IFERROR(IF(L159="","",IF(L159&gt;=60,100,IF(L159&gt;=50,90,IF(L159&gt;=40,75,IF(L159&gt;=30,60,IF(L159&gt;=20,45,IF(L159&gt;=10,30,15))))))),""),IFERROR(IF(M159="","",IF(M159&gt;=25,100,IF(M159&gt;=20,90,IF(M159&gt;=15,75,IF(M159&gt;=10,60,IF(M159&gt;=5,45,IF(M159&gt;=0,30,15))))))),""),IFERROR(IF(N159="","",IF(N159&lt;=0,100,IF(N159&lt;=1,90,IF(N159&lt;=2,75,IF(N159&lt;=3,60,IF(N159&lt;=4,45,IF(N159&lt;=5,30,15))))))),"")),"")</f>
        <v/>
      </c>
      <c r="P159" s="33" t="n">
        <v>13.95</v>
      </c>
      <c r="Q159" s="33" t="n">
        <v>10.5</v>
      </c>
      <c r="R159" s="33" t="n">
        <v>11</v>
      </c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IFERROR(AVERAGE(T159,U159,V159,W159,X159)*20,"")</f>
        <v/>
      </c>
      <c r="Z159" s="33" t="n">
        <v>2</v>
      </c>
      <c r="AA159" s="33" t="n">
        <v>1</v>
      </c>
      <c r="AB159" s="33" t="n">
        <v>4</v>
      </c>
      <c r="AC159" s="33" t="n">
        <v>4.2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IFERROR(AVERAGE(AE159,AF159,AG159,AH159,AL159)*20,"")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2026-06-17</t>
        </is>
      </c>
      <c r="E160" s="33" t="n">
        <v>9.6</v>
      </c>
      <c r="F160" s="33" t="n">
        <v>10.4</v>
      </c>
      <c r="G160" s="33" t="n">
        <v>9.9</v>
      </c>
      <c r="H160" s="33" t="n">
        <v>3.05</v>
      </c>
      <c r="I160" s="33">
        <f>IF(OR(E160="",R160="",R160&lt;=0,E160&lt;0),"",E160/R160)</f>
        <v/>
      </c>
      <c r="J160" s="33">
        <f>IFERROR(AVERAGE(IFERROR(IF(E160="","",IF(E160&lt;0,5,IF(E160&lt;=15,90,IF(E160&lt;=20,75,IF(E160&lt;=25,60,IF(E160&lt;=30,45,IF(E160&lt;=40,30,IF(E160&lt;=60,15,5)))))))),""),IFERROR(IF(F160="","",IF(F160&lt;0,5,IF(F160&lt;=20,100,IF(F160&lt;=30,90,IF(F160&lt;=40,75,IF(F160&lt;=55,60,IF(F160&lt;=75,45,IF(F160&lt;=100,30,15)))))))),""),IFERROR(IF(G160="","",IF(G160&gt;=8,100,IF(G160&gt;=6,90,IF(G160&gt;=4,75,IF(G160&gt;=2,60,IF(G160&gt;=1,45,IF(G160&gt;=0,30,15))))))),""),IFERROR(IF(H160="","",IF(H160&lt;=2,90,IF(H160&lt;=4,75,IF(H160&lt;=7,60,IF(H160&lt;=10,45,IF(H160&lt;=15,30,IF(H160&lt;=25,15,5))))))),""),IFERROR(IF(I160="","",IF(I160&lt;=0.5,100,IF(I160&lt;=1,90,IF(I160&lt;=1.5,75,IF(I160&lt;=2,60,IF(I160&lt;=2.5,45,IF(I160&lt;=3,30,15))))))),"")),"")</f>
        <v/>
      </c>
      <c r="L160" s="33" t="n">
        <v>75.8</v>
      </c>
      <c r="M160" s="33" t="n">
        <v>30.2</v>
      </c>
      <c r="N160" s="33" t="n">
        <v>-0.36</v>
      </c>
      <c r="O160" s="33">
        <f>IFERROR(AVERAGE(IFERROR(IF(K160="","",IF(K160&gt;=25,100,IF(K160&gt;=20,90,IF(K160&gt;=15,75,IF(K160&gt;=10,60,IF(K160&gt;=5,45,IF(K160&gt;=0,30,15))))))),""),IFERROR(IF(L160="","",IF(L160&gt;=60,100,IF(L160&gt;=50,90,IF(L160&gt;=40,75,IF(L160&gt;=30,60,IF(L160&gt;=20,45,IF(L160&gt;=10,30,15))))))),""),IFERROR(IF(M160="","",IF(M160&gt;=25,100,IF(M160&gt;=20,90,IF(M160&gt;=15,75,IF(M160&gt;=10,60,IF(M160&gt;=5,45,IF(M160&gt;=0,30,15))))))),""),IFERROR(IF(N160="","",IF(N160&lt;=0,100,IF(N160&lt;=1,90,IF(N160&lt;=2,75,IF(N160&lt;=3,60,IF(N160&lt;=4,45,IF(N160&lt;=5,30,15))))))),"")),"")</f>
        <v/>
      </c>
      <c r="P160" s="33" t="n">
        <v>15.4</v>
      </c>
      <c r="Q160" s="33" t="n">
        <v>13.5</v>
      </c>
      <c r="R160" s="33" t="n">
        <v>19</v>
      </c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IFERROR(AVERAGE(T160,U160,V160,W160,X160)*20,"")</f>
        <v/>
      </c>
      <c r="Z160" s="33" t="n">
        <v>2</v>
      </c>
      <c r="AA160" s="33" t="n">
        <v>1</v>
      </c>
      <c r="AB160" s="33" t="n">
        <v>3</v>
      </c>
      <c r="AC160" s="33" t="n">
        <v>15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IFERROR(AVERAGE(AE160,AF160,AG160,AH160,AL160)*20,"")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2026-06-17</t>
        </is>
      </c>
      <c r="E161" s="33" t="n">
        <v>15.4</v>
      </c>
      <c r="F161" s="33" t="n">
        <v>15.7</v>
      </c>
      <c r="G161" s="33" t="n">
        <v>6.61</v>
      </c>
      <c r="H161" s="33" t="n">
        <v>5.43</v>
      </c>
      <c r="I161" s="33">
        <f>IF(OR(E161="",R161="",R161&lt;=0,E161&lt;0),"",E161/R161)</f>
        <v/>
      </c>
      <c r="J161" s="33">
        <f>IFERROR(AVERAGE(IFERROR(IF(E161="","",IF(E161&lt;0,5,IF(E161&lt;=15,90,IF(E161&lt;=20,75,IF(E161&lt;=25,60,IF(E161&lt;=30,45,IF(E161&lt;=40,30,IF(E161&lt;=60,15,5)))))))),""),IFERROR(IF(F161="","",IF(F161&lt;0,5,IF(F161&lt;=20,100,IF(F161&lt;=30,90,IF(F161&lt;=40,75,IF(F161&lt;=55,60,IF(F161&lt;=75,45,IF(F161&lt;=100,30,15)))))))),""),IFERROR(IF(G161="","",IF(G161&gt;=8,100,IF(G161&gt;=6,90,IF(G161&gt;=4,75,IF(G161&gt;=2,60,IF(G161&gt;=1,45,IF(G161&gt;=0,30,15))))))),""),IFERROR(IF(H161="","",IF(H161&lt;=2,90,IF(H161&lt;=4,75,IF(H161&lt;=7,60,IF(H161&lt;=10,45,IF(H161&lt;=15,30,IF(H161&lt;=25,15,5))))))),""),IFERROR(IF(I161="","",IF(I161&lt;=0.5,100,IF(I161&lt;=1,90,IF(I161&lt;=1.5,75,IF(I161&lt;=2,60,IF(I161&lt;=2.5,45,IF(I161&lt;=3,30,15))))))),"")),"")</f>
        <v/>
      </c>
      <c r="L161" s="33" t="n">
        <v>92.40000000000001</v>
      </c>
      <c r="M161" s="33" t="n">
        <v>35.9</v>
      </c>
      <c r="N161" s="33" t="n">
        <v>-0.09</v>
      </c>
      <c r="O161" s="33">
        <f>IFERROR(AVERAGE(IFERROR(IF(K161="","",IF(K161&gt;=25,100,IF(K161&gt;=20,90,IF(K161&gt;=15,75,IF(K161&gt;=10,60,IF(K161&gt;=5,45,IF(K161&gt;=0,30,15))))))),""),IFERROR(IF(L161="","",IF(L161&gt;=60,100,IF(L161&gt;=50,90,IF(L161&gt;=40,75,IF(L161&gt;=30,60,IF(L161&gt;=20,45,IF(L161&gt;=10,30,15))))))),""),IFERROR(IF(M161="","",IF(M161&gt;=25,100,IF(M161&gt;=20,90,IF(M161&gt;=15,75,IF(M161&gt;=10,60,IF(M161&gt;=5,45,IF(M161&gt;=0,30,15))))))),""),IFERROR(IF(N161="","",IF(N161&lt;=0,100,IF(N161&lt;=1,90,IF(N161&lt;=2,75,IF(N161&lt;=3,60,IF(N161&lt;=4,45,IF(N161&lt;=5,30,15))))))),"")),"")</f>
        <v/>
      </c>
      <c r="P161" s="33" t="n">
        <v>12.9</v>
      </c>
      <c r="Q161" s="33" t="n">
        <v>18.4</v>
      </c>
      <c r="R161" s="33" t="n">
        <v>31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IFERROR(AVERAGE(T161,U161,V161,W161,X161)*20,"")</f>
        <v/>
      </c>
      <c r="Z161" s="33" t="n">
        <v>4</v>
      </c>
      <c r="AA161" s="33" t="n">
        <v>2</v>
      </c>
      <c r="AB161" s="33" t="n">
        <v>5</v>
      </c>
      <c r="AC161" s="33" t="n">
        <v>20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IFERROR(AVERAGE(AE161,AF161,AG161,AH161,AL161)*20,"")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2026-06-17</t>
        </is>
      </c>
      <c r="E162" s="33" t="n">
        <v>158.6</v>
      </c>
      <c r="F162" s="33" t="n">
        <v>213.1</v>
      </c>
      <c r="G162" s="33" t="n">
        <v>0.47</v>
      </c>
      <c r="H162" s="33" t="n">
        <v>15.2</v>
      </c>
      <c r="I162" s="33">
        <f>IF(OR(E162="",R162="",R162&lt;=0,E162&lt;0),"",E162/R162)</f>
        <v/>
      </c>
      <c r="J162" s="33">
        <f>IFERROR(AVERAGE(IFERROR(IF(E162="","",IF(E162&lt;0,5,IF(E162&lt;=15,90,IF(E162&lt;=20,75,IF(E162&lt;=25,60,IF(E162&lt;=30,45,IF(E162&lt;=40,30,IF(E162&lt;=60,15,5)))))))),""),IFERROR(IF(F162="","",IF(F162&lt;0,5,IF(F162&lt;=20,100,IF(F162&lt;=30,90,IF(F162&lt;=40,75,IF(F162&lt;=55,60,IF(F162&lt;=75,45,IF(F162&lt;=100,30,15)))))))),""),IFERROR(IF(G162="","",IF(G162&gt;=8,100,IF(G162&gt;=6,90,IF(G162&gt;=4,75,IF(G162&gt;=2,60,IF(G162&gt;=1,45,IF(G162&gt;=0,30,15))))))),""),IFERROR(IF(H162="","",IF(H162&lt;=2,90,IF(H162&lt;=4,75,IF(H162&lt;=7,60,IF(H162&lt;=10,45,IF(H162&lt;=15,30,IF(H162&lt;=25,15,5))))))),""),IFERROR(IF(I162="","",IF(I162&lt;=0.5,100,IF(I162&lt;=1,90,IF(I162&lt;=1.5,75,IF(I162&lt;=2,60,IF(I162&lt;=2.5,45,IF(I162&lt;=3,30,15))))))),"")),"")</f>
        <v/>
      </c>
      <c r="K162" s="33" t="n">
        <v>4.5</v>
      </c>
      <c r="L162" s="33" t="n">
        <v>19.1</v>
      </c>
      <c r="M162" s="33" t="n">
        <v>7.2</v>
      </c>
      <c r="N162" s="33" t="n">
        <v>-2.39</v>
      </c>
      <c r="O162" s="33">
        <f>IFERROR(AVERAGE(IFERROR(IF(K162="","",IF(K162&gt;=25,100,IF(K162&gt;=20,90,IF(K162&gt;=15,75,IF(K162&gt;=10,60,IF(K162&gt;=5,45,IF(K162&gt;=0,30,15))))))),""),IFERROR(IF(L162="","",IF(L162&gt;=60,100,IF(L162&gt;=50,90,IF(L162&gt;=40,75,IF(L162&gt;=30,60,IF(L162&gt;=20,45,IF(L162&gt;=10,30,15))))))),""),IFERROR(IF(M162="","",IF(M162&gt;=25,100,IF(M162&gt;=20,90,IF(M162&gt;=15,75,IF(M162&gt;=10,60,IF(M162&gt;=5,45,IF(M162&gt;=0,30,15))))))),""),IFERROR(IF(N162="","",IF(N162&lt;=0,100,IF(N162&lt;=1,90,IF(N162&lt;=2,75,IF(N162&lt;=3,60,IF(N162&lt;=4,45,IF(N162&lt;=5,30,15))))))),"")),"")</f>
        <v/>
      </c>
      <c r="P162" s="33" t="n">
        <v>5.2</v>
      </c>
      <c r="Q162" s="33" t="n">
        <v>15.8</v>
      </c>
      <c r="R162" s="33" t="n">
        <v>8.300000000000001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IFERROR(AVERAGE(T162,U162,V162,W162,X162)*20,"")</f>
        <v/>
      </c>
      <c r="Z162" s="33" t="n">
        <v>2</v>
      </c>
      <c r="AA162" s="33" t="n">
        <v>2</v>
      </c>
      <c r="AB162" s="33" t="n">
        <v>3</v>
      </c>
      <c r="AC162" s="33" t="n">
        <v>35.8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IFERROR(AVERAGE(AE162,AF162,AG162,AH162,AL162)*20,"")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2026-06-17</t>
        </is>
      </c>
      <c r="E163" s="33" t="n">
        <v>30.84</v>
      </c>
      <c r="F163" s="33" t="n">
        <v>34.2</v>
      </c>
      <c r="G163" s="33" t="n">
        <v>2.97</v>
      </c>
      <c r="H163" s="33" t="n">
        <v>9.630000000000001</v>
      </c>
      <c r="I163" s="33">
        <f>IF(OR(E163="",R163="",R163&lt;=0,E163&lt;0),"",E163/R163)</f>
        <v/>
      </c>
      <c r="J163" s="33">
        <f>IFERROR(AVERAGE(IFERROR(IF(E163="","",IF(E163&lt;0,5,IF(E163&lt;=15,90,IF(E163&lt;=20,75,IF(E163&lt;=25,60,IF(E163&lt;=30,45,IF(E163&lt;=40,30,IF(E163&lt;=60,15,5)))))))),""),IFERROR(IF(F163="","",IF(F163&lt;0,5,IF(F163&lt;=20,100,IF(F163&lt;=30,90,IF(F163&lt;=40,75,IF(F163&lt;=55,60,IF(F163&lt;=75,45,IF(F163&lt;=100,30,15)))))))),""),IFERROR(IF(G163="","",IF(G163&gt;=8,100,IF(G163&gt;=6,90,IF(G163&gt;=4,75,IF(G163&gt;=2,60,IF(G163&gt;=1,45,IF(G163&gt;=0,30,15))))))),""),IFERROR(IF(H163="","",IF(H163&lt;=2,90,IF(H163&lt;=4,75,IF(H163&lt;=7,60,IF(H163&lt;=10,45,IF(H163&lt;=15,30,IF(H163&lt;=25,15,5))))))),""),IFERROR(IF(I163="","",IF(I163&lt;=0.5,100,IF(I163&lt;=1,90,IF(I163&lt;=1.5,75,IF(I163&lt;=2,60,IF(I163&lt;=2.5,45,IF(I163&lt;=3,30,15))))))),"")),"")</f>
        <v/>
      </c>
      <c r="K163" s="33" t="n">
        <v>64</v>
      </c>
      <c r="L163" s="33" t="n">
        <v>47.86</v>
      </c>
      <c r="M163" s="33" t="n">
        <v>28.61</v>
      </c>
      <c r="N163" s="33" t="n">
        <v>0.1</v>
      </c>
      <c r="O163" s="33">
        <f>IFERROR(AVERAGE(IFERROR(IF(K163="","",IF(K163&gt;=25,100,IF(K163&gt;=20,90,IF(K163&gt;=15,75,IF(K163&gt;=10,60,IF(K163&gt;=5,45,IF(K163&gt;=0,30,15))))))),""),IFERROR(IF(L163="","",IF(L163&gt;=60,100,IF(L163&gt;=50,90,IF(L163&gt;=40,75,IF(L163&gt;=30,60,IF(L163&gt;=20,45,IF(L163&gt;=10,30,15))))))),""),IFERROR(IF(M163="","",IF(M163&gt;=25,100,IF(M163&gt;=20,90,IF(M163&gt;=15,75,IF(M163&gt;=10,60,IF(M163&gt;=5,45,IF(M163&gt;=0,30,15))))))),""),IFERROR(IF(N163="","",IF(N163&lt;=0,100,IF(N163&lt;=1,90,IF(N163&lt;=2,75,IF(N163&lt;=3,60,IF(N163&lt;=4,45,IF(N163&lt;=5,30,15))))))),"")),"")</f>
        <v/>
      </c>
      <c r="P163" s="33" t="n">
        <v>1.8</v>
      </c>
      <c r="Q163" s="33" t="n">
        <v>17</v>
      </c>
      <c r="R163" s="33" t="n">
        <v>22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IFERROR(AVERAGE(T163,U163,V163,W163,X163)*20,"")</f>
        <v/>
      </c>
      <c r="Z163" s="33" t="n">
        <v>4</v>
      </c>
      <c r="AA163" s="33" t="n">
        <v>2</v>
      </c>
      <c r="AB163" s="33" t="n">
        <v>3</v>
      </c>
      <c r="AC163" s="33" t="n">
        <v>50.8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IFERROR(AVERAGE(AE163,AF163,AG163,AH163,AL163)*20,"")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33" t="inlineStr">
        <is>
          <t>2026-06-17</t>
        </is>
      </c>
      <c r="H164" s="33" t="n">
        <v>131</v>
      </c>
      <c r="I164" s="33">
        <f>IF(OR(E164="",R164="",R164&lt;=0,E164&lt;0),"",E164/R164)</f>
        <v/>
      </c>
      <c r="J164" s="33">
        <f>IFERROR(AVERAGE(IFERROR(IF(E164="","",IF(E164&lt;0,5,IF(E164&lt;=15,90,IF(E164&lt;=20,75,IF(E164&lt;=25,60,IF(E164&lt;=30,45,IF(E164&lt;=40,30,IF(E164&lt;=60,15,5)))))))),""),IFERROR(IF(F164="","",IF(F164&lt;0,5,IF(F164&lt;=20,100,IF(F164&lt;=30,90,IF(F164&lt;=40,75,IF(F164&lt;=55,60,IF(F164&lt;=75,45,IF(F164&lt;=100,30,15)))))))),""),IFERROR(IF(G164="","",IF(G164&gt;=8,100,IF(G164&gt;=6,90,IF(G164&gt;=4,75,IF(G164&gt;=2,60,IF(G164&gt;=1,45,IF(G164&gt;=0,30,15))))))),""),IFERROR(IF(H164="","",IF(H164&lt;=2,90,IF(H164&lt;=4,75,IF(H164&lt;=7,60,IF(H164&lt;=10,45,IF(H164&lt;=15,30,IF(H164&lt;=25,15,5))))))),""),IFERROR(IF(I164="","",IF(I164&lt;=0.5,100,IF(I164&lt;=1,90,IF(I164&lt;=1.5,75,IF(I164&lt;=2,60,IF(I164&lt;=2.5,45,IF(I164&lt;=3,30,15))))))),"")),"")</f>
        <v/>
      </c>
      <c r="L164" s="33" t="n">
        <v>48.8</v>
      </c>
      <c r="O164" s="33">
        <f>IFERROR(AVERAGE(IFERROR(IF(K164="","",IF(K164&gt;=25,100,IF(K164&gt;=20,90,IF(K164&gt;=15,75,IF(K164&gt;=10,60,IF(K164&gt;=5,45,IF(K164&gt;=0,30,15))))))),""),IFERROR(IF(L164="","",IF(L164&gt;=60,100,IF(L164&gt;=50,90,IF(L164&gt;=40,75,IF(L164&gt;=30,60,IF(L164&gt;=20,45,IF(L164&gt;=10,30,15))))))),""),IFERROR(IF(M164="","",IF(M164&gt;=25,100,IF(M164&gt;=20,90,IF(M164&gt;=15,75,IF(M164&gt;=10,60,IF(M164&gt;=5,45,IF(M164&gt;=0,30,15))))))),""),IFERROR(IF(N164="","",IF(N164&lt;=0,100,IF(N164&lt;=1,90,IF(N164&lt;=2,75,IF(N164&lt;=3,60,IF(N164&lt;=4,45,IF(N164&lt;=5,30,15))))))),"")),"")</f>
        <v/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3</v>
      </c>
      <c r="U164" s="33" t="n">
        <v>4</v>
      </c>
      <c r="V164" s="33" t="n">
        <v>4</v>
      </c>
      <c r="W164" s="33" t="n">
        <v>5</v>
      </c>
      <c r="X164" s="33" t="n">
        <v>4</v>
      </c>
      <c r="Y164" s="33">
        <f>IFERROR(AVERAGE(T164,U164,V164,W164,X164)*20,"")</f>
        <v/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IFERROR(AVERAGE(AE164,AF164,AG164,AH164,AL164)*20,"")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244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2026-06-19T16:57:59Z</dcterms:modified>
  <cp:revision>0</cp:revision>
</cp:coreProperties>
</file>