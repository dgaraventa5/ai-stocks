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80.8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64.2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56.7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49.2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56.7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51.7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33.3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36.7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42.5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72.5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51.7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89.2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94.2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86.7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63.3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90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86.7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70.8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58.3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78.3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50.8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73.3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82.5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93.3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57.5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39.2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80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55.8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50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80.8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19.2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2026-06-19</t>
        </is>
      </c>
      <c r="E116" s="33" t="n">
        <v>31.277687</v>
      </c>
      <c r="F116" s="33" t="n">
        <v>90.03400000000001</v>
      </c>
      <c r="G116" s="33" t="n">
        <v>0.8</v>
      </c>
      <c r="H116" s="33" t="n">
        <v>37.966953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42.5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40.8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48.3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45.8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22.5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56.7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71.7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57.5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19.2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81.7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82.5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44.2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39.2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2026-06-20</t>
        </is>
      </c>
      <c r="E165" s="33" t="n">
        <v>40.450817</v>
      </c>
      <c r="F165" s="33" t="n">
        <v>50.556</v>
      </c>
      <c r="G165" s="33" t="n">
        <v>1.54</v>
      </c>
      <c r="H165" s="33" t="n">
        <v>6.817185</v>
      </c>
      <c r="I165" s="33">
        <f>IF(OR(E165="",R165="",R165&lt;=0,E165&lt;0),"",E165/R165)</f>
        <v/>
      </c>
      <c r="J165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Y165">
        <f>IFERROR(AVERAGE(T165,U165,V165,W165,X165)*20,"")</f>
        <v/>
      </c>
      <c r="AC165" s="33" t="n">
        <v>72.5</v>
      </c>
      <c r="AD165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I165">
        <f>IFERROR(AVERAGE(AE165,AF165,AG165,AH165,AL165)*20,"")</f>
        <v/>
      </c>
      <c r="AJ165">
        <f>IFERROR(J165*Weights!$B$4 + O165*Weights!$B$5 + S165*Weights!$B$6 + Y165*Weights!$B$7 + AD165*Weights!$B$8 + AI165*Weights!$B$9,"")</f>
        <v/>
      </c>
      <c r="AK165">
        <f>IF(AJ165="","",IF(AJ165&gt;=85,"✓✓✓",IF(AJ165&gt;=70,"✓✓",IF(AJ165&gt;=55,"✓",IF(AJ165&gt;=40,"?","✗")))))</f>
        <v/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2026-06-20</t>
        </is>
      </c>
      <c r="E166" s="33" t="n">
        <v>46.937244</v>
      </c>
      <c r="G166" s="33" t="n">
        <v>1.23</v>
      </c>
      <c r="H166" s="33" t="n">
        <v>6.8026567</v>
      </c>
      <c r="I166" s="33">
        <f>IF(OR(E166="",R166="",R166&lt;=0,E166&lt;0),"",E166/R166)</f>
        <v/>
      </c>
      <c r="J166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Y166">
        <f>IFERROR(AVERAGE(T166,U166,V166,W166,X166)*20,"")</f>
        <v/>
      </c>
      <c r="AC166" s="33" t="n">
        <v>91.7</v>
      </c>
      <c r="AD166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I166">
        <f>IFERROR(AVERAGE(AE166,AF166,AG166,AH166,AL166)*20,"")</f>
        <v/>
      </c>
      <c r="AJ166">
        <f>IFERROR(J166*Weights!$B$4 + O166*Weights!$B$5 + S166*Weights!$B$6 + Y166*Weights!$B$7 + AD166*Weights!$B$8 + AI166*Weights!$B$9,"")</f>
        <v/>
      </c>
      <c r="AK166">
        <f>IF(AJ166="","",IF(AJ166&gt;=85,"✓✓✓",IF(AJ166&gt;=70,"✓✓",IF(AJ166&gt;=55,"✓",IF(AJ166&gt;=40,"?","✗")))))</f>
        <v/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2026-06-20</t>
        </is>
      </c>
      <c r="E167" s="33" t="n">
        <v>36.893085</v>
      </c>
      <c r="F167" s="33" t="n">
        <v>18.598</v>
      </c>
      <c r="G167" s="33" t="n">
        <v>0.75</v>
      </c>
      <c r="H167" s="33" t="n">
        <v>3.1710093</v>
      </c>
      <c r="I167" s="33">
        <f>IF(OR(E167="",R167="",R167&lt;=0,E167&lt;0),"",E167/R167)</f>
        <v/>
      </c>
      <c r="J167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Y167">
        <f>IFERROR(AVERAGE(T167,U167,V167,W167,X167)*20,"")</f>
        <v/>
      </c>
      <c r="AC167" s="33" t="n">
        <v>76.7</v>
      </c>
      <c r="AD167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I167">
        <f>IFERROR(AVERAGE(AE167,AF167,AG167,AH167,AL167)*20,"")</f>
        <v/>
      </c>
      <c r="AJ167">
        <f>IFERROR(J167*Weights!$B$4 + O167*Weights!$B$5 + S167*Weights!$B$6 + Y167*Weights!$B$7 + AD167*Weights!$B$8 + AI167*Weights!$B$9,"")</f>
        <v/>
      </c>
      <c r="AK167">
        <f>IF(AJ167="","",IF(AJ167&gt;=85,"✓✓✓",IF(AJ167&gt;=70,"✓✓",IF(AJ167&gt;=55,"✓",IF(AJ167&gt;=40,"?","✗")))))</f>
        <v/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2026-06-20</t>
        </is>
      </c>
      <c r="E168" s="33" t="n">
        <v>28.319674</v>
      </c>
      <c r="I168" s="33">
        <f>IF(OR(E168="",R168="",R168&lt;=0,E168&lt;0),"",E168/R168)</f>
        <v/>
      </c>
      <c r="J168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Y168">
        <f>IFERROR(AVERAGE(T168,U168,V168,W168,X168)*20,"")</f>
        <v/>
      </c>
      <c r="AC168" s="33" t="n">
        <v>96.7</v>
      </c>
      <c r="AD168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I168">
        <f>IFERROR(AVERAGE(AE168,AF168,AG168,AH168,AL168)*20,"")</f>
        <v/>
      </c>
      <c r="AJ168">
        <f>IFERROR(J168*Weights!$B$4 + O168*Weights!$B$5 + S168*Weights!$B$6 + Y168*Weights!$B$7 + AD168*Weights!$B$8 + AI168*Weights!$B$9,"")</f>
        <v/>
      </c>
      <c r="AK168">
        <f>IF(AJ168="","",IF(AJ168&gt;=85,"✓✓✓",IF(AJ168&gt;=70,"✓✓",IF(AJ168&gt;=55,"✓",IF(AJ168&gt;=40,"?","✗")))))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2026-06-20T19:46:34Z</dcterms:modified>
  <cp:revision>0</cp:revision>
</cp:coreProperties>
</file>