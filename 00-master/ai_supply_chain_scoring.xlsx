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18.369097</v>
      </c>
      <c r="F43" s="33" t="n">
        <v>22.616</v>
      </c>
      <c r="G43" s="33" t="n">
        <v>2.87</v>
      </c>
      <c r="H43" s="33" t="n">
        <v>4.171173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4.583286195009657</v>
      </c>
      <c r="F78" s="33" t="n">
        <v>15.074</v>
      </c>
      <c r="G78" s="33" t="n">
        <v>6.99</v>
      </c>
      <c r="H78" s="33" t="n">
        <v>8.119540000000001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22.915592</v>
      </c>
      <c r="F95" s="33" t="n">
        <v>16.329</v>
      </c>
      <c r="G95" s="33" t="n">
        <v>-0.1</v>
      </c>
      <c r="H95" s="33" t="n">
        <v>3.3376005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17.2809</v>
      </c>
      <c r="F96" s="33" t="n">
        <v>14.019</v>
      </c>
      <c r="G96" s="33" t="n">
        <v>1.82</v>
      </c>
      <c r="H96" s="33" t="n">
        <v>6.508254</v>
      </c>
      <c r="I96" s="33">
        <f>IF(OR(E96="",R96="",R96&lt;=0,E96&lt;0),"",E96/R96)</f>
        <v/>
      </c>
      <c r="J96" s="33" t="n">
        <v>60.8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21.442728</v>
      </c>
      <c r="F134" s="33" t="n">
        <v>26.634</v>
      </c>
      <c r="G134" s="33" t="n">
        <v>3.51</v>
      </c>
      <c r="H134" s="33" t="n">
        <v>11.206573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9.473421999999999</v>
      </c>
      <c r="F169" s="33" t="n">
        <v>21.8</v>
      </c>
      <c r="G169" s="33" t="n">
        <v>5.77</v>
      </c>
      <c r="H169" s="33" t="n">
        <v>6.35033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3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1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2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  <row r="3218">
      <c r="A3218" s="33" t="inlineStr">
        <is>
          <t>2026-10-30</t>
        </is>
      </c>
      <c r="B3218" s="33" t="inlineStr">
        <is>
          <t>META</t>
        </is>
      </c>
      <c r="C3218" s="33" t="inlineStr">
        <is>
          <t>EPS YoY (objective)</t>
        </is>
      </c>
      <c r="D3218" s="33" t="inlineStr">
        <is>
          <t>2</t>
        </is>
      </c>
      <c r="E3218" s="33" t="inlineStr">
        <is>
          <t>Rule-15 ex-item value (Dom): EPS excluding one-offs $7.40 vs $7.25 (+2%). GAAP +265% ($3.83 vs $1.05) is dominated by the $15.93B Q3 2025 one-time tax charge and the $9.89B Q3 2026 state AG settlement charge. Same standard as WDC, same day.</t>
        </is>
      </c>
      <c r="F3218" s="33" t="inlineStr">
        <is>
          <t>8-K Ex-99.1 filed 2026-10-21; 8-K Ex-99.1 filed 2025-10-29</t>
        </is>
      </c>
      <c r="G3218" s="33" t="inlineStr">
        <is>
          <t>High</t>
        </is>
      </c>
      <c r="H3218" s="33" t="inlineStr">
        <is>
          <t>Objective refresh</t>
        </is>
      </c>
    </row>
    <row r="3219">
      <c r="A3219" s="33" t="inlineStr">
        <is>
          <t>2026-10-30</t>
        </is>
      </c>
      <c r="B3219" s="33" t="inlineStr">
        <is>
          <t>RDDT</t>
        </is>
      </c>
      <c r="C3219" s="33" t="inlineStr">
        <is>
          <t>R5</t>
        </is>
      </c>
      <c r="D3219" s="33" t="inlineStr">
        <is>
          <t>1</t>
        </is>
      </c>
      <c r="E3219" s="33" t="inlineStr">
        <is>
          <t>2-&gt;1 (Dom-approved). Q3 letter: search referrals 'down meaningfully', accelerating late in the quarter; &gt;1M referrals a week lost on average in October; company says DAUq could fall by a low-double-digit percentage in Q4; US DAUq -2% YoY. Band 1: AI tools produce the core output and active erosion is visible. Against: revenue +53%, logged-in and app DAUq up sequentially.</t>
        </is>
      </c>
      <c r="F3219" s="33" t="inlineStr">
        <is>
          <t>8-K Ex-99.2 filed 2026-10-29 (acc. 0001713445-26-000114); per-stock/RDDT/context-2026-10-29.md</t>
        </is>
      </c>
      <c r="G3219" s="33" t="inlineStr">
        <is>
          <t>Med</t>
        </is>
      </c>
      <c r="H3219" s="33" t="inlineStr">
        <is>
          <t>Update</t>
        </is>
      </c>
    </row>
    <row r="3220">
      <c r="A3220" s="33" t="inlineStr">
        <is>
          <t>2026-10-30</t>
        </is>
      </c>
      <c r="B3220" s="33" t="inlineStr">
        <is>
          <t>RDDT</t>
        </is>
      </c>
      <c r="C3220" s="33" t="inlineStr">
        <is>
          <t>D5</t>
        </is>
      </c>
      <c r="D3220" s="33" t="inlineStr">
        <is>
          <t>3</t>
        </is>
      </c>
      <c r="E3220" s="33" t="inlineStr">
        <is>
          <t>5-&gt;3 (Dom's call; Claude proposed 4). Rule-38 lens. Max campaign lift (CPA -17%, conversions +27%) is company-reported with no disclosed AI-attributable revenue, so band 5 is not met. Dom, from his work in media: AI helps the platform but is a local optimization and no better than Meta or Google, so it is not a differentiated growth engine. Filed evidence alone fits band 4; the step to 3 rests on Dom's industry judgment.</t>
        </is>
      </c>
      <c r="F3220" s="33" t="inlineStr">
        <is>
          <t>per-stock/RDDT/context-2026-10-16.md; per-stock/RDDT/context-2026-10-29.md; Dom industry context 2026-10-30</t>
        </is>
      </c>
      <c r="G3220" s="33" t="inlineStr">
        <is>
          <t>Med</t>
        </is>
      </c>
      <c r="H3220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2026-10-30T20:38:39Z</dcterms:modified>
  <cp:revision>0</cp:revision>
</cp:coreProperties>
</file>