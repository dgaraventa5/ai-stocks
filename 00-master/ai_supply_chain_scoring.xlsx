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\x"/>
    <numFmt numFmtId="166" formatCode="0.0\%"/>
    <numFmt numFmtId="167" formatCode="0.0"/>
    <numFmt numFmtId="168" formatCode="yyyy-mm-dd"/>
    <numFmt numFmtId="169" formatCode="yyyy-mm-dd h:mm:ss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8" fontId="0" fillId="0" borderId="0" pivotButton="0" quotePrefix="0" xfId="0"/>
    <xf numFmtId="169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2026-10-11</t>
        </is>
      </c>
      <c r="E2" s="61" t="n">
        <v>56.757248</v>
      </c>
      <c r="F2" s="61" t="n">
        <v>205.314</v>
      </c>
      <c r="G2" s="62" t="n">
        <v>0.76</v>
      </c>
      <c r="H2" s="61" t="n">
        <v>26.537407</v>
      </c>
      <c r="I2" s="33">
        <f>IF(OR(E2="",R2="",R2&lt;=0,E2&lt;0),"",E2/R2)</f>
        <v/>
      </c>
      <c r="J2" s="63" t="n">
        <v>32.4</v>
      </c>
      <c r="K2" s="62" t="n">
        <v>7.67</v>
      </c>
      <c r="L2" s="62" t="n">
        <v>31.65</v>
      </c>
      <c r="M2" s="62" t="n">
        <v>20.07</v>
      </c>
      <c r="N2" s="61" t="n">
        <v>0.23</v>
      </c>
      <c r="O2" s="63" t="n">
        <v>74.40000000000001</v>
      </c>
      <c r="P2" s="62" t="n">
        <v>19.06</v>
      </c>
      <c r="Q2" s="62" t="n">
        <v>165.5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62.5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2026-10-11</t>
        </is>
      </c>
      <c r="E3" s="61" t="n">
        <v>-45.28402</v>
      </c>
      <c r="F3" s="61" t="n">
        <v>22.6</v>
      </c>
      <c r="G3" s="62" t="n">
        <v>-30.16</v>
      </c>
      <c r="H3" s="61" t="n">
        <v>5.9644427</v>
      </c>
      <c r="I3" s="33">
        <f>IF(OR(E3="",R3="",R3&lt;=0,E3&lt;0),"",E3/R3)</f>
        <v/>
      </c>
      <c r="J3" s="63" t="n">
        <v>31.2</v>
      </c>
      <c r="K3" s="62" t="n">
        <v>-0.32</v>
      </c>
      <c r="L3" s="62" t="n">
        <v>67.42</v>
      </c>
      <c r="M3" s="62" t="n">
        <v>-179.91</v>
      </c>
      <c r="N3" s="61" t="n">
        <v>12.16</v>
      </c>
      <c r="O3" s="63" t="n">
        <v>53.1</v>
      </c>
      <c r="P3" s="62" t="n">
        <v>586.92</v>
      </c>
      <c r="Q3" s="62" t="n">
        <v>112.5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46.7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2</v>
      </c>
      <c r="AF3" s="60" t="n">
        <v>5</v>
      </c>
      <c r="AG3" s="60" t="n">
        <v>1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2026-10-11</t>
        </is>
      </c>
      <c r="E4" s="61" t="n">
        <v>26.450916</v>
      </c>
      <c r="F4" s="61" t="n">
        <v>35.51</v>
      </c>
      <c r="G4" s="62" t="n">
        <v>3.13</v>
      </c>
      <c r="H4" s="61" t="n">
        <v>8.142046000000001</v>
      </c>
      <c r="I4" s="33">
        <f>IF(OR(E4="",R4="",R4&lt;=0,E4&lt;0),"",E4/R4)</f>
        <v/>
      </c>
      <c r="J4" s="63" t="n">
        <v>49.5</v>
      </c>
      <c r="K4" s="62" t="n">
        <v>21.07</v>
      </c>
      <c r="L4" s="62" t="n">
        <v>38.04</v>
      </c>
      <c r="M4" s="62" t="n">
        <v>25.47</v>
      </c>
      <c r="N4" s="61" t="n">
        <v>0.08</v>
      </c>
      <c r="O4" s="63" t="n">
        <v>80.5</v>
      </c>
      <c r="P4" s="62" t="n">
        <v>21.59</v>
      </c>
      <c r="Q4" s="62" t="n">
        <v>24.1</v>
      </c>
      <c r="R4" s="62" t="n">
        <v>53.5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2</v>
      </c>
      <c r="AB4" s="60" t="n">
        <v>2</v>
      </c>
      <c r="AC4" s="70" t="n">
        <v>30.8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4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2026-10-11</t>
        </is>
      </c>
      <c r="E5" s="61" t="n">
        <v>39.759323</v>
      </c>
      <c r="F5" s="61" t="n">
        <v>65.627</v>
      </c>
      <c r="G5" s="62" t="n">
        <v>4.65</v>
      </c>
      <c r="H5" s="61" t="n">
        <v>6.4687634</v>
      </c>
      <c r="I5" s="33">
        <f>IF(OR(E5="",R5="",R5&lt;=0,E5&lt;0),"",E5/R5)</f>
        <v/>
      </c>
      <c r="J5" s="63" t="n">
        <v>40.6</v>
      </c>
      <c r="K5" s="62" t="n">
        <v>7.22</v>
      </c>
      <c r="L5" s="62" t="n">
        <v>20.57</v>
      </c>
      <c r="M5" s="62" t="n">
        <v>30.07</v>
      </c>
      <c r="N5" s="61" t="n">
        <v>-2.29</v>
      </c>
      <c r="O5" s="63" t="n">
        <v>58</v>
      </c>
      <c r="P5" s="62" t="n">
        <v>8.68</v>
      </c>
      <c r="Q5" s="62" t="n">
        <v>21.9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49.2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2026-10-11</t>
        </is>
      </c>
      <c r="E6" s="61" t="n">
        <v>5.532523491847543</v>
      </c>
      <c r="F6" s="61" t="n">
        <v>10.944</v>
      </c>
      <c r="G6" s="62" t="n">
        <v>2.25</v>
      </c>
      <c r="H6" s="61" t="n">
        <v>8.741286000000001</v>
      </c>
      <c r="I6" s="33">
        <f>IF(OR(E6="",R6="",R6&lt;=0,E6&lt;0),"",E6/R6)</f>
        <v/>
      </c>
      <c r="J6" s="63" t="n">
        <v>66.40000000000001</v>
      </c>
      <c r="K6" s="62" t="n">
        <v>44.18</v>
      </c>
      <c r="L6" s="62" t="n">
        <v>80.72</v>
      </c>
      <c r="M6" s="62" t="n">
        <v>19.65</v>
      </c>
      <c r="N6" s="61" t="n">
        <v>-0.35</v>
      </c>
      <c r="O6" s="63" t="n">
        <v>80</v>
      </c>
      <c r="P6" s="62" t="n">
        <v>6.71</v>
      </c>
      <c r="Q6" s="62" t="n">
        <v>379.3</v>
      </c>
      <c r="R6" s="62" t="n">
        <v>1077.8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76.7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2026-10-11</t>
        </is>
      </c>
      <c r="E7" s="33" t="n">
        <v>22.37736</v>
      </c>
      <c r="F7" s="33" t="n">
        <v>16.41</v>
      </c>
      <c r="G7" s="33" t="n">
        <v>0.29</v>
      </c>
      <c r="H7" s="33" t="n">
        <v>3.3773074</v>
      </c>
      <c r="I7" s="33">
        <f>IF(OR(E7="",R7="",R7&lt;=0,E7&lt;0),"",E7/R7)</f>
        <v/>
      </c>
      <c r="J7" s="66" t="n">
        <v>40.3</v>
      </c>
      <c r="K7" s="33" t="n">
        <v>3.56</v>
      </c>
      <c r="L7" s="33" t="n">
        <v>22.11</v>
      </c>
      <c r="M7" s="33" t="n">
        <v>0.99</v>
      </c>
      <c r="N7" s="33" t="n">
        <v>3.02</v>
      </c>
      <c r="O7" s="66" t="n">
        <v>38.1</v>
      </c>
      <c r="P7" s="33" t="n">
        <v>1.47</v>
      </c>
      <c r="Q7" s="33" t="n">
        <v>23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40.8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2026-10-11</t>
        </is>
      </c>
      <c r="E8" s="33" t="n">
        <v>14.82823261163482</v>
      </c>
      <c r="F8" s="33" t="n">
        <v>28.318</v>
      </c>
      <c r="G8" s="33" t="n">
        <v>2.29</v>
      </c>
      <c r="H8" s="33" t="n">
        <v>18.273836</v>
      </c>
      <c r="I8" s="33">
        <f>IF(OR(E8="",R8="",R8&lt;=0,E8&lt;0),"",E8/R8)</f>
        <v/>
      </c>
      <c r="J8" s="66" t="n">
        <v>73</v>
      </c>
      <c r="K8" s="33" t="n">
        <v>59.83</v>
      </c>
      <c r="L8" s="33" t="n">
        <v>74.67</v>
      </c>
      <c r="M8" s="33" t="n">
        <v>41.92</v>
      </c>
      <c r="N8" s="33" t="n">
        <v>-0.12</v>
      </c>
      <c r="O8" s="66" t="n">
        <v>90.3</v>
      </c>
      <c r="P8" s="33" t="n">
        <v>100.05</v>
      </c>
      <c r="Q8" s="33" t="n">
        <v>105.9</v>
      </c>
      <c r="R8" s="33" t="n">
        <v>125.9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73.3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3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2026-10-11</t>
        </is>
      </c>
      <c r="E9" s="33" t="n">
        <v>38.678555</v>
      </c>
      <c r="F9" s="33" t="n">
        <v>109.341</v>
      </c>
      <c r="G9" s="33" t="n">
        <v>0.85</v>
      </c>
      <c r="H9" s="33" t="n">
        <v>24.033602</v>
      </c>
      <c r="I9" s="33">
        <f>IF(OR(E9="",R9="",R9&lt;=0,E9&lt;0),"",E9/R9)</f>
        <v/>
      </c>
      <c r="J9" s="66" t="n">
        <v>33.6</v>
      </c>
      <c r="K9" s="33" t="n">
        <v>7.66</v>
      </c>
      <c r="L9" s="33" t="n">
        <v>55.72</v>
      </c>
      <c r="M9" s="33" t="n">
        <v>20.34</v>
      </c>
      <c r="N9" s="33" t="n">
        <v>-0.92</v>
      </c>
      <c r="O9" s="66" t="n">
        <v>56.7</v>
      </c>
      <c r="P9" s="33" t="n">
        <v>13.64</v>
      </c>
      <c r="Q9" s="33" t="n">
        <v>50.1</v>
      </c>
      <c r="R9" s="33" t="n">
        <v>163.4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75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2026-10-11</t>
        </is>
      </c>
      <c r="E10" s="33" t="n">
        <v>16.160536</v>
      </c>
      <c r="F10" s="33" t="n">
        <v>13.599</v>
      </c>
      <c r="G10" s="33" t="n">
        <v>-13.63</v>
      </c>
      <c r="H10" s="33" t="n">
        <v>2.9921067</v>
      </c>
      <c r="I10" s="33">
        <f>IF(OR(E10="",R10="",R10&lt;=0,E10&lt;0),"",E10/R10)</f>
        <v/>
      </c>
      <c r="J10" s="66" t="n">
        <v>49</v>
      </c>
      <c r="K10" s="33" t="n">
        <v>4</v>
      </c>
      <c r="L10" s="33" t="n">
        <v>46.22</v>
      </c>
      <c r="M10" s="33" t="n">
        <v>-40.79</v>
      </c>
      <c r="N10" s="33" t="n">
        <v>6.43</v>
      </c>
      <c r="O10" s="66" t="n">
        <v>37.5</v>
      </c>
      <c r="P10" s="33" t="n">
        <v>5.8</v>
      </c>
      <c r="Q10" s="33" t="n">
        <v>17.6</v>
      </c>
      <c r="R10" s="33" t="n">
        <v>-55.3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52.5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2026-10-11</t>
        </is>
      </c>
      <c r="E11" s="33" t="n">
        <v>17.910582</v>
      </c>
      <c r="F11" s="33" t="n">
        <v>13.356</v>
      </c>
      <c r="G11" s="33" t="n">
        <v>-3.65</v>
      </c>
      <c r="H11" s="33" t="n">
        <v>2.9335017</v>
      </c>
      <c r="I11" s="33">
        <f>IF(OR(E11="",R11="",R11&lt;=0,E11&lt;0),"",E11/R11)</f>
        <v/>
      </c>
      <c r="J11" s="66" t="n">
        <v>57.4</v>
      </c>
      <c r="K11" s="33" t="n">
        <v>4.47</v>
      </c>
      <c r="L11" s="33" t="n">
        <v>46.35</v>
      </c>
      <c r="M11" s="33" t="n">
        <v>-10.69</v>
      </c>
      <c r="N11" s="33" t="n">
        <v>5.86</v>
      </c>
      <c r="O11" s="66" t="n">
        <v>45.8</v>
      </c>
      <c r="P11" s="33" t="n">
        <v>3.66</v>
      </c>
      <c r="Q11" s="33" t="n">
        <v>7</v>
      </c>
      <c r="R11" s="33" t="n">
        <v>-41.8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30.8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2026-10-11</t>
        </is>
      </c>
      <c r="E12" s="33" t="n">
        <v>16.265955</v>
      </c>
      <c r="F12" s="33" t="n">
        <v>11.114</v>
      </c>
      <c r="G12" s="33" t="n">
        <v>-3.63</v>
      </c>
      <c r="H12" s="33" t="n">
        <v>2.7726812</v>
      </c>
      <c r="I12" s="33">
        <f>IF(OR(E12="",R12="",R12&lt;=0,E12&lt;0),"",E12/R12)</f>
        <v/>
      </c>
      <c r="J12" s="66" t="n">
        <v>65.90000000000001</v>
      </c>
      <c r="K12" s="33" t="n">
        <v>4.2</v>
      </c>
      <c r="L12" s="33" t="n">
        <v>51.97</v>
      </c>
      <c r="M12" s="33" t="n">
        <v>-10.06</v>
      </c>
      <c r="N12" s="33" t="n">
        <v>5.51</v>
      </c>
      <c r="O12" s="66" t="n">
        <v>48.8</v>
      </c>
      <c r="P12" s="33" t="n">
        <v>3.87</v>
      </c>
      <c r="Q12" s="33" t="n">
        <v>1.1</v>
      </c>
      <c r="R12" s="33" t="n">
        <v>11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22.5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2026-10-11</t>
        </is>
      </c>
      <c r="E13" s="33" t="n">
        <v>17.502808</v>
      </c>
      <c r="F13" s="33" t="n">
        <v>12.285</v>
      </c>
      <c r="G13" s="33" t="n">
        <v>-3.3</v>
      </c>
      <c r="H13" s="33" t="n">
        <v>3.2846277</v>
      </c>
      <c r="I13" s="33">
        <f>IF(OR(E13="",R13="",R13&lt;=0,E13&lt;0),"",E13/R13)</f>
        <v/>
      </c>
      <c r="J13" s="66" t="n">
        <v>62.7</v>
      </c>
      <c r="K13" s="33" t="n">
        <v>4.35</v>
      </c>
      <c r="L13" s="33" t="n">
        <v>48.29</v>
      </c>
      <c r="M13" s="33" t="n">
        <v>-10.83</v>
      </c>
      <c r="N13" s="33" t="n">
        <v>5.2</v>
      </c>
      <c r="O13" s="66" t="n">
        <v>47.3</v>
      </c>
      <c r="P13" s="33" t="n">
        <v>0.31</v>
      </c>
      <c r="Q13" s="33" t="n">
        <v>0.1</v>
      </c>
      <c r="R13" s="33" t="n">
        <v>33.4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29.2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2026-10-11</t>
        </is>
      </c>
      <c r="E14" s="33" t="n">
        <v>17.68144</v>
      </c>
      <c r="F14" s="33" t="n">
        <v>19.125</v>
      </c>
      <c r="G14" s="33" t="n">
        <v>1.89</v>
      </c>
      <c r="H14" s="33" t="n">
        <v>5.623141</v>
      </c>
      <c r="I14" s="33">
        <f>IF(OR(E14="",R14="",R14&lt;=0,E14&lt;0),"",E14/R14)</f>
        <v/>
      </c>
      <c r="J14" s="66" t="n">
        <v>51.2</v>
      </c>
      <c r="K14" s="33" t="n">
        <v>3.99</v>
      </c>
      <c r="L14" s="33" t="n">
        <v>61.02</v>
      </c>
      <c r="M14" s="33" t="n">
        <v>10.62</v>
      </c>
      <c r="N14" s="33" t="n">
        <v>7.35</v>
      </c>
      <c r="O14" s="66" t="n">
        <v>55.6</v>
      </c>
      <c r="P14" s="33" t="n">
        <v>9.359999999999999</v>
      </c>
      <c r="Q14" s="33" t="n">
        <v>12.4</v>
      </c>
      <c r="R14" s="33" t="n">
        <v>55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25.8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2026-10-11</t>
        </is>
      </c>
      <c r="E15" s="33" t="n">
        <v>20.139488</v>
      </c>
      <c r="F15" s="33" t="n">
        <v>14.274</v>
      </c>
      <c r="G15" s="33" t="n">
        <v>-6.42</v>
      </c>
      <c r="H15" s="33" t="n">
        <v>3.6429832</v>
      </c>
      <c r="I15" s="33">
        <f>IF(OR(E15="",R15="",R15&lt;=0,E15&lt;0),"",E15/R15)</f>
        <v/>
      </c>
      <c r="J15" s="66" t="n">
        <v>36.2</v>
      </c>
      <c r="K15" s="33" t="n">
        <v>3.62</v>
      </c>
      <c r="L15" s="33" t="n">
        <v>47</v>
      </c>
      <c r="M15" s="33" t="n">
        <v>-23.37</v>
      </c>
      <c r="N15" s="33" t="n">
        <v>5.56</v>
      </c>
      <c r="O15" s="66" t="n">
        <v>38.2</v>
      </c>
      <c r="P15" s="33" t="n">
        <v>-2.02</v>
      </c>
      <c r="Q15" s="33" t="n">
        <v>5.9</v>
      </c>
      <c r="R15" s="33" t="n">
        <v>3.1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40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2026-10-11</t>
        </is>
      </c>
      <c r="E16" s="33" t="n">
        <v>16.162142</v>
      </c>
      <c r="F16" s="33" t="n">
        <v>12.129</v>
      </c>
      <c r="G16" s="33" t="n">
        <v>-7.73</v>
      </c>
      <c r="H16" s="33" t="n">
        <v>2.7425687</v>
      </c>
      <c r="I16" s="33">
        <f>IF(OR(E16="",R16="",R16&lt;=0,E16&lt;0),"",E16/R16)</f>
        <v/>
      </c>
      <c r="J16" s="66" t="n">
        <v>64</v>
      </c>
      <c r="K16" s="33" t="n">
        <v>4.26</v>
      </c>
      <c r="L16" s="33" t="n">
        <v>44.09</v>
      </c>
      <c r="M16" s="33" t="n">
        <v>-21.2</v>
      </c>
      <c r="N16" s="33" t="n">
        <v>5.33</v>
      </c>
      <c r="O16" s="66" t="n">
        <v>40.5</v>
      </c>
      <c r="P16" s="33" t="n">
        <v>4.59</v>
      </c>
      <c r="Q16" s="33" t="n">
        <v>4.2</v>
      </c>
      <c r="R16" s="33" t="n">
        <v>25.7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22.5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2026-10-11</t>
        </is>
      </c>
      <c r="E17" s="33" t="n">
        <v>16.258345</v>
      </c>
      <c r="F17" s="33" t="n">
        <v>13.861</v>
      </c>
      <c r="G17" s="33" t="n">
        <v>-16.69</v>
      </c>
      <c r="H17" s="33" t="n">
        <v>3.1528733</v>
      </c>
      <c r="I17" s="33">
        <f>IF(OR(E17="",R17="",R17&lt;=0,E17&lt;0),"",E17/R17)</f>
        <v/>
      </c>
      <c r="J17" s="66" t="n">
        <v>54.8</v>
      </c>
      <c r="K17" s="33" t="n">
        <v>3.91</v>
      </c>
      <c r="L17" s="33" t="n">
        <v>46.83</v>
      </c>
      <c r="M17" s="33" t="n">
        <v>-52.63</v>
      </c>
      <c r="N17" s="33" t="n">
        <v>6.47</v>
      </c>
      <c r="O17" s="66" t="n">
        <v>36.7</v>
      </c>
      <c r="P17" s="33" t="n">
        <v>-1.42</v>
      </c>
      <c r="Q17" s="33" t="n">
        <v>-5.1</v>
      </c>
      <c r="R17" s="33" t="n">
        <v>32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27.5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2026-10-11</t>
        </is>
      </c>
      <c r="E18" s="33" t="n">
        <v>15.502566</v>
      </c>
      <c r="F18" s="33" t="n">
        <v>11.814</v>
      </c>
      <c r="G18" s="33" t="n">
        <v>4.16</v>
      </c>
      <c r="H18" s="33" t="n">
        <v>2.8210688</v>
      </c>
      <c r="I18" s="33">
        <f>IF(OR(E18="",R18="",R18&lt;=0,E18&lt;0),"",E18/R18)</f>
        <v/>
      </c>
      <c r="J18" s="66" t="n">
        <v>64.09999999999999</v>
      </c>
      <c r="K18" s="33" t="n">
        <v>9.199999999999999</v>
      </c>
      <c r="L18" s="33" t="n">
        <v>38.31</v>
      </c>
      <c r="M18" s="33" t="n">
        <v>11.74</v>
      </c>
      <c r="N18" s="33" t="n">
        <v>3.02</v>
      </c>
      <c r="O18" s="66" t="n">
        <v>63.1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36.7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2026-10-11</t>
        </is>
      </c>
      <c r="E19" s="33" t="n">
        <v>12.30933</v>
      </c>
      <c r="F19" s="33" t="n">
        <v>47.237</v>
      </c>
      <c r="G19" s="33" t="n">
        <v>2.48</v>
      </c>
      <c r="H19" s="33" t="n">
        <v>4.7865176</v>
      </c>
      <c r="I19" s="33">
        <f>IF(OR(E19="",R19="",R19&lt;=0,E19&lt;0),"",E19/R19)</f>
        <v/>
      </c>
      <c r="J19" s="66" t="n">
        <v>46.2</v>
      </c>
      <c r="K19" s="33" t="n">
        <v>2.69</v>
      </c>
      <c r="L19" s="33" t="n">
        <v>42.1</v>
      </c>
      <c r="M19" s="33" t="n">
        <v>11.87</v>
      </c>
      <c r="N19" s="33" t="n">
        <v>16.05</v>
      </c>
      <c r="O19" s="66" t="n">
        <v>44.3</v>
      </c>
      <c r="P19" s="33" t="n">
        <v>13.95</v>
      </c>
      <c r="Q19" s="33" t="n">
        <v>111.2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47.5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2026-10-11</t>
        </is>
      </c>
      <c r="E20" s="33" t="n">
        <v>9.649501000000001</v>
      </c>
      <c r="F20" s="33" t="n">
        <v>14.382</v>
      </c>
      <c r="G20" s="33" t="n">
        <v>1.39</v>
      </c>
      <c r="H20" s="33" t="n">
        <v>0.6851751</v>
      </c>
      <c r="I20" s="33">
        <f>IF(OR(E20="",R20="",R20&lt;=0,E20&lt;0),"",E20/R20)</f>
        <v/>
      </c>
      <c r="J20" s="66" t="n">
        <v>60.3</v>
      </c>
      <c r="K20" s="33" t="n">
        <v>5.62</v>
      </c>
      <c r="L20" s="33" t="n">
        <v>18.8</v>
      </c>
      <c r="M20" s="33" t="n">
        <v>0.95</v>
      </c>
      <c r="N20" s="33" t="n">
        <v>7.16</v>
      </c>
      <c r="O20" s="66" t="n">
        <v>35.9</v>
      </c>
      <c r="P20" s="33" t="n">
        <v>-0.88</v>
      </c>
      <c r="Q20" s="33" t="n">
        <v>11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14.2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2026-10-11</t>
        </is>
      </c>
      <c r="E21" s="33" t="n">
        <v>48.468468</v>
      </c>
      <c r="F21" s="33" t="n">
        <v>68.59</v>
      </c>
      <c r="G21" s="33" t="n">
        <v>1.69</v>
      </c>
      <c r="H21" s="33" t="n">
        <v>15.73</v>
      </c>
      <c r="I21" s="33">
        <f>IF(OR(E21="",R21="",R21&lt;=0,E21&lt;0),"",E21/R21)</f>
        <v/>
      </c>
      <c r="J21" s="66" t="n">
        <v>32.3</v>
      </c>
      <c r="K21" s="33" t="n">
        <v>5.16</v>
      </c>
      <c r="L21" s="33" t="n">
        <v>35.11</v>
      </c>
      <c r="M21" s="33" t="n">
        <v>26.53</v>
      </c>
      <c r="N21" s="33" t="n">
        <v>0.14</v>
      </c>
      <c r="O21" s="66" t="n">
        <v>72.90000000000001</v>
      </c>
      <c r="P21" s="33" t="n">
        <v>23.07</v>
      </c>
      <c r="Q21" s="33" t="n">
        <v>-7.2</v>
      </c>
      <c r="R21" s="33" t="n">
        <v>-92.09999999999999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31.7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2026-10-11</t>
        </is>
      </c>
      <c r="E22" s="33" t="n">
        <v>-124.18918</v>
      </c>
      <c r="F22" s="33" t="n">
        <v>-33.279</v>
      </c>
      <c r="G22" s="33" t="n">
        <v>-2.64</v>
      </c>
      <c r="H22" s="33" t="n">
        <v>122.26638</v>
      </c>
      <c r="I22" s="33">
        <f>IF(OR(E22="",R22="",R22&lt;=0,E22&lt;0),"",E22/R22)</f>
        <v/>
      </c>
      <c r="J22" s="66" t="n">
        <v>40.3</v>
      </c>
      <c r="K22" s="33" t="n">
        <v>-6.61</v>
      </c>
      <c r="L22" s="33" t="n">
        <v>-183.96</v>
      </c>
      <c r="M22" s="33" t="n">
        <v>-322.78</v>
      </c>
      <c r="N22" s="33" t="n"/>
      <c r="O22" s="66" t="n">
        <v>8.6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34.2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2026-10-11</t>
        </is>
      </c>
      <c r="E23" s="33" t="n">
        <v>37.26289</v>
      </c>
      <c r="F23" s="33" t="n">
        <v>222.264</v>
      </c>
      <c r="G23" s="33" t="n">
        <v>-5.62</v>
      </c>
      <c r="H23" s="33" t="n">
        <v>6.1475854</v>
      </c>
      <c r="I23" s="33">
        <f>IF(OR(E23="",R23="",R23&lt;=0,E23&lt;0),"",E23/R23)</f>
        <v/>
      </c>
      <c r="J23" s="66" t="n">
        <v>20.8</v>
      </c>
      <c r="K23" s="33" t="n">
        <v>0.35</v>
      </c>
      <c r="L23" s="33" t="n">
        <v>23.66</v>
      </c>
      <c r="M23" s="33" t="n">
        <v>-34.56</v>
      </c>
      <c r="N23" s="33" t="n">
        <v>-68.42</v>
      </c>
      <c r="O23" s="66" t="n">
        <v>45.1</v>
      </c>
      <c r="P23" s="33" t="n">
        <v>15.16</v>
      </c>
      <c r="Q23" s="33" t="n">
        <v>14</v>
      </c>
      <c r="R23" s="33" t="n">
        <v>-41.9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35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2026-10-11</t>
        </is>
      </c>
      <c r="E24" s="33" t="n">
        <v>27.50027</v>
      </c>
      <c r="F24" s="33" t="n">
        <v>30.178</v>
      </c>
      <c r="G24" s="33" t="n">
        <v>2.4</v>
      </c>
      <c r="H24" s="33" t="n">
        <v>3.7501717</v>
      </c>
      <c r="I24" s="33">
        <f>IF(OR(E24="",R24="",R24&lt;=0,E24&lt;0),"",E24/R24)</f>
        <v/>
      </c>
      <c r="J24" s="66" t="n">
        <v>39</v>
      </c>
      <c r="K24" s="33" t="n">
        <v>7.6</v>
      </c>
      <c r="L24" s="33" t="n">
        <v>22.08</v>
      </c>
      <c r="M24" s="33" t="n">
        <v>9.01</v>
      </c>
      <c r="N24" s="33" t="n">
        <v>2.96</v>
      </c>
      <c r="O24" s="66" t="n">
        <v>54</v>
      </c>
      <c r="P24" s="33" t="n">
        <v>12.73</v>
      </c>
      <c r="Q24" s="33" t="n">
        <v>18</v>
      </c>
      <c r="R24" s="33" t="n">
        <v>13.6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10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2026-10-11</t>
        </is>
      </c>
      <c r="E25" s="33" t="n">
        <v>-10.907438</v>
      </c>
      <c r="F25" s="33" t="n">
        <v>-9.079000000000001</v>
      </c>
      <c r="G25" s="33" t="n">
        <v>-26.36</v>
      </c>
      <c r="H25" s="33" t="n">
        <v>276.40826</v>
      </c>
      <c r="I25" s="33">
        <f>IF(OR(E25="",R25="",R25&lt;=0,E25&lt;0),"",E25/R25)</f>
        <v/>
      </c>
      <c r="J25" s="66" t="n">
        <v>25.8</v>
      </c>
      <c r="K25" s="33" t="n">
        <v>-28.65</v>
      </c>
      <c r="L25" s="33" t="n">
        <v>23.54</v>
      </c>
      <c r="M25" s="33" t="n">
        <v>-7284.85</v>
      </c>
      <c r="N25" s="33" t="n"/>
      <c r="O25" s="66" t="n">
        <v>12.6</v>
      </c>
      <c r="P25" s="33" t="n">
        <v>38.67</v>
      </c>
      <c r="Q25" s="33" t="n">
        <v>-99.09999999999999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34.2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2026-10-11</t>
        </is>
      </c>
      <c r="E26" s="33" t="n">
        <v>-32.21464</v>
      </c>
      <c r="F26" s="33" t="n">
        <v>-20.241</v>
      </c>
      <c r="G26" s="33" t="n">
        <v>-4.27</v>
      </c>
      <c r="H26" s="33" t="n">
        <v>5334.556</v>
      </c>
      <c r="I26" s="33">
        <f>IF(OR(E26="",R26="",R26&lt;=0,E26&lt;0),"",E26/R26)</f>
        <v/>
      </c>
      <c r="J26" s="66" t="n">
        <v>34.2</v>
      </c>
      <c r="K26" s="33" t="n">
        <v>-5.21</v>
      </c>
      <c r="L26" s="33" t="n">
        <v>40.41</v>
      </c>
      <c r="M26" s="33" t="n">
        <v>-22794.71</v>
      </c>
      <c r="N26" s="33" t="n"/>
      <c r="O26" s="66" t="n">
        <v>24.7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25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2026-10-11</t>
        </is>
      </c>
      <c r="E27" s="33" t="n">
        <v>-15.225806</v>
      </c>
      <c r="F27" s="33" t="n">
        <v>-5.449</v>
      </c>
      <c r="G27" s="33" t="n">
        <v>-4.62</v>
      </c>
      <c r="H27" s="33" t="n">
        <v>3848.4482</v>
      </c>
      <c r="I27" s="33">
        <f>IF(OR(E27="",R27="",R27&lt;=0,E27&lt;0),"",E27/R27)</f>
        <v/>
      </c>
      <c r="J27" s="66" t="n">
        <v>31</v>
      </c>
      <c r="K27" s="33" t="n">
        <v>-6.66</v>
      </c>
      <c r="L27" s="33" t="n">
        <v>29.07</v>
      </c>
      <c r="M27" s="33" t="n">
        <v>-17776.09</v>
      </c>
      <c r="N27" s="33" t="n"/>
      <c r="O27" s="66" t="n">
        <v>18.7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29.2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2026-10-11</t>
        </is>
      </c>
      <c r="E28" s="33" t="n">
        <v>14.009398</v>
      </c>
      <c r="F28" s="33" t="n">
        <v>5.985</v>
      </c>
      <c r="G28" s="33" t="n">
        <v>11.37</v>
      </c>
      <c r="H28" s="33" t="n">
        <v>3.5556598</v>
      </c>
      <c r="I28" s="33">
        <f>IF(OR(E28="",R28="",R28&lt;=0,E28&lt;0),"",E28/R28)</f>
        <v/>
      </c>
      <c r="J28" s="66" t="n">
        <v>72</v>
      </c>
      <c r="K28" s="33" t="n">
        <v>7.96</v>
      </c>
      <c r="L28" s="33" t="n">
        <v>80.75</v>
      </c>
      <c r="M28" s="33" t="n">
        <v>40.44</v>
      </c>
      <c r="N28" s="33" t="n">
        <v>0.79</v>
      </c>
      <c r="O28" s="66" t="n">
        <v>91.8</v>
      </c>
      <c r="P28" s="33" t="n">
        <v>-11.72</v>
      </c>
      <c r="Q28" s="33" t="n">
        <v>-3.9</v>
      </c>
      <c r="R28" s="33" t="n">
        <v>-73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29.2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2026-10-11</t>
        </is>
      </c>
      <c r="E29" s="33" t="n">
        <v>10.368882</v>
      </c>
      <c r="F29" s="33" t="n">
        <v>6.356</v>
      </c>
      <c r="G29" s="33" t="n">
        <v>7.22</v>
      </c>
      <c r="H29" s="33" t="n">
        <v>2.921856</v>
      </c>
      <c r="I29" s="33">
        <f>IF(OR(E29="",R29="",R29&lt;=0,E29&lt;0),"",E29/R29)</f>
        <v/>
      </c>
      <c r="J29" s="66" t="n">
        <v>72.59999999999999</v>
      </c>
      <c r="K29" s="33" t="n">
        <v>12.19</v>
      </c>
      <c r="L29" s="33" t="n">
        <v>52.12</v>
      </c>
      <c r="M29" s="33" t="n">
        <v>21.1</v>
      </c>
      <c r="N29" s="33" t="n">
        <v>0.63</v>
      </c>
      <c r="O29" s="66" t="n">
        <v>89.5</v>
      </c>
      <c r="P29" s="33" t="n">
        <v>-17.55</v>
      </c>
      <c r="Q29" s="33" t="n">
        <v>8.6</v>
      </c>
      <c r="R29" s="33" t="n">
        <v>-17.8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40.8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2026-10-11</t>
        </is>
      </c>
      <c r="E30" s="33" t="n">
        <v>8.182038</v>
      </c>
      <c r="F30" s="33" t="n"/>
      <c r="G30" s="33" t="n">
        <v>14.45</v>
      </c>
      <c r="H30" s="33" t="n">
        <v>1.9091189</v>
      </c>
      <c r="I30" s="33">
        <f>IF(OR(E30="",R30="",R30&lt;=0,E30&lt;0),"",E30/R30)</f>
        <v/>
      </c>
      <c r="J30" s="66" t="n">
        <v>85.8</v>
      </c>
      <c r="K30" s="33" t="n">
        <v>6.71</v>
      </c>
      <c r="L30" s="33" t="n">
        <v>67.15000000000001</v>
      </c>
      <c r="M30" s="33" t="n">
        <v>27.58</v>
      </c>
      <c r="N30" s="33" t="n"/>
      <c r="O30" s="66" t="n">
        <v>86.40000000000001</v>
      </c>
      <c r="P30" s="33" t="n">
        <v>-15.47</v>
      </c>
      <c r="Q30" s="33" t="n">
        <v>12.6</v>
      </c>
      <c r="R30" s="33" t="n">
        <v>78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30.8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2026-10-11</t>
        </is>
      </c>
      <c r="E31" s="33" t="n">
        <v>10.623668</v>
      </c>
      <c r="F31" s="33" t="n">
        <v>3.491</v>
      </c>
      <c r="G31" s="33" t="n">
        <v>11.74</v>
      </c>
      <c r="H31" s="33" t="n">
        <v>1.6673068</v>
      </c>
      <c r="I31" s="33">
        <f>IF(OR(E31="",R31="",R31&lt;=0,E31&lt;0),"",E31/R31)</f>
        <v/>
      </c>
      <c r="J31" s="66" t="n">
        <v>85.3</v>
      </c>
      <c r="K31" s="33" t="n">
        <v>12.56</v>
      </c>
      <c r="L31" s="33" t="n">
        <v>47.07</v>
      </c>
      <c r="M31" s="33" t="n">
        <v>19.57</v>
      </c>
      <c r="N31" s="33" t="n">
        <v>0.46</v>
      </c>
      <c r="O31" s="66" t="n">
        <v>85.8</v>
      </c>
      <c r="P31" s="33" t="n">
        <v>2.13</v>
      </c>
      <c r="Q31" s="33" t="n">
        <v>-10.6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30.8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2026-10-11</t>
        </is>
      </c>
      <c r="E32" s="33" t="n">
        <v>-11.326097</v>
      </c>
      <c r="F32" s="33" t="n">
        <v>-6.556</v>
      </c>
      <c r="G32" s="33" t="n">
        <v>-23.88</v>
      </c>
      <c r="H32" s="33" t="n">
        <v>3.1545882</v>
      </c>
      <c r="I32" s="33">
        <f>IF(OR(E32="",R32="",R32&lt;=0,E32&lt;0),"",E32/R32)</f>
        <v/>
      </c>
      <c r="J32" s="66" t="n">
        <v>36.4</v>
      </c>
      <c r="K32" s="33" t="n">
        <v>-23.36</v>
      </c>
      <c r="L32" s="33" t="n">
        <v>-24.75</v>
      </c>
      <c r="M32" s="33" t="n">
        <v>-75.33</v>
      </c>
      <c r="N32" s="33" t="n"/>
      <c r="O32" s="66" t="n">
        <v>8.6</v>
      </c>
      <c r="P32" s="33" t="n">
        <v>0.4</v>
      </c>
      <c r="Q32" s="33" t="n">
        <v>2.5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28.3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2026-10-11</t>
        </is>
      </c>
      <c r="E33" s="33" t="n">
        <v>15.038128</v>
      </c>
      <c r="F33" s="33" t="n">
        <v>15.266</v>
      </c>
      <c r="G33" s="33" t="n">
        <v>3.7</v>
      </c>
      <c r="H33" s="33" t="n">
        <v>2.080849</v>
      </c>
      <c r="I33" s="33">
        <f>IF(OR(E33="",R33="",R33&lt;=0,E33&lt;0),"",E33/R33)</f>
        <v/>
      </c>
      <c r="J33" s="66" t="n">
        <v>51.7</v>
      </c>
      <c r="K33" s="33" t="n">
        <v>11.7</v>
      </c>
      <c r="L33" s="33" t="n">
        <v>25.77</v>
      </c>
      <c r="M33" s="33" t="n">
        <v>7.7</v>
      </c>
      <c r="N33" s="33" t="n">
        <v>0.87</v>
      </c>
      <c r="O33" s="66" t="n">
        <v>68.3</v>
      </c>
      <c r="P33" s="33" t="n">
        <v>6.25</v>
      </c>
      <c r="Q33" s="33" t="n">
        <v>9.4</v>
      </c>
      <c r="R33" s="33" t="n">
        <v>4.7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41.7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2026-10-11</t>
        </is>
      </c>
      <c r="E34" s="33" t="n">
        <v>17.343113</v>
      </c>
      <c r="F34" s="33" t="n">
        <v>22.318</v>
      </c>
      <c r="G34" s="33" t="n">
        <v>2.85</v>
      </c>
      <c r="H34" s="33" t="n">
        <v>2.9931617</v>
      </c>
      <c r="I34" s="33">
        <f>IF(OR(E34="",R34="",R34&lt;=0,E34&lt;0),"",E34/R34)</f>
        <v/>
      </c>
      <c r="J34" s="66" t="n">
        <v>57.3</v>
      </c>
      <c r="K34" s="33" t="n">
        <v>7.06</v>
      </c>
      <c r="L34" s="33" t="n">
        <v>39.54</v>
      </c>
      <c r="M34" s="33" t="n">
        <v>8.539999999999999</v>
      </c>
      <c r="N34" s="33" t="n">
        <v>1.79</v>
      </c>
      <c r="O34" s="66" t="n">
        <v>65.3</v>
      </c>
      <c r="P34" s="33" t="n">
        <v>-2.67</v>
      </c>
      <c r="Q34" s="33" t="n">
        <v>10.6</v>
      </c>
      <c r="R34" s="33" t="n">
        <v>93.5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53.3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2026-10-11</t>
        </is>
      </c>
      <c r="E35" s="33" t="n">
        <v>26.446348</v>
      </c>
      <c r="F35" s="33" t="n">
        <v>28.348</v>
      </c>
      <c r="G35" s="33" t="n">
        <v>2.26</v>
      </c>
      <c r="H35" s="33" t="n">
        <v>5.556288</v>
      </c>
      <c r="I35" s="33">
        <f>IF(OR(E35="",R35="",R35&lt;=0,E35&lt;0),"",E35/R35)</f>
        <v/>
      </c>
      <c r="J35" s="66" t="n">
        <v>36.7</v>
      </c>
      <c r="K35" s="33" t="n">
        <v>9.82</v>
      </c>
      <c r="L35" s="33" t="n">
        <v>36.02</v>
      </c>
      <c r="M35" s="33" t="n">
        <v>12.58</v>
      </c>
      <c r="N35" s="33" t="n">
        <v>3.11</v>
      </c>
      <c r="O35" s="66" t="n">
        <v>55.6</v>
      </c>
      <c r="P35" s="33" t="n">
        <v>9.77</v>
      </c>
      <c r="Q35" s="33" t="n">
        <v>21.4</v>
      </c>
      <c r="R35" s="33" t="n">
        <v>-16.4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5</v>
      </c>
      <c r="AA35" s="33" t="n">
        <v>3</v>
      </c>
      <c r="AB35" s="33" t="n">
        <v>3</v>
      </c>
      <c r="AC35" s="71" t="n">
        <v>67.5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2026-10-11</t>
        </is>
      </c>
      <c r="E36" s="33" t="n">
        <v>21.28942</v>
      </c>
      <c r="F36" s="33" t="n">
        <v>19.52</v>
      </c>
      <c r="G36" s="33" t="n">
        <v>3.58</v>
      </c>
      <c r="H36" s="33" t="n">
        <v>3.57</v>
      </c>
      <c r="I36" s="33">
        <f>IF(OR(E36="",R36="",R36&lt;=0,E36&lt;0),"",E36/R36)</f>
        <v/>
      </c>
      <c r="J36" s="33" t="n">
        <v>70.5</v>
      </c>
      <c r="K36" s="33" t="n">
        <v>12.2</v>
      </c>
      <c r="L36" s="33" t="n">
        <v>42.12</v>
      </c>
      <c r="M36" s="33" t="n">
        <v>12.78</v>
      </c>
      <c r="N36" s="33" t="n">
        <v>1.91</v>
      </c>
      <c r="O36" s="33" t="n">
        <v>79</v>
      </c>
      <c r="P36" s="33" t="n">
        <v>5.52</v>
      </c>
      <c r="Q36" s="33" t="n">
        <v>9.800000000000001</v>
      </c>
      <c r="R36" s="33" t="n">
        <v>30.1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4</v>
      </c>
      <c r="AA36" s="33" t="n">
        <v>4</v>
      </c>
      <c r="AB36" s="33" t="n">
        <v>3</v>
      </c>
      <c r="AC36" s="71" t="n">
        <v>68.3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3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2026-10-11</t>
        </is>
      </c>
      <c r="E37" s="33" t="n">
        <v>26.253393</v>
      </c>
      <c r="F37" s="33" t="n">
        <v>98.238</v>
      </c>
      <c r="G37" s="33" t="n">
        <v>2.39</v>
      </c>
      <c r="H37" s="33" t="n">
        <v>4.857817</v>
      </c>
      <c r="I37" s="33">
        <f>IF(OR(E37="",R37="",R37&lt;=0,E37&lt;0),"",E37/R37)</f>
        <v/>
      </c>
      <c r="J37" s="33" t="n">
        <v>29.2</v>
      </c>
      <c r="K37" s="33" t="n">
        <v>16.73</v>
      </c>
      <c r="L37" s="33" t="n">
        <v>40.25</v>
      </c>
      <c r="M37" s="33" t="n">
        <v>11.63</v>
      </c>
      <c r="N37" s="33" t="n">
        <v>0.46</v>
      </c>
      <c r="O37" s="33" t="n">
        <v>75.90000000000001</v>
      </c>
      <c r="P37" s="33" t="n">
        <v>4.1</v>
      </c>
      <c r="Q37" s="33" t="n">
        <v>14.2</v>
      </c>
      <c r="R37" s="33" t="n">
        <v>7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5</v>
      </c>
      <c r="AA37" s="33" t="n">
        <v>5</v>
      </c>
      <c r="AB37" s="33" t="n">
        <v>3</v>
      </c>
      <c r="AC37" s="71" t="n">
        <v>50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2026-10-11</t>
        </is>
      </c>
      <c r="E38" s="33" t="n">
        <v>15.07152435576481</v>
      </c>
      <c r="F38" s="33" t="n">
        <v>14.02</v>
      </c>
      <c r="G38" s="33" t="n"/>
      <c r="H38" s="33" t="n">
        <v>2.3</v>
      </c>
      <c r="I38" s="33">
        <f>IF(OR(E38="",R38="",R38&lt;=0,E38&lt;0),"",E38/R38)</f>
        <v/>
      </c>
      <c r="J38" s="33" t="n">
        <v>79.5</v>
      </c>
      <c r="K38" s="33" t="n">
        <v>9.800000000000001</v>
      </c>
      <c r="L38" s="33" t="n">
        <v>30.15</v>
      </c>
      <c r="M38" s="33" t="n">
        <v>11.46</v>
      </c>
      <c r="N38" s="33" t="n">
        <v>-0.47</v>
      </c>
      <c r="O38" s="33" t="n">
        <v>55.7</v>
      </c>
      <c r="P38" s="33" t="n">
        <v>-0.91</v>
      </c>
      <c r="Q38" s="33" t="n">
        <v>20</v>
      </c>
      <c r="R38" s="33" t="n">
        <v>-1.4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4</v>
      </c>
      <c r="AA38" s="33" t="n">
        <v>2</v>
      </c>
      <c r="AB38" s="33" t="n">
        <v>3</v>
      </c>
      <c r="AC38" s="71" t="n">
        <v>65.8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2026-10-11</t>
        </is>
      </c>
      <c r="E39" s="33" t="n">
        <v>20.645487</v>
      </c>
      <c r="F39" s="33" t="n">
        <v>19.987</v>
      </c>
      <c r="G39" s="33" t="n">
        <v>3.6</v>
      </c>
      <c r="H39" s="33" t="n">
        <v>4.0254536</v>
      </c>
      <c r="I39" s="33">
        <f>IF(OR(E39="",R39="",R39&lt;=0,E39&lt;0),"",E39/R39)</f>
        <v/>
      </c>
      <c r="J39" s="33" t="n">
        <v>56.8</v>
      </c>
      <c r="K39" s="33" t="n">
        <v>10.07</v>
      </c>
      <c r="L39" s="33" t="n">
        <v>35.34</v>
      </c>
      <c r="M39" s="33" t="n">
        <v>14.48</v>
      </c>
      <c r="N39" s="33" t="n">
        <v>3.41</v>
      </c>
      <c r="O39" s="33" t="n">
        <v>60.1</v>
      </c>
      <c r="P39" s="33" t="n">
        <v>5.71</v>
      </c>
      <c r="Q39" s="33" t="n">
        <v>15.3</v>
      </c>
      <c r="R39" s="33" t="n">
        <v>-1.6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2</v>
      </c>
      <c r="AB39" s="33" t="n">
        <v>3</v>
      </c>
      <c r="AC39" s="71" t="n">
        <v>30.8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3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2026-10-11</t>
        </is>
      </c>
      <c r="E40" s="33" t="n">
        <v>35.700523</v>
      </c>
      <c r="F40" s="33" t="n">
        <v>36.651</v>
      </c>
      <c r="G40" s="33" t="n">
        <v>2.25</v>
      </c>
      <c r="H40" s="33" t="n">
        <v>3.2254357</v>
      </c>
      <c r="I40" s="33">
        <f>IF(OR(E40="",R40="",R40&lt;=0,E40&lt;0),"",E40/R40)</f>
        <v/>
      </c>
      <c r="J40" s="33" t="n">
        <v>52.7</v>
      </c>
      <c r="K40" s="33" t="n">
        <v>8.859999999999999</v>
      </c>
      <c r="L40" s="33" t="n">
        <v>15.46</v>
      </c>
      <c r="M40" s="33" t="n">
        <v>7.27</v>
      </c>
      <c r="N40" s="33" t="n">
        <v>2</v>
      </c>
      <c r="O40" s="33" t="n">
        <v>33.5</v>
      </c>
      <c r="P40" s="33" t="n">
        <v>18.6</v>
      </c>
      <c r="Q40" s="33" t="n">
        <v>41.1</v>
      </c>
      <c r="R40" s="33" t="n">
        <v>96.90000000000001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57.5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2026-10-11</t>
        </is>
      </c>
      <c r="E41" s="33" t="n">
        <v>17.149788</v>
      </c>
      <c r="F41" s="33" t="n">
        <v>15.859</v>
      </c>
      <c r="G41" s="33" t="n">
        <v>1.43</v>
      </c>
      <c r="H41" s="33" t="n">
        <v>1.0600742</v>
      </c>
      <c r="I41" s="33">
        <f>IF(OR(E41="",R41="",R41&lt;=0,E41&lt;0),"",E41/R41)</f>
        <v/>
      </c>
      <c r="J41" s="33" t="n">
        <v>61.3</v>
      </c>
      <c r="K41" s="33" t="n">
        <v>8.93</v>
      </c>
      <c r="L41" s="33" t="n">
        <v>12.91</v>
      </c>
      <c r="M41" s="33" t="n">
        <v>1.52</v>
      </c>
      <c r="N41" s="33" t="n">
        <v>2.23</v>
      </c>
      <c r="O41" s="33" t="n">
        <v>25.2</v>
      </c>
      <c r="P41" s="33" t="n">
        <v>13.51</v>
      </c>
      <c r="Q41" s="33" t="n">
        <v>23.4</v>
      </c>
      <c r="R41" s="33" t="n">
        <v>51.7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30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2026-10-11</t>
        </is>
      </c>
      <c r="E42" s="33" t="n">
        <v>27.458424</v>
      </c>
      <c r="F42" s="33" t="n">
        <v>27.826</v>
      </c>
      <c r="G42" s="33" t="n">
        <v>3.49</v>
      </c>
      <c r="H42" s="33" t="n">
        <v>6.0407715</v>
      </c>
      <c r="I42" s="33">
        <f>IF(OR(E42="",R42="",R42&lt;=0,E42&lt;0),"",E42/R42)</f>
        <v/>
      </c>
      <c r="J42" s="33" t="n">
        <v>44.9</v>
      </c>
      <c r="K42" s="33" t="n">
        <v>22.63</v>
      </c>
      <c r="L42" s="33" t="n">
        <v>30.08</v>
      </c>
      <c r="M42" s="33" t="n">
        <v>21.08</v>
      </c>
      <c r="N42" s="33" t="n">
        <v>-2.67</v>
      </c>
      <c r="O42" s="33" t="n">
        <v>80.7</v>
      </c>
      <c r="P42" s="33" t="n">
        <v>27.52</v>
      </c>
      <c r="Q42" s="33" t="n">
        <v>8.9</v>
      </c>
      <c r="R42" s="33" t="n">
        <v>8.1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41.7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2026-10-11</t>
        </is>
      </c>
      <c r="E43" s="33" t="n">
        <v>25.72648</v>
      </c>
      <c r="F43" s="33" t="n">
        <v>27.191</v>
      </c>
      <c r="G43" s="33" t="n">
        <v>2.13</v>
      </c>
      <c r="H43" s="33" t="n">
        <v>5.606097</v>
      </c>
      <c r="I43" s="33">
        <f>IF(OR(E43="",R43="",R43&lt;=0,E43&lt;0),"",E43/R43)</f>
        <v/>
      </c>
      <c r="J43" s="33" t="n">
        <v>48</v>
      </c>
      <c r="K43" s="33" t="n">
        <v>10.66</v>
      </c>
      <c r="L43" s="33" t="n">
        <v>36.45</v>
      </c>
      <c r="M43" s="33" t="n">
        <v>11.95</v>
      </c>
      <c r="N43" s="33" t="n">
        <v>1.31</v>
      </c>
      <c r="O43" s="33" t="n">
        <v>67.59999999999999</v>
      </c>
      <c r="P43" s="33" t="n">
        <v>19.26</v>
      </c>
      <c r="Q43" s="33" t="n">
        <v>52.8</v>
      </c>
      <c r="R43" s="33" t="n">
        <v>97.2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65.8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2026-10-11</t>
        </is>
      </c>
      <c r="E44" s="33" t="n">
        <v>14.8314495</v>
      </c>
      <c r="F44" s="33" t="n">
        <v>12.878</v>
      </c>
      <c r="G44" s="33" t="n">
        <v>1.79</v>
      </c>
      <c r="H44" s="33" t="n">
        <v>1.091795</v>
      </c>
      <c r="I44" s="33">
        <f>IF(OR(E44="",R44="",R44&lt;=0,E44&lt;0),"",E44/R44)</f>
        <v/>
      </c>
      <c r="J44" s="33" t="n">
        <v>60.4</v>
      </c>
      <c r="K44" s="33" t="n">
        <v>4.92</v>
      </c>
      <c r="L44" s="33" t="n">
        <v>20.59</v>
      </c>
      <c r="M44" s="33" t="n">
        <v>1.96</v>
      </c>
      <c r="N44" s="33" t="n">
        <v>1.94</v>
      </c>
      <c r="O44" s="33" t="n">
        <v>31.2</v>
      </c>
      <c r="P44" s="33" t="n">
        <v>-10.03</v>
      </c>
      <c r="Q44" s="33" t="n">
        <v>8.1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80.8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2026-10-11</t>
        </is>
      </c>
      <c r="E45" s="33" t="n">
        <v>64.71934</v>
      </c>
      <c r="F45" s="33" t="n">
        <v>27.347</v>
      </c>
      <c r="G45" s="33" t="n">
        <v>5.58</v>
      </c>
      <c r="H45" s="33" t="n">
        <v>9.991239999999999</v>
      </c>
      <c r="I45" s="33">
        <f>IF(OR(E45="",R45="",R45&lt;=0,E45&lt;0),"",E45/R45)</f>
        <v/>
      </c>
      <c r="J45" s="33" t="n">
        <v>36.5</v>
      </c>
      <c r="K45" s="33" t="n">
        <v>2.11</v>
      </c>
      <c r="L45" s="33" t="n">
        <v>56.99</v>
      </c>
      <c r="M45" s="33" t="n">
        <v>55.77</v>
      </c>
      <c r="N45" s="33" t="n">
        <v>5.66</v>
      </c>
      <c r="O45" s="33" t="n">
        <v>52.6</v>
      </c>
      <c r="P45" s="33" t="n">
        <v>9.220000000000001</v>
      </c>
      <c r="Q45" s="33" t="n">
        <v>29.9</v>
      </c>
      <c r="R45" s="33" t="n">
        <v>-56.1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50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2026-10-11</t>
        </is>
      </c>
      <c r="E46" s="33" t="n">
        <v>55.380383</v>
      </c>
      <c r="F46" s="33" t="n">
        <v>27.357</v>
      </c>
      <c r="G46" s="33" t="n">
        <v>-1.45</v>
      </c>
      <c r="H46" s="33" t="n">
        <v>10.222444</v>
      </c>
      <c r="I46" s="33">
        <f>IF(OR(E46="",R46="",R46&lt;=0,E46&lt;0),"",E46/R46)</f>
        <v/>
      </c>
      <c r="J46" s="33" t="n">
        <v>25</v>
      </c>
      <c r="K46" s="33" t="n">
        <v>5.44</v>
      </c>
      <c r="L46" s="33" t="n">
        <v>51.98</v>
      </c>
      <c r="M46" s="33" t="n">
        <v>-14.78</v>
      </c>
      <c r="N46" s="33" t="n">
        <v>4.93</v>
      </c>
      <c r="O46" s="33" t="n">
        <v>33.6</v>
      </c>
      <c r="P46" s="33" t="n">
        <v>8.27</v>
      </c>
      <c r="Q46" s="33" t="n">
        <v>16.7</v>
      </c>
      <c r="R46" s="33" t="n">
        <v>30.2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52.5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2026-10-11</t>
        </is>
      </c>
      <c r="E47" s="33" t="n">
        <v>41.993664</v>
      </c>
      <c r="F47" s="33" t="n">
        <v>21.4</v>
      </c>
      <c r="G47" s="33" t="n">
        <v>-1.75</v>
      </c>
      <c r="H47" s="33" t="n">
        <v>4.507779</v>
      </c>
      <c r="I47" s="33">
        <f>IF(OR(E47="",R47="",R47&lt;=0,E47&lt;0),"",E47/R47)</f>
        <v/>
      </c>
      <c r="J47" s="33" t="n">
        <v>51.2</v>
      </c>
      <c r="K47" s="33" t="n">
        <v>7.06</v>
      </c>
      <c r="L47" s="33" t="n">
        <v>54.21</v>
      </c>
      <c r="M47" s="33" t="n">
        <v>-7.89</v>
      </c>
      <c r="N47" s="33" t="n">
        <v>7.74</v>
      </c>
      <c r="O47" s="33" t="n">
        <v>36.7</v>
      </c>
      <c r="P47" s="33" t="n">
        <v>10.58</v>
      </c>
      <c r="Q47" s="33" t="n">
        <v>18.5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49.2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2026-10-11</t>
        </is>
      </c>
      <c r="E48" s="33" t="n">
        <v>28.510025</v>
      </c>
      <c r="F48" s="33" t="n">
        <v>29.784</v>
      </c>
      <c r="G48" s="33" t="n">
        <v>3.58</v>
      </c>
      <c r="H48" s="33" t="n">
        <v>5.3778434</v>
      </c>
      <c r="I48" s="33">
        <f>IF(OR(E48="",R48="",R48&lt;=0,E48&lt;0),"",E48/R48)</f>
        <v/>
      </c>
      <c r="J48" s="33" t="n">
        <v>61.3</v>
      </c>
      <c r="K48" s="33" t="n">
        <v>38.78</v>
      </c>
      <c r="L48" s="33" t="n">
        <v>25.66</v>
      </c>
      <c r="M48" s="33" t="n">
        <v>19.24</v>
      </c>
      <c r="N48" s="33" t="n">
        <v>-0.77</v>
      </c>
      <c r="O48" s="33" t="n">
        <v>78.40000000000001</v>
      </c>
      <c r="P48" s="33" t="n">
        <v>30.03</v>
      </c>
      <c r="Q48" s="33" t="n">
        <v>50.3</v>
      </c>
      <c r="R48" s="33" t="n">
        <v>91.3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4</v>
      </c>
      <c r="AB48" s="33" t="n">
        <v>3</v>
      </c>
      <c r="AC48" s="71" t="n">
        <v>47.5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2026-10-11</t>
        </is>
      </c>
      <c r="E49" s="33" t="n">
        <v>21.479156</v>
      </c>
      <c r="F49" s="33" t="n">
        <v>17.199</v>
      </c>
      <c r="G49" s="33" t="n">
        <v>3.36</v>
      </c>
      <c r="H49" s="33" t="n">
        <v>1.8724047</v>
      </c>
      <c r="I49" s="33">
        <f>IF(OR(E49="",R49="",R49&lt;=0,E49&lt;0),"",E49/R49)</f>
        <v/>
      </c>
      <c r="J49" s="33" t="n">
        <v>76.7</v>
      </c>
      <c r="K49" s="33" t="n">
        <v>26.76</v>
      </c>
      <c r="L49" s="33" t="n">
        <v>19.43</v>
      </c>
      <c r="M49" s="33" t="n">
        <v>6.3</v>
      </c>
      <c r="N49" s="33" t="n">
        <v>-0.19</v>
      </c>
      <c r="O49" s="33" t="n">
        <v>58</v>
      </c>
      <c r="P49" s="33" t="n">
        <v>15.32</v>
      </c>
      <c r="Q49" s="33" t="n">
        <v>19.8</v>
      </c>
      <c r="R49" s="33" t="n">
        <v>33.6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3</v>
      </c>
      <c r="AB49" s="33" t="n">
        <v>3</v>
      </c>
      <c r="AC49" s="71" t="n">
        <v>42.5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2026-10-11</t>
        </is>
      </c>
      <c r="E50" s="33" t="n">
        <v>19.62104553790581</v>
      </c>
      <c r="F50" s="33" t="n">
        <v>23.674</v>
      </c>
      <c r="G50" s="33" t="n">
        <v>1.04</v>
      </c>
      <c r="H50" s="33" t="n">
        <v>2.8594303</v>
      </c>
      <c r="I50" s="33">
        <f>IF(OR(E50="",R50="",R50&lt;=0,E50&lt;0),"",E50/R50)</f>
        <v/>
      </c>
      <c r="J50" s="33" t="n">
        <v>61.2</v>
      </c>
      <c r="K50" s="33" t="n">
        <v>13.9</v>
      </c>
      <c r="L50" s="33" t="n">
        <v>22.21</v>
      </c>
      <c r="M50" s="33" t="n">
        <v>2.97</v>
      </c>
      <c r="N50" s="33" t="n">
        <v>1.28</v>
      </c>
      <c r="O50" s="33" t="n">
        <v>44.9</v>
      </c>
      <c r="P50" s="33" t="n">
        <v>11.45</v>
      </c>
      <c r="Q50" s="33" t="n">
        <v>28</v>
      </c>
      <c r="R50" s="33" t="n">
        <v>44.3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37.5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2026-10-11</t>
        </is>
      </c>
      <c r="E51" s="33" t="n">
        <v>16.849077</v>
      </c>
      <c r="F51" s="33" t="n">
        <v>18.336</v>
      </c>
      <c r="G51" s="33" t="n">
        <v>4.18</v>
      </c>
      <c r="H51" s="33" t="n">
        <v>2.087346</v>
      </c>
      <c r="I51" s="33">
        <f>IF(OR(E51="",R51="",R51&lt;=0,E51&lt;0),"",E51/R51)</f>
        <v/>
      </c>
      <c r="J51" s="33" t="n">
        <v>75.8</v>
      </c>
      <c r="K51" s="33" t="n">
        <v>5.33</v>
      </c>
      <c r="L51" s="33" t="n">
        <v>24.69</v>
      </c>
      <c r="M51" s="33" t="n">
        <v>8.720000000000001</v>
      </c>
      <c r="N51" s="33" t="n">
        <v>3.57</v>
      </c>
      <c r="O51" s="33" t="n">
        <v>35.1</v>
      </c>
      <c r="P51" s="33" t="n">
        <v>7.95</v>
      </c>
      <c r="Q51" s="33" t="n">
        <v>3.9</v>
      </c>
      <c r="R51" s="33" t="n">
        <v>-15.2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53.3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2026-10-11</t>
        </is>
      </c>
      <c r="E52" s="33" t="n">
        <v>27.09564</v>
      </c>
      <c r="F52" s="33" t="n">
        <v>24.633</v>
      </c>
      <c r="G52" s="33" t="n">
        <v>3.38</v>
      </c>
      <c r="H52" s="33" t="n">
        <v>4.7252197</v>
      </c>
      <c r="I52" s="33">
        <f>IF(OR(E52="",R52="",R52&lt;=0,E52&lt;0),"",E52/R52)</f>
        <v/>
      </c>
      <c r="J52" s="33" t="n">
        <v>44</v>
      </c>
      <c r="K52" s="33" t="n">
        <v>20.78</v>
      </c>
      <c r="L52" s="33" t="n">
        <v>35.39</v>
      </c>
      <c r="M52" s="33" t="n">
        <v>15.97</v>
      </c>
      <c r="N52" s="33" t="n">
        <v>0.77</v>
      </c>
      <c r="O52" s="33" t="n">
        <v>69.09999999999999</v>
      </c>
      <c r="P52" s="33" t="n">
        <v>10.06</v>
      </c>
      <c r="Q52" s="33" t="n">
        <v>10.6</v>
      </c>
      <c r="R52" s="33" t="n">
        <v>5.8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60.8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2026-10-11</t>
        </is>
      </c>
      <c r="E53" s="33" t="n">
        <v>25.793896</v>
      </c>
      <c r="F53" s="33" t="n">
        <v>23.889</v>
      </c>
      <c r="G53" s="33" t="n">
        <v>1.74</v>
      </c>
      <c r="H53" s="33" t="n">
        <v>3.8154802</v>
      </c>
      <c r="I53" s="33">
        <f>IF(OR(E53="",R53="",R53&lt;=0,E53&lt;0),"",E53/R53)</f>
        <v/>
      </c>
      <c r="J53" s="33" t="n">
        <v>39</v>
      </c>
      <c r="K53" s="33" t="n">
        <v>10.59</v>
      </c>
      <c r="L53" s="33" t="n">
        <v>36.65</v>
      </c>
      <c r="M53" s="33" t="n">
        <v>6.64</v>
      </c>
      <c r="N53" s="33" t="n">
        <v>2.04</v>
      </c>
      <c r="O53" s="33" t="n">
        <v>52.5</v>
      </c>
      <c r="P53" s="33" t="n">
        <v>4.57</v>
      </c>
      <c r="Q53" s="33" t="n">
        <v>9.300000000000001</v>
      </c>
      <c r="R53" s="33" t="n">
        <v>6.8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67.5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2026-10-11</t>
        </is>
      </c>
      <c r="E54" s="33" t="n">
        <v>30.446087</v>
      </c>
      <c r="F54" s="33" t="n">
        <v>44.83</v>
      </c>
      <c r="G54" s="33" t="n">
        <v>1.46</v>
      </c>
      <c r="H54" s="33" t="n">
        <v>17.27</v>
      </c>
      <c r="I54" s="33">
        <f>IF(OR(E54="",R54="",R54&lt;=0,E54&lt;0),"",E54/R54)</f>
        <v/>
      </c>
      <c r="J54" s="33" t="n">
        <v>40.4</v>
      </c>
      <c r="K54" s="33" t="n">
        <v>36.76</v>
      </c>
      <c r="L54" s="33" t="n">
        <v>52.73</v>
      </c>
      <c r="M54" s="33" t="n">
        <v>25.18</v>
      </c>
      <c r="N54" s="33" t="n">
        <v>-0.41</v>
      </c>
      <c r="O54" s="33" t="n">
        <v>85.09999999999999</v>
      </c>
      <c r="P54" s="33" t="n">
        <v>15.55</v>
      </c>
      <c r="Q54" s="33" t="n">
        <v>21.3</v>
      </c>
      <c r="R54" s="33" t="n">
        <v>27.4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70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2026-10-11</t>
        </is>
      </c>
      <c r="E55" s="33" t="n">
        <v>27.438263</v>
      </c>
      <c r="F55" s="33" t="n">
        <v>40.502</v>
      </c>
      <c r="G55" s="33" t="n">
        <v>1.4</v>
      </c>
      <c r="H55" s="33" t="n">
        <v>13.048536</v>
      </c>
      <c r="I55" s="33">
        <f>IF(OR(E55="",R55="",R55&lt;=0,E55&lt;0),"",E55/R55)</f>
        <v/>
      </c>
      <c r="J55" s="33" t="n">
        <v>47.1</v>
      </c>
      <c r="K55" s="33" t="n">
        <v>24.97</v>
      </c>
      <c r="L55" s="33" t="n">
        <v>49.4</v>
      </c>
      <c r="M55" s="33" t="n">
        <v>18.23</v>
      </c>
      <c r="N55" s="33" t="n">
        <v>-0.19</v>
      </c>
      <c r="O55" s="33" t="n">
        <v>74.09999999999999</v>
      </c>
      <c r="P55" s="33" t="n">
        <v>3.23</v>
      </c>
      <c r="Q55" s="33" t="n">
        <v>24.8</v>
      </c>
      <c r="R55" s="33" t="n">
        <v>42.7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60.8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2026-10-11</t>
        </is>
      </c>
      <c r="E56" s="33" t="n">
        <v>29.9621306308694</v>
      </c>
      <c r="F56" s="33" t="n">
        <v>47.547</v>
      </c>
      <c r="G56" s="33" t="n">
        <v>1.23</v>
      </c>
      <c r="H56" s="33" t="n">
        <v>17.174255</v>
      </c>
      <c r="I56" s="33">
        <f>IF(OR(E56="",R56="",R56&lt;=0,E56&lt;0),"",E56/R56)</f>
        <v/>
      </c>
      <c r="J56" s="33" t="n">
        <v>39.9</v>
      </c>
      <c r="K56" s="33" t="n">
        <v>40.98</v>
      </c>
      <c r="L56" s="33" t="n">
        <v>50.47</v>
      </c>
      <c r="M56" s="33" t="n">
        <v>21.05</v>
      </c>
      <c r="N56" s="33" t="n">
        <v>-0.17</v>
      </c>
      <c r="O56" s="33" t="n">
        <v>79.59999999999999</v>
      </c>
      <c r="P56" s="33" t="n">
        <v>10.06</v>
      </c>
      <c r="Q56" s="33" t="n">
        <v>30</v>
      </c>
      <c r="R56" s="33" t="n">
        <v>32.4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60.8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2026-10-11</t>
        </is>
      </c>
      <c r="E57" s="33" t="n">
        <v>32.09056876577424</v>
      </c>
      <c r="F57" s="33" t="n">
        <v>42.68</v>
      </c>
      <c r="G57" s="33" t="n">
        <v>1.48</v>
      </c>
      <c r="H57" s="33" t="n">
        <v>18.794548</v>
      </c>
      <c r="I57" s="33">
        <f>IF(OR(E57="",R57="",R57&lt;=0,E57&lt;0),"",E57/R57)</f>
        <v/>
      </c>
      <c r="J57" s="33" t="n">
        <v>33.5</v>
      </c>
      <c r="K57" s="33" t="n">
        <v>35.75</v>
      </c>
      <c r="L57" s="33" t="n">
        <v>61.3</v>
      </c>
      <c r="M57" s="33" t="n">
        <v>27.74</v>
      </c>
      <c r="N57" s="33" t="n">
        <v>0.21</v>
      </c>
      <c r="O57" s="33" t="n">
        <v>85.2</v>
      </c>
      <c r="P57" s="33" t="n">
        <v>8.960000000000001</v>
      </c>
      <c r="Q57" s="33" t="n">
        <v>15.2</v>
      </c>
      <c r="R57" s="33" t="n">
        <v>13.3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58.3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2026-10-11</t>
        </is>
      </c>
      <c r="E58" s="33" t="n"/>
      <c r="F58" s="33" t="n">
        <v>31.27</v>
      </c>
      <c r="G58" s="33" t="n">
        <v>1.2</v>
      </c>
      <c r="H58" s="33" t="n">
        <v>9.42</v>
      </c>
      <c r="I58" s="33">
        <f>IF(OR(E58="",R58="",R58&lt;=0,E58&lt;0),"",E58/R58)</f>
        <v/>
      </c>
      <c r="J58" s="33" t="n">
        <v>52.3</v>
      </c>
      <c r="K58" s="33" t="n"/>
      <c r="L58" s="33" t="n">
        <v>45.56</v>
      </c>
      <c r="M58" s="33" t="n">
        <v>11.32</v>
      </c>
      <c r="N58" s="33" t="n">
        <v>-0.53</v>
      </c>
      <c r="O58" s="33" t="n">
        <v>61.9</v>
      </c>
      <c r="P58" s="33" t="n">
        <v>3.42</v>
      </c>
      <c r="Q58" s="33" t="n">
        <v>33.3</v>
      </c>
      <c r="R58" s="33" t="n">
        <v>39.5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2026-10-11</t>
        </is>
      </c>
      <c r="E59" s="33" t="n">
        <v>34.55748</v>
      </c>
      <c r="F59" s="33" t="n">
        <v>42.634</v>
      </c>
      <c r="G59" s="33" t="n">
        <v>1.27</v>
      </c>
      <c r="H59" s="33" t="n">
        <v>14.10279</v>
      </c>
      <c r="I59" s="33">
        <f>IF(OR(E59="",R59="",R59&lt;=0,E59&lt;0),"",E59/R59)</f>
        <v/>
      </c>
      <c r="J59" s="33" t="n">
        <v>44.4</v>
      </c>
      <c r="K59" s="33" t="n">
        <v>31.27</v>
      </c>
      <c r="L59" s="33" t="n">
        <v>59.24</v>
      </c>
      <c r="M59" s="33" t="n">
        <v>17.92</v>
      </c>
      <c r="N59" s="33" t="n">
        <v>-0.17</v>
      </c>
      <c r="O59" s="33" t="n">
        <v>79.40000000000001</v>
      </c>
      <c r="P59" s="33" t="n">
        <v>0.37</v>
      </c>
      <c r="Q59" s="33" t="n">
        <v>103.9</v>
      </c>
      <c r="R59" s="33" t="n">
        <v>377.9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1</v>
      </c>
      <c r="AB59" s="33" t="n">
        <v>3</v>
      </c>
      <c r="AC59" s="71" t="n">
        <v>61.7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2026-10-11</t>
        </is>
      </c>
      <c r="E60" s="33" t="n">
        <v>25.24386842800877</v>
      </c>
      <c r="F60" s="33" t="n">
        <v>47.014</v>
      </c>
      <c r="G60" s="33" t="n">
        <v>1.75</v>
      </c>
      <c r="H60" s="33" t="n">
        <v>12.903634</v>
      </c>
      <c r="I60" s="33">
        <f>IF(OR(E60="",R60="",R60&lt;=0,E60&lt;0),"",E60/R60)</f>
        <v/>
      </c>
      <c r="J60" s="33" t="n">
        <v>50</v>
      </c>
      <c r="K60" s="33" t="n">
        <v>3.79</v>
      </c>
      <c r="L60" s="33" t="n">
        <v>55.49</v>
      </c>
      <c r="M60" s="33" t="n">
        <v>22.54</v>
      </c>
      <c r="N60" s="33" t="n">
        <v>-1.33</v>
      </c>
      <c r="O60" s="33" t="n">
        <v>65.59999999999999</v>
      </c>
      <c r="P60" s="33" t="n">
        <v>0</v>
      </c>
      <c r="Q60" s="33" t="n">
        <v>35.3</v>
      </c>
      <c r="R60" s="33" t="n">
        <v>77.2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2</v>
      </c>
      <c r="AB60" s="33" t="n">
        <v>3</v>
      </c>
      <c r="AC60" s="71" t="n">
        <v>62.5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2026-10-11</t>
        </is>
      </c>
      <c r="E61" s="33" t="n">
        <v>31.907806</v>
      </c>
      <c r="F61" s="33" t="n">
        <v>50.318</v>
      </c>
      <c r="G61" s="33" t="n"/>
      <c r="H61" s="33" t="n">
        <v>14.288648</v>
      </c>
      <c r="I61" s="33">
        <f>IF(OR(E61="",R61="",R61&lt;=0,E61&lt;0),"",E61/R61)</f>
        <v/>
      </c>
      <c r="J61" s="33" t="n">
        <v>23.1</v>
      </c>
      <c r="K61" s="33" t="n">
        <v>7.81</v>
      </c>
      <c r="L61" s="33" t="n">
        <v>50.97</v>
      </c>
      <c r="M61" s="33" t="n"/>
      <c r="N61" s="33" t="n">
        <v>-1.32</v>
      </c>
      <c r="O61" s="33" t="n">
        <v>66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36.7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2026-10-11</t>
        </is>
      </c>
      <c r="E62" s="33" t="n">
        <v>15.586119</v>
      </c>
      <c r="F62" s="33" t="n">
        <v>23.396</v>
      </c>
      <c r="G62" s="33" t="n">
        <v>0.83</v>
      </c>
      <c r="H62" s="33" t="n">
        <v>5.0670767</v>
      </c>
      <c r="I62" s="33">
        <f>IF(OR(E62="",R62="",R62&lt;=0,E62&lt;0),"",E62/R62)</f>
        <v/>
      </c>
      <c r="J62" s="33" t="n">
        <v>55</v>
      </c>
      <c r="K62" s="33" t="n">
        <v>10.07</v>
      </c>
      <c r="L62" s="33" t="n">
        <v>52.64</v>
      </c>
      <c r="M62" s="33" t="n">
        <v>4.21</v>
      </c>
      <c r="N62" s="33" t="n">
        <v>-2.49</v>
      </c>
      <c r="O62" s="33" t="n">
        <v>62</v>
      </c>
      <c r="P62" s="33" t="n">
        <v>-24.23</v>
      </c>
      <c r="Q62" s="33" t="n">
        <v>122.6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55.8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2026-10-11</t>
        </is>
      </c>
      <c r="E63" s="33" t="n">
        <v>32.961285</v>
      </c>
      <c r="F63" s="33" t="n">
        <v>31.289</v>
      </c>
      <c r="G63" s="33" t="n">
        <v>2</v>
      </c>
      <c r="H63" s="33" t="n">
        <v>7.5914183</v>
      </c>
      <c r="I63" s="33">
        <f>IF(OR(E63="",R63="",R63&lt;=0,E63&lt;0),"",E63/R63)</f>
        <v/>
      </c>
      <c r="J63" s="33" t="n">
        <v>57.7</v>
      </c>
      <c r="K63" s="33" t="n">
        <v>11.41</v>
      </c>
      <c r="L63" s="33" t="n">
        <v>45.56</v>
      </c>
      <c r="M63" s="33" t="n">
        <v>15.19</v>
      </c>
      <c r="N63" s="33" t="n">
        <v>3.51</v>
      </c>
      <c r="O63" s="33" t="n">
        <v>50.7</v>
      </c>
      <c r="P63" s="33" t="n">
        <v>-0.88</v>
      </c>
      <c r="Q63" s="33" t="n">
        <v>11.5</v>
      </c>
      <c r="R63" s="33" t="n">
        <v>77.3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58.3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2026-10-11</t>
        </is>
      </c>
      <c r="E64" s="33" t="n">
        <v>15.073424</v>
      </c>
      <c r="F64" s="33" t="n">
        <v>20.856</v>
      </c>
      <c r="G64" s="33" t="n">
        <v>2.54</v>
      </c>
      <c r="H64" s="33" t="n">
        <v>4.114296</v>
      </c>
      <c r="I64" s="33">
        <f>IF(OR(E64="",R64="",R64&lt;=0,E64&lt;0),"",E64/R64)</f>
        <v/>
      </c>
      <c r="J64" s="33" t="n">
        <v>74.8</v>
      </c>
      <c r="K64" s="33" t="n">
        <v>10.04</v>
      </c>
      <c r="L64" s="33" t="n">
        <v>46.95</v>
      </c>
      <c r="M64" s="33" t="n">
        <v>10.47</v>
      </c>
      <c r="N64" s="33" t="n">
        <v>3.38</v>
      </c>
      <c r="O64" s="33" t="n">
        <v>48.3</v>
      </c>
      <c r="P64" s="33" t="n">
        <v>3.49</v>
      </c>
      <c r="Q64" s="33" t="n">
        <v>28.3</v>
      </c>
      <c r="R64" s="33" t="n">
        <v>182.3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51.7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2026-10-11</t>
        </is>
      </c>
      <c r="E65" s="33" t="n">
        <v>14.263221</v>
      </c>
      <c r="F65" s="33" t="n">
        <v>5.735</v>
      </c>
      <c r="G65" s="33" t="n">
        <v>6.32</v>
      </c>
      <c r="H65" s="33" t="n">
        <v>2.0159757</v>
      </c>
      <c r="I65" s="33">
        <f>IF(OR(E65="",R65="",R65&lt;=0,E65&lt;0),"",E65/R65)</f>
        <v/>
      </c>
      <c r="J65" s="33" t="n">
        <v>84.2</v>
      </c>
      <c r="K65" s="33" t="n">
        <v>9.460000000000001</v>
      </c>
      <c r="L65" s="33" t="n">
        <v>33.66</v>
      </c>
      <c r="M65" s="33" t="n">
        <v>12.73</v>
      </c>
      <c r="N65" s="33" t="n">
        <v>-2.44</v>
      </c>
      <c r="O65" s="33" t="n">
        <v>54.9</v>
      </c>
      <c r="P65" s="33" t="n">
        <v>0.99</v>
      </c>
      <c r="Q65" s="33" t="n">
        <v>2.7</v>
      </c>
      <c r="R65" s="33" t="n">
        <v>26.3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39.2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2026-10-11</t>
        </is>
      </c>
      <c r="E66" s="33" t="n">
        <v>10.9844</v>
      </c>
      <c r="F66" s="33" t="n">
        <v>27.541</v>
      </c>
      <c r="G66" s="33" t="n">
        <v>-3.68</v>
      </c>
      <c r="H66" s="33" t="n">
        <v>1.4006817</v>
      </c>
      <c r="I66" s="33">
        <f>IF(OR(E66="",R66="",R66&lt;=0,E66&lt;0),"",E66/R66)</f>
        <v/>
      </c>
      <c r="J66" s="33" t="n">
        <v>64.90000000000001</v>
      </c>
      <c r="K66" s="33" t="n">
        <v>2.72</v>
      </c>
      <c r="L66" s="33" t="n">
        <v>15.83</v>
      </c>
      <c r="M66" s="33" t="n">
        <v>-5.15</v>
      </c>
      <c r="N66" s="33" t="n">
        <v>3.74</v>
      </c>
      <c r="O66" s="33" t="n">
        <v>18.1</v>
      </c>
      <c r="P66" s="33" t="n">
        <v>-4.72</v>
      </c>
      <c r="Q66" s="33" t="n">
        <v>24.3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53.3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2026-10-11</t>
        </is>
      </c>
      <c r="E67" s="33" t="n">
        <v>36.878246</v>
      </c>
      <c r="F67" s="33" t="n">
        <v>46.009</v>
      </c>
      <c r="G67" s="33" t="n">
        <v>1.72</v>
      </c>
      <c r="H67" s="33" t="n">
        <v>16.670984</v>
      </c>
      <c r="I67" s="33">
        <f>IF(OR(E67="",R67="",R67&lt;=0,E67&lt;0),"",E67/R67)</f>
        <v/>
      </c>
      <c r="J67" s="33" t="n">
        <v>47</v>
      </c>
      <c r="K67" s="33" t="n">
        <v>13.29</v>
      </c>
      <c r="L67" s="33" t="n">
        <v>85.87</v>
      </c>
      <c r="M67" s="33" t="n">
        <v>28.64</v>
      </c>
      <c r="N67" s="33" t="n">
        <v>0.52</v>
      </c>
      <c r="O67" s="33" t="n">
        <v>87</v>
      </c>
      <c r="P67" s="33" t="n">
        <v>14.14</v>
      </c>
      <c r="Q67" s="33" t="n">
        <v>24.2</v>
      </c>
      <c r="R67" s="33" t="n">
        <v>129.3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58.3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2026-10-11</t>
        </is>
      </c>
      <c r="E68" s="33" t="n">
        <v>27.443886</v>
      </c>
      <c r="F68" s="33" t="n">
        <v>49.898</v>
      </c>
      <c r="G68" s="33" t="n">
        <v>2.81</v>
      </c>
      <c r="H68" s="33" t="n">
        <v>10.378923</v>
      </c>
      <c r="I68" s="33">
        <f>IF(OR(E68="",R68="",R68&lt;=0,E68&lt;0),"",E68/R68)</f>
        <v/>
      </c>
      <c r="J68" s="33" t="n">
        <v>58.1</v>
      </c>
      <c r="K68" s="33" t="n">
        <v>2.01</v>
      </c>
      <c r="L68" s="33" t="n">
        <v>82.92</v>
      </c>
      <c r="M68" s="33" t="n">
        <v>29.18</v>
      </c>
      <c r="N68" s="33" t="n">
        <v>3.49</v>
      </c>
      <c r="O68" s="33" t="n">
        <v>60</v>
      </c>
      <c r="P68" s="33" t="n">
        <v>15.19</v>
      </c>
      <c r="Q68" s="33" t="n">
        <v>42.4</v>
      </c>
      <c r="R68" s="33" t="n">
        <v>125.1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1</v>
      </c>
      <c r="AB68" s="33" t="n">
        <v>3</v>
      </c>
      <c r="AC68" s="71" t="n">
        <v>44.2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2026-10-11</t>
        </is>
      </c>
      <c r="E69" s="33" t="n">
        <v>93.20361079483172</v>
      </c>
      <c r="F69" s="33" t="n">
        <v>292.361</v>
      </c>
      <c r="G69" s="33" t="n">
        <v>0.52</v>
      </c>
      <c r="H69" s="33" t="n">
        <v>55.156452</v>
      </c>
      <c r="I69" s="33">
        <f>IF(OR(E69="",R69="",R69&lt;=0,E69&lt;0),"",E69/R69)</f>
        <v/>
      </c>
      <c r="J69" s="33" t="n">
        <v>22.9</v>
      </c>
      <c r="K69" s="33" t="n">
        <v>7.38</v>
      </c>
      <c r="L69" s="33" t="n">
        <v>97.54000000000001</v>
      </c>
      <c r="M69" s="33" t="n">
        <v>28.55</v>
      </c>
      <c r="N69" s="33" t="n">
        <v>-3.2</v>
      </c>
      <c r="O69" s="33" t="n">
        <v>80.09999999999999</v>
      </c>
      <c r="P69" s="33" t="n">
        <v>22.46</v>
      </c>
      <c r="Q69" s="33" t="n">
        <v>22.4</v>
      </c>
      <c r="R69" s="33" t="n">
        <v>107.7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58.3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2026-10-11</t>
        </is>
      </c>
      <c r="E70" s="33" t="n">
        <v>20.67539</v>
      </c>
      <c r="F70" s="33" t="n">
        <v>20.117</v>
      </c>
      <c r="G70" s="33" t="n">
        <v>1.7</v>
      </c>
      <c r="H70" s="33" t="n">
        <v>14.891939</v>
      </c>
      <c r="I70" s="33">
        <f>IF(OR(E70="",R70="",R70&lt;=0,E70&lt;0),"",E70/R70)</f>
        <v/>
      </c>
      <c r="J70" s="33" t="n">
        <v>58.1</v>
      </c>
      <c r="K70" s="33" t="n">
        <v>27.53</v>
      </c>
      <c r="L70" s="33" t="n">
        <v>64.23</v>
      </c>
      <c r="M70" s="33" t="n">
        <v>25.33</v>
      </c>
      <c r="N70" s="33" t="n">
        <v>-0.77</v>
      </c>
      <c r="O70" s="33" t="n">
        <v>96.90000000000001</v>
      </c>
      <c r="P70" s="33" t="n">
        <v>18.94</v>
      </c>
      <c r="Q70" s="33" t="n">
        <v>36</v>
      </c>
      <c r="R70" s="33" t="n">
        <v>77.40000000000001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2</v>
      </c>
      <c r="AB70" s="33" t="n">
        <v>5</v>
      </c>
      <c r="AC70" s="71" t="n">
        <v>70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2026-10-11</t>
        </is>
      </c>
      <c r="E71" s="33" t="n">
        <v>50.272007</v>
      </c>
      <c r="F71" s="33" t="n">
        <v>36.044</v>
      </c>
      <c r="G71" s="33" t="n">
        <v>0.51</v>
      </c>
      <c r="H71" s="33" t="n">
        <v>9.704292000000001</v>
      </c>
      <c r="I71" s="33">
        <f>IF(OR(E71="",R71="",R71&lt;=0,E71&lt;0),"",E71/R71)</f>
        <v/>
      </c>
      <c r="J71" s="33" t="n">
        <v>27.2</v>
      </c>
      <c r="K71" s="33" t="n">
        <v>2.04</v>
      </c>
      <c r="L71" s="33" t="n">
        <v>38.87</v>
      </c>
      <c r="M71" s="33" t="n">
        <v>4.96</v>
      </c>
      <c r="N71" s="33" t="n">
        <v>1.24</v>
      </c>
      <c r="O71" s="33" t="n">
        <v>57.5</v>
      </c>
      <c r="P71" s="33" t="n">
        <v>-5.71</v>
      </c>
      <c r="Q71" s="33" t="n">
        <v>25.4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61.7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2026-10-11</t>
        </is>
      </c>
      <c r="E72" s="33" t="n">
        <v>18.329521</v>
      </c>
      <c r="F72" s="33" t="n">
        <v>13.001</v>
      </c>
      <c r="G72" s="33" t="n">
        <v>2.96</v>
      </c>
      <c r="H72" s="33" t="n">
        <v>3.8757389</v>
      </c>
      <c r="I72" s="33">
        <f>IF(OR(E72="",R72="",R72&lt;=0,E72&lt;0),"",E72/R72)</f>
        <v/>
      </c>
      <c r="J72" s="33" t="n">
        <v>69.2</v>
      </c>
      <c r="K72" s="33" t="n">
        <v>4.5</v>
      </c>
      <c r="L72" s="33" t="n">
        <v>27.14</v>
      </c>
      <c r="M72" s="33" t="n">
        <v>11.47</v>
      </c>
      <c r="N72" s="33" t="n">
        <v>-0.34</v>
      </c>
      <c r="O72" s="33" t="n">
        <v>57.5</v>
      </c>
      <c r="P72" s="33" t="n">
        <v>-5.74</v>
      </c>
      <c r="Q72" s="33" t="n">
        <v>5.8</v>
      </c>
      <c r="R72" s="33" t="n">
        <v>-27.2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48.3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2026-10-11</t>
        </is>
      </c>
      <c r="E73" s="33" t="n">
        <v>34.080784</v>
      </c>
      <c r="F73" s="33" t="n">
        <v>44.732</v>
      </c>
      <c r="G73" s="33" t="n">
        <v>1.16</v>
      </c>
      <c r="H73" s="33" t="n">
        <v>15.121451</v>
      </c>
      <c r="I73" s="33">
        <f>IF(OR(E73="",R73="",R73&lt;=0,E73&lt;0),"",E73/R73)</f>
        <v/>
      </c>
      <c r="J73" s="33" t="n">
        <v>35.6</v>
      </c>
      <c r="K73" s="33" t="n">
        <v>7.41</v>
      </c>
      <c r="L73" s="33" t="n">
        <v>26.87</v>
      </c>
      <c r="M73" s="33" t="n">
        <v>17.58</v>
      </c>
      <c r="N73" s="33" t="n">
        <v>-2.24</v>
      </c>
      <c r="O73" s="33" t="n">
        <v>61.2</v>
      </c>
      <c r="P73" s="33" t="n">
        <v>-2.27</v>
      </c>
      <c r="Q73" s="33" t="n">
        <v>23.7</v>
      </c>
      <c r="R73" s="33" t="n">
        <v>95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59.2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2026-10-11</t>
        </is>
      </c>
      <c r="E74" s="33" t="n">
        <v>26.145576</v>
      </c>
      <c r="F74" s="33" t="n">
        <v>16.126</v>
      </c>
      <c r="G74" s="33" t="n">
        <v>3.2</v>
      </c>
      <c r="H74" s="33" t="n">
        <v>7.3774624</v>
      </c>
      <c r="I74" s="33">
        <f>IF(OR(E74="",R74="",R74&lt;=0,E74&lt;0),"",E74/R74)</f>
        <v/>
      </c>
      <c r="J74" s="33" t="n">
        <v>55.8</v>
      </c>
      <c r="K74" s="33" t="n">
        <v>8.17</v>
      </c>
      <c r="L74" s="33" t="n">
        <v>30.6</v>
      </c>
      <c r="M74" s="33" t="n">
        <v>23.64</v>
      </c>
      <c r="N74" s="33" t="n">
        <v>-0.76</v>
      </c>
      <c r="O74" s="33" t="n">
        <v>73.8</v>
      </c>
      <c r="P74" s="33" t="n">
        <v>-5.19</v>
      </c>
      <c r="Q74" s="33" t="n">
        <v>17</v>
      </c>
      <c r="R74" s="33" t="n"/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70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2026-10-11</t>
        </is>
      </c>
      <c r="E75" s="33" t="n">
        <v>18.642021</v>
      </c>
      <c r="F75" s="33" t="n">
        <v>35.07</v>
      </c>
      <c r="G75" s="33" t="n">
        <v>2.28</v>
      </c>
      <c r="H75" s="33" t="n">
        <v>19.369032</v>
      </c>
      <c r="I75" s="33">
        <f>IF(OR(E75="",R75="",R75&lt;=0,E75&lt;0),"",E75/R75)</f>
        <v/>
      </c>
      <c r="J75" s="33" t="n">
        <v>61.4</v>
      </c>
      <c r="K75" s="33" t="n">
        <v>24.44</v>
      </c>
      <c r="L75" s="33" t="n">
        <v>75.52</v>
      </c>
      <c r="M75" s="33" t="n">
        <v>44.22</v>
      </c>
      <c r="N75" s="33" t="n">
        <v>0.68</v>
      </c>
      <c r="O75" s="33" t="n">
        <v>88.8</v>
      </c>
      <c r="P75" s="33" t="n">
        <v>24.38</v>
      </c>
      <c r="Q75" s="33" t="n">
        <v>85.5</v>
      </c>
      <c r="R75" s="33" t="n">
        <v>216.1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4</v>
      </c>
      <c r="AA75" s="33" t="n">
        <v>1</v>
      </c>
      <c r="AB75" s="33" t="n">
        <v>4</v>
      </c>
      <c r="AC75" s="71" t="n">
        <v>36.7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2026-10-11</t>
        </is>
      </c>
      <c r="E76" s="33" t="n">
        <v>39.19890053064152</v>
      </c>
      <c r="F76" s="33" t="n">
        <v>88.057</v>
      </c>
      <c r="G76" s="33" t="n">
        <v>0.7</v>
      </c>
      <c r="H76" s="33" t="n">
        <v>26.178577</v>
      </c>
      <c r="I76" s="33">
        <f>IF(OR(E76="",R76="",R76&lt;=0,E76&lt;0),"",E76/R76)</f>
        <v/>
      </c>
      <c r="J76" s="33" t="n">
        <v>31.2</v>
      </c>
      <c r="K76" s="33" t="n">
        <v>5.47</v>
      </c>
      <c r="L76" s="33" t="n">
        <v>52.22</v>
      </c>
      <c r="M76" s="33" t="n">
        <v>18.23</v>
      </c>
      <c r="N76" s="33" t="n">
        <v>0.47</v>
      </c>
      <c r="O76" s="33" t="n">
        <v>46.2</v>
      </c>
      <c r="P76" s="33" t="n">
        <v>11.45</v>
      </c>
      <c r="Q76" s="33" t="n">
        <v>36.5</v>
      </c>
      <c r="R76" s="33" t="n">
        <v>58.1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2026-10-11</t>
        </is>
      </c>
      <c r="E77" s="33" t="n">
        <v>53.52484</v>
      </c>
      <c r="F77" s="33" t="n">
        <v>228.126</v>
      </c>
      <c r="G77" s="33" t="n">
        <v>0.47</v>
      </c>
      <c r="H77" s="33" t="n">
        <v>49.394627</v>
      </c>
      <c r="I77" s="33">
        <f>IF(OR(E77="",R77="",R77&lt;=0,E77&lt;0),"",E77/R77)</f>
        <v/>
      </c>
      <c r="J77" s="33" t="n">
        <v>30.8</v>
      </c>
      <c r="K77" s="33" t="n">
        <v>15.47</v>
      </c>
      <c r="L77" s="33" t="n">
        <v>75.13</v>
      </c>
      <c r="M77" s="33" t="n">
        <v>23.02</v>
      </c>
      <c r="N77" s="33" t="n">
        <v>-4.23</v>
      </c>
      <c r="O77" s="33" t="n">
        <v>76.3</v>
      </c>
      <c r="P77" s="33" t="n">
        <v>120.18</v>
      </c>
      <c r="Q77" s="33" t="n">
        <v>104.5</v>
      </c>
      <c r="R77" s="33" t="n">
        <v>198.9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5</v>
      </c>
      <c r="AB77" s="33" t="n">
        <v>2</v>
      </c>
      <c r="AC77" s="71" t="n">
        <v>62.5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2026-10-11</t>
        </is>
      </c>
      <c r="E78" s="33" t="n">
        <v>6.575668486047666</v>
      </c>
      <c r="F78" s="33" t="n">
        <v>19.279</v>
      </c>
      <c r="G78" s="33" t="n">
        <v>5.03</v>
      </c>
      <c r="H78" s="33" t="n">
        <v>11.290823</v>
      </c>
      <c r="I78" s="33">
        <f>IF(OR(E78="",R78="",R78&lt;=0,E78&lt;0),"",E78/R78)</f>
        <v/>
      </c>
      <c r="J78" s="33" t="n">
        <v>81.3</v>
      </c>
      <c r="K78" s="33" t="n">
        <v>64.7</v>
      </c>
      <c r="L78" s="33" t="n">
        <v>71.47</v>
      </c>
      <c r="M78" s="33" t="n">
        <v>56.77</v>
      </c>
      <c r="N78" s="33" t="n">
        <v>-0.36</v>
      </c>
      <c r="O78" s="33" t="n">
        <v>92.59999999999999</v>
      </c>
      <c r="P78" s="33" t="n">
        <v>49.29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67.5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2026-10-11</t>
        </is>
      </c>
      <c r="E79" s="33" t="n">
        <v>26.60144515557924</v>
      </c>
      <c r="F79" s="33" t="n">
        <v>47.361</v>
      </c>
      <c r="G79" s="33" t="n">
        <v>-1.67</v>
      </c>
      <c r="H79" s="33" t="n">
        <v>8.648925999999999</v>
      </c>
      <c r="I79" s="33">
        <f>IF(OR(E79="",R79="",R79&lt;=0,E79&lt;0),"",E79/R79)</f>
        <v/>
      </c>
      <c r="J79" s="33" t="n">
        <v>39.4</v>
      </c>
      <c r="K79" s="33" t="n">
        <v>5.42</v>
      </c>
      <c r="L79" s="33" t="n">
        <v>37.5</v>
      </c>
      <c r="M79" s="33" t="n">
        <v>-14.48</v>
      </c>
      <c r="N79" s="33" t="n">
        <v>1.1</v>
      </c>
      <c r="O79" s="33" t="n">
        <v>38.5</v>
      </c>
      <c r="P79" s="33" t="n">
        <v>11.32</v>
      </c>
      <c r="Q79" s="33" t="n">
        <v>33.7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52.5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2026-10-11</t>
        </is>
      </c>
      <c r="E80" s="33" t="n">
        <v>38.21257759841063</v>
      </c>
      <c r="F80" s="33" t="n">
        <v>123.137</v>
      </c>
      <c r="G80" s="33" t="n">
        <v>0.3</v>
      </c>
      <c r="H80" s="33" t="n">
        <v>33.160267</v>
      </c>
      <c r="I80" s="33">
        <f>IF(OR(E80="",R80="",R80&lt;=0,E80&lt;0),"",E80/R80)</f>
        <v/>
      </c>
      <c r="J80" s="33" t="n">
        <v>19.8</v>
      </c>
      <c r="K80" s="33" t="n">
        <v>8.779999999999999</v>
      </c>
      <c r="L80" s="33" t="n">
        <v>44.24</v>
      </c>
      <c r="M80" s="33" t="n">
        <v>9.960000000000001</v>
      </c>
      <c r="N80" s="33" t="n">
        <v>-1.33</v>
      </c>
      <c r="O80" s="33" t="n">
        <v>59.4</v>
      </c>
      <c r="P80" s="33" t="n">
        <v>19.48</v>
      </c>
      <c r="Q80" s="33" t="n">
        <v>109.3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66.7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2026-10-11</t>
        </is>
      </c>
      <c r="E81" s="33" t="n">
        <v>24.25750704661452</v>
      </c>
      <c r="F81" s="33" t="n">
        <v>31.983</v>
      </c>
      <c r="G81" s="33" t="n">
        <v>0.02</v>
      </c>
      <c r="H81" s="33" t="n">
        <v>3.7546675</v>
      </c>
      <c r="I81" s="33">
        <f>IF(OR(E81="",R81="",R81&lt;=0,E81&lt;0),"",E81/R81)</f>
        <v/>
      </c>
      <c r="J81" s="33" t="n">
        <v>57.6</v>
      </c>
      <c r="K81" s="33" t="n">
        <v>15.73</v>
      </c>
      <c r="L81" s="33" t="n">
        <v>11.99</v>
      </c>
      <c r="M81" s="33" t="n">
        <v>0.07000000000000001</v>
      </c>
      <c r="N81" s="33" t="n">
        <v>-1.64</v>
      </c>
      <c r="O81" s="33" t="n">
        <v>53.1</v>
      </c>
      <c r="P81" s="33" t="n">
        <v>20.61</v>
      </c>
      <c r="Q81" s="33" t="n">
        <v>44.6</v>
      </c>
      <c r="R81" s="33" t="n">
        <v>59.7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1</v>
      </c>
      <c r="AB81" s="33" t="n">
        <v>3</v>
      </c>
      <c r="AC81" s="71" t="n">
        <v>35.8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2026-10-11</t>
        </is>
      </c>
      <c r="E82" s="33" t="n">
        <v>23.824423</v>
      </c>
      <c r="F82" s="33" t="n">
        <v>-316.561</v>
      </c>
      <c r="G82" s="33" t="n">
        <v>-6.46</v>
      </c>
      <c r="H82" s="33" t="n">
        <v>15.620125</v>
      </c>
      <c r="I82" s="33">
        <f>IF(OR(E82="",R82="",R82&lt;=0,E82&lt;0),"",E82/R82)</f>
        <v/>
      </c>
      <c r="J82" s="33" t="n">
        <v>49.4</v>
      </c>
      <c r="K82" s="33" t="n">
        <v>-2.66</v>
      </c>
      <c r="L82" s="33" t="n">
        <v>28.92</v>
      </c>
      <c r="M82" s="33" t="n">
        <v>-100.9</v>
      </c>
      <c r="N82" s="33" t="n"/>
      <c r="O82" s="33" t="n">
        <v>12.5</v>
      </c>
      <c r="P82" s="33" t="n">
        <v>26.93</v>
      </c>
      <c r="Q82" s="33" t="n">
        <v>86.40000000000001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40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2026-10-11</t>
        </is>
      </c>
      <c r="E83" s="33" t="n">
        <v>-41</v>
      </c>
      <c r="F83" s="33" t="n">
        <v>-8.470000000000001</v>
      </c>
      <c r="G83" s="33" t="n">
        <v>-3.6</v>
      </c>
      <c r="H83" s="33" t="n">
        <v>704.17395</v>
      </c>
      <c r="I83" s="33">
        <f>IF(OR(E83="",R83="",R83&lt;=0,E83&lt;0),"",E83/R83)</f>
        <v/>
      </c>
      <c r="J83" s="33" t="n">
        <v>27.3</v>
      </c>
      <c r="K83" s="33" t="n">
        <v>-4.28</v>
      </c>
      <c r="L83" s="33" t="n">
        <v>100</v>
      </c>
      <c r="M83" s="33" t="n">
        <v>-2538.03</v>
      </c>
      <c r="N83" s="33" t="n"/>
      <c r="O83" s="33" t="n">
        <v>34.7</v>
      </c>
      <c r="P83" s="33" t="n">
        <v>24.82</v>
      </c>
      <c r="Q83" s="33" t="n">
        <v>112.3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39.2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2026-10-11</t>
        </is>
      </c>
      <c r="E84" s="33" t="n">
        <v>41.546066</v>
      </c>
      <c r="F84" s="33" t="n">
        <v>55.795</v>
      </c>
      <c r="G84" s="33" t="n">
        <v>1.89</v>
      </c>
      <c r="H84" s="33" t="n">
        <v>25.933311</v>
      </c>
      <c r="I84" s="33">
        <f>IF(OR(E84="",R84="",R84&lt;=0,E84&lt;0),"",E84/R84)</f>
        <v/>
      </c>
      <c r="J84" s="33" t="n">
        <v>47.6</v>
      </c>
      <c r="K84" s="33" t="n">
        <v>21.8</v>
      </c>
      <c r="L84" s="33" t="n">
        <v>63</v>
      </c>
      <c r="M84" s="33" t="n">
        <v>48.91</v>
      </c>
      <c r="N84" s="33" t="n">
        <v>-2.88</v>
      </c>
      <c r="O84" s="33" t="n">
        <v>90.59999999999999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3</v>
      </c>
      <c r="AB84" s="33" t="n">
        <v>3</v>
      </c>
      <c r="AC84" s="71" t="n">
        <v>89.2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2026-10-11</t>
        </is>
      </c>
      <c r="E85" s="33" t="n">
        <v>22.11712225377797</v>
      </c>
      <c r="F85" s="33" t="n">
        <v>25.646</v>
      </c>
      <c r="G85" s="33" t="n">
        <v>2.74</v>
      </c>
      <c r="H85" s="33" t="n">
        <v>7.3709097</v>
      </c>
      <c r="I85" s="33">
        <f>IF(OR(E85="",R85="",R85&lt;=0,E85&lt;0),"",E85/R85)</f>
        <v/>
      </c>
      <c r="J85" s="33" t="n">
        <v>67.40000000000001</v>
      </c>
      <c r="K85" s="33" t="n">
        <v>15.11</v>
      </c>
      <c r="L85" s="33" t="n">
        <v>64.52</v>
      </c>
      <c r="M85" s="33" t="n">
        <v>20.16</v>
      </c>
      <c r="N85" s="33" t="n">
        <v>0.82</v>
      </c>
      <c r="O85" s="33" t="n">
        <v>79.8</v>
      </c>
      <c r="P85" s="33" t="n">
        <v>3.57</v>
      </c>
      <c r="Q85" s="33" t="n">
        <v>17.6</v>
      </c>
      <c r="R85" s="33" t="n">
        <v>51.3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59.2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2026-10-11</t>
        </is>
      </c>
      <c r="E86" s="33" t="n">
        <v>38.024807</v>
      </c>
      <c r="F86" s="33" t="n">
        <v>62.373</v>
      </c>
      <c r="G86" s="33" t="n">
        <v>1.28</v>
      </c>
      <c r="H86" s="33" t="n">
        <v>10.593313</v>
      </c>
      <c r="I86" s="33">
        <f>IF(OR(E86="",R86="",R86&lt;=0,E86&lt;0),"",E86/R86)</f>
        <v/>
      </c>
      <c r="J86" s="33" t="n">
        <v>44.3</v>
      </c>
      <c r="K86" s="33" t="n">
        <v>11.6</v>
      </c>
      <c r="L86" s="33" t="n">
        <v>44.07</v>
      </c>
      <c r="M86" s="33" t="n">
        <v>13.53</v>
      </c>
      <c r="N86" s="33" t="n">
        <v>0.64</v>
      </c>
      <c r="O86" s="33" t="n">
        <v>59</v>
      </c>
      <c r="P86" s="33" t="n">
        <v>9.5</v>
      </c>
      <c r="Q86" s="33" t="n">
        <v>37</v>
      </c>
      <c r="R86" s="33" t="n">
        <v>429.6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35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2026-10-11</t>
        </is>
      </c>
      <c r="E87" s="33" t="n">
        <v>26.194736</v>
      </c>
      <c r="F87" s="33" t="n">
        <v>24.242</v>
      </c>
      <c r="G87" s="33" t="n">
        <v>2.15</v>
      </c>
      <c r="H87" s="33" t="n">
        <v>7.4153423</v>
      </c>
      <c r="I87" s="33">
        <f>IF(OR(E87="",R87="",R87&lt;=0,E87&lt;0),"",E87/R87)</f>
        <v/>
      </c>
      <c r="J87" s="33" t="n">
        <v>71</v>
      </c>
      <c r="K87" s="33" t="n">
        <v>14.81</v>
      </c>
      <c r="L87" s="33" t="n">
        <v>38.95</v>
      </c>
      <c r="M87" s="33" t="n">
        <v>15.96</v>
      </c>
      <c r="N87" s="33" t="n">
        <v>1.42</v>
      </c>
      <c r="O87" s="33" t="n">
        <v>61.5</v>
      </c>
      <c r="P87" s="33" t="n">
        <v>22.31</v>
      </c>
      <c r="Q87" s="33" t="n">
        <v>55</v>
      </c>
      <c r="R87" s="33" t="n">
        <v>62.1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1</v>
      </c>
      <c r="AB87" s="33" t="n">
        <v>3</v>
      </c>
      <c r="AC87" s="71" t="n">
        <v>74.2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2026-10-11</t>
        </is>
      </c>
      <c r="E88" s="33" t="n">
        <v>16.834116</v>
      </c>
      <c r="F88" s="33" t="n">
        <v>13.575</v>
      </c>
      <c r="G88" s="33" t="n">
        <v>5.24</v>
      </c>
      <c r="H88" s="33" t="n">
        <v>3.2756002</v>
      </c>
      <c r="I88" s="33">
        <f>IF(OR(E88="",R88="",R88&lt;=0,E88&lt;0),"",E88/R88)</f>
        <v/>
      </c>
      <c r="J88" s="33" t="n">
        <v>75.2</v>
      </c>
      <c r="K88" s="33" t="n">
        <v>14.8</v>
      </c>
      <c r="L88" s="33" t="n">
        <v>36.12</v>
      </c>
      <c r="M88" s="33" t="n">
        <v>17.16</v>
      </c>
      <c r="N88" s="33" t="n">
        <v>0.92</v>
      </c>
      <c r="O88" s="33" t="n">
        <v>59</v>
      </c>
      <c r="P88" s="33" t="n">
        <v>1.97</v>
      </c>
      <c r="Q88" s="33" t="n">
        <v>13.8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39.2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2026-10-11</t>
        </is>
      </c>
      <c r="E89" s="33" t="n">
        <v>35.840588</v>
      </c>
      <c r="F89" s="33" t="n">
        <v>36.246</v>
      </c>
      <c r="G89" s="33" t="n">
        <v>1.78</v>
      </c>
      <c r="H89" s="33" t="n">
        <v>7.9396396</v>
      </c>
      <c r="I89" s="33">
        <f>IF(OR(E89="",R89="",R89&lt;=0,E89&lt;0),"",E89/R89)</f>
        <v/>
      </c>
      <c r="J89" s="33" t="n">
        <v>46</v>
      </c>
      <c r="K89" s="33" t="n">
        <v>8.31</v>
      </c>
      <c r="L89" s="33" t="n">
        <v>36.39</v>
      </c>
      <c r="M89" s="33" t="n">
        <v>14.12</v>
      </c>
      <c r="N89" s="33" t="n">
        <v>1.68</v>
      </c>
      <c r="O89" s="33" t="n">
        <v>46.9</v>
      </c>
      <c r="P89" s="33" t="n">
        <v>3.27</v>
      </c>
      <c r="Q89" s="33" t="n">
        <v>16.6</v>
      </c>
      <c r="R89" s="33" t="n">
        <v>19.2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55.8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2026-10-11</t>
        </is>
      </c>
      <c r="E90" s="33" t="n">
        <v>8.655154841021528</v>
      </c>
      <c r="F90" s="33" t="n">
        <v>12.558</v>
      </c>
      <c r="G90" s="33" t="n">
        <v>-25.75</v>
      </c>
      <c r="H90" s="33" t="n">
        <v>0.6931065</v>
      </c>
      <c r="I90" s="33">
        <f>IF(OR(E90="",R90="",R90&lt;=0,E90&lt;0),"",E90/R90)</f>
        <v/>
      </c>
      <c r="J90" s="33" t="n">
        <v>76.8</v>
      </c>
      <c r="K90" s="33" t="n">
        <v>9.73</v>
      </c>
      <c r="L90" s="33" t="n">
        <v>10.82</v>
      </c>
      <c r="M90" s="33" t="n">
        <v>-17.85</v>
      </c>
      <c r="N90" s="33" t="n">
        <v>0.61</v>
      </c>
      <c r="O90" s="33" t="n">
        <v>36.6</v>
      </c>
      <c r="P90" s="33" t="n">
        <v>76.34</v>
      </c>
      <c r="Q90" s="33" t="n">
        <v>93.2</v>
      </c>
      <c r="R90" s="33" t="n">
        <v>503.7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61.7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2026-10-11</t>
        </is>
      </c>
      <c r="E91" s="33" t="n">
        <v>20.12767</v>
      </c>
      <c r="F91" s="33" t="n">
        <v>22.104</v>
      </c>
      <c r="G91" s="33" t="n">
        <v>2.3</v>
      </c>
      <c r="H91" s="33" t="n">
        <v>2.4644961</v>
      </c>
      <c r="I91" s="33">
        <f>IF(OR(E91="",R91="",R91&lt;=0,E91&lt;0),"",E91/R91)</f>
        <v/>
      </c>
      <c r="J91" s="33" t="n">
        <v>55.2</v>
      </c>
      <c r="K91" s="33" t="n">
        <v>27.41</v>
      </c>
      <c r="L91" s="33" t="n">
        <v>19.91</v>
      </c>
      <c r="M91" s="33" t="n">
        <v>5.66</v>
      </c>
      <c r="N91" s="33" t="n">
        <v>1.34</v>
      </c>
      <c r="O91" s="33" t="n">
        <v>54.7</v>
      </c>
      <c r="P91" s="33" t="n">
        <v>3.53</v>
      </c>
      <c r="Q91" s="33" t="n">
        <v>57.7</v>
      </c>
      <c r="R91" s="33" t="n">
        <v>255.1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98.3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2026-10-11</t>
        </is>
      </c>
      <c r="E92" s="33" t="n">
        <v>15.600644</v>
      </c>
      <c r="F92" s="33" t="n">
        <v>15.945</v>
      </c>
      <c r="G92" s="33" t="n">
        <v>4.26</v>
      </c>
      <c r="H92" s="33" t="n">
        <v>2.3289526</v>
      </c>
      <c r="I92" s="33">
        <f>IF(OR(E92="",R92="",R92&lt;=0,E92&lt;0),"",E92/R92)</f>
        <v/>
      </c>
      <c r="J92" s="33" t="n">
        <v>77.3</v>
      </c>
      <c r="K92" s="33" t="n">
        <v>6.18</v>
      </c>
      <c r="L92" s="33" t="n">
        <v>36.62</v>
      </c>
      <c r="M92" s="33" t="n">
        <v>9.93</v>
      </c>
      <c r="N92" s="33" t="n">
        <v>2.05</v>
      </c>
      <c r="O92" s="33" t="n">
        <v>41.6</v>
      </c>
      <c r="P92" s="33" t="n">
        <v>6.37</v>
      </c>
      <c r="Q92" s="33" t="n">
        <v>33.7</v>
      </c>
      <c r="R92" s="33" t="n">
        <v>404.9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99.2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2026-10-11</t>
        </is>
      </c>
      <c r="E93" s="33" t="n">
        <v>24.61330307794727</v>
      </c>
      <c r="F93" s="33" t="n">
        <v>20.52</v>
      </c>
      <c r="G93" s="33" t="n">
        <v>1.69</v>
      </c>
      <c r="H93" s="33" t="n">
        <v>11.973236</v>
      </c>
      <c r="I93" s="33">
        <f>IF(OR(E93="",R93="",R93&lt;=0,E93&lt;0),"",E93/R93)</f>
        <v/>
      </c>
      <c r="J93" s="33" t="n">
        <v>58.3</v>
      </c>
      <c r="K93" s="33" t="n">
        <v>21.22</v>
      </c>
      <c r="L93" s="33" t="n">
        <v>67.94</v>
      </c>
      <c r="M93" s="33" t="n">
        <v>20.19</v>
      </c>
      <c r="N93" s="33" t="n">
        <v>0.27</v>
      </c>
      <c r="O93" s="33" t="n">
        <v>89.40000000000001</v>
      </c>
      <c r="P93" s="33" t="n">
        <v>16.12</v>
      </c>
      <c r="Q93" s="33" t="n">
        <v>17.7</v>
      </c>
      <c r="R93" s="33" t="n">
        <v>31.3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5</v>
      </c>
      <c r="AB93" s="33" t="n">
        <v>4</v>
      </c>
      <c r="AC93" s="71" t="n">
        <v>71.7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5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2026-10-11</t>
        </is>
      </c>
      <c r="E94" s="33" t="n">
        <v>23.115559</v>
      </c>
      <c r="F94" s="33" t="n">
        <v>24.156</v>
      </c>
      <c r="G94" s="33" t="n">
        <v>1.24</v>
      </c>
      <c r="H94" s="33" t="n">
        <v>9.645901</v>
      </c>
      <c r="I94" s="33">
        <f>IF(OR(E94="",R94="",R94&lt;=0,E94&lt;0),"",E94/R94)</f>
        <v/>
      </c>
      <c r="J94" s="33" t="n">
        <v>51</v>
      </c>
      <c r="K94" s="33" t="n">
        <v>15.14</v>
      </c>
      <c r="L94" s="33" t="n">
        <v>60.9</v>
      </c>
      <c r="M94" s="33" t="n">
        <v>11.95</v>
      </c>
      <c r="N94" s="33" t="n">
        <v>-0.7</v>
      </c>
      <c r="O94" s="33" t="n">
        <v>81.90000000000001</v>
      </c>
      <c r="P94" s="33" t="n">
        <v>12.51</v>
      </c>
      <c r="Q94" s="33" t="n">
        <v>24.2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4</v>
      </c>
      <c r="AB94" s="33" t="n">
        <v>3</v>
      </c>
      <c r="AC94" s="71" t="n">
        <v>45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5</v>
      </c>
      <c r="AG94" s="33" t="n">
        <v>4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2026-10-11</t>
        </is>
      </c>
      <c r="E95" s="33" t="n">
        <v>25.073498</v>
      </c>
      <c r="F95" s="33" t="n">
        <v>17.359</v>
      </c>
      <c r="G95" s="33" t="n">
        <v>-0.09</v>
      </c>
      <c r="H95" s="33" t="n">
        <v>3.6492524</v>
      </c>
      <c r="I95" s="33">
        <f>IF(OR(E95="",R95="",R95&lt;=0,E95&lt;0),"",E95/R95)</f>
        <v/>
      </c>
      <c r="J95" s="33" t="n">
        <v>68.8</v>
      </c>
      <c r="K95" s="33" t="n">
        <v>9.66</v>
      </c>
      <c r="L95" s="33" t="n">
        <v>50.77</v>
      </c>
      <c r="M95" s="33" t="n">
        <v>-0.32</v>
      </c>
      <c r="N95" s="33" t="n">
        <v>0.76</v>
      </c>
      <c r="O95" s="33" t="n">
        <v>75.59999999999999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3</v>
      </c>
      <c r="AB95" s="33" t="n">
        <v>3</v>
      </c>
      <c r="AC95" s="71" t="n">
        <v>53.3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3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2026-10-11</t>
        </is>
      </c>
      <c r="E96" s="33" t="n">
        <v>20.80368</v>
      </c>
      <c r="F96" s="33" t="n">
        <v>16.959</v>
      </c>
      <c r="G96" s="33" t="n">
        <v>2.24</v>
      </c>
      <c r="H96" s="33" t="n">
        <v>8.021205999999999</v>
      </c>
      <c r="I96" s="33">
        <f>IF(OR(E96="",R96="",R96&lt;=0,E96&lt;0),"",E96/R96)</f>
        <v/>
      </c>
      <c r="J96" s="33" t="n">
        <v>68</v>
      </c>
      <c r="K96" s="33" t="n">
        <v>17.18</v>
      </c>
      <c r="L96" s="33" t="n">
        <v>81.75</v>
      </c>
      <c r="M96" s="33" t="n">
        <v>17.95</v>
      </c>
      <c r="N96" s="33" t="n">
        <v>0.2</v>
      </c>
      <c r="O96" s="33" t="n">
        <v>91.90000000000001</v>
      </c>
      <c r="P96" s="33" t="n">
        <v>19.89</v>
      </c>
      <c r="Q96" s="33" t="n">
        <v>28</v>
      </c>
      <c r="R96" s="33" t="n">
        <v>-13.6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4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5</v>
      </c>
      <c r="AB96" s="33" t="n">
        <v>3</v>
      </c>
      <c r="AC96" s="71" t="n">
        <v>44.2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3</v>
      </c>
      <c r="AG96" s="33" t="n">
        <v>3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2026-10-11</t>
        </is>
      </c>
      <c r="E97" s="33" t="n">
        <v>14.4030561821144</v>
      </c>
      <c r="F97" s="33" t="n">
        <v>16.598</v>
      </c>
      <c r="G97" s="33" t="n">
        <v>-6.7</v>
      </c>
      <c r="H97" s="33" t="n">
        <v>5.9721107</v>
      </c>
      <c r="I97" s="33">
        <f>IF(OR(E97="",R97="",R97&lt;=0,E97&lt;0),"",E97/R97)</f>
        <v/>
      </c>
      <c r="J97" s="33" t="n">
        <v>80</v>
      </c>
      <c r="K97" s="33" t="n">
        <v>8.359999999999999</v>
      </c>
      <c r="L97" s="33" t="n">
        <v>63.96</v>
      </c>
      <c r="M97" s="33" t="n">
        <v>-40.01</v>
      </c>
      <c r="N97" s="33" t="n">
        <v>3.84</v>
      </c>
      <c r="O97" s="33" t="n">
        <v>64.40000000000001</v>
      </c>
      <c r="P97" s="33" t="n">
        <v>10.48</v>
      </c>
      <c r="Q97" s="33" t="n">
        <v>29.6</v>
      </c>
      <c r="R97" s="33" t="n">
        <v>62.6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2</v>
      </c>
      <c r="AB97" s="33" t="n">
        <v>3</v>
      </c>
      <c r="AC97" s="71" t="n">
        <v>50.8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2026-10-11</t>
        </is>
      </c>
      <c r="E98" s="33" t="n">
        <v>-62.133045</v>
      </c>
      <c r="F98" s="33" t="n">
        <v>19.2</v>
      </c>
      <c r="G98" s="33" t="n">
        <v>-10.48</v>
      </c>
      <c r="H98" s="33" t="n">
        <v>41.42076</v>
      </c>
      <c r="I98" s="33">
        <f>IF(OR(E98="",R98="",R98&lt;=0,E98&lt;0),"",E98/R98)</f>
        <v/>
      </c>
      <c r="J98" s="33" t="n">
        <v>26.2</v>
      </c>
      <c r="K98" s="33" t="n">
        <v>-2.16</v>
      </c>
      <c r="L98" s="33" t="n">
        <v>74.26000000000001</v>
      </c>
      <c r="M98" s="33" t="n">
        <v>-434.2</v>
      </c>
      <c r="N98" s="33" t="n">
        <v>8.35</v>
      </c>
      <c r="O98" s="33" t="n">
        <v>43.1</v>
      </c>
      <c r="P98" s="33" t="n">
        <v>239.83</v>
      </c>
      <c r="Q98" s="33" t="n">
        <v>454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65.8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2026-10-11</t>
        </is>
      </c>
      <c r="E99" s="33" t="n">
        <v>-30.187141</v>
      </c>
      <c r="F99" s="33" t="n">
        <v>6.3</v>
      </c>
      <c r="G99" s="33" t="n">
        <v>-38.77</v>
      </c>
      <c r="H99" s="33" t="n">
        <v>8.209241</v>
      </c>
      <c r="I99" s="33">
        <f>IF(OR(E99="",R99="",R99&lt;=0,E99&lt;0),"",E99/R99)</f>
        <v/>
      </c>
      <c r="J99" s="33" t="n">
        <v>33.8</v>
      </c>
      <c r="K99" s="33" t="n">
        <v>-1.82</v>
      </c>
      <c r="L99" s="33" t="n">
        <v>21.62</v>
      </c>
      <c r="M99" s="33" t="n">
        <v>-318.27</v>
      </c>
      <c r="N99" s="33" t="n"/>
      <c r="O99" s="33" t="n">
        <v>37.5</v>
      </c>
      <c r="P99" s="33" t="n">
        <v>122.64</v>
      </c>
      <c r="Q99" s="33" t="n">
        <v>432.4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40.8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2026-10-11</t>
        </is>
      </c>
      <c r="E100" s="33" t="n">
        <v>94.679276</v>
      </c>
      <c r="F100" s="33" t="n">
        <v>4.1</v>
      </c>
      <c r="G100" s="33" t="n">
        <v>-19.34</v>
      </c>
      <c r="H100" s="33" t="n">
        <v>11.246269</v>
      </c>
      <c r="I100" s="33">
        <f>IF(OR(E100="",R100="",R100&lt;=0,E100&lt;0),"",E100/R100)</f>
        <v/>
      </c>
      <c r="J100" s="33" t="n">
        <v>41.2</v>
      </c>
      <c r="K100" s="33" t="n">
        <v>-6.46</v>
      </c>
      <c r="L100" s="33" t="n">
        <v>32.14</v>
      </c>
      <c r="M100" s="33" t="n">
        <v>-217.53</v>
      </c>
      <c r="N100" s="33" t="n"/>
      <c r="O100" s="33" t="n">
        <v>35.8</v>
      </c>
      <c r="P100" s="33" t="n">
        <v>-20.72</v>
      </c>
      <c r="Q100" s="33" t="n">
        <v>108.8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40.8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2026-10-11</t>
        </is>
      </c>
      <c r="E101" s="33" t="n">
        <v>-8.835846999999999</v>
      </c>
      <c r="F101" s="33" t="n">
        <v>5.9</v>
      </c>
      <c r="G101" s="33" t="n">
        <v>-16.95</v>
      </c>
      <c r="H101" s="33" t="n">
        <v>19.61356</v>
      </c>
      <c r="I101" s="33">
        <f>IF(OR(E101="",R101="",R101&lt;=0,E101&lt;0),"",E101/R101)</f>
        <v/>
      </c>
      <c r="J101" s="33" t="n">
        <v>42.5</v>
      </c>
      <c r="K101" s="33" t="n">
        <v>-2.21</v>
      </c>
      <c r="L101" s="33" t="n">
        <v>68.92</v>
      </c>
      <c r="M101" s="33" t="n">
        <v>-332.45</v>
      </c>
      <c r="N101" s="33" t="n">
        <v>50.69</v>
      </c>
      <c r="O101" s="33" t="n">
        <v>43.1</v>
      </c>
      <c r="P101" s="33" t="n">
        <v>110.77</v>
      </c>
      <c r="Q101" s="33" t="n">
        <v>-26.7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52.5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2026-10-11</t>
        </is>
      </c>
      <c r="E102" s="33" t="n">
        <v>80.24692</v>
      </c>
      <c r="F102" s="33" t="n">
        <v>11.9</v>
      </c>
      <c r="G102" s="33" t="n">
        <v>-26.66</v>
      </c>
      <c r="H102" s="33" t="n">
        <v>29.363794</v>
      </c>
      <c r="I102" s="33">
        <f>IF(OR(E102="",R102="",R102&lt;=0,E102&lt;0),"",E102/R102)</f>
        <v/>
      </c>
      <c r="J102" s="33" t="n">
        <v>26.2</v>
      </c>
      <c r="K102" s="33" t="n">
        <v>-5.17</v>
      </c>
      <c r="L102" s="33" t="n">
        <v>-10.04</v>
      </c>
      <c r="M102" s="33" t="n">
        <v>-782.87</v>
      </c>
      <c r="N102" s="33" t="n">
        <v>49.49</v>
      </c>
      <c r="O102" s="33" t="n">
        <v>18.1</v>
      </c>
      <c r="P102" s="33" t="n">
        <v>319.34</v>
      </c>
      <c r="Q102" s="33" t="n">
        <v>-43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49.2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2026-10-11</t>
        </is>
      </c>
      <c r="E103" s="33" t="n">
        <v>-5.7903447</v>
      </c>
      <c r="F103" s="33" t="n">
        <v>2.5</v>
      </c>
      <c r="G103" s="33" t="n">
        <v>-38.52</v>
      </c>
      <c r="H103" s="33" t="n">
        <v>3.9680693</v>
      </c>
      <c r="I103" s="33">
        <f>IF(OR(E103="",R103="",R103&lt;=0,E103&lt;0),"",E103/R103)</f>
        <v/>
      </c>
      <c r="J103" s="33" t="n">
        <v>48.8</v>
      </c>
      <c r="K103" s="33" t="n">
        <v>-11.12</v>
      </c>
      <c r="L103" s="33" t="n">
        <v>46.99</v>
      </c>
      <c r="M103" s="33" t="n">
        <v>-152.85</v>
      </c>
      <c r="N103" s="33" t="n"/>
      <c r="O103" s="33" t="n">
        <v>42.5</v>
      </c>
      <c r="P103" s="33" t="n">
        <v>79.94</v>
      </c>
      <c r="Q103" s="33" t="n">
        <v>-30.5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53.3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2026-10-11</t>
        </is>
      </c>
      <c r="E104" s="33" t="n">
        <v>-25.852348</v>
      </c>
      <c r="F104" s="33" t="n">
        <v>1.7</v>
      </c>
      <c r="G104" s="33" t="n">
        <v>-80.06</v>
      </c>
      <c r="H104" s="33" t="n">
        <v>3.2222104</v>
      </c>
      <c r="I104" s="33">
        <f>IF(OR(E104="",R104="",R104&lt;=0,E104&lt;0),"",E104/R104)</f>
        <v/>
      </c>
      <c r="J104" s="33" t="n">
        <v>50</v>
      </c>
      <c r="K104" s="33" t="n">
        <v>-8.48</v>
      </c>
      <c r="L104" s="33" t="n">
        <v>0.67</v>
      </c>
      <c r="M104" s="33" t="n">
        <v>-257.98</v>
      </c>
      <c r="N104" s="33" t="n">
        <v>3.08</v>
      </c>
      <c r="O104" s="33" t="n">
        <v>30.6</v>
      </c>
      <c r="P104" s="33" t="n">
        <v>23</v>
      </c>
      <c r="Q104" s="33" t="n">
        <v>47.1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55.8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2026-10-11</t>
        </is>
      </c>
      <c r="E105" s="33" t="n">
        <v>-15.844811</v>
      </c>
      <c r="F105" s="33" t="n">
        <v>10.5</v>
      </c>
      <c r="G105" s="33" t="n">
        <v>-12.61</v>
      </c>
      <c r="H105" s="33" t="n">
        <v>32.668587</v>
      </c>
      <c r="I105" s="33">
        <f>IF(OR(E105="",R105="",R105&lt;=0,E105&lt;0),"",E105/R105)</f>
        <v/>
      </c>
      <c r="J105" s="33" t="n">
        <v>33.8</v>
      </c>
      <c r="K105" s="33" t="n">
        <v>-1.45</v>
      </c>
      <c r="L105" s="33" t="n">
        <v>62.33</v>
      </c>
      <c r="M105" s="33" t="n">
        <v>-411.83</v>
      </c>
      <c r="N105" s="33" t="n"/>
      <c r="O105" s="33" t="n">
        <v>47.5</v>
      </c>
      <c r="P105" s="33" t="n">
        <v>43.73</v>
      </c>
      <c r="Q105" s="33" t="n">
        <v>81.40000000000001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50.8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2026-10-11</t>
        </is>
      </c>
      <c r="E106" s="33" t="n">
        <v>-10.5172415</v>
      </c>
      <c r="F106" s="33" t="n">
        <v>3.1</v>
      </c>
      <c r="G106" s="33" t="n">
        <v>-21.73</v>
      </c>
      <c r="H106" s="33" t="n">
        <v>10.011737</v>
      </c>
      <c r="I106" s="33">
        <f>IF(OR(E106="",R106="",R106&lt;=0,E106&lt;0),"",E106/R106)</f>
        <v/>
      </c>
      <c r="J106" s="33" t="n">
        <v>45</v>
      </c>
      <c r="K106" s="33" t="n">
        <v>-15.85</v>
      </c>
      <c r="L106" s="33" t="n">
        <v>-32.26</v>
      </c>
      <c r="M106" s="33" t="n">
        <v>-217.52</v>
      </c>
      <c r="N106" s="33" t="n"/>
      <c r="O106" s="33" t="n">
        <v>20.8</v>
      </c>
      <c r="P106" s="33" t="n">
        <v>17.2</v>
      </c>
      <c r="Q106" s="33" t="n">
        <v>-50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47.5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2026-10-11</t>
        </is>
      </c>
      <c r="E107" s="33" t="n">
        <v>-18.057085</v>
      </c>
      <c r="F107" s="33" t="n">
        <v>4.3</v>
      </c>
      <c r="G107" s="33" t="n">
        <v>-17.32</v>
      </c>
      <c r="H107" s="33" t="n">
        <v>9.393796999999999</v>
      </c>
      <c r="I107" s="33">
        <f>IF(OR(E107="",R107="",R107&lt;=0,E107&lt;0),"",E107/R107)</f>
        <v/>
      </c>
      <c r="J107" s="33" t="n">
        <v>47.5</v>
      </c>
      <c r="K107" s="33" t="n">
        <v>-12.07</v>
      </c>
      <c r="L107" s="33" t="n">
        <v>28.26</v>
      </c>
      <c r="M107" s="33" t="n">
        <v>-162.67</v>
      </c>
      <c r="N107" s="33" t="n"/>
      <c r="O107" s="33" t="n">
        <v>32.5</v>
      </c>
      <c r="P107" s="33" t="n">
        <v>35.69</v>
      </c>
      <c r="Q107" s="33" t="n">
        <v>13.9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53.3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2026-10-11</t>
        </is>
      </c>
      <c r="E108" s="33" t="n">
        <v>-57.46599</v>
      </c>
      <c r="F108" s="33" t="n">
        <v>10.4</v>
      </c>
      <c r="G108" s="33" t="n">
        <v>-36.45</v>
      </c>
      <c r="H108" s="33" t="n">
        <v>41.592556</v>
      </c>
      <c r="I108" s="33">
        <f>IF(OR(E108="",R108="",R108&lt;=0,E108&lt;0),"",E108/R108)</f>
        <v/>
      </c>
      <c r="J108" s="33" t="n">
        <v>20</v>
      </c>
      <c r="K108" s="33" t="n">
        <v>-6.95</v>
      </c>
      <c r="L108" s="33" t="n">
        <v>69.26000000000001</v>
      </c>
      <c r="M108" s="33" t="n">
        <v>-1515.94</v>
      </c>
      <c r="N108" s="33" t="n"/>
      <c r="O108" s="33" t="n">
        <v>39.2</v>
      </c>
      <c r="P108" s="33" t="n">
        <v>123.78</v>
      </c>
      <c r="Q108" s="33" t="n">
        <v>-6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42.5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2026-10-11</t>
        </is>
      </c>
      <c r="E109" s="33" t="n">
        <v>89.17906000000001</v>
      </c>
      <c r="F109" s="33" t="n">
        <v>136.2</v>
      </c>
      <c r="G109" s="33" t="n">
        <v>0.67</v>
      </c>
      <c r="H109" s="33" t="n">
        <v>81.60562</v>
      </c>
      <c r="I109" s="33">
        <f>IF(OR(E109="",R109="",R109&lt;=0,E109&lt;0),"",E109/R109)</f>
        <v/>
      </c>
      <c r="J109" s="33" t="n">
        <v>38.1</v>
      </c>
      <c r="K109" s="33" t="n">
        <v>25.63</v>
      </c>
      <c r="L109" s="33" t="n">
        <v>84.8</v>
      </c>
      <c r="M109" s="33" t="n">
        <v>54.55</v>
      </c>
      <c r="N109" s="33" t="n">
        <v>-3.45</v>
      </c>
      <c r="O109" s="33" t="n">
        <v>86.90000000000001</v>
      </c>
      <c r="P109" s="33" t="n">
        <v>32.92</v>
      </c>
      <c r="Q109" s="33" t="n">
        <v>92.8</v>
      </c>
      <c r="R109" s="33" t="n">
        <v>225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4</v>
      </c>
      <c r="W109" s="33" t="n">
        <v>5</v>
      </c>
      <c r="X109" s="33" t="n">
        <v>3</v>
      </c>
      <c r="Y109" s="33">
        <f>IFERROR((AVERAGE(T109,U109,V109,W109,X109)-1)*25,"")</f>
        <v/>
      </c>
      <c r="Z109" s="33" t="n">
        <v>5</v>
      </c>
      <c r="AA109" s="33" t="n">
        <v>2</v>
      </c>
      <c r="AB109" s="33" t="n">
        <v>3</v>
      </c>
      <c r="AC109" s="71" t="n">
        <v>52.5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4</v>
      </c>
      <c r="AF109" s="33" t="n">
        <v>5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2026-10-11</t>
        </is>
      </c>
      <c r="E110" s="33" t="n">
        <v>125.52527410874</v>
      </c>
      <c r="F110" s="33" t="n">
        <v>98.59999999999999</v>
      </c>
      <c r="G110" s="33" t="n">
        <v>0.92</v>
      </c>
      <c r="H110" s="33" t="n">
        <v>23.947166</v>
      </c>
      <c r="I110" s="33">
        <f>IF(OR(E110="",R110="",R110&lt;=0,E110&lt;0),"",E110/R110)</f>
        <v/>
      </c>
      <c r="J110" s="33" t="n">
        <v>31.2</v>
      </c>
      <c r="K110" s="33" t="n">
        <v>-19.66</v>
      </c>
      <c r="L110" s="33" t="n">
        <v>67.03</v>
      </c>
      <c r="M110" s="33" t="n">
        <v>21.96</v>
      </c>
      <c r="N110" s="33" t="n"/>
      <c r="O110" s="33" t="n">
        <v>15.9</v>
      </c>
      <c r="P110" s="33" t="n">
        <v>31.38</v>
      </c>
      <c r="Q110" s="33" t="n">
        <v>35.1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IFERROR((AVERAGE(T110,U110,V110,W110,X110)-1)*25,"")</f>
        <v/>
      </c>
      <c r="Z110" s="33" t="n">
        <v>2</v>
      </c>
      <c r="AA110" s="33" t="n">
        <v>3</v>
      </c>
      <c r="AB110" s="33" t="n">
        <v>3</v>
      </c>
      <c r="AC110" s="71" t="n">
        <v>85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2026-10-11</t>
        </is>
      </c>
      <c r="E111" s="33" t="n">
        <v>28.14099</v>
      </c>
      <c r="F111" s="33" t="n">
        <v>32</v>
      </c>
      <c r="G111" s="33" t="n">
        <v>3.14</v>
      </c>
      <c r="H111" s="33" t="n">
        <v>9.88527</v>
      </c>
      <c r="I111" s="33">
        <f>IF(OR(E111="",R111="",R111&lt;=0,E111&lt;0),"",E111/R111)</f>
        <v/>
      </c>
      <c r="J111" s="33" t="n">
        <v>60.4</v>
      </c>
      <c r="K111" s="33" t="n">
        <v>6.13</v>
      </c>
      <c r="L111" s="33" t="n">
        <v>74.77</v>
      </c>
      <c r="M111" s="33" t="n">
        <v>31.03</v>
      </c>
      <c r="N111" s="33" t="n">
        <v>1.31</v>
      </c>
      <c r="O111" s="33" t="n">
        <v>52.3</v>
      </c>
      <c r="P111" s="33" t="n">
        <v>22.38</v>
      </c>
      <c r="Q111" s="33" t="n">
        <v>24</v>
      </c>
      <c r="R111" s="33" t="n">
        <v>-22.6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IFERROR((AVERAGE(T111,U111,V111,W111,X111)-1)*25,"")</f>
        <v/>
      </c>
      <c r="Z111" s="33" t="n">
        <v>2</v>
      </c>
      <c r="AA111" s="33" t="n">
        <v>1</v>
      </c>
      <c r="AB111" s="33" t="n">
        <v>3</v>
      </c>
      <c r="AC111" s="71" t="n">
        <v>73.3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2026-10-11</t>
        </is>
      </c>
      <c r="E112" s="33" t="n">
        <v>14.302121</v>
      </c>
      <c r="F112" s="33" t="n">
        <v>14.2</v>
      </c>
      <c r="G112" s="33" t="n">
        <v>8.039999999999999</v>
      </c>
      <c r="H112" s="33" t="n">
        <v>4.29182</v>
      </c>
      <c r="I112" s="33">
        <f>IF(OR(E112="",R112="",R112&lt;=0,E112&lt;0),"",E112/R112)</f>
        <v/>
      </c>
      <c r="J112" s="33" t="n">
        <v>83.3</v>
      </c>
      <c r="K112" s="33" t="n">
        <v>8.84</v>
      </c>
      <c r="L112" s="33" t="n">
        <v>77.28</v>
      </c>
      <c r="M112" s="33" t="n">
        <v>34.49</v>
      </c>
      <c r="N112" s="33" t="n">
        <v>2.4</v>
      </c>
      <c r="O112" s="33" t="n">
        <v>56.5</v>
      </c>
      <c r="P112" s="33" t="n">
        <v>9.82</v>
      </c>
      <c r="Q112" s="33" t="n">
        <v>10.8</v>
      </c>
      <c r="R112" s="33" t="n"/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4</v>
      </c>
      <c r="AA112" s="33" t="n">
        <v>2</v>
      </c>
      <c r="AB112" s="33" t="n">
        <v>5</v>
      </c>
      <c r="AC112" s="71" t="n">
        <v>54.2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5</v>
      </c>
      <c r="AG112" s="33" t="n">
        <v>3</v>
      </c>
      <c r="AH112" s="33" t="n">
        <v>3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2026-10-11</t>
        </is>
      </c>
      <c r="E113" s="33" t="n">
        <v>27.468643</v>
      </c>
      <c r="F113" s="33" t="n">
        <v>38.337</v>
      </c>
      <c r="G113" s="33" t="n">
        <v>2.25</v>
      </c>
      <c r="H113" s="33" t="n">
        <v>9.899905</v>
      </c>
      <c r="I113" s="33">
        <f>IF(OR(E113="",R113="",R113&lt;=0,E113&lt;0),"",E113/R113)</f>
        <v/>
      </c>
      <c r="J113" s="33" t="n">
        <v>57.8</v>
      </c>
      <c r="K113" s="33" t="n">
        <v>12.94</v>
      </c>
      <c r="L113" s="33" t="n">
        <v>63.28</v>
      </c>
      <c r="M113" s="33" t="n">
        <v>22.32</v>
      </c>
      <c r="N113" s="33" t="n">
        <v>0.09</v>
      </c>
      <c r="O113" s="33" t="n">
        <v>77.8</v>
      </c>
      <c r="P113" s="33" t="n">
        <v>-0.28</v>
      </c>
      <c r="Q113" s="33" t="n">
        <v>36.5</v>
      </c>
      <c r="R113" s="33" t="n">
        <v>107.9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63.3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2026-10-11</t>
        </is>
      </c>
      <c r="E114" s="33" t="n">
        <v>17.24772</v>
      </c>
      <c r="F114" s="33" t="n">
        <v>28.863</v>
      </c>
      <c r="G114" s="33" t="n">
        <v>-0.12</v>
      </c>
      <c r="H114" s="33" t="n">
        <v>3.774931</v>
      </c>
      <c r="I114" s="33">
        <f>IF(OR(E114="",R114="",R114&lt;=0,E114&lt;0),"",E114/R114)</f>
        <v/>
      </c>
      <c r="J114" s="33" t="n">
        <v>68.3</v>
      </c>
      <c r="K114" s="33" t="n">
        <v>9.56</v>
      </c>
      <c r="L114" s="33" t="n">
        <v>21.19</v>
      </c>
      <c r="M114" s="33" t="n">
        <v>-0.45</v>
      </c>
      <c r="N114" s="33" t="n">
        <v>1.22</v>
      </c>
      <c r="O114" s="33" t="n">
        <v>39.5</v>
      </c>
      <c r="P114" s="33" t="n">
        <v>5.22</v>
      </c>
      <c r="Q114" s="33" t="n">
        <v>37.4</v>
      </c>
      <c r="R114" s="33" t="n">
        <v>100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49.2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2026-10-11</t>
        </is>
      </c>
      <c r="E115" s="33" t="n">
        <v>39.63619</v>
      </c>
      <c r="F115" s="33" t="n">
        <v>68.663</v>
      </c>
      <c r="G115" s="33" t="n">
        <v>0.86</v>
      </c>
      <c r="H115" s="33" t="n">
        <v>20.813677</v>
      </c>
      <c r="I115" s="33">
        <f>IF(OR(E115="",R115="",R115&lt;=0,E115&lt;0),"",E115/R115)</f>
        <v/>
      </c>
      <c r="J115" s="33" t="n">
        <v>36.7</v>
      </c>
      <c r="K115" s="33" t="n">
        <v>18.35</v>
      </c>
      <c r="L115" s="33" t="n">
        <v>55.2</v>
      </c>
      <c r="M115" s="33" t="n">
        <v>17.8</v>
      </c>
      <c r="N115" s="33" t="n">
        <v>-1.39</v>
      </c>
      <c r="O115" s="33" t="n">
        <v>58.2</v>
      </c>
      <c r="P115" s="33" t="n">
        <v>15.86</v>
      </c>
      <c r="Q115" s="33" t="n">
        <v>47.6</v>
      </c>
      <c r="R115" s="33" t="n">
        <v>90.59999999999999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46.7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2026-10-11</t>
        </is>
      </c>
      <c r="E116" s="33" t="n">
        <v>25.29954517618702</v>
      </c>
      <c r="F116" s="33" t="n">
        <v>74.76000000000001</v>
      </c>
      <c r="G116" s="33" t="n">
        <v>1.08</v>
      </c>
      <c r="H116" s="33" t="n">
        <v>25.581293</v>
      </c>
      <c r="I116" s="33">
        <f>IF(OR(E116="",R116="",R116&lt;=0,E116&lt;0),"",E116/R116)</f>
        <v/>
      </c>
      <c r="J116" s="33" t="n">
        <v>53.8</v>
      </c>
      <c r="K116" s="33" t="n">
        <v>17.9</v>
      </c>
      <c r="L116" s="33" t="n">
        <v>67.06999999999999</v>
      </c>
      <c r="M116" s="33" t="n">
        <v>27.57</v>
      </c>
      <c r="N116" s="33" t="n">
        <v>-1.36</v>
      </c>
      <c r="O116" s="33" t="n">
        <v>90.59999999999999</v>
      </c>
      <c r="P116" s="33" t="n">
        <v>93.53</v>
      </c>
      <c r="Q116" s="33" t="n">
        <v>114.7</v>
      </c>
      <c r="R116" s="33" t="n">
        <v>104.1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5</v>
      </c>
      <c r="AB116" s="33" t="n">
        <v>3</v>
      </c>
      <c r="AC116" s="71" t="n">
        <v>64.2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2026-10-11</t>
        </is>
      </c>
      <c r="E117" s="33" t="n">
        <v>18.49500665849299</v>
      </c>
      <c r="F117" s="33" t="n">
        <v>22.221</v>
      </c>
      <c r="G117" s="33" t="n">
        <v>2.38</v>
      </c>
      <c r="H117" s="33" t="n">
        <v>1.5127088</v>
      </c>
      <c r="I117" s="33">
        <f>IF(OR(E117="",R117="",R117&lt;=0,E117&lt;0),"",E117/R117)</f>
        <v/>
      </c>
      <c r="J117" s="33" t="n">
        <v>64</v>
      </c>
      <c r="K117" s="33" t="n">
        <v>11.09</v>
      </c>
      <c r="L117" s="33" t="n">
        <v>9.529999999999999</v>
      </c>
      <c r="M117" s="33" t="n">
        <v>3.59</v>
      </c>
      <c r="N117" s="33" t="n">
        <v>1.46</v>
      </c>
      <c r="O117" s="33" t="n">
        <v>39.1</v>
      </c>
      <c r="P117" s="33" t="n">
        <v>-0.6899999999999999</v>
      </c>
      <c r="Q117" s="33" t="n">
        <v>20.6</v>
      </c>
      <c r="R117" s="33" t="n">
        <v>48.4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49.2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2026-10-11</t>
        </is>
      </c>
      <c r="E118" s="33" t="n">
        <v>37.72832124751616</v>
      </c>
      <c r="F118" s="33" t="n">
        <v>130.402</v>
      </c>
      <c r="G118" s="33" t="n">
        <v>0.25</v>
      </c>
      <c r="H118" s="33" t="n">
        <v>12.078478</v>
      </c>
      <c r="I118" s="33">
        <f>IF(OR(E118="",R118="",R118&lt;=0,E118&lt;0),"",E118/R118)</f>
        <v/>
      </c>
      <c r="J118" s="33" t="n">
        <v>17.8</v>
      </c>
      <c r="K118" s="33" t="n">
        <v>6.72</v>
      </c>
      <c r="L118" s="33" t="n">
        <v>69.73</v>
      </c>
      <c r="M118" s="33" t="n">
        <v>3.01</v>
      </c>
      <c r="N118" s="33" t="n">
        <v>-2.04</v>
      </c>
      <c r="O118" s="33" t="n">
        <v>54.7</v>
      </c>
      <c r="P118" s="33" t="n">
        <v>9.98</v>
      </c>
      <c r="Q118" s="33" t="n">
        <v>37.7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78.3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2026-10-11</t>
        </is>
      </c>
      <c r="E119" s="33" t="n">
        <v>98.592026</v>
      </c>
      <c r="F119" s="33" t="n">
        <v>87.40000000000001</v>
      </c>
      <c r="G119" s="33" t="n">
        <v>1.02</v>
      </c>
      <c r="H119" s="33" t="n">
        <v>26.546417</v>
      </c>
      <c r="I119" s="33">
        <f>IF(OR(E119="",R119="",R119&lt;=0,E119&lt;0),"",E119/R119)</f>
        <v/>
      </c>
      <c r="J119" s="33" t="n">
        <v>38.5</v>
      </c>
      <c r="K119" s="33" t="n">
        <v>0.27</v>
      </c>
      <c r="L119" s="33" t="n">
        <v>79.54000000000001</v>
      </c>
      <c r="M119" s="33" t="n">
        <v>27.04</v>
      </c>
      <c r="N119" s="33" t="n">
        <v>-44.73</v>
      </c>
      <c r="O119" s="33" t="n">
        <v>56.2</v>
      </c>
      <c r="P119" s="33" t="n">
        <v>26.95</v>
      </c>
      <c r="Q119" s="33" t="n">
        <v>35.6</v>
      </c>
      <c r="R119" s="33" t="n">
        <v>1583.3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IFERROR((AVERAGE(T119,U119,V119,W119,X119)-1)*25,"")</f>
        <v/>
      </c>
      <c r="Z119" s="33" t="n">
        <v>4</v>
      </c>
      <c r="AA119" s="33" t="n">
        <v>5</v>
      </c>
      <c r="AB119" s="33" t="n">
        <v>3</v>
      </c>
      <c r="AC119" s="71" t="n">
        <v>76.7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2026-10-11</t>
        </is>
      </c>
      <c r="E120" s="33" t="n">
        <v>174.4957235205103</v>
      </c>
      <c r="F120" s="33" t="n">
        <v>175.8</v>
      </c>
      <c r="G120" s="33" t="n">
        <v>0.54</v>
      </c>
      <c r="H120" s="33" t="n">
        <v>52.18967</v>
      </c>
      <c r="I120" s="33">
        <f>IF(OR(E120="",R120="",R120&lt;=0,E120&lt;0),"",E120/R120)</f>
        <v/>
      </c>
      <c r="J120" s="33" t="n">
        <v>12.7</v>
      </c>
      <c r="K120" s="33" t="n">
        <v>-1.57</v>
      </c>
      <c r="L120" s="33" t="n">
        <v>75.19</v>
      </c>
      <c r="M120" s="33" t="n">
        <v>28.22</v>
      </c>
      <c r="N120" s="33" t="n">
        <v>-39.24</v>
      </c>
      <c r="O120" s="33" t="n">
        <v>50.6</v>
      </c>
      <c r="P120" s="33" t="n">
        <v>29.01</v>
      </c>
      <c r="Q120" s="33" t="n">
        <v>25.8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4</v>
      </c>
      <c r="V120" s="33" t="n">
        <v>4</v>
      </c>
      <c r="W120" s="33" t="n">
        <v>3</v>
      </c>
      <c r="X120" s="33" t="n">
        <v>3</v>
      </c>
      <c r="Y120" s="33">
        <f>IFERROR((AVERAGE(T120,U120,V120,W120,X120)-1)*25,"")</f>
        <v/>
      </c>
      <c r="Z120" s="33" t="n">
        <v>5</v>
      </c>
      <c r="AA120" s="33" t="n">
        <v>5</v>
      </c>
      <c r="AB120" s="33" t="n">
        <v>3</v>
      </c>
      <c r="AC120" s="71" t="n">
        <v>95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2026-10-11</t>
        </is>
      </c>
      <c r="E121" s="33" t="n">
        <v>50.23095424358364</v>
      </c>
      <c r="F121" s="33" t="n">
        <v>40.8</v>
      </c>
      <c r="G121" s="33" t="n">
        <v>2.12</v>
      </c>
      <c r="H121" s="33" t="n">
        <v>11.172001</v>
      </c>
      <c r="I121" s="33">
        <f>IF(OR(E121="",R121="",R121&lt;=0,E121&lt;0),"",E121/R121)</f>
        <v/>
      </c>
      <c r="J121" s="33" t="n">
        <v>47</v>
      </c>
      <c r="K121" s="33" t="n">
        <v>-0.36</v>
      </c>
      <c r="L121" s="33" t="n">
        <v>72.69</v>
      </c>
      <c r="M121" s="33" t="n">
        <v>23.68</v>
      </c>
      <c r="N121" s="33" t="n">
        <v>-170.08</v>
      </c>
      <c r="O121" s="33" t="n">
        <v>47.2</v>
      </c>
      <c r="P121" s="33" t="n">
        <v>24.26</v>
      </c>
      <c r="Q121" s="33" t="n">
        <v>30.5</v>
      </c>
      <c r="R121" s="33" t="n"/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4</v>
      </c>
      <c r="AB121" s="33" t="n">
        <v>3</v>
      </c>
      <c r="AC121" s="71" t="n">
        <v>68.3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2026-10-11</t>
        </is>
      </c>
      <c r="E122" s="33" t="n">
        <v>14.82035175126761</v>
      </c>
      <c r="F122" s="33" t="n">
        <v>15.4</v>
      </c>
      <c r="G122" s="33" t="n">
        <v>5.17</v>
      </c>
      <c r="H122" s="33" t="n">
        <v>4.082368</v>
      </c>
      <c r="I122" s="33">
        <f>IF(OR(E122="",R122="",R122&lt;=0,E122&lt;0),"",E122/R122)</f>
        <v/>
      </c>
      <c r="J122" s="33" t="n">
        <v>86.2</v>
      </c>
      <c r="K122" s="33" t="n">
        <v>7.28</v>
      </c>
      <c r="L122" s="33" t="n">
        <v>82.58</v>
      </c>
      <c r="M122" s="33" t="n">
        <v>21.09</v>
      </c>
      <c r="N122" s="33" t="n">
        <v>-6.52</v>
      </c>
      <c r="O122" s="33" t="n">
        <v>59.7</v>
      </c>
      <c r="P122" s="33" t="n">
        <v>15.01</v>
      </c>
      <c r="Q122" s="33" t="n">
        <v>13.4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2</v>
      </c>
      <c r="U122" s="33" t="n">
        <v>3</v>
      </c>
      <c r="V122" s="33" t="n">
        <v>3</v>
      </c>
      <c r="W122" s="33" t="n">
        <v>2</v>
      </c>
      <c r="X122" s="33" t="n">
        <v>2</v>
      </c>
      <c r="Y122" s="33">
        <f>IFERROR((AVERAGE(T122,U122,V122,W122,X122)-1)*25,"")</f>
        <v/>
      </c>
      <c r="Z122" s="33" t="n">
        <v>4</v>
      </c>
      <c r="AA122" s="33" t="n">
        <v>4</v>
      </c>
      <c r="AB122" s="33" t="n">
        <v>3</v>
      </c>
      <c r="AC122" s="71" t="n">
        <v>50.8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5</v>
      </c>
      <c r="AF122" s="33" t="n">
        <v>4</v>
      </c>
      <c r="AG122" s="33" t="n">
        <v>5</v>
      </c>
      <c r="AH122" s="33" t="n">
        <v>3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3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2026-10-11</t>
        </is>
      </c>
      <c r="E123" s="61" t="n">
        <v>61.65157518088893</v>
      </c>
      <c r="F123" s="61" t="n">
        <v>-53.671</v>
      </c>
      <c r="G123" s="62" t="n">
        <v>0.33</v>
      </c>
      <c r="H123" s="61" t="n">
        <v>7.1240273</v>
      </c>
      <c r="I123" s="33">
        <f>IF(OR(E123="",R123="",R123&lt;=0,E123&lt;0),"",E123/R123)</f>
        <v/>
      </c>
      <c r="J123" s="63" t="n">
        <v>41.7</v>
      </c>
      <c r="K123" s="62" t="n">
        <v>-7.66</v>
      </c>
      <c r="L123" s="62" t="n">
        <v>58.52</v>
      </c>
      <c r="M123" s="62" t="n">
        <v>2.33</v>
      </c>
      <c r="N123" s="61" t="n"/>
      <c r="O123" s="63" t="n">
        <v>25.1</v>
      </c>
      <c r="P123" s="62" t="n">
        <v>4.99</v>
      </c>
      <c r="Q123" s="62" t="n">
        <v>13.2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47.5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2026-10-11</t>
        </is>
      </c>
      <c r="E124" s="61" t="n">
        <v>41.73261</v>
      </c>
      <c r="F124" s="61" t="n">
        <v>-140.146</v>
      </c>
      <c r="G124" s="62" t="n">
        <v>-0.11</v>
      </c>
      <c r="H124" s="61" t="n">
        <v>8.147098</v>
      </c>
      <c r="I124" s="33">
        <f>IF(OR(E124="",R124="",R124&lt;=0,E124&lt;0),"",E124/R124)</f>
        <v/>
      </c>
      <c r="J124" s="63" t="n">
        <v>46.3</v>
      </c>
      <c r="K124" s="62" t="n">
        <v>-2.09</v>
      </c>
      <c r="L124" s="62" t="n">
        <v>87.47</v>
      </c>
      <c r="M124" s="62" t="n">
        <v>-0.92</v>
      </c>
      <c r="N124" s="61" t="n"/>
      <c r="O124" s="63" t="n">
        <v>37.8</v>
      </c>
      <c r="P124" s="62" t="n">
        <v>-3.13</v>
      </c>
      <c r="Q124" s="62" t="n">
        <v>13.1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60.8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2026-10-11</t>
        </is>
      </c>
      <c r="E125" s="61" t="n">
        <v>180.5455</v>
      </c>
      <c r="F125" s="61" t="n">
        <v>-31.378</v>
      </c>
      <c r="G125" s="62" t="n">
        <v>0.61</v>
      </c>
      <c r="H125" s="61" t="n">
        <v>13.035197</v>
      </c>
      <c r="I125" s="33">
        <f>IF(OR(E125="",R125="",R125&lt;=0,E125&lt;0),"",E125/R125)</f>
        <v/>
      </c>
      <c r="J125" s="63" t="n">
        <v>32.5</v>
      </c>
      <c r="K125" s="62" t="n">
        <v>-22.61</v>
      </c>
      <c r="L125" s="62" t="n">
        <v>87.61</v>
      </c>
      <c r="M125" s="62" t="n">
        <v>8</v>
      </c>
      <c r="N125" s="61" t="n"/>
      <c r="O125" s="63" t="n">
        <v>45.1</v>
      </c>
      <c r="P125" s="62" t="n">
        <v>11.9</v>
      </c>
      <c r="Q125" s="62" t="n">
        <v>46.2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41.7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2026-10-11</t>
        </is>
      </c>
      <c r="E126" s="61" t="n">
        <v>23.221022</v>
      </c>
      <c r="F126" s="61" t="n">
        <v>25.28</v>
      </c>
      <c r="G126" s="62" t="n">
        <v>1.98</v>
      </c>
      <c r="H126" s="61" t="n">
        <v>5.0519876</v>
      </c>
      <c r="I126" s="33">
        <f>IF(OR(E126="",R126="",R126&lt;=0,E126&lt;0),"",E126/R126)</f>
        <v/>
      </c>
      <c r="J126" s="63" t="n">
        <v>66.8</v>
      </c>
      <c r="K126" s="62" t="n">
        <v>8.17</v>
      </c>
      <c r="L126" s="62" t="n">
        <v>45.26</v>
      </c>
      <c r="M126" s="62" t="n">
        <v>10</v>
      </c>
      <c r="N126" s="61" t="n">
        <v>0.76</v>
      </c>
      <c r="O126" s="63" t="n">
        <v>52.3</v>
      </c>
      <c r="P126" s="62" t="n">
        <v>7.4</v>
      </c>
      <c r="Q126" s="62" t="n">
        <v>14.3</v>
      </c>
      <c r="R126" s="62" t="n">
        <v>148.7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64.2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2026-10-11</t>
        </is>
      </c>
      <c r="E127" s="33" t="n">
        <v>15.67241252500824</v>
      </c>
      <c r="F127" s="33" t="n">
        <v>15.862</v>
      </c>
      <c r="G127" s="33" t="n">
        <v>4.15</v>
      </c>
      <c r="H127" s="33" t="n">
        <v>3.6442642</v>
      </c>
      <c r="I127" s="33">
        <f>IF(OR(E127="",R127="",R127&lt;=0,E127&lt;0),"",E127/R127)</f>
        <v/>
      </c>
      <c r="J127" s="33" t="n">
        <v>56.3</v>
      </c>
      <c r="K127" s="33" t="n">
        <v>18.42</v>
      </c>
      <c r="L127" s="33" t="n">
        <v>22.98</v>
      </c>
      <c r="M127" s="33" t="n">
        <v>15.12</v>
      </c>
      <c r="N127" s="33" t="n">
        <v>-1.57</v>
      </c>
      <c r="O127" s="33" t="n">
        <v>75.40000000000001</v>
      </c>
      <c r="P127" s="33" t="n">
        <v>23.23</v>
      </c>
      <c r="Q127" s="33" t="n">
        <v>8.199999999999999</v>
      </c>
      <c r="R127" s="33" t="n">
        <v>5.2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30.8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2026-10-11</t>
        </is>
      </c>
      <c r="E128" s="33" t="n">
        <v>24.628895</v>
      </c>
      <c r="F128" s="33" t="n">
        <v>25.449</v>
      </c>
      <c r="G128" s="33" t="n">
        <v>-1.85</v>
      </c>
      <c r="H128" s="33" t="n">
        <v>3.676427</v>
      </c>
      <c r="I128" s="33">
        <f>IF(OR(E128="",R128="",R128&lt;=0,E128&lt;0),"",E128/R128)</f>
        <v/>
      </c>
      <c r="J128" s="33" t="n">
        <v>54.7</v>
      </c>
      <c r="K128" s="33" t="n">
        <v>11.65</v>
      </c>
      <c r="L128" s="33" t="n">
        <v>25.57</v>
      </c>
      <c r="M128" s="33" t="n">
        <v>-6.8</v>
      </c>
      <c r="N128" s="33" t="n">
        <v>1.51</v>
      </c>
      <c r="O128" s="33" t="n">
        <v>44.9</v>
      </c>
      <c r="P128" s="33" t="n">
        <v>17.51</v>
      </c>
      <c r="Q128" s="33" t="n">
        <v>101.2</v>
      </c>
      <c r="R128" s="33" t="n">
        <v>265.8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46.7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2026-10-11</t>
        </is>
      </c>
      <c r="F129" s="33" t="n">
        <v>50.38</v>
      </c>
      <c r="G129" s="33" t="n">
        <v>1.22</v>
      </c>
      <c r="H129" s="33" t="n">
        <v>19.34</v>
      </c>
      <c r="I129" s="33">
        <f>IF(OR(E129="",R129="",R129&lt;=0,E129&lt;0),"",E129/R129)</f>
        <v/>
      </c>
      <c r="J129" s="33" t="n">
        <v>19.8</v>
      </c>
      <c r="K129" s="33" t="n">
        <v>24.73</v>
      </c>
      <c r="L129" s="33" t="n">
        <v>64.09</v>
      </c>
      <c r="M129" s="33" t="n">
        <v>23.57</v>
      </c>
      <c r="N129" s="33" t="n">
        <v>-0.54</v>
      </c>
      <c r="O129" s="33" t="n">
        <v>84.90000000000001</v>
      </c>
      <c r="P129" s="33" t="n">
        <v>-6.48</v>
      </c>
      <c r="Q129" s="33" t="n">
        <v>68.7</v>
      </c>
      <c r="R129" s="33" t="n">
        <v>177.7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41.7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2026-10-11</t>
        </is>
      </c>
      <c r="E130" s="33" t="n">
        <v>36.88241</v>
      </c>
      <c r="F130" s="33" t="n">
        <v>56.785</v>
      </c>
      <c r="G130" s="33" t="n">
        <v>0.34</v>
      </c>
      <c r="H130" s="33" t="n">
        <v>12.067879</v>
      </c>
      <c r="I130" s="33">
        <f>IF(OR(E130="",R130="",R130&lt;=0,E130&lt;0),"",E130/R130)</f>
        <v/>
      </c>
      <c r="J130" s="33" t="n">
        <v>35.9</v>
      </c>
      <c r="K130" s="33" t="n">
        <v>6.08</v>
      </c>
      <c r="L130" s="33" t="n">
        <v>46.18</v>
      </c>
      <c r="M130" s="33" t="n">
        <v>4.05</v>
      </c>
      <c r="N130" s="33" t="n">
        <v>-1.69</v>
      </c>
      <c r="O130" s="33" t="n">
        <v>47.3</v>
      </c>
      <c r="P130" s="33" t="n">
        <v>1.62</v>
      </c>
      <c r="Q130" s="33" t="n">
        <v>31.9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52.5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2026-10-11</t>
        </is>
      </c>
      <c r="E131" s="33" t="n">
        <v>18.817802</v>
      </c>
      <c r="F131" s="33" t="n">
        <v>33.102</v>
      </c>
      <c r="G131" s="33" t="n">
        <v>0.59</v>
      </c>
      <c r="H131" s="33" t="n">
        <v>5.6732554</v>
      </c>
      <c r="I131" s="33">
        <f>IF(OR(E131="",R131="",R131&lt;=0,E131&lt;0),"",E131/R131)</f>
        <v/>
      </c>
      <c r="J131" s="33" t="n">
        <v>56.5</v>
      </c>
      <c r="K131" s="33" t="n">
        <v>12.66</v>
      </c>
      <c r="L131" s="33" t="n">
        <v>39.96</v>
      </c>
      <c r="M131" s="33" t="n">
        <v>3.35</v>
      </c>
      <c r="N131" s="33" t="n">
        <v>-0.06</v>
      </c>
      <c r="O131" s="33" t="n">
        <v>52.1</v>
      </c>
      <c r="P131" s="33" t="n">
        <v>-0.85</v>
      </c>
      <c r="Q131" s="33" t="n">
        <v>30</v>
      </c>
      <c r="R131" s="33" t="n">
        <v>114.7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35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2026-10-11</t>
        </is>
      </c>
      <c r="E132" s="33" t="n">
        <v>-85.54198</v>
      </c>
      <c r="F132" s="33" t="n">
        <v>-34.451</v>
      </c>
      <c r="G132" s="33" t="n">
        <v>-2.4</v>
      </c>
      <c r="H132" s="33" t="n">
        <v>77.4695</v>
      </c>
      <c r="I132" s="33">
        <f>IF(OR(E132="",R132="",R132&lt;=0,E132&lt;0),"",E132/R132)</f>
        <v/>
      </c>
      <c r="J132" s="33" t="n">
        <v>25.7</v>
      </c>
      <c r="K132" s="33" t="n">
        <v>-9.66</v>
      </c>
      <c r="L132" s="33" t="n">
        <v>38.12</v>
      </c>
      <c r="M132" s="33" t="n">
        <v>-185.7</v>
      </c>
      <c r="O132" s="33" t="n">
        <v>3.8</v>
      </c>
      <c r="P132" s="33" t="n">
        <v>6.56</v>
      </c>
      <c r="Q132" s="33" t="n">
        <v>-27.3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41.7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2026-10-11</t>
        </is>
      </c>
      <c r="E133" s="33" t="n">
        <v>39.31801153132645</v>
      </c>
      <c r="F133" s="33" t="n">
        <v>200.455</v>
      </c>
      <c r="G133" s="33" t="n">
        <v>0.91</v>
      </c>
      <c r="H133" s="33" t="n">
        <v>27.441288</v>
      </c>
      <c r="I133" s="33">
        <f>IF(OR(E133="",R133="",R133&lt;=0,E133&lt;0),"",E133/R133)</f>
        <v/>
      </c>
      <c r="J133" s="33" t="n">
        <v>32.9</v>
      </c>
      <c r="K133" s="33" t="n">
        <v>5.38</v>
      </c>
      <c r="L133" s="33" t="n">
        <v>69.02</v>
      </c>
      <c r="M133" s="33" t="n">
        <v>25.04</v>
      </c>
      <c r="N133" s="33" t="n">
        <v>-1.47</v>
      </c>
      <c r="O133" s="33" t="n">
        <v>68</v>
      </c>
      <c r="P133" s="33" t="n">
        <v>-7.46</v>
      </c>
      <c r="Q133" s="33" t="n">
        <v>62.2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55.8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2026-10-11</t>
        </is>
      </c>
      <c r="E134" s="33" t="n">
        <v>28.48774</v>
      </c>
      <c r="F134" s="33" t="n">
        <v>35.665</v>
      </c>
      <c r="G134" s="33" t="n">
        <v>2.58</v>
      </c>
      <c r="H134" s="33" t="n">
        <v>15.365601</v>
      </c>
      <c r="I134" s="33">
        <f>IF(OR(E134="",R134="",R134&lt;=0,E134&lt;0),"",E134/R134)</f>
        <v/>
      </c>
      <c r="J134" s="33" t="n">
        <v>50.6</v>
      </c>
      <c r="K134" s="33" t="n">
        <v>14.73</v>
      </c>
      <c r="L134" s="33" t="n">
        <v>80.36</v>
      </c>
      <c r="M134" s="33" t="n">
        <v>39.6</v>
      </c>
      <c r="N134" s="33" t="n">
        <v>-2.54</v>
      </c>
      <c r="O134" s="33" t="n">
        <v>84.2</v>
      </c>
      <c r="P134" s="33" t="n">
        <v>15.88</v>
      </c>
      <c r="Q134" s="33" t="n">
        <v>20.4</v>
      </c>
      <c r="R134" s="33" t="n">
        <v>16.7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46.7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2026-10-11</t>
        </is>
      </c>
      <c r="E135" s="33" t="n">
        <v>16.89061733883759</v>
      </c>
      <c r="F135" s="33" t="n">
        <v>41.143</v>
      </c>
      <c r="G135" s="33" t="n">
        <v>1.74</v>
      </c>
      <c r="H135" s="33" t="n">
        <v>14.600142</v>
      </c>
      <c r="I135" s="33">
        <f>IF(OR(E135="",R135="",R135&lt;=0,E135&lt;0),"",E135/R135)</f>
        <v/>
      </c>
      <c r="J135" s="33" t="n">
        <v>46</v>
      </c>
      <c r="K135" s="33" t="n">
        <v>53.27</v>
      </c>
      <c r="L135" s="33" t="n">
        <v>45.58</v>
      </c>
      <c r="M135" s="33" t="n">
        <v>25.46</v>
      </c>
      <c r="N135" s="33" t="n">
        <v>0.49</v>
      </c>
      <c r="O135" s="33" t="n">
        <v>80.3</v>
      </c>
      <c r="P135" s="33" t="n">
        <v>18.2</v>
      </c>
      <c r="Q135" s="33" t="n">
        <v>48.5</v>
      </c>
      <c r="R135" s="33" t="n">
        <v>165.2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4</v>
      </c>
      <c r="AB135" s="33" t="n">
        <v>3</v>
      </c>
      <c r="AC135" s="71" t="n">
        <v>63.3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2026-10-11</t>
        </is>
      </c>
      <c r="E136" s="33" t="n">
        <v>-8767.614</v>
      </c>
      <c r="F136" s="33" t="n">
        <v>-48.8</v>
      </c>
      <c r="G136" s="33" t="n">
        <v>-2.13</v>
      </c>
      <c r="H136" s="33" t="n">
        <v>8.937198</v>
      </c>
      <c r="I136" s="33">
        <f>IF(OR(E136="",R136="",R136&lt;=0,E136&lt;0),"",E136/R136)</f>
        <v/>
      </c>
      <c r="J136" s="33" t="n">
        <v>42.6</v>
      </c>
      <c r="K136" s="33" t="n">
        <v>-11.32</v>
      </c>
      <c r="L136" s="33" t="n">
        <v>63.98</v>
      </c>
      <c r="M136" s="33" t="n">
        <v>-19.06</v>
      </c>
      <c r="O136" s="33" t="n">
        <v>9.800000000000001</v>
      </c>
      <c r="P136" s="33" t="n">
        <v>58.29</v>
      </c>
      <c r="Q136" s="33" t="n">
        <v>21.6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4</v>
      </c>
      <c r="W136" s="33" t="n">
        <v>4</v>
      </c>
      <c r="X136" s="33" t="n">
        <v>3</v>
      </c>
      <c r="Y136" s="33">
        <f>IFERROR((AVERAGE(T136,U136,V136,W136,X136)-1)*25,"")</f>
        <v/>
      </c>
      <c r="Z136" s="33" t="n">
        <v>4</v>
      </c>
      <c r="AA136" s="33" t="n">
        <v>3</v>
      </c>
      <c r="AB136" s="33" t="n">
        <v>3</v>
      </c>
      <c r="AC136" s="71" t="n">
        <v>66.7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4</v>
      </c>
      <c r="AH136" s="33" t="n">
        <v>3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2026-10-11</t>
        </is>
      </c>
      <c r="E137" s="33" t="n">
        <v>21.406376</v>
      </c>
      <c r="F137" s="33" t="n">
        <v>25.863</v>
      </c>
      <c r="G137" s="33" t="n">
        <v>-9.470000000000001</v>
      </c>
      <c r="H137" s="33" t="n">
        <v>10.086612</v>
      </c>
      <c r="I137" s="33">
        <f>IF(OR(E137="",R137="",R137&lt;=0,E137&lt;0),"",E137/R137)</f>
        <v/>
      </c>
      <c r="J137" s="33" t="n">
        <v>43.3</v>
      </c>
      <c r="K137" s="33" t="n">
        <v>3.55</v>
      </c>
      <c r="L137" s="33" t="n">
        <v>49.94</v>
      </c>
      <c r="M137" s="33" t="n">
        <v>-95.48999999999999</v>
      </c>
      <c r="N137" s="33" t="n">
        <v>6.26</v>
      </c>
      <c r="O137" s="33" t="n">
        <v>35.2</v>
      </c>
      <c r="P137" s="33" t="n">
        <v>24.81</v>
      </c>
      <c r="Q137" s="33" t="n">
        <v>46.9</v>
      </c>
      <c r="R137" s="33" t="n">
        <v>71.40000000000001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59.2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2026-10-11</t>
        </is>
      </c>
      <c r="E138" s="33" t="n">
        <v>28.356339</v>
      </c>
      <c r="F138" s="33" t="n">
        <v>-19.898</v>
      </c>
      <c r="G138" s="33" t="n">
        <v>-18.2</v>
      </c>
      <c r="H138" s="33" t="n">
        <v>1.0185086</v>
      </c>
      <c r="I138" s="33">
        <f>IF(OR(E138="",R138="",R138&lt;=0,E138&lt;0),"",E138/R138)</f>
        <v/>
      </c>
      <c r="J138" s="33" t="n">
        <v>58.5</v>
      </c>
      <c r="K138" s="33" t="n">
        <v>-12.78</v>
      </c>
      <c r="L138" s="33" t="n">
        <v>5.9</v>
      </c>
      <c r="M138" s="33" t="n">
        <v>-18.54</v>
      </c>
      <c r="O138" s="33" t="n">
        <v>16.7</v>
      </c>
      <c r="Q138" s="33" t="n">
        <v>88.40000000000001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30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2026-10-11</t>
        </is>
      </c>
      <c r="E139" s="33" t="n">
        <v>15.358895</v>
      </c>
      <c r="F139" s="33" t="n">
        <v>13.364</v>
      </c>
      <c r="G139" s="33" t="n">
        <v>5.81</v>
      </c>
      <c r="H139" s="33" t="n">
        <v>1.7079377</v>
      </c>
      <c r="I139" s="33">
        <f>IF(OR(E139="",R139="",R139&lt;=0,E139&lt;0),"",E139/R139)</f>
        <v/>
      </c>
      <c r="J139" s="33" t="n">
        <v>74.3</v>
      </c>
      <c r="K139" s="33" t="n">
        <v>21.77</v>
      </c>
      <c r="L139" s="33" t="n">
        <v>23.86</v>
      </c>
      <c r="M139" s="33" t="n">
        <v>9.92</v>
      </c>
      <c r="N139" s="33" t="n">
        <v>0.7</v>
      </c>
      <c r="O139" s="33" t="n">
        <v>72.90000000000001</v>
      </c>
      <c r="P139" s="33" t="n">
        <v>14.49</v>
      </c>
      <c r="Q139" s="33" t="n">
        <v>-20.5</v>
      </c>
      <c r="R139" s="33" t="n">
        <v>-67.09999999999999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45.8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2026-10-11</t>
        </is>
      </c>
      <c r="E140" s="33" t="n">
        <v>25.441519</v>
      </c>
      <c r="F140" s="33" t="n">
        <v>7.964</v>
      </c>
      <c r="G140" s="33" t="n">
        <v>-1.93</v>
      </c>
      <c r="H140" s="33" t="n">
        <v>0.9624015</v>
      </c>
      <c r="I140" s="33">
        <f>IF(OR(E140="",R140="",R140&lt;=0,E140&lt;0),"",E140/R140)</f>
        <v/>
      </c>
      <c r="J140" s="33" t="n">
        <v>65.2</v>
      </c>
      <c r="K140" s="33" t="n">
        <v>-0.68</v>
      </c>
      <c r="L140" s="33" t="n">
        <v>22.69</v>
      </c>
      <c r="M140" s="33" t="n">
        <v>-1.85</v>
      </c>
      <c r="N140" s="33" t="n">
        <v>0.49</v>
      </c>
      <c r="O140" s="33" t="n">
        <v>45.6</v>
      </c>
      <c r="P140" s="33" t="n">
        <v>-0.28</v>
      </c>
      <c r="Q140" s="33" t="n">
        <v>-6.2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25.8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2026-10-11</t>
        </is>
      </c>
      <c r="E141" s="33" t="n">
        <v>12.2011175</v>
      </c>
      <c r="F141" s="33" t="n">
        <v>28.114</v>
      </c>
      <c r="G141" s="33" t="n">
        <v>-7.15</v>
      </c>
      <c r="H141" s="33" t="n">
        <v>0.9748275</v>
      </c>
      <c r="I141" s="33">
        <f>IF(OR(E141="",R141="",R141&lt;=0,E141&lt;0),"",E141/R141)</f>
        <v/>
      </c>
      <c r="J141" s="33" t="n">
        <v>55.6</v>
      </c>
      <c r="K141" s="33" t="n">
        <v>3.8</v>
      </c>
      <c r="L141" s="33" t="n">
        <v>19.74</v>
      </c>
      <c r="M141" s="33" t="n">
        <v>-6.97</v>
      </c>
      <c r="N141" s="33" t="n">
        <v>0.27</v>
      </c>
      <c r="O141" s="33" t="n">
        <v>47.1</v>
      </c>
      <c r="P141" s="33" t="n">
        <v>-1.2</v>
      </c>
      <c r="Q141" s="33" t="n">
        <v>130.3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26.7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2026-10-11</t>
        </is>
      </c>
      <c r="E142" s="33" t="n">
        <v>107.650085</v>
      </c>
      <c r="F142" s="33" t="n">
        <v>13.1</v>
      </c>
      <c r="G142" s="33" t="n">
        <v>-55.87</v>
      </c>
      <c r="H142" s="33" t="n">
        <v>6.5586076</v>
      </c>
      <c r="I142" s="33">
        <f>IF(OR(E142="",R142="",R142&lt;=0,E142&lt;0),"",E142/R142)</f>
        <v/>
      </c>
      <c r="J142" s="33" t="n">
        <v>27.5</v>
      </c>
      <c r="K142" s="33" t="n">
        <v>-3.71</v>
      </c>
      <c r="L142" s="33" t="n">
        <v>85.91</v>
      </c>
      <c r="M142" s="33" t="n">
        <v>-366.45</v>
      </c>
      <c r="O142" s="33" t="n">
        <v>55.8</v>
      </c>
      <c r="Q142" s="33" t="n">
        <v>55.7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48.3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2026-10-11</t>
        </is>
      </c>
      <c r="E143" s="33" t="n">
        <v>-4.7800884</v>
      </c>
      <c r="F143" s="33" t="n">
        <v>5.8</v>
      </c>
      <c r="G143" s="33" t="n">
        <v>-22.96</v>
      </c>
      <c r="H143" s="33" t="n">
        <v>439.49802</v>
      </c>
      <c r="I143" s="33">
        <f>IF(OR(E143="",R143="",R143&lt;=0,E143&lt;0),"",E143/R143)</f>
        <v/>
      </c>
      <c r="J143" s="33" t="n">
        <v>30</v>
      </c>
      <c r="K143" s="33" t="n">
        <v>-1.04</v>
      </c>
      <c r="L143" s="33" t="n">
        <v>33.92</v>
      </c>
      <c r="M143" s="33" t="n">
        <v>-10091.25</v>
      </c>
      <c r="O143" s="33" t="n">
        <v>34.2</v>
      </c>
      <c r="Q143" s="33" t="n">
        <v>412.3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C143" s="33" t="n">
        <v>52.6</v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2026-10-11</t>
        </is>
      </c>
      <c r="E144" s="33" t="n">
        <v>-11.904762</v>
      </c>
      <c r="F144" s="33" t="n">
        <v>1.7</v>
      </c>
      <c r="G144" s="33" t="n">
        <v>-17.59</v>
      </c>
      <c r="H144" s="33" t="n">
        <v>2.0697052</v>
      </c>
      <c r="I144" s="33">
        <f>IF(OR(E144="",R144="",R144&lt;=0,E144&lt;0),"",E144/R144)</f>
        <v/>
      </c>
      <c r="J144" s="33" t="n">
        <v>63.8</v>
      </c>
      <c r="K144" s="33" t="n">
        <v>-23.37</v>
      </c>
      <c r="L144" s="33" t="n">
        <v>35.09</v>
      </c>
      <c r="M144" s="33" t="n">
        <v>-36.41</v>
      </c>
      <c r="N144" s="33" t="n">
        <v>4.34</v>
      </c>
      <c r="O144" s="33" t="n">
        <v>36.9</v>
      </c>
      <c r="P144" s="33" t="n">
        <v>40.96</v>
      </c>
      <c r="Q144" s="33" t="n">
        <v>73.5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55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2026-10-11</t>
        </is>
      </c>
      <c r="E145" s="33" t="n">
        <v>26.655142</v>
      </c>
      <c r="F145" s="33" t="n">
        <v>28.462</v>
      </c>
      <c r="G145" s="33" t="n">
        <v>2.07</v>
      </c>
      <c r="H145" s="33" t="n">
        <v>13.320562</v>
      </c>
      <c r="I145" s="33">
        <f>IF(OR(E145="",R145="",R145&lt;=0,E145&lt;0),"",E145/R145)</f>
        <v/>
      </c>
      <c r="J145" s="33" t="n">
        <v>48.1</v>
      </c>
      <c r="K145" s="33" t="n">
        <v>19.88</v>
      </c>
      <c r="L145" s="33" t="n">
        <v>58.33</v>
      </c>
      <c r="M145" s="33" t="n">
        <v>27.53</v>
      </c>
      <c r="N145" s="33" t="n">
        <v>0.74</v>
      </c>
      <c r="O145" s="33" t="n">
        <v>74</v>
      </c>
      <c r="P145" s="33" t="n">
        <v>-4.07</v>
      </c>
      <c r="Q145" s="33" t="n">
        <v>22.8</v>
      </c>
      <c r="R145" s="33" t="n">
        <v>52.9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55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2026-10-11</t>
        </is>
      </c>
      <c r="E146" s="33" t="n">
        <v>17.211536</v>
      </c>
      <c r="F146" s="33" t="n">
        <v>16.083</v>
      </c>
      <c r="G146" s="33" t="n">
        <v>5.56</v>
      </c>
      <c r="H146" s="33" t="n">
        <v>4.252555</v>
      </c>
      <c r="I146" s="33">
        <f>IF(OR(E146="",R146="",R146&lt;=0,E146&lt;0),"",E146/R146)</f>
        <v/>
      </c>
      <c r="J146" s="33" t="n">
        <v>70.5</v>
      </c>
      <c r="K146" s="33" t="n">
        <v>18.43</v>
      </c>
      <c r="L146" s="33" t="n">
        <v>54.23</v>
      </c>
      <c r="M146" s="33" t="n">
        <v>23.64</v>
      </c>
      <c r="N146" s="33" t="n">
        <v>0.58</v>
      </c>
      <c r="O146" s="33" t="n">
        <v>64.8</v>
      </c>
      <c r="P146" s="33" t="n">
        <v>0.06</v>
      </c>
      <c r="Q146" s="33" t="n">
        <v>-4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58.3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2026-10-11</t>
        </is>
      </c>
      <c r="E147" s="33" t="n">
        <v>24.846283</v>
      </c>
      <c r="F147" s="33" t="n">
        <v>29.692</v>
      </c>
      <c r="G147" s="33" t="n">
        <v>2.51</v>
      </c>
      <c r="H147" s="33" t="n">
        <v>14.1787405</v>
      </c>
      <c r="I147" s="33">
        <f>IF(OR(E147="",R147="",R147&lt;=0,E147&lt;0),"",E147/R147)</f>
        <v/>
      </c>
      <c r="J147" s="33" t="n">
        <v>54.5</v>
      </c>
      <c r="K147" s="33" t="n">
        <v>10.19</v>
      </c>
      <c r="L147" s="33" t="n">
        <v>65.8</v>
      </c>
      <c r="M147" s="33" t="n">
        <v>35.57</v>
      </c>
      <c r="N147" s="33" t="n">
        <v>0.99</v>
      </c>
      <c r="O147" s="33" t="n">
        <v>71.40000000000001</v>
      </c>
      <c r="P147" s="33" t="n">
        <v>-2.84</v>
      </c>
      <c r="Q147" s="33" t="n">
        <v>39.6</v>
      </c>
      <c r="R147" s="33" t="n">
        <v>158.4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52.5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2026-10-11</t>
        </is>
      </c>
      <c r="E148" s="33" t="n">
        <v>20.48703</v>
      </c>
      <c r="F148" s="33" t="n">
        <v>17.498</v>
      </c>
      <c r="G148" s="33" t="n">
        <v>0.46</v>
      </c>
      <c r="H148" s="33" t="n">
        <v>3.5598183</v>
      </c>
      <c r="I148" s="33">
        <f>IF(OR(E148="",R148="",R148&lt;=0,E148&lt;0),"",E148/R148)</f>
        <v/>
      </c>
      <c r="J148" s="33" t="n">
        <v>48.2</v>
      </c>
      <c r="K148" s="33" t="n">
        <v>1.85</v>
      </c>
      <c r="L148" s="33" t="n">
        <v>34.48</v>
      </c>
      <c r="M148" s="33" t="n">
        <v>1.65</v>
      </c>
      <c r="N148" s="33" t="n">
        <v>-0.65</v>
      </c>
      <c r="O148" s="33" t="n">
        <v>30.2</v>
      </c>
      <c r="P148" s="33" t="n">
        <v>-9.890000000000001</v>
      </c>
      <c r="Q148" s="33" t="n">
        <v>26.1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55.8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2026-10-11</t>
        </is>
      </c>
      <c r="E149" s="33" t="n">
        <v>12.545968</v>
      </c>
      <c r="F149" s="33" t="n">
        <v>13.305</v>
      </c>
      <c r="G149" s="33" t="n">
        <v>4.62</v>
      </c>
      <c r="H149" s="33" t="n">
        <v>4.351338</v>
      </c>
      <c r="I149" s="33">
        <f>IF(OR(E149="",R149="",R149&lt;=0,E149&lt;0),"",E149/R149)</f>
        <v/>
      </c>
      <c r="J149" s="33" t="n">
        <v>70.5</v>
      </c>
      <c r="K149" s="33" t="n">
        <v>12.69</v>
      </c>
      <c r="L149" s="33" t="n">
        <v>56.1</v>
      </c>
      <c r="M149" s="33" t="n">
        <v>20.09</v>
      </c>
      <c r="N149" s="33" t="n">
        <v>1.53</v>
      </c>
      <c r="O149" s="33" t="n">
        <v>54</v>
      </c>
      <c r="P149" s="33" t="n">
        <v>-2.42</v>
      </c>
      <c r="Q149" s="33" t="n">
        <v>19.5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46.7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2026-10-11</t>
        </is>
      </c>
      <c r="E150" s="33" t="n">
        <v>17.35821974858824</v>
      </c>
      <c r="F150" s="33" t="n">
        <v>31.533</v>
      </c>
      <c r="G150" s="33" t="n">
        <v>2.71</v>
      </c>
      <c r="H150" s="33" t="n">
        <v>8.008963</v>
      </c>
      <c r="I150" s="33">
        <f>IF(OR(E150="",R150="",R150&lt;=0,E150&lt;0),"",E150/R150)</f>
        <v/>
      </c>
      <c r="J150" s="33" t="n">
        <v>53</v>
      </c>
      <c r="K150" s="33" t="n">
        <v>5.24</v>
      </c>
      <c r="L150" s="33" t="n">
        <v>60.19</v>
      </c>
      <c r="M150" s="33" t="n">
        <v>21.69</v>
      </c>
      <c r="N150" s="33" t="n">
        <v>3.4</v>
      </c>
      <c r="O150" s="33" t="n">
        <v>46.2</v>
      </c>
      <c r="P150" s="33" t="n">
        <v>-17.65</v>
      </c>
      <c r="Q150" s="33" t="n">
        <v>38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45.8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2026-10-11</t>
        </is>
      </c>
      <c r="E151" s="33" t="n">
        <v>17.119326</v>
      </c>
      <c r="F151" s="33" t="n">
        <v>15.784</v>
      </c>
      <c r="G151" s="33" t="n">
        <v>4.97</v>
      </c>
      <c r="H151" s="33" t="n">
        <v>4.870095</v>
      </c>
      <c r="I151" s="33">
        <f>IF(OR(E151="",R151="",R151&lt;=0,E151&lt;0),"",E151/R151)</f>
        <v/>
      </c>
      <c r="J151" s="33" t="n">
        <v>66.90000000000001</v>
      </c>
      <c r="K151" s="33" t="n">
        <v>8.66</v>
      </c>
      <c r="L151" s="33" t="n">
        <v>42.78</v>
      </c>
      <c r="M151" s="33" t="n">
        <v>24.21</v>
      </c>
      <c r="N151" s="33" t="n">
        <v>0.4</v>
      </c>
      <c r="O151" s="33" t="n">
        <v>55.4</v>
      </c>
      <c r="P151" s="33" t="n">
        <v>-10.37</v>
      </c>
      <c r="Q151" s="33" t="n">
        <v>9.199999999999999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44.2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2026-10-11</t>
        </is>
      </c>
      <c r="E152" s="33" t="n">
        <v>13.404142</v>
      </c>
      <c r="F152" s="33" t="n">
        <v>14.128</v>
      </c>
      <c r="G152" s="33" t="n">
        <v>2.28</v>
      </c>
      <c r="H152" s="33" t="n">
        <v>4.472955</v>
      </c>
      <c r="I152" s="33">
        <f>IF(OR(E152="",R152="",R152&lt;=0,E152&lt;0),"",E152/R152)</f>
        <v/>
      </c>
      <c r="J152" s="33" t="n">
        <v>63.7</v>
      </c>
      <c r="K152" s="33" t="n">
        <v>4.74</v>
      </c>
      <c r="L152" s="33" t="n">
        <v>40.73</v>
      </c>
      <c r="M152" s="33" t="n">
        <v>10.18</v>
      </c>
      <c r="N152" s="33" t="n">
        <v>-0.13</v>
      </c>
      <c r="O152" s="33" t="n">
        <v>39.4</v>
      </c>
      <c r="P152" s="33" t="n">
        <v>-9.34</v>
      </c>
      <c r="Q152" s="33" t="n">
        <v>-3.1</v>
      </c>
      <c r="R152" s="33" t="n">
        <v>-67.7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75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2026-10-11</t>
        </is>
      </c>
      <c r="E153" s="33" t="n">
        <v>15.22117121975783</v>
      </c>
      <c r="F153" s="33" t="n">
        <v>29.145</v>
      </c>
      <c r="G153" s="33" t="n">
        <v>2.36</v>
      </c>
      <c r="H153" s="33" t="n">
        <v>11.511042</v>
      </c>
      <c r="I153" s="33">
        <f>IF(OR(E153="",R153="",R153&lt;=0,E153&lt;0),"",E153/R153)</f>
        <v/>
      </c>
      <c r="J153" s="33" t="n">
        <v>53.8</v>
      </c>
      <c r="K153" s="33" t="n">
        <v>45.48</v>
      </c>
      <c r="L153" s="33" t="n">
        <v>48.85</v>
      </c>
      <c r="M153" s="33" t="n">
        <v>27.18</v>
      </c>
      <c r="N153" s="33" t="n">
        <v>-0.08</v>
      </c>
      <c r="O153" s="33" t="n">
        <v>85.90000000000001</v>
      </c>
      <c r="P153" s="33" t="n">
        <v>27.35</v>
      </c>
      <c r="Q153" s="33" t="n">
        <v>43.8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4</v>
      </c>
      <c r="U153" s="33" t="n">
        <v>5</v>
      </c>
      <c r="V153" s="33" t="n">
        <v>3</v>
      </c>
      <c r="W153" s="33" t="n">
        <v>3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1</v>
      </c>
      <c r="AB153" s="33" t="n">
        <v>3</v>
      </c>
      <c r="AC153" s="33" t="n">
        <v>48.3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3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2026-10-11</t>
        </is>
      </c>
      <c r="E154" s="33" t="n">
        <v>85.83193</v>
      </c>
      <c r="F154" s="33" t="n">
        <v>80.5</v>
      </c>
      <c r="G154" s="33" t="n">
        <v>1.2</v>
      </c>
      <c r="H154" s="33" t="n">
        <v>29.8399</v>
      </c>
      <c r="I154" s="33">
        <f>IF(OR(E154="",R154="",R154&lt;=0,E154&lt;0),"",E154/R154)</f>
        <v/>
      </c>
      <c r="J154" s="33" t="n">
        <v>24.1</v>
      </c>
      <c r="K154" s="33" t="n">
        <v>1.17</v>
      </c>
      <c r="L154" s="33" t="n">
        <v>70.38</v>
      </c>
      <c r="M154" s="33" t="n">
        <v>35.83</v>
      </c>
      <c r="N154" s="33" t="n">
        <v>-0.32</v>
      </c>
      <c r="O154" s="33" t="n">
        <v>56.2</v>
      </c>
      <c r="P154" s="33" t="n">
        <v>18.54</v>
      </c>
      <c r="Q154" s="33" t="n">
        <v>34.5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93.3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4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2026-10-11</t>
        </is>
      </c>
      <c r="E155" s="33" t="n">
        <v>13.333763</v>
      </c>
      <c r="F155" s="33" t="n"/>
      <c r="G155" s="33" t="n">
        <v>3.43</v>
      </c>
      <c r="H155" s="33" t="n">
        <v>13.5759115</v>
      </c>
      <c r="I155" s="33">
        <f>IF(OR(E155="",R155="",R155&lt;=0,E155&lt;0),"",E155/R155)</f>
        <v/>
      </c>
      <c r="J155" s="33" t="n">
        <v>75.90000000000001</v>
      </c>
      <c r="K155" s="33" t="n">
        <v>63.79</v>
      </c>
      <c r="L155" s="33" t="n">
        <v>88.45999999999999</v>
      </c>
      <c r="M155" s="33" t="n">
        <v>46.56</v>
      </c>
      <c r="N155" s="33" t="n">
        <v>0.09</v>
      </c>
      <c r="O155" s="33" t="n">
        <v>90.09999999999999</v>
      </c>
      <c r="P155" s="33" t="n">
        <v>24.84</v>
      </c>
      <c r="Q155" s="33" t="n">
        <v>52.8</v>
      </c>
      <c r="R155" s="33" t="n">
        <v>54.5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3</v>
      </c>
      <c r="U155" s="33" t="n">
        <v>4</v>
      </c>
      <c r="V155" s="33" t="n">
        <v>2</v>
      </c>
      <c r="W155" s="33" t="n">
        <v>3</v>
      </c>
      <c r="X155" s="33" t="n">
        <v>2</v>
      </c>
      <c r="Y155" s="33">
        <f>IFERROR((AVERAGE(T155,U155,V155,W155,X155)-1)*25,"")</f>
        <v/>
      </c>
      <c r="Z155" s="33" t="n">
        <v>2</v>
      </c>
      <c r="AA155" s="33" t="n">
        <v>1</v>
      </c>
      <c r="AB155" s="33" t="n">
        <v>3</v>
      </c>
      <c r="AC155" s="33" t="n">
        <v>39.2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1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2026-10-11</t>
        </is>
      </c>
      <c r="E156" s="33" t="n">
        <v>8.754654</v>
      </c>
      <c r="F156" s="33" t="n">
        <v>8.699999999999999</v>
      </c>
      <c r="G156" s="33" t="n">
        <v>11.23</v>
      </c>
      <c r="H156" s="33" t="n">
        <v>3.630785</v>
      </c>
      <c r="I156" s="33">
        <f>IF(OR(E156="",R156="",R156&lt;=0,E156&lt;0),"",E156/R156)</f>
        <v/>
      </c>
      <c r="J156" s="33" t="n">
        <v>82.3</v>
      </c>
      <c r="K156" s="33" t="n">
        <v>40.22</v>
      </c>
      <c r="L156" s="33" t="n">
        <v>89.25</v>
      </c>
      <c r="M156" s="33" t="n">
        <v>40.79</v>
      </c>
      <c r="N156" s="33" t="n">
        <v>0.12</v>
      </c>
      <c r="O156" s="33" t="n">
        <v>86.7</v>
      </c>
      <c r="P156" s="33" t="n">
        <v>10.52</v>
      </c>
      <c r="Q156" s="33" t="n">
        <v>12.9</v>
      </c>
      <c r="R156" s="33" t="n">
        <v>3.1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44.2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2026-10-11</t>
        </is>
      </c>
      <c r="E157" s="33" t="n">
        <v>51.551575</v>
      </c>
      <c r="F157" s="33" t="n">
        <v>43.4</v>
      </c>
      <c r="G157" s="33" t="n">
        <v>2.18</v>
      </c>
      <c r="H157" s="33" t="n">
        <v>18.982748</v>
      </c>
      <c r="I157" s="33">
        <f>IF(OR(E157="",R157="",R157&lt;=0,E157&lt;0),"",E157/R157)</f>
        <v/>
      </c>
      <c r="J157" s="33" t="n">
        <v>42.8</v>
      </c>
      <c r="K157" s="33" t="n">
        <v>32.8</v>
      </c>
      <c r="L157" s="33" t="n">
        <v>80.2</v>
      </c>
      <c r="M157" s="33" t="n">
        <v>41.41</v>
      </c>
      <c r="N157" s="33" t="n">
        <v>-1.35</v>
      </c>
      <c r="O157" s="33" t="n">
        <v>83.5</v>
      </c>
      <c r="P157" s="33" t="n">
        <v>15.46</v>
      </c>
      <c r="Q157" s="33" t="n">
        <v>25.6</v>
      </c>
      <c r="R157" s="33" t="n">
        <v>37.8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90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2026-10-11</t>
        </is>
      </c>
      <c r="E158" s="33" t="n">
        <v>45.05789913355196</v>
      </c>
      <c r="F158" s="33" t="n">
        <v>42.6</v>
      </c>
      <c r="G158" s="33" t="n">
        <v>2.04</v>
      </c>
      <c r="H158" s="33" t="n">
        <v>11.367788</v>
      </c>
      <c r="I158" s="33">
        <f>IF(OR(E158="",R158="",R158&lt;=0,E158&lt;0),"",E158/R158)</f>
        <v/>
      </c>
      <c r="J158" s="33" t="n">
        <v>44.3</v>
      </c>
      <c r="K158" s="33" t="n">
        <v>-1.95</v>
      </c>
      <c r="L158" s="33" t="n">
        <v>76.87</v>
      </c>
      <c r="M158" s="33" t="n">
        <v>23.24</v>
      </c>
      <c r="N158" s="33" t="n">
        <v>-36.63</v>
      </c>
      <c r="O158" s="33" t="n">
        <v>47.2</v>
      </c>
      <c r="P158" s="33" t="n">
        <v>27.51</v>
      </c>
      <c r="Q158" s="33" t="n">
        <v>24.9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1</v>
      </c>
      <c r="AA158" s="33" t="n">
        <v>1</v>
      </c>
      <c r="AB158" s="33" t="n">
        <v>3</v>
      </c>
      <c r="AC158" s="33" t="n">
        <v>67.5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2026-10-11</t>
        </is>
      </c>
      <c r="E159" s="33" t="n">
        <v>11.98698465003329</v>
      </c>
      <c r="F159" s="33" t="n">
        <v>9.4</v>
      </c>
      <c r="G159" s="33" t="n">
        <v>10.65</v>
      </c>
      <c r="H159" s="33" t="n">
        <v>3.7721794</v>
      </c>
      <c r="I159" s="33">
        <f>IF(OR(E159="",R159="",R159&lt;=0,E159&lt;0),"",E159/R159)</f>
        <v/>
      </c>
      <c r="J159" s="33" t="n">
        <v>91.90000000000001</v>
      </c>
      <c r="K159" s="33" t="n">
        <v>17.61</v>
      </c>
      <c r="L159" s="33" t="n">
        <v>80.98</v>
      </c>
      <c r="M159" s="33" t="n">
        <v>40.18</v>
      </c>
      <c r="N159" s="33" t="n">
        <v>0.18</v>
      </c>
      <c r="O159" s="33" t="n">
        <v>75.3</v>
      </c>
      <c r="P159" s="33" t="n">
        <v>14.29</v>
      </c>
      <c r="Q159" s="33" t="n">
        <v>13.7</v>
      </c>
      <c r="R159" s="33" t="n"/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28.3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2026-10-11</t>
        </is>
      </c>
      <c r="E160" s="33" t="n">
        <v>14.29828555124067</v>
      </c>
      <c r="F160" s="33" t="n">
        <v>15.7</v>
      </c>
      <c r="G160" s="33" t="n">
        <v>6.32</v>
      </c>
      <c r="H160" s="33" t="n">
        <v>4.428182</v>
      </c>
      <c r="I160" s="33">
        <f>IF(OR(E160="",R160="",R160&lt;=0,E160&lt;0),"",E160/R160)</f>
        <v/>
      </c>
      <c r="J160" s="33" t="n">
        <v>82.5</v>
      </c>
      <c r="K160" s="33" t="n">
        <v>12.8</v>
      </c>
      <c r="L160" s="33" t="n">
        <v>75.8</v>
      </c>
      <c r="M160" s="33" t="n">
        <v>28.01</v>
      </c>
      <c r="N160" s="33" t="n">
        <v>0.23</v>
      </c>
      <c r="O160" s="33" t="n">
        <v>58.3</v>
      </c>
      <c r="P160" s="33" t="n">
        <v>15.4</v>
      </c>
      <c r="Q160" s="33" t="n">
        <v>12.8</v>
      </c>
      <c r="R160" s="33" t="n"/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IFERROR((AVERAGE(T160,U160,V160,W160,X160)-1)*25,"")</f>
        <v/>
      </c>
      <c r="Z160" s="33" t="n">
        <v>2</v>
      </c>
      <c r="AA160" s="33" t="n">
        <v>1</v>
      </c>
      <c r="AB160" s="33" t="n">
        <v>3</v>
      </c>
      <c r="AC160" s="33" t="n">
        <v>70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2026-10-11</t>
        </is>
      </c>
      <c r="E161" s="33" t="n">
        <v>16.73349200893076</v>
      </c>
      <c r="F161" s="33" t="n">
        <v>17.4</v>
      </c>
      <c r="G161" s="33" t="n">
        <v>5.7</v>
      </c>
      <c r="H161" s="33" t="n">
        <v>6.3142686</v>
      </c>
      <c r="I161" s="33">
        <f>IF(OR(E161="",R161="",R161&lt;=0,E161&lt;0),"",E161/R161)</f>
        <v/>
      </c>
      <c r="J161" s="33" t="n">
        <v>78.09999999999999</v>
      </c>
      <c r="K161" s="33" t="n">
        <v>26.7</v>
      </c>
      <c r="L161" s="33" t="n">
        <v>92.5</v>
      </c>
      <c r="M161" s="33" t="n">
        <v>35.99</v>
      </c>
      <c r="N161" s="33" t="n">
        <v>-0.2</v>
      </c>
      <c r="O161" s="33" t="n">
        <v>86.90000000000001</v>
      </c>
      <c r="P161" s="33" t="n">
        <v>12.92</v>
      </c>
      <c r="Q161" s="33" t="n">
        <v>16.1</v>
      </c>
      <c r="R161" s="33" t="n">
        <v>57.2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IFERROR((AVERAGE(T161,U161,V161,W161,X161)-1)*25,"")</f>
        <v/>
      </c>
      <c r="Z161" s="33" t="n">
        <v>4</v>
      </c>
      <c r="AA161" s="33" t="n">
        <v>2</v>
      </c>
      <c r="AB161" s="33" t="n">
        <v>5</v>
      </c>
      <c r="AC161" s="33" t="n">
        <v>39.2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2026-10-11</t>
        </is>
      </c>
      <c r="E162" s="33" t="n">
        <v>175.3534</v>
      </c>
      <c r="F162" s="33" t="n">
        <v>254.6</v>
      </c>
      <c r="G162" s="33" t="n">
        <v>0.38</v>
      </c>
      <c r="H162" s="33" t="n">
        <v>14.587014</v>
      </c>
      <c r="I162" s="33">
        <f>IF(OR(E162="",R162="",R162&lt;=0,E162&lt;0),"",E162/R162)</f>
        <v/>
      </c>
      <c r="J162" s="33" t="n">
        <v>16.3</v>
      </c>
      <c r="K162" s="33" t="n">
        <v>3.13</v>
      </c>
      <c r="L162" s="33" t="n">
        <v>18.85</v>
      </c>
      <c r="M162" s="33" t="n">
        <v>5.55</v>
      </c>
      <c r="N162" s="33" t="n">
        <v>-2.55</v>
      </c>
      <c r="O162" s="33" t="n">
        <v>39.2</v>
      </c>
      <c r="P162" s="33" t="n">
        <v>5.19</v>
      </c>
      <c r="Q162" s="33" t="n">
        <v>25.5</v>
      </c>
      <c r="R162" s="33" t="n">
        <v>-4.9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50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2026-10-11</t>
        </is>
      </c>
      <c r="E163" s="33" t="n">
        <v>35.11173</v>
      </c>
      <c r="F163" s="33" t="n">
        <v>36.1</v>
      </c>
      <c r="G163" s="33" t="n">
        <v>2.78</v>
      </c>
      <c r="H163" s="33" t="n">
        <v>10.5243</v>
      </c>
      <c r="I163" s="33">
        <f>IF(OR(E163="",R163="",R163&lt;=0,E163&lt;0),"",E163/R163)</f>
        <v/>
      </c>
      <c r="J163" s="33" t="n">
        <v>48</v>
      </c>
      <c r="K163" s="33" t="n">
        <v>54.74</v>
      </c>
      <c r="L163" s="33" t="n">
        <v>48.65</v>
      </c>
      <c r="M163" s="33" t="n">
        <v>29.28</v>
      </c>
      <c r="N163" s="33" t="n">
        <v>0.13</v>
      </c>
      <c r="O163" s="33" t="n">
        <v>60.6</v>
      </c>
      <c r="P163" s="33" t="n">
        <v>1.81</v>
      </c>
      <c r="Q163" s="33" t="n">
        <v>16.4</v>
      </c>
      <c r="R163" s="33" t="n">
        <v>27.1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86.7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72" t="inlineStr">
        <is>
          <t>2026-10-11</t>
        </is>
      </c>
      <c r="E164" s="33" t="n">
        <v>84.42871</v>
      </c>
      <c r="F164" s="33" t="n">
        <v>-134</v>
      </c>
      <c r="G164" s="33" t="n">
        <v>-1.52</v>
      </c>
      <c r="H164" s="33" t="n">
        <v>92.94079600000001</v>
      </c>
      <c r="I164" s="33">
        <f>IF(OR(E164="",R164="",R164&lt;=0,E164&lt;0),"",E164/R164)</f>
        <v/>
      </c>
      <c r="J164" s="33" t="n">
        <v>27.9</v>
      </c>
      <c r="K164" s="33" t="n">
        <v>-1.3</v>
      </c>
      <c r="L164" s="33" t="n">
        <v>51.88</v>
      </c>
      <c r="M164" s="33" t="n">
        <v>-141.13</v>
      </c>
      <c r="N164" s="33" t="n">
        <v>-10.23</v>
      </c>
      <c r="O164" s="33" t="n">
        <v>33.5</v>
      </c>
      <c r="P164" s="33" t="n">
        <v>34.1</v>
      </c>
      <c r="Q164" s="33" t="n">
        <v>91.90000000000001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4</v>
      </c>
      <c r="U164" s="33" t="n">
        <v>4</v>
      </c>
      <c r="V164" s="33" t="n">
        <v>4</v>
      </c>
      <c r="W164" s="33" t="n">
        <v>5</v>
      </c>
      <c r="X164" s="33" t="n">
        <v>5</v>
      </c>
      <c r="Y164" s="33">
        <f>IFERROR((AVERAGE(T164,U164,V164,W164,X164)-1)*25,"")</f>
        <v/>
      </c>
      <c r="Z164" s="33" t="n">
        <v>4</v>
      </c>
      <c r="AA164" s="33" t="n">
        <v>2</v>
      </c>
      <c r="AB164" s="33" t="n">
        <v>3</v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2026-10-11</t>
        </is>
      </c>
      <c r="E165" s="33" t="n">
        <v>25.571375</v>
      </c>
      <c r="F165" s="33" t="n">
        <v>39.659</v>
      </c>
      <c r="G165" s="33" t="n">
        <v>1.58</v>
      </c>
      <c r="H165" s="33" t="n">
        <v>4.8033485</v>
      </c>
      <c r="I165" s="33">
        <f>IF(OR(E165="",R165="",R165&lt;=0,E165&lt;0),"",E165/R165)</f>
        <v/>
      </c>
      <c r="J165" s="33" t="n">
        <v>50.7</v>
      </c>
      <c r="K165" s="33" t="n">
        <v>6.59</v>
      </c>
      <c r="L165" s="33" t="n">
        <v>43.01</v>
      </c>
      <c r="M165" s="33" t="n">
        <v>7.57</v>
      </c>
      <c r="N165" s="33" t="n">
        <v>-3.34</v>
      </c>
      <c r="O165" s="33" t="n">
        <v>46.5</v>
      </c>
      <c r="P165" s="33" t="n">
        <v>-3.02</v>
      </c>
      <c r="Q165" s="33" t="n">
        <v>10.6</v>
      </c>
      <c r="R165" s="33" t="n">
        <v>-25.8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49.2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2026-10-11</t>
        </is>
      </c>
      <c r="E166" s="33" t="n">
        <v>36.934326</v>
      </c>
      <c r="F166" s="33" t="n">
        <v>252.234</v>
      </c>
      <c r="G166" s="33" t="n">
        <v>1.08</v>
      </c>
      <c r="H166" s="33" t="n">
        <v>6.176823</v>
      </c>
      <c r="I166" s="33">
        <f>IF(OR(E166="",R166="",R166&lt;=0,E166&lt;0),"",E166/R166)</f>
        <v/>
      </c>
      <c r="J166" s="33" t="n">
        <v>30.3</v>
      </c>
      <c r="K166" s="33" t="n">
        <v>-2.28</v>
      </c>
      <c r="L166" s="33" t="n">
        <v>43.95</v>
      </c>
      <c r="M166" s="33" t="n">
        <v>6.68</v>
      </c>
      <c r="N166" s="33" t="n">
        <v>-13.22</v>
      </c>
      <c r="O166" s="33" t="n">
        <v>41</v>
      </c>
      <c r="P166" s="33" t="n">
        <v>-17.71</v>
      </c>
      <c r="Q166" s="33" t="n">
        <v>38.4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66.7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2026-10-11</t>
        </is>
      </c>
      <c r="E167" s="33" t="n">
        <v>17.503162</v>
      </c>
      <c r="F167" s="33" t="n">
        <v>9.959</v>
      </c>
      <c r="G167" s="33" t="n">
        <v>-1.42</v>
      </c>
      <c r="H167" s="33" t="n">
        <v>1.632612</v>
      </c>
      <c r="I167" s="33">
        <f>IF(OR(E167="",R167="",R167&lt;=0,E167&lt;0),"",E167/R167)</f>
        <v/>
      </c>
      <c r="J167" s="33" t="n">
        <v>72.5</v>
      </c>
      <c r="K167" s="33" t="n">
        <v>7.45</v>
      </c>
      <c r="L167" s="33" t="n">
        <v>15.51</v>
      </c>
      <c r="M167" s="33" t="n">
        <v>-2.31</v>
      </c>
      <c r="N167" s="33" t="n">
        <v>0.12</v>
      </c>
      <c r="O167" s="33" t="n">
        <v>34.1</v>
      </c>
      <c r="P167" s="33" t="n">
        <v>-1.84</v>
      </c>
      <c r="Q167" s="33" t="n">
        <v>25.6</v>
      </c>
      <c r="R167" s="33" t="n">
        <v>219.3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50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2026-10-11</t>
        </is>
      </c>
      <c r="E168" s="33" t="n">
        <v>23.771126</v>
      </c>
      <c r="F168" s="33" t="n">
        <v>24.63</v>
      </c>
      <c r="G168" s="33" t="n">
        <v>-1.34</v>
      </c>
      <c r="H168" s="33" t="n">
        <v>4.58</v>
      </c>
      <c r="I168" s="33">
        <f>IF(OR(E168="",R168="",R168&lt;=0,E168&lt;0),"",E168/R168)</f>
        <v/>
      </c>
      <c r="J168" s="33" t="n">
        <v>65.3</v>
      </c>
      <c r="K168" s="33" t="n">
        <v>7.78</v>
      </c>
      <c r="L168" s="33" t="n">
        <v>19.49</v>
      </c>
      <c r="M168" s="33" t="n">
        <v>-6.15</v>
      </c>
      <c r="N168" s="33" t="n">
        <v>1.36</v>
      </c>
      <c r="O168" s="33" t="n">
        <v>31.2</v>
      </c>
      <c r="P168" s="33" t="n">
        <v>-1.28</v>
      </c>
      <c r="Q168" s="33" t="n">
        <v>26.7</v>
      </c>
      <c r="R168" s="33" t="n">
        <v>180.1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76.7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2026-10-11</t>
        </is>
      </c>
      <c r="E169" s="33" t="n">
        <v>16.506855</v>
      </c>
      <c r="F169" s="33" t="n">
        <v>26.1</v>
      </c>
      <c r="G169" s="33" t="n">
        <v>3.31</v>
      </c>
      <c r="H169" s="33" t="n">
        <v>11.071596</v>
      </c>
      <c r="I169" s="33">
        <f>IF(OR(E169="",R169="",R169&lt;=0,E169&lt;0),"",E169/R169)</f>
        <v/>
      </c>
      <c r="J169" s="33" t="n">
        <v>76.2</v>
      </c>
      <c r="K169" s="33" t="n">
        <v>23.61</v>
      </c>
      <c r="L169" s="33" t="n">
        <v>91.44</v>
      </c>
      <c r="M169" s="33" t="n">
        <v>36.66</v>
      </c>
      <c r="N169" s="33" t="n">
        <v>-3.45</v>
      </c>
      <c r="O169" s="33" t="n">
        <v>83.5</v>
      </c>
      <c r="P169" s="33" t="n">
        <v>48.93</v>
      </c>
      <c r="Q169" s="33" t="n">
        <v>61.1</v>
      </c>
      <c r="R169" s="33" t="n">
        <v>183.2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2</v>
      </c>
      <c r="U169" s="33" t="n">
        <v>2</v>
      </c>
      <c r="V169" s="33" t="n">
        <v>3</v>
      </c>
      <c r="W169" s="33" t="n">
        <v>3</v>
      </c>
      <c r="X169" s="33" t="n">
        <v>2</v>
      </c>
      <c r="Y169" s="33">
        <f>IFERROR((AVERAGE(T169,U169,V169,W169,X169)-1)*25,"")</f>
        <v/>
      </c>
      <c r="Z169" s="33" t="n">
        <v>5</v>
      </c>
      <c r="AA169" s="33" t="n">
        <v>4</v>
      </c>
      <c r="AB169" s="33" t="n">
        <v>3</v>
      </c>
      <c r="AC169" s="33" t="n">
        <v>54.2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3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2026-10-11</t>
        </is>
      </c>
      <c r="E170" s="33" t="n">
        <v>21.96544048581932</v>
      </c>
      <c r="F170" s="33" t="n">
        <v>21.607</v>
      </c>
      <c r="G170" s="33" t="n">
        <v>3.54</v>
      </c>
      <c r="H170" s="33" t="n">
        <v>6.302363</v>
      </c>
      <c r="I170" s="33">
        <f>IF(OR(E170="",R170="",R170&lt;=0,E170&lt;0),"",E170/R170)</f>
        <v/>
      </c>
      <c r="J170" s="33" t="n">
        <v>64</v>
      </c>
      <c r="K170" s="33" t="n">
        <v>23.37</v>
      </c>
      <c r="L170" s="33" t="n">
        <v>70.63</v>
      </c>
      <c r="M170" s="33" t="n">
        <v>22.32</v>
      </c>
      <c r="N170" s="33" t="n">
        <v>-0.5</v>
      </c>
      <c r="O170" s="33" t="n">
        <v>79.7</v>
      </c>
      <c r="P170" s="33" t="n">
        <v>2.87</v>
      </c>
      <c r="Q170" s="33" t="n">
        <v>29.9</v>
      </c>
      <c r="R170" s="33" t="n">
        <v>60.9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100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2026-10-11</t>
        </is>
      </c>
      <c r="E171" s="33" t="n">
        <v>25.176981</v>
      </c>
      <c r="F171" s="33" t="n">
        <v>22.148</v>
      </c>
      <c r="G171" s="33" t="n">
        <v>-13.12</v>
      </c>
      <c r="H171" s="33" t="n">
        <v>7.133933</v>
      </c>
      <c r="I171" s="33">
        <f>IF(OR(E171="",R171="",R171&lt;=0,E171&lt;0),"",E171/R171)</f>
        <v/>
      </c>
      <c r="J171" s="33" t="n">
        <v>50.8</v>
      </c>
      <c r="L171" s="33" t="n">
        <v>29.1</v>
      </c>
      <c r="M171" s="33" t="n">
        <v>-93.56999999999999</v>
      </c>
      <c r="N171" s="33" t="n">
        <v>-0.12</v>
      </c>
      <c r="O171" s="33" t="n">
        <v>54.2</v>
      </c>
      <c r="P171" s="33" t="n">
        <v>-2.04</v>
      </c>
      <c r="Q171" s="33" t="n">
        <v>21.8</v>
      </c>
      <c r="R171" s="33" t="n">
        <v>45.6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65.8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2026-10-11</t>
        </is>
      </c>
      <c r="F172" s="33" t="n">
        <v>35.491</v>
      </c>
      <c r="G172" s="33" t="n">
        <v>-4.8</v>
      </c>
      <c r="H172" s="33" t="n">
        <v>12.364902</v>
      </c>
      <c r="I172" s="33">
        <f>IF(OR(E172="",R172="",R172&lt;=0,E172&lt;0),"",E172/R172)</f>
        <v/>
      </c>
      <c r="J172" s="33" t="n">
        <v>31.2</v>
      </c>
      <c r="L172" s="33" t="n">
        <v>14.06</v>
      </c>
      <c r="M172" s="33" t="n">
        <v>-59.41</v>
      </c>
      <c r="N172" s="33" t="n">
        <v>-0.5</v>
      </c>
      <c r="O172" s="33" t="n">
        <v>41.7</v>
      </c>
      <c r="P172" s="33" t="n">
        <v>-1</v>
      </c>
      <c r="Q172" s="33" t="n">
        <v>26.8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57.5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2026-10-11</t>
        </is>
      </c>
      <c r="E173" s="33" t="n">
        <v>32.130817</v>
      </c>
      <c r="F173" s="33" t="n">
        <v>12.14</v>
      </c>
      <c r="G173" s="33" t="n">
        <v>-6.53</v>
      </c>
      <c r="H173" s="33" t="n">
        <v>6.06</v>
      </c>
      <c r="I173" s="33">
        <f>IF(OR(E173="",R173="",R173&lt;=0,E173&lt;0),"",E173/R173)</f>
        <v/>
      </c>
      <c r="J173" s="33" t="n">
        <v>64.8</v>
      </c>
      <c r="L173" s="33" t="n">
        <v>21.82</v>
      </c>
      <c r="M173" s="33" t="n">
        <v>-39.56</v>
      </c>
      <c r="N173" s="33" t="n">
        <v>0.23</v>
      </c>
      <c r="O173" s="33" t="n">
        <v>46.7</v>
      </c>
      <c r="P173" s="33" t="n">
        <v>8.640000000000001</v>
      </c>
      <c r="Q173" s="33" t="n">
        <v>36.1</v>
      </c>
      <c r="R173" s="33" t="n">
        <v>261.7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45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2026-10-11</t>
        </is>
      </c>
      <c r="E174" s="33" t="n">
        <v>31.717861</v>
      </c>
      <c r="F174" s="33" t="n">
        <v>548</v>
      </c>
      <c r="G174" s="33" t="n">
        <v>0.18</v>
      </c>
      <c r="H174" s="33" t="n">
        <v>19.873877</v>
      </c>
      <c r="I174" s="33">
        <f>IF(OR(E174="",R174="",R174&lt;=0,E174&lt;0),"",E174/R174)</f>
        <v/>
      </c>
      <c r="J174" s="33" t="n">
        <v>29.7</v>
      </c>
      <c r="K174" s="33" t="n">
        <v>16.33</v>
      </c>
      <c r="L174" s="33" t="n">
        <v>91.89</v>
      </c>
      <c r="M174" s="33" t="n">
        <v>3.61</v>
      </c>
      <c r="O174" s="33" t="n">
        <v>55.3</v>
      </c>
      <c r="P174" s="33" t="n">
        <v>48.79</v>
      </c>
      <c r="Q174" s="33" t="n">
        <v>32.3</v>
      </c>
      <c r="R174" s="33" t="n">
        <v>45.3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2</v>
      </c>
      <c r="Y174" s="33">
        <f>IFERROR((AVERAGE(T174,U174,V174,W174,X174)-1)*25,"")</f>
        <v/>
      </c>
      <c r="Z174" s="33" t="n">
        <v>4</v>
      </c>
      <c r="AA174" s="33" t="n">
        <v>5</v>
      </c>
      <c r="AB174" s="33" t="n">
        <v>3</v>
      </c>
      <c r="AC174" s="33" t="n">
        <v>75.8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2026-10-11</t>
        </is>
      </c>
      <c r="E175" s="33" t="n">
        <v>50.45411</v>
      </c>
      <c r="G175" s="33" t="n">
        <v>-4.69</v>
      </c>
      <c r="H175" s="33" t="n">
        <v>11.61</v>
      </c>
      <c r="I175" s="33">
        <f>IF(OR(E175="",R175="",R175&lt;=0,E175&lt;0),"",E175/R175)</f>
        <v/>
      </c>
      <c r="J175" s="33" t="n">
        <v>22.7</v>
      </c>
      <c r="L175" s="33" t="n">
        <v>40.7</v>
      </c>
      <c r="M175" s="33" t="n">
        <v>-54.41</v>
      </c>
      <c r="O175" s="33" t="n">
        <v>41.8</v>
      </c>
      <c r="P175" s="33" t="n">
        <v>25.67</v>
      </c>
      <c r="Q175" s="33" t="n">
        <v>104.2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21.7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2026-10-11</t>
        </is>
      </c>
      <c r="E176" s="33" t="n">
        <v>-2.4786325</v>
      </c>
      <c r="F176" s="33" t="n">
        <v>-1.035</v>
      </c>
      <c r="G176" s="33" t="n">
        <v>-45.01</v>
      </c>
      <c r="H176" s="33" t="n">
        <v>48.41197</v>
      </c>
      <c r="I176" s="33">
        <f>IF(OR(E176="",R176="",R176&lt;=0,E176&lt;0),"",E176/R176)</f>
        <v/>
      </c>
      <c r="J176" s="33" t="n">
        <v>19.9</v>
      </c>
      <c r="K176" s="33" t="n">
        <v>-42.42</v>
      </c>
      <c r="L176" s="33" t="n">
        <v>0</v>
      </c>
      <c r="M176" s="33" t="n">
        <v>-2179.25</v>
      </c>
      <c r="O176" s="33" t="n">
        <v>3.1</v>
      </c>
      <c r="P176" s="33" t="n">
        <v>190.78</v>
      </c>
      <c r="Q176" s="33" t="n">
        <v>404.4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12.5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2026-10-11</t>
        </is>
      </c>
      <c r="E177" s="33" t="n">
        <v>11.731317</v>
      </c>
      <c r="F177" s="33" t="n">
        <v>13.599</v>
      </c>
      <c r="G177" s="33" t="n">
        <v>-0.28</v>
      </c>
      <c r="H177" s="33" t="n">
        <v>0.92378426</v>
      </c>
      <c r="I177" s="33">
        <f>IF(OR(E177="",R177="",R177&lt;=0,E177&lt;0),"",E177/R177)</f>
        <v/>
      </c>
      <c r="J177" s="33" t="n">
        <v>70.09999999999999</v>
      </c>
      <c r="K177" s="33" t="n">
        <v>2.98</v>
      </c>
      <c r="L177" s="33" t="n">
        <v>38.77</v>
      </c>
      <c r="M177" s="33" t="n">
        <v>-0.25</v>
      </c>
      <c r="N177" s="33" t="n">
        <v>2.97</v>
      </c>
      <c r="O177" s="33" t="n">
        <v>58.4</v>
      </c>
      <c r="P177" s="33" t="n">
        <v>3.29</v>
      </c>
      <c r="Q177" s="33" t="n">
        <v>1.7</v>
      </c>
      <c r="R177" s="33" t="n">
        <v>-62.4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55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2026-10-11</t>
        </is>
      </c>
      <c r="E178" s="33" t="n">
        <v>35.88975353276455</v>
      </c>
      <c r="F178" s="33" t="n">
        <v>20.053</v>
      </c>
      <c r="H178" s="33" t="n">
        <v>6.3246255</v>
      </c>
      <c r="I178" s="33">
        <f>IF(OR(E178="",R178="",R178&lt;=0,E178&lt;0),"",E178/R178)</f>
        <v/>
      </c>
      <c r="J178" s="33" t="n">
        <v>46.7</v>
      </c>
      <c r="L178" s="33" t="n">
        <v>38.43</v>
      </c>
      <c r="N178" s="33" t="n">
        <v>-3.14</v>
      </c>
      <c r="O178" s="33" t="n">
        <v>75</v>
      </c>
      <c r="P178" s="33" t="n">
        <v>0.23</v>
      </c>
      <c r="Q178" s="33" t="n">
        <v>17.7</v>
      </c>
      <c r="R178" s="33" t="n">
        <v>34.7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43.3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2026-10-11</t>
        </is>
      </c>
      <c r="E179" s="33" t="n">
        <v>24.23914851541369</v>
      </c>
      <c r="F179" s="33" t="n">
        <v>19.508</v>
      </c>
      <c r="G179" s="33" t="n">
        <v>0.1</v>
      </c>
      <c r="H179" s="33" t="n">
        <v>2.2339933</v>
      </c>
      <c r="I179" s="33">
        <f>IF(OR(E179="",R179="",R179&lt;=0,E179&lt;0),"",E179/R179)</f>
        <v/>
      </c>
      <c r="J179" s="33" t="n">
        <v>59.9</v>
      </c>
      <c r="L179" s="33" t="n">
        <v>35.01</v>
      </c>
      <c r="M179" s="33" t="n">
        <v>0.23</v>
      </c>
      <c r="N179" s="33" t="n">
        <v>0.9399999999999999</v>
      </c>
      <c r="O179" s="33" t="n">
        <v>61.2</v>
      </c>
      <c r="P179" s="33" t="n">
        <v>-0.84</v>
      </c>
      <c r="Q179" s="33" t="n">
        <v>10.6</v>
      </c>
      <c r="R179" s="33" t="n">
        <v>-21.7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51.7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2026-10-11</t>
        </is>
      </c>
      <c r="E180" s="33" t="n">
        <v>55.248833</v>
      </c>
      <c r="F180" s="33" t="n">
        <v>76.58199999999999</v>
      </c>
      <c r="G180" s="33" t="n">
        <v>2.86</v>
      </c>
      <c r="H180" s="33" t="n">
        <v>9.753984000000001</v>
      </c>
      <c r="I180" s="33">
        <f>IF(OR(E180="",R180="",R180&lt;=0,E180&lt;0),"",E180/R180)</f>
        <v/>
      </c>
      <c r="J180" s="33" t="n">
        <v>45.5</v>
      </c>
      <c r="K180" s="33" t="n">
        <v>2.39</v>
      </c>
      <c r="L180" s="33" t="n">
        <v>21.27</v>
      </c>
      <c r="M180" s="33" t="n">
        <v>27.87</v>
      </c>
      <c r="N180" s="33" t="n">
        <v>-30.44</v>
      </c>
      <c r="O180" s="33" t="n">
        <v>66.3</v>
      </c>
      <c r="P180" s="33" t="n">
        <v>55.87</v>
      </c>
      <c r="Q180" s="33" t="n">
        <v>21.7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30.8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2026-10-11</t>
        </is>
      </c>
      <c r="E181" s="33" t="n">
        <v>25.980238</v>
      </c>
      <c r="F181" s="33" t="n">
        <v>24.98</v>
      </c>
      <c r="G181" s="33" t="n">
        <v>1.61</v>
      </c>
      <c r="H181" s="33" t="n">
        <v>8.24</v>
      </c>
      <c r="I181" s="33">
        <f>IF(OR(E181="",R181="",R181&lt;=0,E181&lt;0),"",E181/R181)</f>
        <v/>
      </c>
      <c r="J181" s="33" t="n">
        <v>39.7</v>
      </c>
      <c r="L181" s="33" t="n">
        <v>72.92</v>
      </c>
      <c r="M181" s="33" t="n">
        <v>13.24</v>
      </c>
      <c r="N181" s="33" t="n">
        <v>0.4</v>
      </c>
      <c r="O181" s="33" t="n">
        <v>88.40000000000001</v>
      </c>
      <c r="P181" s="33" t="n">
        <v>-2.57</v>
      </c>
      <c r="Q181" s="33" t="n">
        <v>43.5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75.8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2026-10-11</t>
        </is>
      </c>
      <c r="E182" s="33" t="n">
        <v>40.196354</v>
      </c>
      <c r="F182" s="33" t="n">
        <v>16.008</v>
      </c>
      <c r="H182" s="33" t="n">
        <v>3.112191</v>
      </c>
      <c r="I182" s="33">
        <f>IF(OR(E182="",R182="",R182&lt;=0,E182&lt;0),"",E182/R182)</f>
        <v/>
      </c>
      <c r="J182" s="33" t="n">
        <v>40.9</v>
      </c>
      <c r="L182" s="33" t="n">
        <v>25.28</v>
      </c>
      <c r="N182" s="33" t="n">
        <v>-1.88</v>
      </c>
      <c r="O182" s="33" t="n">
        <v>57.1</v>
      </c>
      <c r="P182" s="33" t="n">
        <v>8.85</v>
      </c>
      <c r="Q182" s="33" t="n">
        <v>10</v>
      </c>
      <c r="R182" s="33" t="n">
        <v>13.9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45.8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2026-10-11</t>
        </is>
      </c>
      <c r="E183" s="33" t="n">
        <v>7.5256085</v>
      </c>
      <c r="F183" s="33" t="n">
        <v>6.807</v>
      </c>
      <c r="G183" s="33" t="n">
        <v>24.11</v>
      </c>
      <c r="H183" s="33" t="n">
        <v>0.38966936</v>
      </c>
      <c r="I183" s="33">
        <f>IF(OR(E183="",R183="",R183&lt;=0,E183&lt;0),"",E183/R183)</f>
        <v/>
      </c>
      <c r="J183" s="33" t="n">
        <v>90.7</v>
      </c>
      <c r="L183" s="33" t="n">
        <v>26.32</v>
      </c>
      <c r="M183" s="33" t="n">
        <v>9.4</v>
      </c>
      <c r="N183" s="33" t="n">
        <v>4.25</v>
      </c>
      <c r="O183" s="33" t="n">
        <v>39.2</v>
      </c>
      <c r="P183" s="33" t="n">
        <v>0.48</v>
      </c>
      <c r="Q183" s="33" t="n">
        <v>7.7</v>
      </c>
      <c r="R183" s="33" t="n">
        <v>18.7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27.5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2026-10-11</t>
        </is>
      </c>
      <c r="E184" s="33" t="n">
        <v>17.616232</v>
      </c>
      <c r="F184" s="33" t="n">
        <v>943.23</v>
      </c>
      <c r="G184" s="33" t="n">
        <v>-57.2</v>
      </c>
      <c r="H184" s="33" t="n">
        <v>3.83</v>
      </c>
      <c r="I184" s="33">
        <f>IF(OR(E184="",R184="",R184&lt;=0,E184&lt;0),"",E184/R184)</f>
        <v/>
      </c>
      <c r="J184" s="33" t="n">
        <v>33.9</v>
      </c>
      <c r="L184" s="33" t="n">
        <v>35.71</v>
      </c>
      <c r="M184" s="33" t="n">
        <v>-218.82</v>
      </c>
      <c r="N184" s="33" t="n">
        <v>-181.82</v>
      </c>
      <c r="O184" s="33" t="n">
        <v>52.5</v>
      </c>
      <c r="P184" s="33" t="n">
        <v>29.74</v>
      </c>
      <c r="Q184" s="33" t="n">
        <v>25.3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1.7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2026-10-11</t>
        </is>
      </c>
      <c r="E185" s="33" t="n">
        <v>35.00391</v>
      </c>
      <c r="F185" s="33" t="n">
        <v>33.81</v>
      </c>
      <c r="G185" s="33" t="n">
        <v>2.15</v>
      </c>
      <c r="H185" s="33" t="n">
        <v>13.57353</v>
      </c>
      <c r="I185" s="33">
        <f>IF(OR(E185="",R185="",R185&lt;=0,E185&lt;0),"",E185/R185)</f>
        <v/>
      </c>
      <c r="J185" s="33" t="n">
        <v>43.6</v>
      </c>
      <c r="K185" s="33" t="n">
        <v>15.11</v>
      </c>
      <c r="L185" s="33" t="n">
        <v>66.68000000000001</v>
      </c>
      <c r="M185" s="33" t="n">
        <v>29.21</v>
      </c>
      <c r="N185" s="33" t="n">
        <v>-1.25</v>
      </c>
      <c r="O185" s="33" t="n">
        <v>96.2</v>
      </c>
      <c r="P185" s="33" t="n">
        <v>17.39</v>
      </c>
      <c r="Q185" s="33" t="n">
        <v>18.5</v>
      </c>
      <c r="R185" s="33" t="n">
        <v>24.3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25.8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2026-10-11</t>
        </is>
      </c>
      <c r="E186" s="33" t="n">
        <v>-15.690688</v>
      </c>
      <c r="F186" s="33" t="n">
        <v>-7.952</v>
      </c>
      <c r="G186" s="33" t="n">
        <v>-8.06</v>
      </c>
      <c r="H186" s="33" t="n">
        <v>3.123947</v>
      </c>
      <c r="I186" s="33">
        <f>IF(OR(E186="",R186="",R186&lt;=0,E186&lt;0),"",E186/R186)</f>
        <v/>
      </c>
      <c r="J186" s="33" t="n">
        <v>42.9</v>
      </c>
      <c r="K186" s="33" t="n">
        <v>-21.74</v>
      </c>
      <c r="L186" s="33" t="n">
        <v>63.36</v>
      </c>
      <c r="M186" s="33" t="n">
        <v>-25.17</v>
      </c>
      <c r="O186" s="33" t="n">
        <v>43.4</v>
      </c>
      <c r="P186" s="33" t="n">
        <v>60.14</v>
      </c>
      <c r="Q186" s="33" t="n">
        <v>19.3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39.2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2026-10-11</t>
        </is>
      </c>
      <c r="E187" s="33" t="n">
        <v>13.82871</v>
      </c>
      <c r="F187" s="33" t="n">
        <v>9.323</v>
      </c>
      <c r="G187" s="33" t="n">
        <v>7.44</v>
      </c>
      <c r="H187" s="33" t="n">
        <v>3.1869202</v>
      </c>
      <c r="I187" s="33">
        <f>IF(OR(E187="",R187="",R187&lt;=0,E187&lt;0),"",E187/R187)</f>
        <v/>
      </c>
      <c r="J187" s="33" t="n">
        <v>83.40000000000001</v>
      </c>
      <c r="K187" s="33" t="n">
        <v>10.91</v>
      </c>
      <c r="L187" s="33" t="n">
        <v>68.97</v>
      </c>
      <c r="M187" s="33" t="n">
        <v>23.72</v>
      </c>
      <c r="N187" s="33" t="n">
        <v>-0.48</v>
      </c>
      <c r="O187" s="33" t="n">
        <v>94.3</v>
      </c>
      <c r="P187" s="33" t="n">
        <v>42.17</v>
      </c>
      <c r="Q187" s="33" t="n">
        <v>5.9</v>
      </c>
      <c r="R187" s="33" t="n"/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5</v>
      </c>
      <c r="AA187" s="33" t="n">
        <v>2</v>
      </c>
      <c r="AB187" s="33" t="n">
        <v>3</v>
      </c>
      <c r="AC187" s="33" t="n">
        <v>30.8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2026-10-11</t>
        </is>
      </c>
      <c r="E188" s="33" t="n">
        <v>-44.083336</v>
      </c>
      <c r="F188" s="33" t="n">
        <v>-76.947</v>
      </c>
      <c r="G188" s="33" t="n">
        <v>-3.44</v>
      </c>
      <c r="H188" s="33" t="n">
        <v>10.094475</v>
      </c>
      <c r="I188" s="33">
        <f>IF(OR(E188="",R188="",R188&lt;=0,E188&lt;0),"",E188/R188)</f>
        <v/>
      </c>
      <c r="J188" s="33" t="n">
        <v>41.2</v>
      </c>
      <c r="K188" s="33" t="n">
        <v>-10.29</v>
      </c>
      <c r="L188" s="33" t="n">
        <v>47.65</v>
      </c>
      <c r="M188" s="33" t="n">
        <v>-34.76</v>
      </c>
      <c r="O188" s="33" t="n">
        <v>43.4</v>
      </c>
      <c r="P188" s="33" t="n">
        <v>209.27</v>
      </c>
      <c r="Q188" s="33" t="n">
        <v>39.4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16.7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2026-10-11</t>
        </is>
      </c>
      <c r="E189" s="33" t="n">
        <v>70.76779999999999</v>
      </c>
      <c r="G189" s="33" t="n">
        <v>0.25</v>
      </c>
      <c r="H189" s="33" t="n">
        <v>33.74</v>
      </c>
      <c r="I189" s="33">
        <f>IF(OR(E189="",R189="",R189&lt;=0,E189&lt;0),"",E189/R189)</f>
        <v/>
      </c>
      <c r="J189" s="33" t="n">
        <v>23.6</v>
      </c>
      <c r="L189" s="33" t="n">
        <v>48.38</v>
      </c>
      <c r="M189" s="33" t="n">
        <v>8.43</v>
      </c>
      <c r="O189" s="33" t="n">
        <v>73.09999999999999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21.7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2026-10-11</t>
        </is>
      </c>
      <c r="E190" s="33" t="n">
        <v>89.20387111981756</v>
      </c>
      <c r="F190" s="33" t="n">
        <v>50.329</v>
      </c>
      <c r="G190" s="33" t="n">
        <v>0.08</v>
      </c>
      <c r="H190" s="33" t="n">
        <v>9.384907</v>
      </c>
      <c r="I190" s="33">
        <f>IF(OR(E190="",R190="",R190&lt;=0,E190&lt;0),"",E190/R190)</f>
        <v/>
      </c>
      <c r="J190" s="33" t="n">
        <v>26.6</v>
      </c>
      <c r="L190" s="33" t="n">
        <v>32.25</v>
      </c>
      <c r="M190" s="33" t="n">
        <v>0.82</v>
      </c>
      <c r="N190" s="33" t="n">
        <v>-0.46</v>
      </c>
      <c r="O190" s="33" t="n">
        <v>61.2</v>
      </c>
      <c r="P190" s="33" t="n">
        <v>-5.92</v>
      </c>
      <c r="Q190" s="33" t="n">
        <v>23.6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63.3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2026-10-11</t>
        </is>
      </c>
      <c r="E191" s="33" t="n">
        <v>45.040787</v>
      </c>
      <c r="F191" s="33" t="n">
        <v>12.361</v>
      </c>
      <c r="G191" s="33" t="n">
        <v>4.48</v>
      </c>
      <c r="H191" s="33" t="n">
        <v>1.8239324</v>
      </c>
      <c r="I191" s="33">
        <f>IF(OR(E191="",R191="",R191&lt;=0,E191&lt;0),"",E191/R191)</f>
        <v/>
      </c>
      <c r="J191" s="33" t="n">
        <v>69.09999999999999</v>
      </c>
      <c r="L191" s="33" t="n">
        <v>32.36</v>
      </c>
      <c r="M191" s="33" t="n">
        <v>8.17</v>
      </c>
      <c r="N191" s="33" t="n">
        <v>-0.97</v>
      </c>
      <c r="O191" s="33" t="n">
        <v>65.8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53.3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2026-10-11</t>
        </is>
      </c>
      <c r="E192" s="33" t="n">
        <v>34.295937</v>
      </c>
      <c r="F192" s="33" t="n">
        <v>13.362</v>
      </c>
      <c r="G192" s="33" t="n">
        <v>4.85</v>
      </c>
      <c r="H192" s="33" t="n">
        <v>3.4934394</v>
      </c>
      <c r="I192" s="33">
        <f>IF(OR(E192="",R192="",R192&lt;=0,E192&lt;0),"",E192/R192)</f>
        <v/>
      </c>
      <c r="J192" s="33" t="n">
        <v>58</v>
      </c>
      <c r="L192" s="33" t="n">
        <v>38.53</v>
      </c>
      <c r="M192" s="33" t="n">
        <v>16.95</v>
      </c>
      <c r="N192" s="33" t="n">
        <v>0.41</v>
      </c>
      <c r="O192" s="33" t="n">
        <v>75.8</v>
      </c>
      <c r="P192" s="33" t="n">
        <v>-15.16</v>
      </c>
      <c r="Q192" s="33" t="n">
        <v>-10.2</v>
      </c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59.2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2026-10-11</t>
        </is>
      </c>
      <c r="E193" s="33" t="n">
        <v>29.283234</v>
      </c>
      <c r="F193" s="33" t="n">
        <v>25.109</v>
      </c>
      <c r="G193" s="33" t="n">
        <v>2.99</v>
      </c>
      <c r="H193" s="33" t="n">
        <v>4.4582596</v>
      </c>
      <c r="I193" s="33">
        <f>IF(OR(E193="",R193="",R193&lt;=0,E193&lt;0),"",E193/R193)</f>
        <v/>
      </c>
      <c r="J193" s="33" t="n">
        <v>49.6</v>
      </c>
      <c r="L193" s="33" t="n">
        <v>30.61</v>
      </c>
      <c r="M193" s="33" t="n">
        <v>13.33</v>
      </c>
      <c r="N193" s="33" t="n">
        <v>0.07000000000000001</v>
      </c>
      <c r="O193" s="33" t="n">
        <v>66.3</v>
      </c>
      <c r="P193" s="33" t="n">
        <v>-6.11</v>
      </c>
      <c r="Q193" s="33" t="n">
        <v>26.7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61.7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2026-10-11</t>
        </is>
      </c>
      <c r="E194" s="33" t="n">
        <v>15.988677</v>
      </c>
      <c r="F194" s="33" t="n">
        <v>10.723</v>
      </c>
      <c r="G194" s="33" t="n">
        <v>4.78</v>
      </c>
      <c r="H194" s="33" t="n">
        <v>1.6952089</v>
      </c>
      <c r="I194" s="33">
        <f>IF(OR(E194="",R194="",R194&lt;=0,E194&lt;0),"",E194/R194)</f>
        <v/>
      </c>
      <c r="J194" s="33" t="n">
        <v>69.3</v>
      </c>
      <c r="K194" s="33" t="n">
        <v>7.6</v>
      </c>
      <c r="L194" s="33" t="n">
        <v>32.67</v>
      </c>
      <c r="M194" s="33" t="n">
        <v>8.1</v>
      </c>
      <c r="N194" s="33" t="n">
        <v>1.95</v>
      </c>
      <c r="O194" s="33" t="n">
        <v>63.1</v>
      </c>
      <c r="P194" s="33" t="n">
        <v>0.63</v>
      </c>
      <c r="Q194" s="33" t="n">
        <v>7.5</v>
      </c>
      <c r="R194" s="33" t="n">
        <v>-63.2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59.2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2026-10-11</t>
        </is>
      </c>
      <c r="E195" s="33" t="n">
        <v>12.762324</v>
      </c>
      <c r="F195" s="33" t="n">
        <v>12.537</v>
      </c>
      <c r="G195" s="33" t="n">
        <v>4.24</v>
      </c>
      <c r="H195" s="33" t="n">
        <v>1.8141332</v>
      </c>
      <c r="I195" s="33">
        <f>IF(OR(E195="",R195="",R195&lt;=0,E195&lt;0),"",E195/R195)</f>
        <v/>
      </c>
      <c r="J195" s="33" t="n">
        <v>74.59999999999999</v>
      </c>
      <c r="K195" s="33" t="n">
        <v>4.63</v>
      </c>
      <c r="L195" s="33" t="n">
        <v>37.45</v>
      </c>
      <c r="M195" s="33" t="n">
        <v>7.7</v>
      </c>
      <c r="N195" s="33" t="n">
        <v>3.55</v>
      </c>
      <c r="O195" s="33" t="n">
        <v>56</v>
      </c>
      <c r="P195" s="33" t="n">
        <v>4.38</v>
      </c>
      <c r="Q195" s="33" t="n">
        <v>4.2</v>
      </c>
      <c r="R195" s="33" t="n">
        <v>47.2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45.8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2026-10-11</t>
        </is>
      </c>
      <c r="E196" s="33" t="n">
        <v>32.980453</v>
      </c>
      <c r="F196" s="33" t="n">
        <v>27.221</v>
      </c>
      <c r="G196" s="33" t="n">
        <v>1.47</v>
      </c>
      <c r="H196" s="33" t="n">
        <v>3.2512257</v>
      </c>
      <c r="I196" s="33">
        <f>IF(OR(E196="",R196="",R196&lt;=0,E196&lt;0),"",E196/R196)</f>
        <v/>
      </c>
      <c r="J196" s="33" t="n">
        <v>49.7</v>
      </c>
      <c r="K196" s="33" t="n">
        <v>7.78</v>
      </c>
      <c r="L196" s="33" t="n">
        <v>33.33</v>
      </c>
      <c r="M196" s="33" t="n">
        <v>4.78</v>
      </c>
      <c r="N196" s="33" t="n">
        <v>2.03</v>
      </c>
      <c r="O196" s="33" t="n">
        <v>59.7</v>
      </c>
      <c r="P196" s="33" t="n">
        <v>3.3</v>
      </c>
      <c r="Q196" s="33" t="n">
        <v>10.2</v>
      </c>
      <c r="R196" s="33" t="n">
        <v>85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78.3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2026-10-11</t>
        </is>
      </c>
      <c r="E197" s="33" t="n">
        <v>32.35417</v>
      </c>
      <c r="F197" s="33" t="n">
        <v>27.627</v>
      </c>
      <c r="G197" s="33" t="n">
        <v>2.14</v>
      </c>
      <c r="H197" s="33" t="n">
        <v>5.188792</v>
      </c>
      <c r="I197" s="33">
        <f>IF(OR(E197="",R197="",R197&lt;=0,E197&lt;0),"",E197/R197)</f>
        <v/>
      </c>
      <c r="J197" s="33" t="n">
        <v>48</v>
      </c>
      <c r="K197" s="33" t="n">
        <v>4.91</v>
      </c>
      <c r="L197" s="33" t="n">
        <v>44.54</v>
      </c>
      <c r="M197" s="33" t="n">
        <v>11.1</v>
      </c>
      <c r="N197" s="33" t="n">
        <v>-2.39</v>
      </c>
      <c r="O197" s="33" t="n">
        <v>80.09999999999999</v>
      </c>
      <c r="P197" s="33" t="n">
        <v>4.43</v>
      </c>
      <c r="Q197" s="33" t="n">
        <v>10.3</v>
      </c>
      <c r="R197" s="33" t="n">
        <v>178.9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54.2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2026-10-11</t>
        </is>
      </c>
      <c r="E198" s="33" t="n">
        <v>40.575417</v>
      </c>
      <c r="F198" s="33" t="n">
        <v>41.034</v>
      </c>
      <c r="G198" s="33" t="n">
        <v>-0.77</v>
      </c>
      <c r="H198" s="33" t="n">
        <v>2.9443035</v>
      </c>
      <c r="I198" s="33">
        <f>IF(OR(E198="",R198="",R198&lt;=0,E198&lt;0),"",E198/R198)</f>
        <v/>
      </c>
      <c r="J198" s="33" t="n">
        <v>36.7</v>
      </c>
      <c r="K198" s="33" t="n">
        <v>1.27</v>
      </c>
      <c r="L198" s="33" t="n">
        <v>38.75</v>
      </c>
      <c r="M198" s="33" t="n">
        <v>-2.27</v>
      </c>
      <c r="N198" s="33" t="n">
        <v>-1.55</v>
      </c>
      <c r="O198" s="33" t="n">
        <v>63.1</v>
      </c>
      <c r="P198" s="33" t="n">
        <v>-5.37</v>
      </c>
      <c r="Q198" s="33" t="n">
        <v>11.7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51.7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2026-10-11</t>
        </is>
      </c>
      <c r="E199" s="33" t="n">
        <v>31.035128</v>
      </c>
      <c r="F199" s="33" t="n">
        <v>37.266</v>
      </c>
      <c r="G199" s="33" t="n">
        <v>2.53</v>
      </c>
      <c r="H199" s="33" t="n">
        <v>9.720223000000001</v>
      </c>
      <c r="I199" s="33">
        <f>IF(OR(E199="",R199="",R199&lt;=0,E199&lt;0),"",E199/R199)</f>
        <v/>
      </c>
      <c r="J199" s="33" t="n">
        <v>44.9</v>
      </c>
      <c r="K199" s="33" t="n">
        <v>8.23</v>
      </c>
      <c r="L199" s="33" t="n">
        <v>68.87</v>
      </c>
      <c r="M199" s="33" t="n">
        <v>24.64</v>
      </c>
      <c r="N199" s="33" t="n">
        <v>-1.24</v>
      </c>
      <c r="O199" s="33" t="n">
        <v>93.3</v>
      </c>
      <c r="P199" s="33" t="n">
        <v>-0.39</v>
      </c>
      <c r="Q199" s="33" t="n">
        <v>16.9</v>
      </c>
      <c r="R199" s="33" t="n">
        <v>79.59999999999999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58.3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2026-10-11</t>
        </is>
      </c>
      <c r="E200" s="33" t="n">
        <v>44.140699778746</v>
      </c>
      <c r="H200" s="33" t="n">
        <v>15.566181</v>
      </c>
      <c r="I200" s="33">
        <f>IF(OR(E200="",R200="",R200&lt;=0,E200&lt;0),"",E200/R200)</f>
        <v/>
      </c>
      <c r="J200" s="33" t="n">
        <v>41.4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75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2026-10-11</t>
        </is>
      </c>
      <c r="E201" s="33" t="n">
        <v>-319.2</v>
      </c>
      <c r="F201" s="33" t="n">
        <v>-47.393</v>
      </c>
      <c r="G201" s="33" t="n">
        <v>-2.87</v>
      </c>
      <c r="H201" s="33" t="n">
        <v>14.041893</v>
      </c>
      <c r="I201" s="33">
        <f>IF(OR(E201="",R201="",R201&lt;=0,E201&lt;0),"",E201/R201)</f>
        <v/>
      </c>
      <c r="J201" s="33" t="n">
        <v>38.6</v>
      </c>
      <c r="K201" s="33" t="n">
        <v>-12.62</v>
      </c>
      <c r="L201" s="33" t="n">
        <v>46.62</v>
      </c>
      <c r="M201" s="33" t="n">
        <v>-40.25</v>
      </c>
      <c r="O201" s="33" t="n">
        <v>39.3</v>
      </c>
      <c r="P201" s="33" t="n">
        <v>60.42</v>
      </c>
      <c r="Q201" s="33" t="n">
        <v>55.9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68.3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2026-10-11</t>
        </is>
      </c>
      <c r="E202" s="33" t="n">
        <v>18.215984</v>
      </c>
      <c r="G202" s="33" t="n">
        <v>-0.24</v>
      </c>
      <c r="H202" s="33" t="n">
        <v>40.3</v>
      </c>
      <c r="I202" s="33">
        <f>IF(OR(E202="",R202="",R202&lt;=0,E202&lt;0),"",E202/R202)</f>
        <v/>
      </c>
      <c r="J202" s="33" t="n">
        <v>43.3</v>
      </c>
      <c r="K202" s="33" t="n">
        <v>1.41</v>
      </c>
      <c r="L202" s="33" t="n">
        <v>40.65</v>
      </c>
      <c r="M202" s="33" t="n">
        <v>-9.83</v>
      </c>
      <c r="N202" s="33" t="n">
        <v>-65.68000000000001</v>
      </c>
      <c r="O202" s="33" t="n">
        <v>63.4</v>
      </c>
      <c r="P202" s="33" t="n">
        <v>36.03</v>
      </c>
      <c r="Q202" s="33" t="n">
        <v>21.9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25.8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2026-10-11</t>
        </is>
      </c>
      <c r="E203" s="33" t="n">
        <v>-8.495025</v>
      </c>
      <c r="F203" s="33" t="n">
        <v>-7.293</v>
      </c>
      <c r="G203" s="33" t="n">
        <v>-12.25</v>
      </c>
      <c r="H203" s="33" t="n">
        <v>44.08652</v>
      </c>
      <c r="I203" s="33">
        <f>IF(OR(E203="",R203="",R203&lt;=0,E203&lt;0),"",E203/R203)</f>
        <v/>
      </c>
      <c r="J203" s="33" t="n">
        <v>24.8</v>
      </c>
      <c r="K203" s="33" t="n">
        <v>-51.65</v>
      </c>
      <c r="L203" s="33" t="n">
        <v>27.22</v>
      </c>
      <c r="M203" s="33" t="n">
        <v>-540.1900000000001</v>
      </c>
      <c r="O203" s="33" t="n">
        <v>9.4</v>
      </c>
      <c r="P203" s="33" t="n">
        <v>62.77</v>
      </c>
      <c r="Q203" s="33" t="n">
        <v>11.3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47.5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2026-10-11</t>
        </is>
      </c>
      <c r="E204" s="33" t="n">
        <v>19.816217</v>
      </c>
      <c r="G204" s="33" t="n">
        <v>-6.68</v>
      </c>
      <c r="H204" s="33" t="n">
        <v>2.93</v>
      </c>
      <c r="I204" s="33">
        <f>IF(OR(E204="",R204="",R204&lt;=0,E204&lt;0),"",E204/R204)</f>
        <v/>
      </c>
      <c r="J204" s="33" t="n">
        <v>57.9</v>
      </c>
      <c r="L204" s="33" t="n">
        <v>24.49</v>
      </c>
      <c r="M204" s="33" t="n">
        <v>-19.56</v>
      </c>
      <c r="O204" s="33" t="n">
        <v>21.7</v>
      </c>
      <c r="P204" s="33" t="n">
        <v>54.11</v>
      </c>
      <c r="Q204" s="33" t="n">
        <v>23.2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2.5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2026-10-11</t>
        </is>
      </c>
      <c r="E205" s="33" t="n">
        <v>19.298052</v>
      </c>
      <c r="F205" s="33" t="n">
        <v>17.557</v>
      </c>
      <c r="G205" s="33" t="n">
        <v>3.79</v>
      </c>
      <c r="H205" s="33" t="n">
        <v>2.6032784</v>
      </c>
      <c r="I205" s="33">
        <f>IF(OR(E205="",R205="",R205&lt;=0,E205&lt;0),"",E205/R205)</f>
        <v/>
      </c>
      <c r="J205" s="33" t="n">
        <v>65.90000000000001</v>
      </c>
      <c r="L205" s="33" t="n">
        <v>49.05</v>
      </c>
      <c r="M205" s="33" t="n">
        <v>9.880000000000001</v>
      </c>
      <c r="N205" s="33" t="n">
        <v>0.7</v>
      </c>
      <c r="O205" s="33" t="n">
        <v>81.5</v>
      </c>
      <c r="P205" s="33" t="n">
        <v>-6.45</v>
      </c>
      <c r="Q205" s="33" t="n">
        <v>43.7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54.2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2026-10-11</t>
        </is>
      </c>
      <c r="E206" s="33" t="n">
        <v>14.59044</v>
      </c>
      <c r="F206" s="33" t="n">
        <v>-19.932</v>
      </c>
      <c r="G206" s="33" t="n">
        <v>6.43</v>
      </c>
      <c r="H206" s="33" t="n">
        <v>2.9942122</v>
      </c>
      <c r="I206" s="33">
        <f>IF(OR(E206="",R206="",R206&lt;=0,E206&lt;0),"",E206/R206)</f>
        <v/>
      </c>
      <c r="J206" s="33" t="n">
        <v>81.09999999999999</v>
      </c>
      <c r="K206" s="33" t="n">
        <v>-3.65</v>
      </c>
      <c r="L206" s="33" t="n">
        <v>47.37</v>
      </c>
      <c r="M206" s="33" t="n">
        <v>19.25</v>
      </c>
      <c r="O206" s="33" t="n">
        <v>67.3</v>
      </c>
      <c r="P206" s="33" t="n">
        <v>0.44</v>
      </c>
      <c r="Q206" s="33" t="n">
        <v>0.4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44.2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2026-10-11</t>
        </is>
      </c>
      <c r="E207" s="33" t="n">
        <v>37.96039</v>
      </c>
      <c r="F207" s="33" t="n">
        <v>76.196</v>
      </c>
      <c r="G207" s="33" t="n">
        <v>-1.62</v>
      </c>
      <c r="H207" s="33" t="n">
        <v>5.217305</v>
      </c>
      <c r="I207" s="33">
        <f>IF(OR(E207="",R207="",R207&lt;=0,E207&lt;0),"",E207/R207)</f>
        <v/>
      </c>
      <c r="J207" s="33" t="n">
        <v>42.4</v>
      </c>
      <c r="K207" s="33" t="n">
        <v>0.48</v>
      </c>
      <c r="L207" s="33" t="n">
        <v>23</v>
      </c>
      <c r="M207" s="33" t="n">
        <v>-8.470000000000001</v>
      </c>
      <c r="N207" s="33" t="n">
        <v>-14.3</v>
      </c>
      <c r="O207" s="33" t="n">
        <v>49.1</v>
      </c>
      <c r="P207" s="33" t="n">
        <v>14.45</v>
      </c>
      <c r="Q207" s="33" t="n">
        <v>30.5</v>
      </c>
      <c r="R207" s="33" t="n">
        <v>51.7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13.3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2026-10-11</t>
        </is>
      </c>
      <c r="E208" s="33" t="n">
        <v>33.80864016126505</v>
      </c>
      <c r="F208" s="33" t="n">
        <v>33.368</v>
      </c>
      <c r="G208" s="33" t="n">
        <v>-0.64</v>
      </c>
      <c r="H208" s="33" t="n">
        <v>3.4793875</v>
      </c>
      <c r="I208" s="33">
        <f>IF(OR(E208="",R208="",R208&lt;=0,E208&lt;0),"",E208/R208)</f>
        <v/>
      </c>
      <c r="J208" s="33" t="n">
        <v>39.5</v>
      </c>
      <c r="K208" s="33" t="n">
        <v>-0.18</v>
      </c>
      <c r="L208" s="33" t="n">
        <v>26.47</v>
      </c>
      <c r="M208" s="33" t="n">
        <v>-2.24</v>
      </c>
      <c r="N208" s="33" t="n">
        <v>1.24</v>
      </c>
      <c r="O208" s="33" t="n">
        <v>46.4</v>
      </c>
      <c r="P208" s="33" t="n">
        <v>54.07</v>
      </c>
      <c r="Q208" s="33" t="n">
        <v>5.7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20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2026-10-11</t>
        </is>
      </c>
      <c r="E209" s="33" t="n">
        <v>-10.396397</v>
      </c>
      <c r="F209" s="33" t="n">
        <v>-6.045</v>
      </c>
      <c r="G209" s="33" t="n">
        <v>-17.9</v>
      </c>
      <c r="H209" s="33" t="n">
        <v>12.31688</v>
      </c>
      <c r="I209" s="33">
        <f>IF(OR(E209="",R209="",R209&lt;=0,E209&lt;0),"",E209/R209)</f>
        <v/>
      </c>
      <c r="J209" s="33" t="n">
        <v>28.5</v>
      </c>
      <c r="K209" s="33" t="n">
        <v>-17.01</v>
      </c>
      <c r="L209" s="33" t="n">
        <v>9.75</v>
      </c>
      <c r="M209" s="33" t="n">
        <v>-220.44</v>
      </c>
      <c r="O209" s="33" t="n">
        <v>11</v>
      </c>
      <c r="P209" s="33" t="n">
        <v>85.04000000000001</v>
      </c>
      <c r="Q209" s="33" t="n">
        <v>527.2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18.3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2026-10-11</t>
        </is>
      </c>
      <c r="E210" s="33" t="n">
        <v>-336.5</v>
      </c>
      <c r="F210" s="33" t="n">
        <v>-15.31</v>
      </c>
      <c r="G210" s="33" t="n">
        <v>-4.39</v>
      </c>
      <c r="H210" s="33" t="n">
        <v>22.509073</v>
      </c>
      <c r="I210" s="33">
        <f>IF(OR(E210="",R210="",R210&lt;=0,E210&lt;0),"",E210/R210)</f>
        <v/>
      </c>
      <c r="J210" s="33" t="n">
        <v>32.3</v>
      </c>
      <c r="K210" s="33" t="n">
        <v>-7.96</v>
      </c>
      <c r="L210" s="33" t="n">
        <v>43.72</v>
      </c>
      <c r="M210" s="33" t="n">
        <v>-98.81</v>
      </c>
      <c r="O210" s="33" t="n">
        <v>38.7</v>
      </c>
      <c r="P210" s="33" t="n">
        <v>187.9</v>
      </c>
      <c r="Q210" s="33" t="n">
        <v>1235.4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29.2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2026-10-11</t>
        </is>
      </c>
      <c r="E211" s="33" t="n">
        <v>-64.42335</v>
      </c>
      <c r="F211" s="33" t="n">
        <v>-26.393</v>
      </c>
      <c r="G211" s="33" t="n">
        <v>-4.93</v>
      </c>
      <c r="H211" s="33" t="n">
        <v>32.670425</v>
      </c>
      <c r="I211" s="33">
        <f>IF(OR(E211="",R211="",R211&lt;=0,E211&lt;0),"",E211/R211)</f>
        <v/>
      </c>
      <c r="J211" s="33" t="n">
        <v>31.8</v>
      </c>
      <c r="K211" s="33" t="n">
        <v>-6.02</v>
      </c>
      <c r="L211" s="33" t="n">
        <v>34.76</v>
      </c>
      <c r="M211" s="33" t="n">
        <v>-160.98</v>
      </c>
      <c r="O211" s="33" t="n">
        <v>30.7</v>
      </c>
      <c r="Q211" s="33" t="n">
        <v>687.3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58.3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2026-10-11</t>
        </is>
      </c>
      <c r="E212" s="33" t="n">
        <v>391.25</v>
      </c>
      <c r="F212" s="33" t="n">
        <v>-46.738</v>
      </c>
      <c r="G212" s="33" t="n">
        <v>-1.14</v>
      </c>
      <c r="H212" s="33" t="n">
        <v>5.363186</v>
      </c>
      <c r="I212" s="33">
        <f>IF(OR(E212="",R212="",R212&lt;=0,E212&lt;0),"",E212/R212)</f>
        <v/>
      </c>
      <c r="J212" s="33" t="n">
        <v>45.6</v>
      </c>
      <c r="L212" s="33" t="n">
        <v>59.3</v>
      </c>
      <c r="M212" s="33" t="n">
        <v>-6.14</v>
      </c>
      <c r="N212" s="33" t="n"/>
      <c r="O212" s="33" t="n">
        <v>61.8</v>
      </c>
      <c r="P212" s="33" t="n">
        <v>134.44</v>
      </c>
      <c r="Q212" s="33" t="n">
        <v>73.3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4.2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2026-10-11</t>
        </is>
      </c>
      <c r="E213" s="33" t="n">
        <v>-6.9041095</v>
      </c>
      <c r="F213" s="33" t="n">
        <v>-5.516</v>
      </c>
      <c r="G213" s="33" t="n">
        <v>-14.76</v>
      </c>
      <c r="H213" s="33" t="n">
        <v>20.998657</v>
      </c>
      <c r="I213" s="33">
        <f>IF(OR(E213="",R213="",R213&lt;=0,E213&lt;0),"",E213/R213)</f>
        <v/>
      </c>
      <c r="J213" s="33" t="n">
        <v>25.9</v>
      </c>
      <c r="K213" s="33" t="n">
        <v>-39.17</v>
      </c>
      <c r="L213" s="33" t="n">
        <v>28.75</v>
      </c>
      <c r="M213" s="33" t="n">
        <v>-309.96</v>
      </c>
      <c r="O213" s="33" t="n">
        <v>14.1</v>
      </c>
      <c r="P213" s="33" t="n">
        <v>-28.86</v>
      </c>
      <c r="Q213" s="33" t="n">
        <v>469.8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35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2026-10-11</t>
        </is>
      </c>
      <c r="E214" s="33" t="n">
        <v>25.95218360984106</v>
      </c>
      <c r="F214" s="33" t="n">
        <v>52.241</v>
      </c>
      <c r="G214" s="33" t="n">
        <v>1.32</v>
      </c>
      <c r="H214" s="33" t="n">
        <v>7.0092845</v>
      </c>
      <c r="I214" s="33">
        <f>IF(OR(E214="",R214="",R214&lt;=0,E214&lt;0),"",E214/R214)</f>
        <v/>
      </c>
      <c r="J214" s="33" t="n">
        <v>38.8</v>
      </c>
      <c r="K214" s="33" t="n">
        <v>4.18</v>
      </c>
      <c r="L214" s="33" t="n">
        <v>47.38</v>
      </c>
      <c r="M214" s="33" t="n">
        <v>9.289999999999999</v>
      </c>
      <c r="N214" s="33" t="n">
        <v>1.05</v>
      </c>
      <c r="O214" s="33" t="n">
        <v>33.1</v>
      </c>
      <c r="P214" s="33" t="n">
        <v>-2.95</v>
      </c>
      <c r="Q214" s="33" t="n">
        <v>27.5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50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2026-10-11</t>
        </is>
      </c>
      <c r="E215" s="33" t="n">
        <v>16.780619</v>
      </c>
      <c r="F215" s="33" t="n">
        <v>15.321</v>
      </c>
      <c r="G215" s="33" t="n">
        <v>6.88</v>
      </c>
      <c r="H215" s="33" t="n">
        <v>2.9941127</v>
      </c>
      <c r="I215" s="33">
        <f>IF(OR(E215="",R215="",R215&lt;=0,E215&lt;0),"",E215/R215)</f>
        <v/>
      </c>
      <c r="J215" s="33" t="n">
        <v>78.09999999999999</v>
      </c>
      <c r="L215" s="33" t="n">
        <v>39.38</v>
      </c>
      <c r="M215" s="33" t="n">
        <v>20.6</v>
      </c>
      <c r="N215" s="33" t="n">
        <v>1.38</v>
      </c>
      <c r="O215" s="33" t="n">
        <v>44.7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46.7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097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  <row r="2922">
      <c r="A2922" s="33" t="inlineStr">
        <is>
          <t>2026-09-02</t>
        </is>
      </c>
      <c r="B2922" s="33" t="inlineStr">
        <is>
          <t>CRDO</t>
        </is>
      </c>
      <c r="C2922" s="33" t="inlineStr">
        <is>
          <t>M2</t>
        </is>
      </c>
      <c r="D2922" s="33" t="n">
        <v>4</v>
      </c>
      <c r="E2922" s="33" t="inlineStr">
        <is>
          <t>CHANGED 5 -&gt; 4. Rubric M2 is 6-month performance vs sector benchmark (SMH for semis). Measured 2026-09-02: CRDO +52.8% vs SMH +44.2% = +8.6pp outperformance, which is band 4 (5-20%), no longer band 5 (&gt;20%). Note the 3-month read is -15.2pp (band 2) after the -20.0% post-earnings session (206.63 -&gt; 165.22 on 29.9M shares); the 6-month band governs, so 4, not 3. This is a multiple de-rating, not an estimate cut - see the M1 entry: the two dimensions are correctly pulling apart.</t>
        </is>
      </c>
      <c r="F2922" s="33" t="inlineStr">
        <is>
          <t>yfinance price history 2026-09-02 (CRDO vs SMH, 126 trading days); rubric M2 bands</t>
        </is>
      </c>
      <c r="G2922" s="33" t="inlineStr">
        <is>
          <t>High</t>
        </is>
      </c>
      <c r="H2922" s="33" t="inlineStr">
        <is>
          <t>Claude proposed</t>
        </is>
      </c>
    </row>
    <row r="2923">
      <c r="A2923" s="33" t="inlineStr">
        <is>
          <t>2026-09-02</t>
        </is>
      </c>
      <c r="B2923" s="33" t="inlineStr">
        <is>
          <t>CRDO</t>
        </is>
      </c>
      <c r="C2923" s="33" t="inlineStr">
        <is>
          <t>M1</t>
        </is>
      </c>
      <c r="D2923" s="33" t="n">
        <v>5</v>
      </c>
      <c r="E2923" s="33" t="inlineStr">
        <is>
          <t>HELD at 5. Next-year consensus EPS moved 8.62 -&gt; 8.91 -&gt; 9.08 -&gt; 9.12 -&gt; 9.63 across the 90/60/30/7-day/current columns (+11.6%); current-year 6.06 -&gt; 6.27. Revision counts last 30 days: +1y 5 up / 0 down, 0q 4 up / 0 down, +1q 4 up / 0 down. That is the rubric's band-5 'multiple upward revisions, beat-and-raise, consensus moving higher'. Deliberately NOT marked down for the -20% price move: M1 measures estimates, M2 measures price. Rubric bias check applies ('near-mechanical rating, not a judgment call').</t>
        </is>
      </c>
      <c r="F2923" s="33" t="inlineStr">
        <is>
          <t>yfinance eps_trend / eps_revisions, pulled 2026-09-02</t>
        </is>
      </c>
      <c r="G2923" s="33" t="inlineStr">
        <is>
          <t>High</t>
        </is>
      </c>
      <c r="H2923" s="33" t="inlineStr">
        <is>
          <t>Claude proposed</t>
        </is>
      </c>
    </row>
    <row r="2924">
      <c r="A2924" s="33" t="inlineStr">
        <is>
          <t>2026-09-02</t>
        </is>
      </c>
      <c r="B2924" s="33" t="inlineStr">
        <is>
          <t>CRDO</t>
        </is>
      </c>
      <c r="C2924" s="33" t="inlineStr">
        <is>
          <t>M3</t>
        </is>
      </c>
      <c r="D2924" s="33" t="n">
        <v>3</v>
      </c>
      <c r="E2924" s="33" t="inlineStr">
        <is>
          <t>HELD at 3, now evidenced rather than defaulted. Parsed all 120 Form 4 filings 2025-09-02..2026-09-02 using the aff10b5One checkbox per transaction-filing (an earlier text-match pass was unreliable and is superseded). Step 1: ZERO open-market purchases (code P) in 12 months - no path to 4 or 5. Step 2: the large sales are 10b5-1 and therefore routine per the AIP precedent - CTO Cheng 1,333,763sh/$219.5M, COO Lam 811,439sh/$137.7M, CEO Brennan 388,440sh/$56.9M, CFO Fleming 180,092sh/$30.2M. Step 3: discretionary open-market selling by % of pre-holdings - Acevedo(Dir) 21.5%, Laufman(CLO) 14.7%, Hosein(Dir) 14.5%, Danesh(Dir) 13.2%, Khaira(Dir) 10.7%, Tan(Dir) 9.2%, Brennan(CEO) 8.0%; only ONE person clears 15%, so band 2's 'across multiple executives' is not met. Step 4 default = 3. FLAGGED FOR DOM, not acted on: aggregate 12-month insider selling is ~$446M, with the CTO exiting 92.2% and the CEO 54.1% of holdings on an all-sells basis. The rubric deliberately treats that as routine when it is plan-driven; the 'is anyone BUYING' test is the live concern, and the answer is no one, across 120 filings.</t>
        </is>
      </c>
      <c r="F2924" s="33" t="inlineStr">
        <is>
          <t>SEC EDGAR Form 4 CIK 1807794, 120 filings 2025-09-02..2026-09-02, aff10b5One per filing</t>
        </is>
      </c>
      <c r="G2924" s="33" t="inlineStr">
        <is>
          <t>High</t>
        </is>
      </c>
      <c r="H2924" s="33" t="inlineStr">
        <is>
          <t>Claude proposed</t>
        </is>
      </c>
    </row>
    <row r="2925">
      <c r="A2925" s="33" t="inlineStr">
        <is>
          <t>2026-09-02</t>
        </is>
      </c>
      <c r="B2925" s="33" t="inlineStr">
        <is>
          <t>CRDO</t>
        </is>
      </c>
      <c r="C2925" s="33" t="inlineStr">
        <is>
          <t>D2</t>
        </is>
      </c>
      <c r="D2925" s="33" t="n">
        <v>4</v>
      </c>
      <c r="E2925" s="33" t="inlineStr">
        <is>
          <t>HELD at 4 despite the 2026-09-01 briefing flagging 'likely up'. DustPhotonics is now consolidated (goodwill 92.8M -&gt; 986.4M, intangibles 29.3M -&gt; 378.8M) and CRDO owns die-level SiPho + optical DSP + ZeroFlap, each guided &gt;$100M in FY27. But rubric band 5 requires an upstream bottleneck with limited substitutes and demonstrable pricing power; CRDO faces 2-4 viable competitors in DSP (Marvell, Broadcom, Semtech, MaxLinear) and in AEC (Astera, Amphenol, Molex), which is the band-4 definition. Vertical integration deepens the MOAT (D3), it does not make CRDO a bottleneck. Rubric failure mode explicitly warned against: conflating high share / differentiation with bottleneck status.</t>
        </is>
      </c>
      <c r="F2925" s="33" t="inlineStr">
        <is>
          <t>context-2026-09-01.md; 8-K Ex-99.1 2026-09-01 balance sheet; rubric D2 bands</t>
        </is>
      </c>
      <c r="G2925" s="33" t="inlineStr">
        <is>
          <t>Medium</t>
        </is>
      </c>
      <c r="H2925" s="33" t="inlineStr">
        <is>
          <t>Claude proposed</t>
        </is>
      </c>
    </row>
    <row r="2926">
      <c r="A2926" s="33" t="inlineStr">
        <is>
          <t>2026-09-02</t>
        </is>
      </c>
      <c r="B2926" s="33" t="inlineStr">
        <is>
          <t>CRDO</t>
        </is>
      </c>
      <c r="C2926" s="33" t="inlineStr">
        <is>
          <t>R3</t>
        </is>
      </c>
      <c r="D2926" s="33" t="n">
        <v>5</v>
      </c>
      <c r="E2926" s="33" t="inlineStr">
        <is>
          <t>HELD at 5; the briefing's 'possible down one notch' is DECLINED on rubric grounds. R3 band 5 is 'net cash position, strong FCF generation, no debt concerns' - CRDO has $764.3M cash + ST investments, zero debt, total liabilities $284M, positive FCF. The briefing's concern is real but is a DIFFERENT risk: goodwill + intangibles at 45% of total assets is impairment risk, not leverage/maturity/FCF-resilience risk, and the rubric's own note scopes R3 to 'maturities, FCF resilience, and dilution risk'. Dilution: up to ~3.21M contingent shares on ~188M outstanding = ~1.7%, not material. Rating an impairment exposure through R3 would be methodology drift (rule 8) and a per-name tweak to a framework dimension (feedback_framework_vs_name_decisions). SURFACED FOR DOM: if impairment/intangible-quality deserves a home in the rubric, that is a rubric change proposed explicitly, not a CRDO nudge.</t>
        </is>
      </c>
      <c r="F2926" s="33" t="inlineStr">
        <is>
          <t>8-K Ex-99.1 2026-09-01 balance sheet; rubric R3 bands + scope note; CLAUDE.md rule 8</t>
        </is>
      </c>
      <c r="G2926" s="33" t="inlineStr">
        <is>
          <t>Medium</t>
        </is>
      </c>
      <c r="H2926" s="33" t="inlineStr">
        <is>
          <t>Claude proposed</t>
        </is>
      </c>
    </row>
    <row r="2927">
      <c r="A2927" s="33" t="inlineStr">
        <is>
          <t>2026-09-02</t>
        </is>
      </c>
      <c r="B2927" s="33" t="inlineStr">
        <is>
          <t>CRDO</t>
        </is>
      </c>
      <c r="C2927" s="33" t="inlineStr">
        <is>
          <t>R1</t>
        </is>
      </c>
      <c r="D2927" s="33" t="n">
        <v>2</v>
      </c>
      <c r="E2927" s="33" t="inlineStr">
        <is>
          <t>HELD at 2, and flagged as the single most debatable rating in this pass. Q1 FY27 customer mix: top-1 33%, top-2 61%, top-4 84%; management expects 3-4 customers &gt;10% to persist. Read literally, the rubric's R1 bands key off the TOP customer only, and 33% falls in band 3 ('top customer 25-40%'). Read on intent - aggregate dependence on a tiny buyer set - 84% top-4 is band 2 or worse. Held at 2 for three reasons: (1) the 2026-09-01 briefing explicitly said hold, do not upgrade; (2) an upgrade would RAISE the score of a name that just fell 20%, which is exactly the direction to be most skeptical about; (3) the rubric already carries a precedent (the R1 government-monopsony convention) for grading concentration on the shape of the book rather than mechanically on one number. RECOMMENDATION FOR DOM: this is a rubric gap, not a CRDO judgment - R1's bands assume a single dominant customer and do not describe a 33/28/13/10 profile. Worth a rubric clarification; not worth a per-name nudge (feedback_no_rating_nudges).</t>
        </is>
      </c>
      <c r="F2927" s="33" t="inlineStr">
        <is>
          <t>context-2026-09-01.md customer mix; rubric R1 bands + government-customer convention</t>
        </is>
      </c>
      <c r="G2927" s="33" t="inlineStr">
        <is>
          <t>Low</t>
        </is>
      </c>
      <c r="H2927" s="33" t="inlineStr">
        <is>
          <t>Claude proposed</t>
        </is>
      </c>
    </row>
    <row r="2928">
      <c r="A2928" s="33" t="inlineStr">
        <is>
          <t>2026-09-02</t>
        </is>
      </c>
      <c r="B2928" s="33" t="inlineStr">
        <is>
          <t>CRDO</t>
        </is>
      </c>
      <c r="C2928" s="33" t="inlineStr">
        <is>
          <t>D1/D3/D4/D5/R2/R4/R5</t>
        </is>
      </c>
      <c r="E2928" s="33" t="inlineStr">
        <is>
          <t>HELD unchanged (D1 5, D3 4, D4 4, D5 5, R2 4, R4 5, R5 5). Reviewed against the post-earnings briefing; nothing in the Q1 FY27 print contradicts the June/September reads. D5: 84% of revenue from four AI-infrastructure buyers with FY27 growth guided &gt;85% - unchanged in substance. R5 stays 5 per rule 16 (sub-5 R5 is scoped to Layer 10 only; CRDO is Layer 07).</t>
        </is>
      </c>
      <c r="F2928" s="33" t="inlineStr">
        <is>
          <t>context-2026-09-01.md; CLAUDE.md rule 16</t>
        </is>
      </c>
      <c r="G2928" s="33" t="inlineStr">
        <is>
          <t>High</t>
        </is>
      </c>
      <c r="H2928" s="33" t="inlineStr">
        <is>
          <t>Claude proposed</t>
        </is>
      </c>
    </row>
    <row r="2929">
      <c r="A2929" s="33" t="inlineStr">
        <is>
          <t>2026-09-04</t>
        </is>
      </c>
      <c r="B2929" s="33" t="inlineStr">
        <is>
          <t>AVGO</t>
        </is>
      </c>
      <c r="C2929" s="33" t="inlineStr">
        <is>
          <t>M1</t>
        </is>
      </c>
      <c r="D2929" s="33" t="n">
        <v>4</v>
      </c>
      <c r="E2929" s="33" t="inlineStr">
        <is>
          <t>CHANGED 5 -&gt; 4. Rubric band 5 requires 'consensus moving higher'; band 4 = 'net positive revisions, some up, few down'. Revision COUNTS are net positive (last 30d: +1y 6 up/1 down, 0y 2/1, +1q 2/1, 0q 0/1 = 11 up / 4 down) but the LEVEL is flat: +1y EPS 19.39 -&gt; 19.37 over 90d (-0.1%), 0y 11.62 -&gt; 11.64 (+0.2%), +1q 4.11 -&gt; 4.07 (-1.0%), and +1y fell 1.0% in the 7 days AFTER the beat-and-raise (19.57 -&gt; 19.37) as the ~73% Q4 gross-margin guide (vs 78% a year ago) trimmed out-quarters. Beat-and-raise pattern present, consensus not moving higher -&gt; 4. Near-mechanical per the bias check.</t>
        </is>
      </c>
      <c r="F2929" s="33" t="inlineStr">
        <is>
          <t>yfinance eps_trend / eps_revisions pulled 2026-09-04; 8-K 2026-09-02 Ex-99.1 Q4 outlook</t>
        </is>
      </c>
      <c r="G2929" s="33" t="inlineStr">
        <is>
          <t>High</t>
        </is>
      </c>
      <c r="H2929" s="33" t="inlineStr">
        <is>
          <t>Claude proposed</t>
        </is>
      </c>
    </row>
    <row r="2930">
      <c r="A2930" s="33" t="inlineStr">
        <is>
          <t>2026-09-04</t>
        </is>
      </c>
      <c r="B2930" s="33" t="inlineStr">
        <is>
          <t>AVGO</t>
        </is>
      </c>
      <c r="C2930" s="33" t="inlineStr">
        <is>
          <t>M2</t>
        </is>
      </c>
      <c r="D2930" s="33" t="n">
        <v>1</v>
      </c>
      <c r="E2930" s="33" t="inlineStr">
        <is>
          <t>HELD at 1, re-measured. 6-month vs SMH: AVGO +8.7% vs SMH +49.0% from 2026-03-06 = -40.3pp (band 1, lagging &gt;20%). 3-month: -7.1% vs -0.5% = -6.6pp (band 2). 6-month band governs (CRDO 2026-09-02 precedent). Post-print reaction -2.75% on 3x volume did not change the read. Momentum input, not quality - don't fight it.</t>
        </is>
      </c>
      <c r="F2930" s="33" t="inlineStr">
        <is>
          <t>yfinance price history 2026-09-04, AVGO vs SMH, 126/63 trading days; rubric M2 bands</t>
        </is>
      </c>
      <c r="G2930" s="33" t="inlineStr">
        <is>
          <t>High</t>
        </is>
      </c>
      <c r="H2930" s="33" t="inlineStr">
        <is>
          <t>Claude proposed</t>
        </is>
      </c>
    </row>
    <row r="2931">
      <c r="A2931" s="33" t="inlineStr">
        <is>
          <t>2026-09-04</t>
        </is>
      </c>
      <c r="B2931" s="33" t="inlineStr">
        <is>
          <t>AVGO</t>
        </is>
      </c>
      <c r="C2931" s="33" t="inlineStr">
        <is>
          <t>M3</t>
        </is>
      </c>
      <c r="D2931" s="33" t="n">
        <v>4</v>
      </c>
      <c r="E2931" s="33" t="inlineStr">
        <is>
          <t>HELD at 4, re-evidenced. Step 1: exactly ONE insider buying - director Harry You, five open-market P-code buys in the 12-month window: 2025-09-10 x3 (3,550 sh, ~$1.23M same-day aggregate; largest single fill $707K, so the &gt;$1M single-buy path to 5 is not met - consistent with the 2026-05-18 call), 2025-12-22 (1,000 sh @ $325.13) and NEW 2026-06-15 (1,000 sh @ $373.57, post 38,466 sh). One buyer -&gt; 4. The Sep-2025 buys exit the window within days; the June buy keeps the rating alive on its own. FLAGGED FOR DOM, not acted on: selling is heavy and NOT 10b5-1-flagged for the officers - Tan (CEO) 548,154 sh/$185.1M = ~40% of pre-holdings (post 825,998); Brazeal (CLO) 312,767 sh/$109.5M = ~49% across 109 fills (cadence reads like an unflagged plan); Spears (CFO) 108,566 sh/$36.3M = ~26%; Velaga/Kawwas ~52-53%. Samueli's 2.13M sh/$752.9M IS 10b5-1 -&gt; routine. Rubric step 1 makes buying dispositive, so 4 stands; if Dom wants the officer selling to count, that is a rubric change (rule 8), not a per-name nudge.</t>
        </is>
      </c>
      <c r="F2931" s="33" t="inlineStr">
        <is>
          <t>SEC EDGAR Form 4, CIK 1730168, 55 filings 2025-09-10..2026-07-14 (370 transactions parsed, aff10b5One per filing)</t>
        </is>
      </c>
      <c r="G2931" s="33" t="inlineStr">
        <is>
          <t>High</t>
        </is>
      </c>
      <c r="H2931" s="33" t="inlineStr">
        <is>
          <t>Claude proposed</t>
        </is>
      </c>
    </row>
    <row r="2932">
      <c r="A2932" s="33" t="inlineStr">
        <is>
          <t>2026-09-04</t>
        </is>
      </c>
      <c r="B2932" s="33" t="inlineStr">
        <is>
          <t>AVGO</t>
        </is>
      </c>
      <c r="C2932" s="33" t="inlineStr">
        <is>
          <t>D1</t>
        </is>
      </c>
      <c r="D2932" s="33" t="n">
        <v>5</v>
      </c>
      <c r="E2932" s="33" t="inlineStr">
        <is>
          <t>HELD at 5. AI semiconductor revenue $16.7B of $29.6B = 56% in Q3 FY26 (&gt;50% band); Q4 guide ~$21.7B of ~$34.8B = 62%. Already at max.</t>
        </is>
      </c>
      <c r="F2932" s="33" t="inlineStr">
        <is>
          <t>Q3 FY26 call (Tan) + 8-K 2026-09-02 Ex-99.1</t>
        </is>
      </c>
      <c r="G2932" s="33" t="inlineStr">
        <is>
          <t>High</t>
        </is>
      </c>
      <c r="H2932" s="33" t="inlineStr">
        <is>
          <t>Claude proposed</t>
        </is>
      </c>
    </row>
    <row r="2933">
      <c r="A2933" s="33" t="inlineStr">
        <is>
          <t>2026-09-04</t>
        </is>
      </c>
      <c r="B2933" s="33" t="inlineStr">
        <is>
          <t>AVGO</t>
        </is>
      </c>
      <c r="C2933" s="33" t="inlineStr">
        <is>
          <t>D2</t>
        </is>
      </c>
      <c r="D2933" s="33" t="n">
        <v>5</v>
      </c>
      <c r="E2933" s="33" t="inlineStr">
        <is>
          <t>HELD at 5. The 2026-06-12 raise rested on AI bookings &gt; shipments (&gt;$30B vs $10.8B). That metric was DISCONTINUED this quarter - unobserved, not deteriorating. Replacement evidence for the bottleneck: named GW ladders through 2028 at four accounts (Anthropic 1-&gt;5-&gt;10 GW, OpenAI 1.3 then &gt;5 GW, Meta 3 GW, Google multi-tens-of-$B/yr) and 'we have secured the supply to again double AI revenue to ~$115B' in FY27. Dual-sourcing (MediaTek compute die, Marvell attach) is real but is a moat question (D3), not a bottleneck question. Rule 23: D2&lt;-&gt;D3 +0.73, do not move both on one datapoint - neither moved.</t>
        </is>
      </c>
      <c r="F2933" s="33" t="inlineStr">
        <is>
          <t>Q3 FY26 call; 8-K 2026-09-02 Ex-99.1; thesis.md section 3 (PR #51)</t>
        </is>
      </c>
      <c r="G2933" s="33" t="inlineStr">
        <is>
          <t>Medium</t>
        </is>
      </c>
      <c r="H2933" s="33" t="inlineStr">
        <is>
          <t>Claude proposed</t>
        </is>
      </c>
    </row>
    <row r="2934">
      <c r="A2934" s="33" t="inlineStr">
        <is>
          <t>2026-09-04</t>
        </is>
      </c>
      <c r="B2934" s="33" t="inlineStr">
        <is>
          <t>AVGO</t>
        </is>
      </c>
      <c r="C2934" s="33" t="inlineStr">
        <is>
          <t>D3</t>
        </is>
      </c>
      <c r="D2934" s="33" t="n">
        <v>4</v>
      </c>
      <c r="E2934" s="33" t="inlineStr">
        <is>
          <t>HELD at 4. Wide moat with a live, now quantified erosion vector: sell-side retained-share estimates at Google span 55-80%. No observed displacement. Would rate the same if the stock were down 40% (it is down ~40pp vs SMH over 6 months - the bias check is not hypothetical here). Inverse test for 3: would need visible share loss at an anchor account or price concession; neither observed.</t>
        </is>
      </c>
      <c r="F2934" s="33" t="inlineStr">
        <is>
          <t>thesis.md section 6 (PR #51); Q3 FY26 call</t>
        </is>
      </c>
      <c r="G2934" s="33" t="inlineStr">
        <is>
          <t>Medium</t>
        </is>
      </c>
      <c r="H2934" s="33" t="inlineStr">
        <is>
          <t>Claude proposed</t>
        </is>
      </c>
    </row>
    <row r="2935">
      <c r="A2935" s="33" t="inlineStr">
        <is>
          <t>2026-09-04</t>
        </is>
      </c>
      <c r="B2935" s="33" t="inlineStr">
        <is>
          <t>AVGO</t>
        </is>
      </c>
      <c r="C2935" s="33" t="inlineStr">
        <is>
          <t>D4</t>
        </is>
      </c>
      <c r="D2935" s="33" t="n">
        <v>5</v>
      </c>
      <c r="E2935" s="33" t="inlineStr">
        <is>
          <t>HELD at 5. Customer-committed multi-year ramp (GW ladders to 2028) is the buildout for a fabless designer; supply 'secured' for FY27 doubling. Capex itself is small ($532M in Q3) by construction of the model - not a D4 negative.</t>
        </is>
      </c>
      <c r="F2935" s="33" t="inlineStr">
        <is>
          <t>8-K 2026-09-02 Ex-99.1 cash-flow statement; Q3 FY26 call</t>
        </is>
      </c>
      <c r="G2935" s="33" t="inlineStr">
        <is>
          <t>High</t>
        </is>
      </c>
      <c r="H2935" s="33" t="inlineStr">
        <is>
          <t>Claude proposed</t>
        </is>
      </c>
    </row>
    <row r="2936">
      <c r="A2936" s="33" t="inlineStr">
        <is>
          <t>2026-09-04</t>
        </is>
      </c>
      <c r="B2936" s="33" t="inlineStr">
        <is>
          <t>AVGO</t>
        </is>
      </c>
      <c r="C2936" s="33" t="inlineStr">
        <is>
          <t>D5</t>
        </is>
      </c>
      <c r="D2936" s="33" t="n">
        <v>5</v>
      </c>
      <c r="E2936" s="33" t="inlineStr">
        <is>
          <t>HELD at 5. Four named hyperscaler/lab anchors (Google, Meta, Anthropic, OpenAI) plus two unnamed; combined far above the &gt;30% band. Already at max.</t>
        </is>
      </c>
      <c r="F2936" s="33" t="inlineStr">
        <is>
          <t>Q3 FY26 call</t>
        </is>
      </c>
      <c r="G2936" s="33" t="inlineStr">
        <is>
          <t>High</t>
        </is>
      </c>
      <c r="H2936" s="33" t="inlineStr">
        <is>
          <t>Claude proposed</t>
        </is>
      </c>
    </row>
    <row r="2937">
      <c r="A2937" s="33" t="inlineStr">
        <is>
          <t>2026-09-04</t>
        </is>
      </c>
      <c r="B2937" s="33" t="inlineStr">
        <is>
          <t>AVGO</t>
        </is>
      </c>
      <c r="C2937" s="33" t="inlineStr">
        <is>
          <t>R1</t>
        </is>
      </c>
      <c r="D2937" s="33" t="n">
        <v>3</v>
      </c>
      <c r="E2937" s="33" t="inlineStr">
        <is>
          <t>HELD at 3. 10-Q: 'aggregate sales, through all channels, to our top five end customers accounted for approximately 45% of our net revenue for the two fiscal quarters ended May 3, 2026'; the largest (Google, via distributors) sits in the 25-40% band per the 2026-05-18 estimate and nothing disclosed puts it above 40%. Concentration is sharper in outline (six XPU customers, two of them financing capacity through levered vehicles) but the band is unchanged. Rubric gap noted by #51 for CRDO applies here too: bands key off the top customer, not the top-5 = 45%.</t>
        </is>
      </c>
      <c r="F2937" s="33" t="inlineStr">
        <is>
          <t>10-Q Q2 FY26 (filed 2026-06-09), Risk Factors</t>
        </is>
      </c>
      <c r="G2937" s="33" t="inlineStr">
        <is>
          <t>Medium</t>
        </is>
      </c>
      <c r="H2937" s="33" t="inlineStr">
        <is>
          <t>Claude proposed</t>
        </is>
      </c>
    </row>
    <row r="2938">
      <c r="A2938" s="33" t="inlineStr">
        <is>
          <t>2026-09-04</t>
        </is>
      </c>
      <c r="B2938" s="33" t="inlineStr">
        <is>
          <t>AVGO</t>
        </is>
      </c>
      <c r="C2938" s="33" t="inlineStr">
        <is>
          <t>R2</t>
        </is>
      </c>
      <c r="D2938" s="33" t="n">
        <v>4</v>
      </c>
      <c r="E2938" s="33" t="inlineStr">
        <is>
          <t>HELD at 4. No new geographic disclosure this quarter (8-K carries no regional split). Worst plausible shock unchanged: China/export-control tightening on custom-silicon or networking; demand-leg concentration to Asia-shipped supply chain. 10-Q upfront-license split is Americas-dominant ($1,456M vs $137M APAC Q2 FY26). One leg, demand only.</t>
        </is>
      </c>
      <c r="F2938" s="33" t="inlineStr">
        <is>
          <t>10-Q Q2 FY26; 8-K 2026-09-02</t>
        </is>
      </c>
      <c r="G2938" s="33" t="inlineStr">
        <is>
          <t>Medium</t>
        </is>
      </c>
      <c r="H2938" s="33" t="inlineStr">
        <is>
          <t>Claude proposed</t>
        </is>
      </c>
    </row>
    <row r="2939">
      <c r="A2939" s="33" t="inlineStr">
        <is>
          <t>2026-09-04</t>
        </is>
      </c>
      <c r="B2939" s="33" t="inlineStr">
        <is>
          <t>AVGO</t>
        </is>
      </c>
      <c r="C2939" s="33" t="inlineStr">
        <is>
          <t>R3</t>
        </is>
      </c>
      <c r="D2939" s="33" t="n">
        <v>4</v>
      </c>
      <c r="E2939" s="33" t="inlineStr">
        <is>
          <t>HELD at 4 - DEFERRED, not confirmed. ND/EBITDA 0.68 (refreshed 2026-09-04) and net debt improved argue for 5; the off-balance-sheet RVG guarantee on the $35B AI XPV (Apollo/Blackstone; ~$29B max on the initial tranche per thesis section 9) argues against. The Q3 10-Q has NOT been filed (latest 10-Q 2026-06-09) - its guarantee footnote is the deciding document. Do not move on management's 'low risk' characterisation. Rule 23: R3&lt;-&gt;ND/EBITDA +0.77 - this is exactly the case where R3 must carry what the ratio cannot.</t>
        </is>
      </c>
      <c r="F2939" s="33" t="inlineStr">
        <is>
          <t>EDGAR submissions CIK 1730168 checked 2026-09-04 (no 10-Q since 2026-06-09); 8-K 2026-09-02; thesis.md section 9</t>
        </is>
      </c>
      <c r="G2939" s="33" t="inlineStr">
        <is>
          <t>Medium</t>
        </is>
      </c>
      <c r="H2939" s="33" t="inlineStr">
        <is>
          <t>Claude proposed</t>
        </is>
      </c>
    </row>
    <row r="2940">
      <c r="A2940" s="33" t="inlineStr">
        <is>
          <t>2026-09-04</t>
        </is>
      </c>
      <c r="B2940" s="33" t="inlineStr">
        <is>
          <t>AVGO</t>
        </is>
      </c>
      <c r="C2940" s="33" t="inlineStr">
        <is>
          <t>R4</t>
        </is>
      </c>
      <c r="D2940" s="33" t="n">
        <v>4</v>
      </c>
      <c r="E2940" s="33" t="inlineStr">
        <is>
          <t>HELD at 4. 8-K 2026-09-02 Item 8.01 is a $0.65 quarterly dividend declaration only; no investigation or litigation 8-K in the window. Routine.</t>
        </is>
      </c>
      <c r="F2940" s="33" t="inlineStr">
        <is>
          <t>8-K 2026-09-02 Item 8.01; EDGAR filing index</t>
        </is>
      </c>
      <c r="G2940" s="33" t="inlineStr">
        <is>
          <t>High</t>
        </is>
      </c>
      <c r="H2940" s="33" t="inlineStr">
        <is>
          <t>Claude proposed</t>
        </is>
      </c>
    </row>
    <row r="2941">
      <c r="A2941" s="33" t="inlineStr">
        <is>
          <t>2026-09-04</t>
        </is>
      </c>
      <c r="B2941" s="33" t="inlineStr">
        <is>
          <t>AVGO</t>
        </is>
      </c>
      <c r="C2941" s="33" t="inlineStr">
        <is>
          <t>R5</t>
        </is>
      </c>
      <c r="D2941" s="33" t="n">
        <v>5</v>
      </c>
      <c r="E2941" s="33" t="inlineStr">
        <is>
          <t>HELD at 5. Not Layer 10; rule 16 default.</t>
        </is>
      </c>
      <c r="F2941" s="33" t="inlineStr">
        <is>
          <t>CLAUDE.md rule 16</t>
        </is>
      </c>
      <c r="G2941" s="33" t="inlineStr">
        <is>
          <t>High</t>
        </is>
      </c>
      <c r="H2941" s="33" t="inlineStr">
        <is>
          <t>Claude proposed</t>
        </is>
      </c>
    </row>
    <row r="2942">
      <c r="A2942" s="33" t="inlineStr">
        <is>
          <t>2026-09-07</t>
        </is>
      </c>
      <c r="B2942" s="33" t="inlineStr">
        <is>
          <t>DDOG</t>
        </is>
      </c>
      <c r="C2942" s="33" t="inlineStr">
        <is>
          <t>M1</t>
        </is>
      </c>
      <c r="D2942" s="33" t="n">
        <v>4</v>
      </c>
      <c r="E2942" s="33" t="inlineStr">
        <is>
          <t>5→4. FY2026 guide raised ($4.45-4.47B) but Q3 guided to $1.135-1.145B, implying ~29% YoY against 36% delivered — the deceleration is company-guided, driven by the disclosed sequential usage step-down at the largest customer beginning Q3. Beat-and-raise on the full year with a framed-down next quarter is 'net positive, some down', not the unambiguous upward pattern a 5 requires.</t>
        </is>
      </c>
      <c r="F2942" s="33" t="inlineStr">
        <is>
          <t>8-K Ex-99.1 2026-08-06; context-2026-09-07.md</t>
        </is>
      </c>
      <c r="G2942" s="33" t="inlineStr">
        <is>
          <t>High</t>
        </is>
      </c>
      <c r="H2942" s="33" t="inlineStr">
        <is>
          <t>Claude proposed</t>
        </is>
      </c>
    </row>
    <row r="2943">
      <c r="A2943" s="33" t="inlineStr">
        <is>
          <t>2026-09-07</t>
        </is>
      </c>
      <c r="B2943" s="33" t="inlineStr">
        <is>
          <t>CRWD</t>
        </is>
      </c>
      <c r="C2943" s="33" t="inlineStr">
        <is>
          <t>D2</t>
        </is>
      </c>
      <c r="D2943" s="33" t="n">
        <v>4</v>
      </c>
      <c r="E2943" s="33" t="inlineStr">
        <is>
          <t>3→4. Falcon Flex ending ARR &gt;$2.29B, +101% YoY (~39% of total ARR), with module adoption at 51%/35%/26% of subscription customers on six+/seven+/eight+ modules. Deepening attach plus a consumption-style commercial model re-accelerating net new ARR to a record $332.8M (+51%) is demonstrable pricing firmness against a small competitor set (MSFT Defender, PANW, SentinelOne). Also removes an inconsistency with PANW, rated 4 on a weaker platform-position case.</t>
        </is>
      </c>
      <c r="F2943" s="33" t="inlineStr">
        <is>
          <t>8-K Ex-99.1 2026-08-26; context-2026-09-07.md</t>
        </is>
      </c>
      <c r="G2943" s="33" t="inlineStr">
        <is>
          <t>Medium</t>
        </is>
      </c>
      <c r="H2943" s="33" t="inlineStr">
        <is>
          <t>Claude proposed</t>
        </is>
      </c>
    </row>
    <row r="2944">
      <c r="A2944" s="33" t="inlineStr">
        <is>
          <t>2026-09-07</t>
        </is>
      </c>
      <c r="B2944" s="33" t="inlineStr">
        <is>
          <t>CRWD</t>
        </is>
      </c>
      <c r="C2944" s="33" t="inlineStr">
        <is>
          <t>D5</t>
        </is>
      </c>
      <c r="D2944" s="33" t="n">
        <v>3</v>
      </c>
      <c r="E2944" s="33" t="inlineStr">
        <is>
          <t>2→3. Moves from thematic adjacency to a named, shipped demand tie: Anthropic's Mythos model (reported capable of exploiting previously-unknown vulnerabilities) is cited by management as translating into 'mass-market acceptance that AI adoption needs security', and Continuous Identity for AI Agents extends authorization to non-human/agent identities. Held at 3 rather than higher because no AI-specific revenue is broken out — the tie is evidenced by catalyst and product, not by a disclosed revenue share.</t>
        </is>
      </c>
      <c r="F2944" s="33" t="inlineStr">
        <is>
          <t>8-K Ex-99.1 2026-08-26; Qz 2026-08-26; context-2026-09-07.md</t>
        </is>
      </c>
      <c r="G2944" s="33" t="inlineStr">
        <is>
          <t>Medium</t>
        </is>
      </c>
      <c r="H2944" s="33" t="inlineStr">
        <is>
          <t>Claude proposed</t>
        </is>
      </c>
    </row>
    <row r="2945">
      <c r="A2945" s="33" t="inlineStr">
        <is>
          <t>2026-09-07</t>
        </is>
      </c>
      <c r="B2945" s="33" t="inlineStr">
        <is>
          <t>CRWD</t>
        </is>
      </c>
      <c r="C2945" s="33" t="inlineStr">
        <is>
          <t>M1</t>
        </is>
      </c>
      <c r="D2945" s="33" t="n">
        <v>5</v>
      </c>
      <c r="E2945" s="33" t="inlineStr">
        <is>
          <t>4→5. Guidance raised across every metric: FY27 net new ARR growth outlook up 630bps to 34% at the midpoint, FY27 revenue $5.991-6.011B, ARR $6.603-6.612B, non-GAAP EPS $1.25-1.26; shares +11% in extended trade on the print. Textbook beat-and-raise with consensus moving higher.</t>
        </is>
      </c>
      <c r="F2945" s="33" t="inlineStr">
        <is>
          <t>8-K Ex-99.1 2026-08-26; CNBC 2026-08-26; context-2026-09-07.md</t>
        </is>
      </c>
      <c r="G2945" s="33" t="inlineStr">
        <is>
          <t>High</t>
        </is>
      </c>
      <c r="H2945" s="33" t="inlineStr">
        <is>
          <t>Claude proposed</t>
        </is>
      </c>
    </row>
    <row r="2946">
      <c r="A2946" s="33" t="inlineStr">
        <is>
          <t>2026-09-07</t>
        </is>
      </c>
      <c r="B2946" s="33" t="inlineStr">
        <is>
          <t>MDB</t>
        </is>
      </c>
      <c r="C2946" s="33" t="inlineStr">
        <is>
          <t>M2</t>
        </is>
      </c>
      <c r="D2946" s="33" t="n">
        <v>4</v>
      </c>
      <c r="E2946" s="33" t="inlineStr">
        <is>
          <t>3→4. Measured relative strength, not impression: MDB +36.3% vs IGV +18.9% over six months = +17.4pts, inside the 5-20pt band. The three-month read is -4.0pts (in line), consistent with the post-print drawdown. Prior 3 predates the six-month move.</t>
        </is>
      </c>
      <c r="F2946" s="33" t="inlineStr">
        <is>
          <t>yfinance closes through 2026-09-07 vs IGV; rubric M2 6-month band</t>
        </is>
      </c>
      <c r="G2946" s="33" t="inlineStr">
        <is>
          <t>High</t>
        </is>
      </c>
      <c r="H2946" s="33" t="inlineStr">
        <is>
          <t>Claude proposed</t>
        </is>
      </c>
    </row>
    <row r="2947">
      <c r="A2947" s="33" t="inlineStr">
        <is>
          <t>2026-09-07</t>
        </is>
      </c>
      <c r="B2947" s="33" t="inlineStr">
        <is>
          <t>PATH</t>
        </is>
      </c>
      <c r="C2947" s="33" t="inlineStr">
        <is>
          <t>D1</t>
        </is>
      </c>
      <c r="D2947" s="33" t="n">
        <v>2</v>
      </c>
      <c r="E2947" s="33" t="inlineStr">
        <is>
          <t>1→2. Prior 1 ('marketing claims AI exposure but financials don't show it') is no longer accurate: Maestro Case and Maestro Flow are shipped product, 18 of the top 20 deals in the quarter included AI, and named agentic expansions carry dollar figures (7-figure life-sciences expansion across 70 countries with Accenture). Held at 2 and NOT higher because UiPath still discloses no agentic-specific revenue, ARR or consumption, and management says pricing is still being experimented with — this is 'some exposure, growing, not yet material', which is exactly band 2.</t>
        </is>
      </c>
      <c r="F2947" s="33" t="inlineStr">
        <is>
          <t>8-K Ex-99.1 2026-09-03; context-2026-09-07.md</t>
        </is>
      </c>
      <c r="G2947" s="33" t="inlineStr">
        <is>
          <t>Medium</t>
        </is>
      </c>
      <c r="H2947" s="33" t="inlineStr">
        <is>
          <t>Claude proposed</t>
        </is>
      </c>
    </row>
    <row r="2948">
      <c r="A2948" s="33" t="inlineStr">
        <is>
          <t>2026-09-07</t>
        </is>
      </c>
      <c r="B2948" s="33" t="inlineStr">
        <is>
          <t>PATH</t>
        </is>
      </c>
      <c r="C2948" s="33" t="inlineStr">
        <is>
          <t>D2</t>
        </is>
      </c>
      <c r="D2948" s="33" t="n">
        <v>3</v>
      </c>
      <c r="E2948" s="33" t="inlineStr">
        <is>
          <t>2→3. 97% gross retention is direct evidence that switching has real cost, which band 2 ('commoditized, competition mostly on price') denies. Third-party corroboration that others build UiPath into their own delivery stack: Databricks validated-partner status and the Deloitte Ascend embed. Counter-pressure acknowledged and unchanged — hyperscalers and frontier-model vendors are moving into the orchestration layer, and Microsoft Power Automate retains a structural price advantage.</t>
        </is>
      </c>
      <c r="F2948" s="33" t="inlineStr">
        <is>
          <t>8-K Ex-99.1 2026-09-03; context-2026-09-07.md</t>
        </is>
      </c>
      <c r="G2948" s="33" t="inlineStr">
        <is>
          <t>Medium</t>
        </is>
      </c>
      <c r="H2948" s="33" t="inlineStr">
        <is>
          <t>Claude proposed</t>
        </is>
      </c>
    </row>
    <row r="2949">
      <c r="A2949" s="33" t="inlineStr">
        <is>
          <t>2026-09-07</t>
        </is>
      </c>
      <c r="B2949" s="33" t="inlineStr">
        <is>
          <t>PATH</t>
        </is>
      </c>
      <c r="C2949" s="33" t="inlineStr">
        <is>
          <t>D3</t>
        </is>
      </c>
      <c r="D2949" s="33" t="n">
        <v>3</v>
      </c>
      <c r="E2949" s="33" t="inlineStr">
        <is>
          <t>2→3. Pro-moat evidence is now quantified: gross retention 97%, &gt;$1M-ARR customers 387 (+21%), DoD selecting UiPath explicitly on governance, on-prem/data-sovereignty deployment for regulated industries, and the Rule 14 LLC patent suit terminated 2025-09-09. Against: GAAP gross margin compressed 82%→80% on a services-heavy delivery model and R&amp;D fell 15% YoY. Net = 'modest moat, share roughly stable, pricing competitive' (band 3), not band 2's 'losing share possible'.</t>
        </is>
      </c>
      <c r="F2949" s="33" t="inlineStr">
        <is>
          <t>8-K Ex-99.1 2026-09-03; context-2026-09-07.md</t>
        </is>
      </c>
      <c r="G2949" s="33" t="inlineStr">
        <is>
          <t>Medium</t>
        </is>
      </c>
      <c r="H2949" s="33" t="inlineStr">
        <is>
          <t>Claude proposed</t>
        </is>
      </c>
    </row>
    <row r="2950">
      <c r="A2950" s="33" t="inlineStr">
        <is>
          <t>2026-09-07</t>
        </is>
      </c>
      <c r="B2950" s="33" t="inlineStr">
        <is>
          <t>PATH</t>
        </is>
      </c>
      <c r="C2950" s="33" t="inlineStr">
        <is>
          <t>D4</t>
        </is>
      </c>
      <c r="D2950" s="33" t="n">
        <v>2</v>
      </c>
      <c r="E2950" s="33" t="inlineStr">
        <is>
          <t>3→2. Downgrade on disclosed underinvestment: R&amp;D spend is DOWN 15% YoY during a platform pivot to agentic orchestration, alongside $5.0M of restructuring charges and a 42% cut to SBC. Band 2 is 'capex constrained or deferred, underinvesting vs the opportunity' — cutting product investment while repositioning the platform is that, whatever its margin merits. The margin expansion to 22% non-GAAP operating margin is real but is substantially a cost story.</t>
        </is>
      </c>
      <c r="F2950" s="33" t="inlineStr">
        <is>
          <t>8-K Ex-99.1 2026-09-03; context-2026-09-07.md</t>
        </is>
      </c>
      <c r="G2950" s="33" t="inlineStr">
        <is>
          <t>Medium</t>
        </is>
      </c>
      <c r="H2950" s="33" t="inlineStr">
        <is>
          <t>Claude proposed</t>
        </is>
      </c>
    </row>
    <row r="2951">
      <c r="A2951" s="33" t="inlineStr">
        <is>
          <t>2026-09-07</t>
        </is>
      </c>
      <c r="B2951" s="33" t="inlineStr">
        <is>
          <t>PATH</t>
        </is>
      </c>
      <c r="C2951" s="33" t="inlineStr">
        <is>
          <t>D5</t>
        </is>
      </c>
      <c r="D2951" s="33" t="n">
        <v>2</v>
      </c>
      <c r="E2951" s="33" t="inlineStr">
        <is>
          <t>1→2. Band 1 ('no meaningful tie') is contradicted by named, contracted agentic wins: the 7-figure life-sciences expansion across 70 countries with Accenture, the DoD clean-audit expansion, and a top-Canadian-bank logo. Held at 2 rather than higher under rule-23 discipline — with zero disclosed agentic ARR, the tie is demonstrated by anecdote rather than by a metric, which is precisely the deck-claim ceiling the L11 convention warns against generalising past.</t>
        </is>
      </c>
      <c r="F2951" s="33" t="inlineStr">
        <is>
          <t>8-K Ex-99.1 2026-09-03; context-2026-09-07.md</t>
        </is>
      </c>
      <c r="G2951" s="33" t="inlineStr">
        <is>
          <t>Medium</t>
        </is>
      </c>
      <c r="H2951" s="33" t="inlineStr">
        <is>
          <t>Claude proposed</t>
        </is>
      </c>
    </row>
    <row r="2952">
      <c r="A2952" s="33" t="inlineStr">
        <is>
          <t>2026-09-07</t>
        </is>
      </c>
      <c r="B2952" s="33" t="inlineStr">
        <is>
          <t>PATH</t>
        </is>
      </c>
      <c r="C2952" s="33" t="inlineStr">
        <is>
          <t>M1</t>
        </is>
      </c>
      <c r="D2952" s="33" t="n">
        <v>4</v>
      </c>
      <c r="E2952" s="33" t="inlineStr">
        <is>
          <t>3→4. FY27 guidance raised on all three metrics — revenue to $1.789-1.794B (from $1.754-1.759B), ARR to $2.065-2.070B, non-GAAP operating income to ~$445M (from ~$415M) — and all three post-print analyst actions raised price targets. Tempered from 5 because non-GAAP EPS merely met and Canaccord downgraded Buy→Hold on valuation.</t>
        </is>
      </c>
      <c r="F2952" s="33" t="inlineStr">
        <is>
          <t>8-K Ex-99.1 2026-09-03; Benzinga 2026-09-04; context-2026-09-07.md</t>
        </is>
      </c>
      <c r="G2952" s="33" t="inlineStr">
        <is>
          <t>High</t>
        </is>
      </c>
      <c r="H2952" s="33" t="inlineStr">
        <is>
          <t>Claude proposed</t>
        </is>
      </c>
    </row>
    <row r="2953">
      <c r="A2953" s="33" t="inlineStr">
        <is>
          <t>2026-09-07</t>
        </is>
      </c>
      <c r="B2953" s="33" t="inlineStr">
        <is>
          <t>PATH</t>
        </is>
      </c>
      <c r="C2953" s="33" t="inlineStr">
        <is>
          <t>M2</t>
        </is>
      </c>
      <c r="D2953" s="33" t="n">
        <v>4</v>
      </c>
      <c r="E2953" s="33" t="inlineStr">
        <is>
          <t>1→4. The prior 1 was badly stale. Measured: PATH +28.1% vs IGV +18.9% over six months = +9.2pts (band 4); three-month +35.1% vs +9.1% = +26.0pts (band 5). Rated on the rubric's six-month definition. This is despite the -16.6% single-session reaction on 2026-09-04 ($18.22→$15.19), which the six-month window already contains.</t>
        </is>
      </c>
      <c r="F2953" s="33" t="inlineStr">
        <is>
          <t>yfinance closes through 2026-09-07 vs IGV; rubric M2 6-month band</t>
        </is>
      </c>
      <c r="G2953" s="33" t="inlineStr">
        <is>
          <t>High</t>
        </is>
      </c>
      <c r="H2953" s="33" t="inlineStr">
        <is>
          <t>Claude proposed</t>
        </is>
      </c>
    </row>
    <row r="2954">
      <c r="A2954" s="33" t="inlineStr">
        <is>
          <t>2026-09-07</t>
        </is>
      </c>
      <c r="B2954" s="33" t="inlineStr">
        <is>
          <t>PATH</t>
        </is>
      </c>
      <c r="C2954" s="33" t="inlineStr">
        <is>
          <t>R1</t>
        </is>
      </c>
      <c r="D2954" s="33" t="n">
        <v>5</v>
      </c>
      <c r="E2954" s="33" t="inlineStr">
        <is>
          <t>4→5. Now properly evidenced as diversified: ~10,350 total customers, 2,666 above $100K ARR, 387 above $1M, with no single-customer concentration disclosed or implied, and attrition explicitly concentrated in the SMALLEST accounts. That is band 5 ('no customer &gt;15%'). Growing public-sector exposure (DoD) is graded per the rule-27 government-customer convention — program diversification within the government book, not automatic concentration risk.</t>
        </is>
      </c>
      <c r="F2954" s="33" t="inlineStr">
        <is>
          <t>8-K Ex-99.1 2026-09-03; context-2026-09-07.md</t>
        </is>
      </c>
      <c r="G2954" s="33" t="inlineStr">
        <is>
          <t>High</t>
        </is>
      </c>
      <c r="H2954" s="33" t="inlineStr">
        <is>
          <t>Claude proposed</t>
        </is>
      </c>
    </row>
    <row r="2955">
      <c r="A2955" s="33" t="inlineStr">
        <is>
          <t>2026-09-07</t>
        </is>
      </c>
      <c r="B2955" s="33" t="inlineStr">
        <is>
          <t>PATH</t>
        </is>
      </c>
      <c r="C2955" s="33" t="inlineStr">
        <is>
          <t>R4</t>
        </is>
      </c>
      <c r="D2955" s="33" t="n">
        <v>3</v>
      </c>
      <c r="E2955" s="33" t="inlineStr">
        <is>
          <t>5→3. CORRECTION of a cross-name inconsistency, not a new development. Two 2024 securities/derivative matters remain PENDING in S.D.N.Y. and have been pending since before the prior briefing — a name carrying open securities litigation cannot sit in band 5 ('clean, no material overhangs'). MDB is rated R4=3 on materially the same facts (two pending S.D.N.Y. securities dockets); PATH at 5 was indefensible against it. Also weighed: dual-class structure at 35 votes per Class B share (~11% of shares, ~89% of votes) and a CFO transition mid-pivot. Allegations are not findings — band 3 records disclosed pending matters, not wrongdoing.</t>
        </is>
      </c>
      <c r="F2955" s="33" t="inlineStr">
        <is>
          <t>litigation_check.py 2026-09-07 (RECAP); context-2026-09-07.md; cross-check vs MDB R4</t>
        </is>
      </c>
      <c r="G2955" s="33" t="inlineStr">
        <is>
          <t>High</t>
        </is>
      </c>
      <c r="H2955" s="33" t="inlineStr">
        <is>
          <t>Claude proposed</t>
        </is>
      </c>
    </row>
    <row r="2956">
      <c r="A2956" s="33" t="inlineStr">
        <is>
          <t>2026-09-07</t>
        </is>
      </c>
      <c r="B2956" s="33" t="inlineStr">
        <is>
          <t>PATH</t>
        </is>
      </c>
      <c r="C2956" s="33" t="inlineStr">
        <is>
          <t>R5</t>
        </is>
      </c>
      <c r="D2956" s="33" t="n">
        <v>3</v>
      </c>
      <c r="E2956" s="33" t="inlineStr">
        <is>
          <t>2→3. The canonical rule-16 case, and the evidence moved toward durability. Band 1 requires BOTH that AI-native tools can produce the core output AND that active erosion is visible; band 2 requires durability in question with no active erosion. On disclosed metrics through 2026-07-31 the erosion is not merely absent, it is reversing: gross retention 97%, net retention RISING 107%→109%, &gt;$1M-ARR customers +21%, churn concentrated in the smallest accounts. The countervailing 'LLM agents kill RPA' literature traces overwhelmingly to competing AI-agent vendors' own marketing with claims I could not source primarily, and carries near-zero evidentiary weight. Band 3 ('contested but a structural moat — governance, data sovereignty, regulated-industry and DoD deployment — resists core disruption') is the honest read. Falsifiable test carried forward: if the erosion thesis is right, gross retention and the &gt;$1M cohort crack FIRST.</t>
        </is>
      </c>
      <c r="F2956" s="33" t="inlineStr">
        <is>
          <t>8-K Ex-99.1 2026-09-03; context-2026-09-07.md; CLAUDE.md rule 16</t>
        </is>
      </c>
      <c r="G2956" s="33" t="inlineStr">
        <is>
          <t>Medium</t>
        </is>
      </c>
      <c r="H2956" s="33" t="inlineStr">
        <is>
          <t>Claude proposed</t>
        </is>
      </c>
    </row>
    <row r="2957">
      <c r="A2957" s="33" t="inlineStr">
        <is>
          <t>2026-09-07</t>
        </is>
      </c>
      <c r="B2957" s="33" t="inlineStr">
        <is>
          <t>TEM</t>
        </is>
      </c>
      <c r="C2957" s="33" t="inlineStr">
        <is>
          <t>D3</t>
        </is>
      </c>
      <c r="D2957" s="33" t="n">
        <v>4</v>
      </c>
      <c r="E2957" s="33" t="inlineStr">
        <is>
          <t>3→4. Two independent moat dimensions now evidenced: (a) regulatory — FDA approval of xT Tumor Only makes Tempus the first lab holding companion-diagnostic approval for BOTH tumor-only and tumor-normal comprehensive genomic profiling, which management expects to migrate tissue testing to ADLT pricing; (b) data scale — the linked clinical-molecular dataset underwrites the ~$200M of Data and Applications licenses signed in the quarter. Bias check applied (stock +33% over three months): both facts are price-independent. Counterweight recorded — a four-docket two-way patent war with Guardant Health is unresolved in both directions.</t>
        </is>
      </c>
      <c r="F2957" s="33" t="inlineStr">
        <is>
          <t>8-K Ex-99.1 2026-07-30; litigation_check.py 2026-09-07; context-2026-09-07.md</t>
        </is>
      </c>
      <c r="G2957" s="33" t="inlineStr">
        <is>
          <t>Medium</t>
        </is>
      </c>
      <c r="H2957" s="33" t="inlineStr">
        <is>
          <t>Claude proposed</t>
        </is>
      </c>
    </row>
    <row r="2958">
      <c r="A2958" s="33" t="inlineStr">
        <is>
          <t>2026-09-07</t>
        </is>
      </c>
      <c r="B2958" s="33" t="inlineStr">
        <is>
          <t>TEM</t>
        </is>
      </c>
      <c r="C2958" s="33" t="inlineStr">
        <is>
          <t>D5</t>
        </is>
      </c>
      <c r="D2958" s="33" t="n">
        <v>3</v>
      </c>
      <c r="E2958" s="33" t="inlineStr">
        <is>
          <t>1→3. Band 1 ('no meaningful tie') predates the two concrete AI-monetisation facts in this quarter: Tempus delivered the FIRST VERSION OF ITS ONCOLOGY FOUNDATION MODEL to AstraZeneca, and signed ~$200M of Data and Applications licences with named counterparties (BioNTech, Daiichi Sankyo, Level Set Bio, Incyte), with Insights revenue +36% YoY. Under the rule-23 parallel scale this is judged on role: for an AI-native vertical application, contracted model/data revenue with named pharma counterparties is a materially strong tie. Held at 3 rather than 4-5 because Data and Applications is ~24% of revenue and the tie is to pharma R&amp;D budgets rather than to AI-infrastructure buildout.</t>
        </is>
      </c>
      <c r="F2958" s="33" t="inlineStr">
        <is>
          <t>8-K Ex-99.1 2026-07-30; context-2026-09-07.md; CLAUDE.md rule 23</t>
        </is>
      </c>
      <c r="G2958" s="33" t="inlineStr">
        <is>
          <t>Medium</t>
        </is>
      </c>
      <c r="H2958" s="33" t="inlineStr">
        <is>
          <t>Claude proposed</t>
        </is>
      </c>
    </row>
    <row r="2959">
      <c r="A2959" s="33" t="inlineStr">
        <is>
          <t>2026-09-07</t>
        </is>
      </c>
      <c r="B2959" s="33" t="inlineStr">
        <is>
          <t>TEM</t>
        </is>
      </c>
      <c r="C2959" s="33" t="inlineStr">
        <is>
          <t>M1</t>
        </is>
      </c>
      <c r="D2959" s="33" t="n">
        <v>4</v>
      </c>
      <c r="E2959" s="33" t="inlineStr">
        <is>
          <t>3→4. FY2026 guidance raised on both lines — revenue to $1.595-1.605B and full-year Adjusted EBITDA to ~$65M — with Q2 Adjusted EBITDA swinging to +$8.0M from $(5.6)M a year ago. Estimate direction is up.</t>
        </is>
      </c>
      <c r="F2959" s="33" t="inlineStr">
        <is>
          <t>8-K Ex-99.1 2026-07-30; context-2026-09-07.md</t>
        </is>
      </c>
      <c r="G2959" s="33" t="inlineStr">
        <is>
          <t>High</t>
        </is>
      </c>
      <c r="H2959" s="33" t="inlineStr">
        <is>
          <t>Claude proposed</t>
        </is>
      </c>
    </row>
    <row r="2960">
      <c r="A2960" s="33" t="inlineStr">
        <is>
          <t>2026-09-07</t>
        </is>
      </c>
      <c r="B2960" s="33" t="inlineStr">
        <is>
          <t>TEM</t>
        </is>
      </c>
      <c r="C2960" s="33" t="inlineStr">
        <is>
          <t>R3</t>
        </is>
      </c>
      <c r="D2960" s="33" t="n">
        <v>4</v>
      </c>
      <c r="E2960" s="33" t="inlineStr">
        <is>
          <t>3→4. Balance sheet materially better than the band-3 'average leverage' description: $820.7M cash and marketable securities after a $460M offering of 0.00% convertible senior notes due 2032 — a zero-coupon maturity seven years out, i.e. well-spread — against an Adjusted EBITDA line that has turned positive (~$65M guided FY26). Net cash position. Held at 4 not 5 because the company still runs an operating loss and the Personalis consideration, while planned as all-stock, carries an election to pay up to 50% in cash — a real future claim on the cushion.</t>
        </is>
      </c>
      <c r="F2960" s="33" t="inlineStr">
        <is>
          <t>8-K Ex-99.1 2026-07-30; Tempus IR release 2026-07-20; context-2026-09-07.md</t>
        </is>
      </c>
      <c r="G2960" s="33" t="inlineStr">
        <is>
          <t>Medium</t>
        </is>
      </c>
      <c r="H2960" s="33" t="inlineStr">
        <is>
          <t>Claude proposed</t>
        </is>
      </c>
    </row>
    <row r="2961">
      <c r="A2961" s="33" t="inlineStr">
        <is>
          <t>2026-09-07</t>
        </is>
      </c>
      <c r="B2961" s="33" t="inlineStr">
        <is>
          <t>TEM</t>
        </is>
      </c>
      <c r="C2961" s="33" t="inlineStr">
        <is>
          <t>R4</t>
        </is>
      </c>
      <c r="D2961" s="33" t="n">
        <v>3</v>
      </c>
      <c r="E2961" s="33" t="inlineStr">
        <is>
          <t>2→3. The securities overhang cleared: Shouse v. Tempus AI (1:25-cv-06534, N.D. Ill., filed 2025-06-12) TERMINATED 2025-11-17, and no pending federal securities docket appears in RECAP. What remains is commercial patent litigation — a two-way war with Guardant Health across multiple districts (1:25-cv-01013 D. Del.; 3:25-cv-00621 S.D. Cal.; 1:24-cv-00687 D. Del., all pending) — which is real but ordinary-course for diagnostics, i.e. band 3 'pending matters disclosed'. NOT moved to 4/5: two unread 'other fraud' dockets (Farrier 1:26-cv-04246; Barone 1:26-cv-03516, both pending N.D. Ill.) are flagged-not-characterised, and a plaintiff-firm 'examination' of the Personalis related-party structure is marketing, not a filed case, and is set aside per rule-2d discipline.</t>
        </is>
      </c>
      <c r="F2961" s="33" t="inlineStr">
        <is>
          <t>litigation_check.py 2026-09-07 (RECAP); context-2026-09-07.md</t>
        </is>
      </c>
      <c r="G2961" s="33" t="inlineStr">
        <is>
          <t>Medium</t>
        </is>
      </c>
      <c r="H2961" s="33" t="inlineStr">
        <is>
          <t>Claude proposed</t>
        </is>
      </c>
    </row>
    <row r="2962">
      <c r="A2962" s="33" t="inlineStr">
        <is>
          <t>2026-09-07</t>
        </is>
      </c>
      <c r="B2962" s="33" t="inlineStr">
        <is>
          <t>WDC</t>
        </is>
      </c>
      <c r="C2962" s="33" t="inlineStr">
        <is>
          <t>D4</t>
        </is>
      </c>
      <c r="D2962" s="33" t="n">
        <v>3</v>
      </c>
      <c r="E2962" s="33" t="inlineStr">
        <is>
          <t>4→3. Rubric-faithful downgrade that runs against the economics, and is flagged as such. D4 measures where a company sits in its BUILD-OUT cycle. WDC is deliberately not building: nearline supply is short of demand by ~300EB in 2026, projected to widen to ~400EB in 2027 and 2028, and the company is sold out of hard drives for all of calendar 2026 with ASPs at ~$14.30-14.90/TB against stated $25-30/TB targets. That is capacity discipline being converted into price, which is economically excellent and is already credited in D2 (held 5) and the Value/Quality inputs. Under the rubric as written it is 'steady-state capex', not 'active expansion'. SURFACED FOR DOM: this is a case where the D4 ladder treats supply discipline as a negative — a rubric limitation worth a decision, not something to fix by nudging the rating.</t>
        </is>
      </c>
      <c r="F2962" s="33" t="inlineStr">
        <is>
          <t>8-K Ex-99.1 2026-08-05; Tom's Hardware 2026; The Register 2026-02-20; context-2026-09-07.md</t>
        </is>
      </c>
      <c r="G2962" s="33" t="inlineStr">
        <is>
          <t>Medium</t>
        </is>
      </c>
      <c r="H2962" s="33" t="inlineStr">
        <is>
          <t>Claude proposed</t>
        </is>
      </c>
    </row>
    <row r="2963">
      <c r="A2963" s="33" t="inlineStr">
        <is>
          <t>2026-09-07</t>
        </is>
      </c>
      <c r="B2963" s="33" t="inlineStr">
        <is>
          <t>PANW</t>
        </is>
      </c>
      <c r="C2963" s="33" t="inlineStr">
        <is>
          <t>R3</t>
        </is>
      </c>
      <c r="D2963" s="33" t="n">
        <v>4</v>
      </c>
      <c r="E2963" s="33" t="inlineStr">
        <is>
          <t>5→4. The dilution leg of balance-sheet risk moved materially and R3 explicitly covers dilution, not just leverage. Completing CyberArk on 2026-02-11 cost $2.3B of cash plus ~112 million newly issued shares — reported as roughly 13.5% EPS dilution — with FY27 share count guided to 844-847M, alongside a tender for CyberArk's 0.00% convertible notes due 2030 and two further closings (Chronosphere, Console). Held at 4 rather than lower because the cash engine is intact and unimpaired: FY26 adjusted FCF margin 38.4%, guided to 38.0% for FY27, with Q4 adjusted FCF of $1.3B. Band 4 ('modest leverage, maturities well-spread') is the accurate description; band 5's 'no debt concerns / no dilution risk' is not.</t>
        </is>
      </c>
      <c r="F2963" s="33" t="inlineStr">
        <is>
          <t>8-K Ex-99.1 2026-09-01; PANW press release 2026 (CyberArk completion); context-2026-09-07.md</t>
        </is>
      </c>
      <c r="G2963" s="33" t="inlineStr">
        <is>
          <t>High</t>
        </is>
      </c>
      <c r="H2963" s="33" t="inlineStr">
        <is>
          <t>Claude proposed</t>
        </is>
      </c>
    </row>
    <row r="2964">
      <c r="A2964" s="33" t="inlineStr">
        <is>
          <t>2026-09-07</t>
        </is>
      </c>
      <c r="B2964" s="33" t="inlineStr">
        <is>
          <t>APP</t>
        </is>
      </c>
      <c r="C2964" s="33" t="inlineStr">
        <is>
          <t>D4</t>
        </is>
      </c>
      <c r="D2964" s="33" t="n">
        <v>3</v>
      </c>
      <c r="E2964" s="33" t="inlineStr">
        <is>
          <t>4→3. Capital is flowing OUT, not into capacity: $551.3M of Class A shares repurchased and withheld in a single quarter against 335M shares outstanding, with no disclosed capacity or infrastructure expansion programme. Band 4 requires 'capacity growing meaningfully YoY', which is not evidenced for an asset-light advertising platform running an 84% Adjusted EBITDA margin. This is a description of the business model, not a criticism of it.</t>
        </is>
      </c>
      <c r="F2964" s="33" t="inlineStr">
        <is>
          <t>8-K Ex-99.1 2026-08-05; context-2026-09-07.md</t>
        </is>
      </c>
      <c r="G2964" s="33" t="inlineStr">
        <is>
          <t>Medium</t>
        </is>
      </c>
      <c r="H2964" s="33" t="inlineStr">
        <is>
          <t>Claude proposed</t>
        </is>
      </c>
    </row>
    <row r="2965">
      <c r="A2965" s="33" t="inlineStr">
        <is>
          <t>2026-09-07</t>
        </is>
      </c>
      <c r="B2965" s="33" t="inlineStr">
        <is>
          <t>APP</t>
        </is>
      </c>
      <c r="C2965" s="33" t="inlineStr">
        <is>
          <t>M1</t>
        </is>
      </c>
      <c r="D2965" s="33" t="n">
        <v>2</v>
      </c>
      <c r="E2965" s="33" t="inlineStr">
        <is>
          <t>4→2. Q3 2026 revenue guided to $2,055-2,085M against roughly $2.08B modelled and Adjusted EBITDA to $1,710-1,740M, both at or below consensus; Wells Fargo and Piper Sandler cut price targets within hours of the print, citing Axon improving more slowly than the market had priced. Shares fell about 20% on 2026-08-06. Band 2 ('net negative revisions, some cuts') is the direct read.</t>
        </is>
      </c>
      <c r="F2965" s="33" t="inlineStr">
        <is>
          <t>8-K Ex-99.1 2026-08-05; ad-hoc-news 2026; tickeron 2026; context-2026-09-07.md</t>
        </is>
      </c>
      <c r="G2965" s="33" t="inlineStr">
        <is>
          <t>High</t>
        </is>
      </c>
      <c r="H2965" s="33" t="inlineStr">
        <is>
          <t>Claude proposed</t>
        </is>
      </c>
    </row>
    <row r="2966">
      <c r="A2966" s="33" t="inlineStr">
        <is>
          <t>2026-09-07</t>
        </is>
      </c>
      <c r="B2966" s="33" t="inlineStr">
        <is>
          <t>APP</t>
        </is>
      </c>
      <c r="C2966" s="33" t="inlineStr">
        <is>
          <t>M2</t>
        </is>
      </c>
      <c r="D2966" s="33" t="n">
        <v>1</v>
      </c>
      <c r="E2966" s="33" t="inlineStr">
        <is>
          <t>2→1. Measured: APP -36.2% vs IGV +18.9% over six months = -55.1pts, and -42.5% vs +9.1% over three months = -51.6pts. Both windows are far beyond the -20pt threshold for band 1. The rubric's bias check applies in reverse here — a great business with poor price action warrants a low momentum rating, and that is what the rating means.</t>
        </is>
      </c>
      <c r="F2966" s="33" t="inlineStr">
        <is>
          <t>yfinance closes through 2026-09-07 vs IGV; rubric M2 6-month band</t>
        </is>
      </c>
      <c r="G2966" s="33" t="inlineStr">
        <is>
          <t>High</t>
        </is>
      </c>
      <c r="H2966" s="33" t="inlineStr">
        <is>
          <t>Claude proposed</t>
        </is>
      </c>
    </row>
    <row r="2967">
      <c r="A2967" s="33" t="inlineStr">
        <is>
          <t>2026-09-07</t>
        </is>
      </c>
      <c r="B2967" s="33" t="inlineStr">
        <is>
          <t>APP</t>
        </is>
      </c>
      <c r="C2967" s="33" t="inlineStr">
        <is>
          <t>R4</t>
        </is>
      </c>
      <c r="D2967" s="33" t="n">
        <v>1</v>
      </c>
      <c r="E2967" s="33" t="inlineStr">
        <is>
          <t>2→1. Three independent unresolved matters, all pointed at the same mechanism the revenue model depends on. (1) The SEC confirmed (reported 2026-02-20) that its probe involving AppLovin is 'still active and ongoing', examining whether the company violated service agreements with platform partners regarding how it collects and uses data — and declined to release staff correspondence citing risk that individuals of interest could 'fabricate evidence, influence witness testimony and/or destroy or alter certain documents'. (2) A pending consolidated securities class action, Brownback v. AppLovin (4:25-cv-02772, N.D. Cal., filed 2025-03-24), under Exchange Act 10(b)/20(a) and Rule 10b-5, naming Adam Foroughi, Matthew Stumpf and/or Herald Chen, with an amended complaint filed 2025-09-12 adding Basil Shikin. (3) A Dutch privacy class action alleging unlawful collection and trading of personal data including an estimated 1.5 million children. Band 1 is 'major regulatory threat / class action that could be material' and R4 scores RISK, not guilt: every one of these is an ALLEGATION, none is a finding, and the numerous plaintiff-firm 'investigation' press releases are marketing and are explicitly set aside per rule-2d discipline. Note the SEC probe appears in NO docket search — a filings-and-dockets-only view misses it entirely.</t>
        </is>
      </c>
      <c r="F2967" s="33" t="inlineStr">
        <is>
          <t>Bloomberg Law (SEC probe active); litigation_check.py 2026-09-07 (RECAP); JURIST 2026-05; context-2026-09-07.md</t>
        </is>
      </c>
      <c r="G2967" s="33" t="inlineStr">
        <is>
          <t>High</t>
        </is>
      </c>
      <c r="H2967" s="33" t="inlineStr">
        <is>
          <t>Claude proposed</t>
        </is>
      </c>
    </row>
    <row r="2968">
      <c r="A2968" s="33" t="inlineStr">
        <is>
          <t>2026-09-07</t>
        </is>
      </c>
      <c r="B2968" s="33" t="inlineStr">
        <is>
          <t>DDOG</t>
        </is>
      </c>
      <c r="C2968" s="33" t="inlineStr">
        <is>
          <t>R1</t>
        </is>
      </c>
      <c r="D2968" s="33" t="n">
        <v>5</v>
      </c>
      <c r="E2968" s="33" t="inlineStr">
        <is>
          <t>HELD at 5 despite this being the dimension the quarter most implicates — recorded deliberately. The largest customer (nine-figure contract, 17 products, widely reported as OpenAI) RENEWED but reduced usage sequentially, with the step-down starting Q3. On ~$4.45-4.47B of guided FY revenue a nine-figure account is roughly 2-4% of revenue, nowhere near band 4's 15-25% threshold, so the mechanical rating is unchanged. LIMITATION SURFACED: the real exposure is COHORT concentration (the AI-native customer base), which R1 as written does not measure — it scores single-customer share only. Refusing to nudge R1 for a narrative reason; flagging the gap instead.</t>
        </is>
      </c>
      <c r="F2968" s="33" t="inlineStr">
        <is>
          <t>8-K Ex-99.1 2026-08-06; context-2026-09-07.md</t>
        </is>
      </c>
      <c r="G2968" s="33" t="inlineStr">
        <is>
          <t>High</t>
        </is>
      </c>
      <c r="H2968" s="33" t="inlineStr">
        <is>
          <t>Claude proposed</t>
        </is>
      </c>
    </row>
    <row r="2969">
      <c r="A2969" s="33" t="inlineStr">
        <is>
          <t>2026-09-07</t>
        </is>
      </c>
      <c r="B2969" s="33" t="inlineStr">
        <is>
          <t>DDOG</t>
        </is>
      </c>
      <c r="C2969" s="33" t="inlineStr">
        <is>
          <t>D3</t>
        </is>
      </c>
      <c r="D2969" s="33" t="n">
        <v>4</v>
      </c>
      <c r="E2969" s="33" t="inlineStr">
        <is>
          <t>HELD at 4. For: sixth consecutive year a Leader in the Gartner Magic Quadrant for Observability Platforms, ~4,720 customers at &gt;=$100k ARR (+23% YoY), 100+ capabilities launched at DASH 2026, and the Adaptive ML acquisition moving Datadog into the model layer rather than merely consuming it. Against: the largest account demonstrated it can throttle spend at will, and Resolve AI ($125M raised February 2026, founded by OpenTelemetry co-creators) sits ON TOP of Datadog rather than replacing it — which makes the moat the data gravity, not the workflow. Net unchanged.</t>
        </is>
      </c>
      <c r="F2969" s="33" t="inlineStr">
        <is>
          <t>8-K Ex-99.1 2026-08-06; StackScout 2026; context-2026-09-07.md</t>
        </is>
      </c>
      <c r="G2969" s="33" t="inlineStr">
        <is>
          <t>Medium</t>
        </is>
      </c>
      <c r="H2969" s="33" t="inlineStr">
        <is>
          <t>Claude proposed</t>
        </is>
      </c>
    </row>
    <row r="2970">
      <c r="A2970" s="33" t="inlineStr">
        <is>
          <t>2026-09-07</t>
        </is>
      </c>
      <c r="B2970" s="33" t="inlineStr">
        <is>
          <t>DDOG</t>
        </is>
      </c>
      <c r="C2970" s="33" t="inlineStr">
        <is>
          <t>R5</t>
        </is>
      </c>
      <c r="D2970" s="33" t="n">
        <v>4</v>
      </c>
      <c r="E2970" s="33" t="inlineStr">
        <is>
          <t>HELD at 4. Rule-16 band 4 explicitly names consumption-priced data/observability. AI increases telemetry volume, which is the tailwind; the offsetting fact this quarter is that consumption pricing cuts both ways and an AI-native customer dialled it down. That is the consumption model behaving as designed, not agentic disruption of the revenue model.</t>
        </is>
      </c>
      <c r="F2970" s="33" t="inlineStr">
        <is>
          <t>CLAUDE.md rule 16; context-2026-09-07.md</t>
        </is>
      </c>
      <c r="G2970" s="33" t="inlineStr">
        <is>
          <t>High</t>
        </is>
      </c>
      <c r="H2970" s="33" t="inlineStr">
        <is>
          <t>Claude proposed</t>
        </is>
      </c>
    </row>
    <row r="2971">
      <c r="A2971" s="33" t="inlineStr">
        <is>
          <t>2026-09-07</t>
        </is>
      </c>
      <c r="B2971" s="33" t="inlineStr">
        <is>
          <t>DDOG</t>
        </is>
      </c>
      <c r="C2971" s="33" t="inlineStr">
        <is>
          <t>M2</t>
        </is>
      </c>
      <c r="D2971" s="33" t="n">
        <v>5</v>
      </c>
      <c r="E2971" s="33" t="inlineStr">
        <is>
          <t>HELD at 5. Measured: DDOG +69.3% vs IGV +18.9% over six months = +50.4pts, well beyond the &gt;20pt threshold. Recorded divergence: the three-month read is -18.2pts and the stock sits 14.6% below its 50-day SMA, so the trend is rolling over inside a strong six-month window. Rated on the rubric's six-month definition rather than overriding it; the objective 50DMA companion (73.3%) carries the trend-consistency signal separately.</t>
        </is>
      </c>
      <c r="F2971" s="33" t="inlineStr">
        <is>
          <t>yfinance closes through 2026-09-07 vs IGV; momentum_50dma.py 2026-09-07</t>
        </is>
      </c>
      <c r="G2971" s="33" t="inlineStr">
        <is>
          <t>High</t>
        </is>
      </c>
      <c r="H2971" s="33" t="inlineStr">
        <is>
          <t>Claude proposed</t>
        </is>
      </c>
    </row>
    <row r="2972">
      <c r="A2972" s="33" t="inlineStr">
        <is>
          <t>2026-09-07</t>
        </is>
      </c>
      <c r="B2972" s="33" t="inlineStr">
        <is>
          <t>CRWD</t>
        </is>
      </c>
      <c r="C2972" s="33" t="inlineStr">
        <is>
          <t>D3</t>
        </is>
      </c>
      <c r="D2972" s="33" t="n">
        <v>4</v>
      </c>
      <c r="E2972" s="33" t="inlineStr">
        <is>
          <t>HELD at 4, and the bias check is the reason. For a 5: module adoption at 51%/35%/26% on six+/seven+/eight+, Falcon Flex ARR +101%, and dollar-based GROSS retention improving — remarkable lock-in evidence for a vendor that caused a global outage in July 2024. Against a 5: Microsoft Defender's bundling economics remain a live structural threat to 10-year defensibility, which is what band 5 requires. Applying the rubric's own test — would I rate this moat the same way if the stock were down 40% rather than up 96% over six months? — I would rate it 4. So 4.</t>
        </is>
      </c>
      <c r="F2972" s="33" t="inlineStr">
        <is>
          <t>8-K Ex-99.1 2026-08-26; context-2026-09-07.md; rubric D3 bias check</t>
        </is>
      </c>
      <c r="G2972" s="33" t="inlineStr">
        <is>
          <t>Medium</t>
        </is>
      </c>
      <c r="H2972" s="33" t="inlineStr">
        <is>
          <t>Claude proposed</t>
        </is>
      </c>
    </row>
    <row r="2973">
      <c r="A2973" s="33" t="inlineStr">
        <is>
          <t>2026-09-07</t>
        </is>
      </c>
      <c r="B2973" s="33" t="inlineStr">
        <is>
          <t>CRWD</t>
        </is>
      </c>
      <c r="C2973" s="33" t="inlineStr">
        <is>
          <t>R4</t>
        </is>
      </c>
      <c r="D2973" s="33" t="n">
        <v>4</v>
      </c>
      <c r="E2973" s="33" t="inlineStr">
        <is>
          <t>HELD at 4, but for a materially better reason than before — worth recording. All three outage-era matters TERMINATED within the last eight months: In re CrowdStrike Holdings Securities Litigation (1:24-cv-00857, W.D. Tex.) on 2026-01-28; In re CrowdStrike Holding Derivative Litigation (1:24-cv-01031) on 2026-04-16; In re CrowdStrike Stockholder Demand Derivative Litigation (1:25-cv-00543) on 2026-04-06. No PENDING federal securities docket in RECAP. Termination is a docket status and does not distinguish dismissal from settlement; terms were not read. Not moved to 5 because GoSecure v. CrowdStrike (3:26-cv-02372, N.D. Cal., filed 2026-03-18) under the Defend Trade Secrets Act is pending and unread on its merits — that specific docket is what a 5 next pass depends on.</t>
        </is>
      </c>
      <c r="F2973" s="33" t="inlineStr">
        <is>
          <t>litigation_check.py 2026-09-07 (RECAP); context-2026-09-07.md</t>
        </is>
      </c>
      <c r="G2973" s="33" t="inlineStr">
        <is>
          <t>Medium</t>
        </is>
      </c>
      <c r="H2973" s="33" t="inlineStr">
        <is>
          <t>Claude proposed</t>
        </is>
      </c>
    </row>
    <row r="2974">
      <c r="A2974" s="33" t="inlineStr">
        <is>
          <t>2026-09-07</t>
        </is>
      </c>
      <c r="B2974" s="33" t="inlineStr">
        <is>
          <t>CRWD</t>
        </is>
      </c>
      <c r="C2974" s="33" t="inlineStr">
        <is>
          <t>D1</t>
        </is>
      </c>
      <c r="D2974" s="33" t="n">
        <v>2</v>
      </c>
      <c r="E2974" s="33" t="inlineStr">
        <is>
          <t>HELD at 2. The demand tie is real and strengthening, but D1 measures REVENUE SHARE and CrowdStrike breaks out no AI-specific revenue line. Under D1's sourcing rule a rating must cite a filing where AI revenue is disclosed or can be reasonably estimated; neither exists here. Direction is up, magnitude is unevidenced — so the rating does not move.</t>
        </is>
      </c>
      <c r="F2974" s="33" t="inlineStr">
        <is>
          <t>8-K Ex-99.1 2026-08-26; rubric D1 sourcing rule</t>
        </is>
      </c>
      <c r="G2974" s="33" t="inlineStr">
        <is>
          <t>Medium</t>
        </is>
      </c>
      <c r="H2974" s="33" t="inlineStr">
        <is>
          <t>Claude proposed</t>
        </is>
      </c>
    </row>
    <row r="2975">
      <c r="A2975" s="33" t="inlineStr">
        <is>
          <t>2026-09-07</t>
        </is>
      </c>
      <c r="B2975" s="33" t="inlineStr">
        <is>
          <t>MDB</t>
        </is>
      </c>
      <c r="C2975" s="33" t="inlineStr">
        <is>
          <t>R4</t>
        </is>
      </c>
      <c r="D2975" s="33" t="n">
        <v>3</v>
      </c>
      <c r="E2975" s="33" t="inlineStr">
        <is>
          <t>HELD at 3. Two securities dockets remain PENDING and unchanged since the prior briefing: Baxter v. MongoDB (1:24-cv-05191, S.D.N.Y., filed 2024-07-09) and In re MongoDB Shareholder Derivative Litigation (1:24-cv-07594, filed 2024-10-07), both 850 Securities/Commodities under the Exchange Act before Judge Gregory H. Woods III. Allegations, not findings — carried, not new. This rating is also the reference point used to correct PATH's R4 from 5 to 3 this pass.</t>
        </is>
      </c>
      <c r="F2975" s="33" t="inlineStr">
        <is>
          <t>litigation_check.py 2026-09-07 (RECAP); context-2026-09-07.md</t>
        </is>
      </c>
      <c r="G2975" s="33" t="inlineStr">
        <is>
          <t>High</t>
        </is>
      </c>
      <c r="H2975" s="33" t="inlineStr">
        <is>
          <t>Claude proposed</t>
        </is>
      </c>
    </row>
    <row r="2976">
      <c r="A2976" s="33" t="inlineStr">
        <is>
          <t>2026-09-07</t>
        </is>
      </c>
      <c r="B2976" s="33" t="inlineStr">
        <is>
          <t>MDB</t>
        </is>
      </c>
      <c r="C2976" s="33" t="inlineStr">
        <is>
          <t>D3</t>
        </is>
      </c>
      <c r="D2976" s="33" t="n">
        <v>3</v>
      </c>
      <c r="E2976" s="33" t="inlineStr">
        <is>
          <t>HELD at 3, two-sided. For: MongoDB is the PLAINTIFF in MongoDB v. FerretDB (1:25-cv-00641, D. Del., pending) defending the document-API surface against an open-source-compatible reimplementation — offensive moat enforcement, directly on the D3 question; RPO +91% and cRPO +73% far outrun revenue. Against: Atlas growth has printed ~29% for three consecutive quarters, which is the market's read on whether the moat converts into compounding consumption, and Postgres/pgvector pressure is unrefuted. Net unchanged.</t>
        </is>
      </c>
      <c r="F2976" s="33" t="inlineStr">
        <is>
          <t>8-K Ex-99.1 2026-09-01; litigation_check.py 2026-09-07; context-2026-09-07.md</t>
        </is>
      </c>
      <c r="G2976" s="33" t="inlineStr">
        <is>
          <t>Medium</t>
        </is>
      </c>
      <c r="H2976" s="33" t="inlineStr">
        <is>
          <t>Claude proposed</t>
        </is>
      </c>
    </row>
    <row r="2977">
      <c r="A2977" s="33" t="inlineStr">
        <is>
          <t>2026-09-07</t>
        </is>
      </c>
      <c r="B2977" s="33" t="inlineStr">
        <is>
          <t>MDB</t>
        </is>
      </c>
      <c r="C2977" s="33" t="inlineStr">
        <is>
          <t>R5</t>
        </is>
      </c>
      <c r="D2977" s="33" t="n">
        <v>4</v>
      </c>
      <c r="E2977" s="33" t="inlineStr">
        <is>
          <t>HELD at 4. Genuinely two-directional: coding agents could commoditise database selection, or could multiply the number of applications and therefore workloads — management is explicitly betting on the second, and shipped four AI-retrieval capabilities to GA in Atlas (Automated Embeddings via Voyage AI, the Embedding and Reranking API, voyage-code-4, Vector Search in Atlas Stream Processing). No erosion is visible in retention or growth. Consumption-priced data platform is rule-16 band 4.</t>
        </is>
      </c>
      <c r="F2977" s="33" t="inlineStr">
        <is>
          <t>8-K Ex-99.1 2026-09-01; CLAUDE.md rule 16; context-2026-09-07.md</t>
        </is>
      </c>
      <c r="G2977" s="33" t="inlineStr">
        <is>
          <t>Medium</t>
        </is>
      </c>
      <c r="H2977" s="33" t="inlineStr">
        <is>
          <t>Claude proposed</t>
        </is>
      </c>
    </row>
    <row r="2978">
      <c r="A2978" s="33" t="inlineStr">
        <is>
          <t>2026-09-07</t>
        </is>
      </c>
      <c r="B2978" s="33" t="inlineStr">
        <is>
          <t>MDB</t>
        </is>
      </c>
      <c r="C2978" s="33" t="inlineStr">
        <is>
          <t>R3</t>
        </is>
      </c>
      <c r="D2978" s="33" t="n">
        <v>5</v>
      </c>
      <c r="E2978" s="33" t="inlineStr">
        <is>
          <t>HELD at 5. $2.4B cash and investments, a third consecutive quarter of GAAP profitability (net income $40.9M, $0.50 diluted), non-GAAP operating margin 24% versus 15% a year ago, and free cash flow of $137.6M — nearly doubled YoY. Materially better than the picture carried into this pass.</t>
        </is>
      </c>
      <c r="F2978" s="33" t="inlineStr">
        <is>
          <t>8-K Ex-99.1 2026-09-01; context-2026-09-07.md</t>
        </is>
      </c>
      <c r="G2978" s="33" t="inlineStr">
        <is>
          <t>High</t>
        </is>
      </c>
      <c r="H2978" s="33" t="inlineStr">
        <is>
          <t>Claude proposed</t>
        </is>
      </c>
    </row>
    <row r="2979">
      <c r="A2979" s="33" t="inlineStr">
        <is>
          <t>2026-09-07</t>
        </is>
      </c>
      <c r="B2979" s="33" t="inlineStr">
        <is>
          <t>PATH</t>
        </is>
      </c>
      <c r="C2979" s="33" t="inlineStr">
        <is>
          <t>M3</t>
        </is>
      </c>
      <c r="D2979" s="33" t="n">
        <v>3</v>
      </c>
      <c r="E2979" s="33" t="inlineStr">
        <is>
          <t>HELD at 3 per the rubric's own decision procedure. Daniel Dines sold 1.40M shares at ~$16.07 on 2026-08-19 under a 10b5-1 plan, retaining ~26.5M shares (~5% of holdings) — step 2 classifies pre-scheduled 10b5-1 sales as ROUTINE, which defaults to 3 regardless of size. Recorded but deliberately not over-weighted: the aggregate record shows 0 open-market buys across 109 transactions over five years, including through the $9-11 lows. Under the project's stated asymmetry (buying predicts, selling is ambiguous) an absence-of-buying observation is the weaker signal and the rubric provides no band for it. Flagging rather than inventing one.</t>
        </is>
      </c>
      <c r="F2979" s="33" t="inlineStr">
        <is>
          <t>SEC Form 4 filings via context-2026-09-07.md; rubric M3 decision procedure</t>
        </is>
      </c>
      <c r="G2979" s="33" t="inlineStr">
        <is>
          <t>High</t>
        </is>
      </c>
      <c r="H2979" s="33" t="inlineStr">
        <is>
          <t>Claude proposed</t>
        </is>
      </c>
    </row>
    <row r="2980">
      <c r="A2980" s="33" t="inlineStr">
        <is>
          <t>2026-09-07</t>
        </is>
      </c>
      <c r="B2980" s="33" t="inlineStr">
        <is>
          <t>PATH</t>
        </is>
      </c>
      <c r="C2980" s="33" t="inlineStr">
        <is>
          <t>R3</t>
        </is>
      </c>
      <c r="D2980" s="33" t="n">
        <v>5</v>
      </c>
      <c r="E2980" s="33" t="inlineStr">
        <is>
          <t>HELD at 5. $1.405B cash and marketable securities against $69.4M of debt. The $284M H1 decline is discretionary ($268.5M of buybacks plus the $149.4M WorkFusion acquisition), not distress. The dilution leg improved materially: SBC down 42% YoY (21.6%→11.0% of revenue) and share count down 3.1%. Watch item recorded: H1 operating cash flow was flat YoY despite large margin gains because deferred revenue fell $90.2M — confirm in the 10-Q that this is billings seasonality rather than demand.</t>
        </is>
      </c>
      <c r="F2980" s="33" t="inlineStr">
        <is>
          <t>8-K Ex-99.1 2026-09-03; context-2026-09-07.md</t>
        </is>
      </c>
      <c r="G2980" s="33" t="inlineStr">
        <is>
          <t>Medium</t>
        </is>
      </c>
      <c r="H2980" s="33" t="inlineStr">
        <is>
          <t>Claude proposed</t>
        </is>
      </c>
    </row>
    <row r="2981">
      <c r="A2981" s="33" t="inlineStr">
        <is>
          <t>2026-09-07</t>
        </is>
      </c>
      <c r="B2981" s="33" t="inlineStr">
        <is>
          <t>PATH</t>
        </is>
      </c>
      <c r="C2981" s="33" t="inlineStr">
        <is>
          <t>R2</t>
        </is>
      </c>
      <c r="D2981" s="33" t="n">
        <v>4</v>
      </c>
      <c r="E2981" s="33" t="inlineStr">
        <is>
          <t>HELD at 4, with a newly quantified exposure recorded. FY2027 carries a $20M FX headwind ($18M in H2), and Q2 revenue grew +13.4% reported against +16% normalised for currency — a ~300bps translation drag; accumulated OCI fell $36.6M to $14.7M over six months. This is a currency-translation demand exposure rather than a geopolitical risk-geography or asset-location shock, so it does not move the band by itself. NOT moved to 5 because the rubric requires naming the worst plausible shock and the % of revenue exposed, and no geographic revenue breakout was pulled this pass — flagged as not done.</t>
        </is>
      </c>
      <c r="F2981" s="33" t="inlineStr">
        <is>
          <t>8-K Ex-99.1 2026-09-03; context-2026-09-07.md; rubric R2 rationale requirement</t>
        </is>
      </c>
      <c r="G2981" s="33" t="inlineStr">
        <is>
          <t>Low</t>
        </is>
      </c>
      <c r="H2981" s="33" t="inlineStr">
        <is>
          <t>Claude proposed</t>
        </is>
      </c>
    </row>
    <row r="2982">
      <c r="A2982" s="33" t="inlineStr">
        <is>
          <t>2026-09-07</t>
        </is>
      </c>
      <c r="B2982" s="33" t="inlineStr">
        <is>
          <t>TEM</t>
        </is>
      </c>
      <c r="C2982" s="33" t="inlineStr">
        <is>
          <t>D1</t>
        </is>
      </c>
      <c r="D2982" s="33" t="n">
        <v>5</v>
      </c>
      <c r="E2982" s="33" t="inlineStr">
        <is>
          <t>HELD at 5, and flagged for scrutiny next pass rather than changed without evidence. Supporting: Data and Applications is $93.2M (+28%) with Insights (data licensing and modelling) +36%, the first oncology foundation model was delivered to AstraZeneca, and the diagnostics franchise is underwritten by AI interpretation of a linked clinical-molecular dataset. The open question I could not resolve this pass is whether the ~76% of revenue that is Diagnostics should count as AI-DRIVEN or as a lab-services business with an AI overlay — that is the rubric's own 'AI-adjacent vs AI-driven' failure mode, and it deserves a deliberate answer before the 5 is trusted further.</t>
        </is>
      </c>
      <c r="F2982" s="33" t="inlineStr">
        <is>
          <t>8-K Ex-99.1 2026-07-30; rubric D1 failure modes; context-2026-09-07.md</t>
        </is>
      </c>
      <c r="G2982" s="33" t="inlineStr">
        <is>
          <t>Low</t>
        </is>
      </c>
      <c r="H2982" s="33" t="inlineStr">
        <is>
          <t>Claude proposed</t>
        </is>
      </c>
    </row>
    <row r="2983">
      <c r="A2983" s="33" t="inlineStr">
        <is>
          <t>2026-09-07</t>
        </is>
      </c>
      <c r="B2983" s="33" t="inlineStr">
        <is>
          <t>TEM</t>
        </is>
      </c>
      <c r="C2983" s="33" t="inlineStr">
        <is>
          <t>R1</t>
        </is>
      </c>
      <c r="D2983" s="33" t="n">
        <v>3</v>
      </c>
      <c r="E2983" s="33" t="inlineStr">
        <is>
          <t>HELD at 3. Named data-licensing counterparties (BioNTech, Daiichi Sankyo, Level Set Bio, Incyte, AstraZeneca) suggest breadth, and ~$200M of new licences were signed in the quarter, but PER-CUSTOMER concentration was not quantified in this pass. Holding the existing band rather than moving on an impression — flagged as not done.</t>
        </is>
      </c>
      <c r="F2983" s="33" t="inlineStr">
        <is>
          <t>8-K Ex-99.1 2026-07-30; context-2026-09-07.md</t>
        </is>
      </c>
      <c r="G2983" s="33" t="inlineStr">
        <is>
          <t>Low</t>
        </is>
      </c>
      <c r="H2983" s="33" t="inlineStr">
        <is>
          <t>Claude proposed</t>
        </is>
      </c>
    </row>
    <row r="2984">
      <c r="A2984" s="33" t="inlineStr">
        <is>
          <t>2026-09-07</t>
        </is>
      </c>
      <c r="B2984" s="33" t="inlineStr">
        <is>
          <t>WDC</t>
        </is>
      </c>
      <c r="C2984" s="33" t="inlineStr">
        <is>
          <t>D2</t>
        </is>
      </c>
      <c r="D2984" s="33" t="n">
        <v>5</v>
      </c>
      <c r="E2984" s="33" t="inlineStr">
        <is>
          <t>HELD at 5, with materially strengthened evidence. Sold out of hard drives for all of calendar 2026 against firm purchase orders from the top seven customers; commercial agreements with three of the top five customers, two running through calendar 2027 and one through 2028; blended nearline ASPs of ~$14.30-14.90/TB against suppliers' stated $25-30/TB target pricing. Lead times and pricing power are demonstrable in the literal sense band 5 describes, and the cycle now has contractual duration rather than quarterly visibility.</t>
        </is>
      </c>
      <c r="F2984" s="33" t="inlineStr">
        <is>
          <t>8-K Ex-99.1 2026-08-05; Tom's Hardware 2026; winbuzzer 2026-02-18; context-2026-09-07.md</t>
        </is>
      </c>
      <c r="G2984" s="33" t="inlineStr">
        <is>
          <t>High</t>
        </is>
      </c>
      <c r="H2984" s="33" t="inlineStr">
        <is>
          <t>Claude proposed</t>
        </is>
      </c>
    </row>
    <row r="2985">
      <c r="A2985" s="33" t="inlineStr">
        <is>
          <t>2026-09-07</t>
        </is>
      </c>
      <c r="B2985" s="33" t="inlineStr">
        <is>
          <t>WDC</t>
        </is>
      </c>
      <c r="C2985" s="33" t="inlineStr">
        <is>
          <t>D3</t>
        </is>
      </c>
      <c r="D2985" s="33" t="n">
        <v>4</v>
      </c>
      <c r="E2985" s="33" t="inlineStr">
        <is>
          <t>HELD at 4, resisting the upgrade the price action invites. A three-supplier oligopoly with a multi-year structural capacity shortfall is a strong position, but band 5 requires plausible 10+ year defensibility, and long-run NAND/SSD substitution economics remain a genuine open question even though supply is short by ~300EB today and NAND is visibly NOT absorbing nearline demand. Bias check applied: the stock is +78.4% over six months, which is not moat evidence.</t>
        </is>
      </c>
      <c r="F2985" s="33" t="inlineStr">
        <is>
          <t>8-K Ex-99.1 2026-08-05; The Register 2026-02-20; rubric D3 bias check</t>
        </is>
      </c>
      <c r="G2985" s="33" t="inlineStr">
        <is>
          <t>Medium</t>
        </is>
      </c>
      <c r="H2985" s="33" t="inlineStr">
        <is>
          <t>Claude proposed</t>
        </is>
      </c>
    </row>
    <row r="2986">
      <c r="A2986" s="33" t="inlineStr">
        <is>
          <t>2026-09-07</t>
        </is>
      </c>
      <c r="B2986" s="33" t="inlineStr">
        <is>
          <t>WDC</t>
        </is>
      </c>
      <c r="C2986" s="33" t="inlineStr">
        <is>
          <t>R1</t>
        </is>
      </c>
      <c r="D2986" s="33" t="n">
        <v>3</v>
      </c>
      <c r="E2986" s="33" t="inlineStr">
        <is>
          <t>HELD at 3. Hyperscaler forward orders have taken 85-95% of nearline capacity since Q2 2025 with firm orders from the top seven customers — real and material concentration, currently expressed as strength rather than as risk. Held rather than lowered because no single customer is disclosed above band 2's 40-60% threshold; as with DDOG this pass, the exposure is cohort-level and R1 measures single-customer share.</t>
        </is>
      </c>
      <c r="F2986" s="33" t="inlineStr">
        <is>
          <t>8-K Ex-99.1 2026-08-05; context-2026-09-07.md</t>
        </is>
      </c>
      <c r="G2986" s="33" t="inlineStr">
        <is>
          <t>Medium</t>
        </is>
      </c>
      <c r="H2986" s="33" t="inlineStr">
        <is>
          <t>Claude proposed</t>
        </is>
      </c>
    </row>
    <row r="2987">
      <c r="A2987" s="33" t="inlineStr">
        <is>
          <t>2026-09-07</t>
        </is>
      </c>
      <c r="B2987" s="33" t="inlineStr">
        <is>
          <t>WDC</t>
        </is>
      </c>
      <c r="C2987" s="33" t="inlineStr">
        <is>
          <t>R2</t>
        </is>
      </c>
      <c r="D2987" s="33" t="n">
        <v>4</v>
      </c>
      <c r="E2987" s="33" t="inlineStr">
        <is>
          <t>HELD at 4 with an explicit gap flagged. WDC's manufacturing footprint in South-East Asia is an ASSET leg under the revised R2 framework, which if assessed could support a 2-3, but the 10-K Item 2 property/asset-location analysis was NOT run in this pass. Holding the incumbent band rather than moving in either direction on an unexamined leg — this is the single weakest-evidenced rating in the eight-name pass and should be the first R2 refreshed next time.</t>
        </is>
      </c>
      <c r="F2987" s="33" t="inlineStr">
        <is>
          <t>rubric R2 three-leg framework; context-2026-09-07.md (flagged as not done)</t>
        </is>
      </c>
      <c r="G2987" s="33" t="inlineStr">
        <is>
          <t>Low</t>
        </is>
      </c>
      <c r="H2987" s="33" t="inlineStr">
        <is>
          <t>Claude proposed</t>
        </is>
      </c>
    </row>
    <row r="2988">
      <c r="A2988" s="33" t="inlineStr">
        <is>
          <t>2026-09-07</t>
        </is>
      </c>
      <c r="B2988" s="33" t="inlineStr">
        <is>
          <t>PANW</t>
        </is>
      </c>
      <c r="C2988" s="33" t="inlineStr">
        <is>
          <t>M3</t>
        </is>
      </c>
      <c r="D2988" s="33" t="n">
        <v>5</v>
      </c>
      <c r="E2988" s="33" t="inlineStr">
        <is>
          <t>HELD at 5 — but flagged as UNVERIFIED this pass and the highest-priority item for the next one. A 5 asserts multiple insider open-market purchases (or a single discretionary buy above $1M); no Form 4 review was performed in this refresh, so the rating rests entirely on whenever it was last set. It is also the only 5 on M3 across the eight names in this rotation, which means it carries disproportionate weight in PANW's Momentum score. Verify against EDGAR Form 4 filings before trusting it further.</t>
        </is>
      </c>
      <c r="F2988" s="33" t="inlineStr">
        <is>
          <t>not refreshed this pass — flagged per rule 3; context-2026-09-07.md</t>
        </is>
      </c>
      <c r="G2988" s="33" t="inlineStr">
        <is>
          <t>Low</t>
        </is>
      </c>
      <c r="H2988" s="33" t="inlineStr">
        <is>
          <t>Claude proposed</t>
        </is>
      </c>
    </row>
    <row r="2989">
      <c r="A2989" s="33" t="inlineStr">
        <is>
          <t>2026-09-07</t>
        </is>
      </c>
      <c r="B2989" s="33" t="inlineStr">
        <is>
          <t>PANW</t>
        </is>
      </c>
      <c r="C2989" s="33" t="inlineStr">
        <is>
          <t>D3</t>
        </is>
      </c>
      <c r="D2989" s="33" t="n">
        <v>4</v>
      </c>
      <c r="E2989" s="33" t="inlineStr">
        <is>
          <t>HELD at 4. Platform consolidation across three adjacent categories at once (CyberArk identity, Chronosphere observability, Console agentic workflow) strengthens the bundling position, and RPO of $21.2B (+34%) with a reiterated $20B NGS ARR by FY30 target is real forward commitment. The offsetting question, recorded rather than resolved: whether a moat assembled by roll-up is the same thing as an earned one — and CyberArk's reported ARR is 2-3% LOWER under PANW's accounting definition than under its previous bookings-based definition, a disclosed downward restatement of the acquired base.</t>
        </is>
      </c>
      <c r="F2989" s="33" t="inlineStr">
        <is>
          <t>8-K Ex-99.1 2026-09-01; TIKR 2026; context-2026-09-07.md</t>
        </is>
      </c>
      <c r="G2989" s="33" t="inlineStr">
        <is>
          <t>Medium</t>
        </is>
      </c>
      <c r="H2989" s="33" t="inlineStr">
        <is>
          <t>Claude proposed</t>
        </is>
      </c>
    </row>
    <row r="2990">
      <c r="A2990" s="33" t="inlineStr">
        <is>
          <t>2026-09-07</t>
        </is>
      </c>
      <c r="B2990" s="33" t="inlineStr">
        <is>
          <t>APP</t>
        </is>
      </c>
      <c r="C2990" s="33" t="inlineStr">
        <is>
          <t>D3</t>
        </is>
      </c>
      <c r="D2990" s="33" t="n">
        <v>3</v>
      </c>
      <c r="E2990" s="33" t="inlineStr">
        <is>
          <t>HELD at 3, and this is the dimension most directly challenged. The moat IS Axon's rate of self-improvement, and management has now told the market that rate was 'lighter than normal' in a specific quarter — attributing the guidance shortfall to the model, NOT to weaker advertiser demand. That is a warning, not yet erosion: revenue still grew 53% with an 84% Adjusted EBITDA margin, so band 2's 'losing share possible, price-taker behaviour' is not evidenced. Deliberately not double-counting this single datapoint across D2 (held 4) and D3. The falsifiable thing to track is the next two quarters of Axon improvement commentary.</t>
        </is>
      </c>
      <c r="F2990" s="33" t="inlineStr">
        <is>
          <t>8-K Ex-99.1 2026-08-05; ad-hoc-news 2026; context-2026-09-07.md</t>
        </is>
      </c>
      <c r="G2990" s="33" t="inlineStr">
        <is>
          <t>Medium</t>
        </is>
      </c>
      <c r="H2990" s="33" t="inlineStr">
        <is>
          <t>Claude proposed</t>
        </is>
      </c>
    </row>
    <row r="2991">
      <c r="A2991" s="33" t="inlineStr">
        <is>
          <t>2026-09-07</t>
        </is>
      </c>
      <c r="B2991" s="33" t="inlineStr">
        <is>
          <t>APP</t>
        </is>
      </c>
      <c r="C2991" s="33" t="inlineStr">
        <is>
          <t>R5</t>
        </is>
      </c>
      <c r="D2991" s="33" t="n">
        <v>4</v>
      </c>
      <c r="E2991" s="33" t="inlineStr">
        <is>
          <t>HELD at 4 — deliberately resisting a pile-on. The rule-16 band-4 language covers AI-native beneficiaries, which AppLovin is: its core product IS an AI model. The genuine terminal-value question is whether a better model (Meta Advantage+, Google) out-improves Axon, but that is the D3 competitive question in different clothes, and no ACTIVE erosion is visible in a quarter of 53% revenue growth and record profit. Noting the temptation and the discipline: the name is already down 43% over three months and carries four other downgrades this pass, which is exactly when an unevidenced fifth becomes easy to justify.</t>
        </is>
      </c>
      <c r="F2991" s="33" t="inlineStr">
        <is>
          <t>CLAUDE.md rule 16; 8-K Ex-99.1 2026-08-05; context-2026-09-07.md</t>
        </is>
      </c>
      <c r="G2991" s="33" t="inlineStr">
        <is>
          <t>Medium</t>
        </is>
      </c>
      <c r="H2991" s="33" t="inlineStr">
        <is>
          <t>Claude proposed</t>
        </is>
      </c>
    </row>
    <row r="2992">
      <c r="A2992" s="33" t="inlineStr">
        <is>
          <t>2026-09-07</t>
        </is>
      </c>
      <c r="B2992" s="33" t="inlineStr">
        <is>
          <t>APP</t>
        </is>
      </c>
      <c r="C2992" s="33" t="inlineStr">
        <is>
          <t>R1</t>
        </is>
      </c>
      <c r="D2992" s="33" t="n">
        <v>4</v>
      </c>
      <c r="E2992" s="33" t="inlineStr">
        <is>
          <t>HELD at 4. The advertiser mix shift toward e-commerce self-serve was NOT quantified in this pass and no advertiser-concentration disclosure was reviewed. Flagged as not done rather than rated on impression.</t>
        </is>
      </c>
      <c r="F2992" s="33" t="inlineStr">
        <is>
          <t>not examined this pass — flagged per rule 3; context-2026-09-07.md</t>
        </is>
      </c>
      <c r="G2992" s="33" t="inlineStr">
        <is>
          <t>Low</t>
        </is>
      </c>
      <c r="H2992" s="33" t="inlineStr">
        <is>
          <t>Claude proposed</t>
        </is>
      </c>
    </row>
    <row r="2993">
      <c r="A2993" s="33" t="inlineStr">
        <is>
          <t>2026-09-07</t>
        </is>
      </c>
      <c r="B2993" s="33" t="inlineStr">
        <is>
          <t>CRM</t>
        </is>
      </c>
      <c r="C2993" s="33" t="inlineStr">
        <is>
          <t>EPS YoY (objective)</t>
        </is>
      </c>
      <c r="E2993" s="33" t="inlineStr">
        <is>
          <t>Rule-15 blank: Q2 FY27 (q/e 2026-07-31) GAAP net income $3,526M vs $1,887M (+86.9%, = yfinance earningsQuarterlyGrowth) dominated by $2,613M 'Gains on strategic investments, net' vs $6M PY; gain = $2.43 of the $4.29 GAAP diluted EPS (Ex-99.1 note 3); income from operations FLAT ($2,331M vs $2,332M), ex-gain net income ~$1.5B = DOWN ~19% YoY. Under the 300% auto-withhold, so the script would have written 86.9 — blanked by hand. NOTE: the press release does not name the investee (the Anthropic attribution is from the briefing thread, not the filing). Growth averages the revenue metrics. [8-K Ex-99.1 filed 2026-08-26]</t>
        </is>
      </c>
      <c r="F2993" s="33" t="inlineStr">
        <is>
          <t>https://www.sec.gov/Archives/edgar/data/1108524/000110852426000187/</t>
        </is>
      </c>
      <c r="G2993" s="33" t="inlineStr">
        <is>
          <t>High</t>
        </is>
      </c>
      <c r="H2993" s="33" t="inlineStr">
        <is>
          <t>Objective refresh</t>
        </is>
      </c>
    </row>
    <row r="2994">
      <c r="A2994" s="33" t="inlineStr">
        <is>
          <t>2026-09-07</t>
        </is>
      </c>
      <c r="B2994" s="33" t="inlineStr">
        <is>
          <t>WDAY</t>
        </is>
      </c>
      <c r="C2994" s="33" t="inlineStr">
        <is>
          <t>EPS YoY (objective)</t>
        </is>
      </c>
      <c r="E2994" s="33" t="inlineStr">
        <is>
          <t>Rule-15 blank: Q2 FY27 (q/e 2026-07-31) GAAP net income $632M vs $228M (+177%) dominated by a $374M deferred-tax benefit from an intra-entity IP transfer in an internal legal-entity restructuring ($1.52 of the $2.57 diluted EPS; Ex-99.1 para 1 + income-tax-effects note); pretax income +7.6% ($327M vs $304M), operating income +26%. Tax one-off = rule-15 class (QCOM 2026-06-15 precedent). Was 226.5 (a GAAP figure off the restructuring-depressed Q1 FY26 base — the 2026-06-17 audit had substituted non-GAAP +19). [8-K Ex-99.1 filed 2026-08-27]</t>
        </is>
      </c>
      <c r="F2994" s="33" t="inlineStr">
        <is>
          <t>https://www.sec.gov/Archives/edgar/data/1327811/000132781126000042/</t>
        </is>
      </c>
      <c r="G2994" s="33" t="inlineStr">
        <is>
          <t>High</t>
        </is>
      </c>
      <c r="H2994" s="33" t="inlineStr">
        <is>
          <t>Objective refresh</t>
        </is>
      </c>
    </row>
    <row r="2995">
      <c r="A2995" s="33" t="inlineStr">
        <is>
          <t>2026-09-07</t>
        </is>
      </c>
      <c r="B2995" s="33" t="inlineStr">
        <is>
          <t>INTU</t>
        </is>
      </c>
      <c r="C2995" s="33" t="inlineStr">
        <is>
          <t>EPS YoY (objective)</t>
        </is>
      </c>
      <c r="E2995" s="33" t="inlineStr">
        <is>
          <t>Rule-15 blank (judgment call — flagged for Dom): Q4 FY26 (q/e 2026-07-31) GAAP net income $363M vs $381M (-4.7%) while pretax income ROSE 47% ($540M vs $366M) and operating income +40%. Sign flip is dominated by the tax swing: $177M provision vs a $15M net BENEFIT in the PY quarter (PY carried $143M excess SBC tax benefits per Ex-99.1 tax note) = -$192M vs +$174M pretax growth — the rule-15 tax-one-off class (TEL 2026-06-24 depressed/inflated-base precedent). Secondary: $293M restructuring charge vs $1M (new 'Plan'), which alone would NOT blank per the META 2026-08-02 in-operating precedent. Reversible: writing the mechanical -4.7 is the alternative. [8-K Ex-99.1 filed 2026-08-25]</t>
        </is>
      </c>
      <c r="F2995" s="33" t="inlineStr">
        <is>
          <t>https://www.sec.gov/Archives/edgar/data/896878/000089687826000029/</t>
        </is>
      </c>
      <c r="G2995" s="33" t="inlineStr">
        <is>
          <t>Medium</t>
        </is>
      </c>
      <c r="H2995" s="33" t="inlineStr">
        <is>
          <t>Objective refresh</t>
        </is>
      </c>
    </row>
    <row r="2996">
      <c r="A2996" s="33" t="inlineStr">
        <is>
          <t>2026-09-07</t>
        </is>
      </c>
      <c r="B2996" s="33" t="inlineStr">
        <is>
          <t>MDB</t>
        </is>
      </c>
      <c r="C2996" s="33" t="inlineStr">
        <is>
          <t>EPS YoY (objective)</t>
        </is>
      </c>
      <c r="E2996" s="33" t="inlineStr">
        <is>
          <t>Blanked (undefined ratio, not rule 15): Q2 FY27 (q/e 2026-07-31) GAAP net income $40.9M vs net LOSS $(47.0)M PY — a loss-to-profit swing has no meaningful YoY %, yfinance returned None, and the guard kept a stale 2.2 from the 7/16 refresh. Same treatment as CRWD (blank, loss-base). The swing itself is operational (income from operations $28.4M vs $(65.3)M, revenue +30.5%) and shows up in the revenue metrics. [8-K Ex-99.1 filed 2026-09-01]</t>
        </is>
      </c>
      <c r="F2996" s="33" t="inlineStr">
        <is>
          <t>https://www.sec.gov/Archives/edgar/data/1441816/000162828026059794/</t>
        </is>
      </c>
      <c r="G2996" s="33" t="inlineStr">
        <is>
          <t>High</t>
        </is>
      </c>
      <c r="H2996" s="33" t="inlineStr">
        <is>
          <t>Objective refresh</t>
        </is>
      </c>
    </row>
    <row r="2997">
      <c r="A2997" s="33" t="inlineStr">
        <is>
          <t>2026-09-07</t>
        </is>
      </c>
      <c r="B2997" s="33" t="inlineStr">
        <is>
          <t>DDOG</t>
        </is>
      </c>
      <c r="C2997" s="33" t="inlineStr">
        <is>
          <t>EPS YoY (objective)</t>
        </is>
      </c>
      <c r="D2997" s="33" t="n">
        <v>1583.3</v>
      </c>
      <c r="E2997" s="33" t="inlineStr">
        <is>
          <t>Rule-15 check, WRITTEN (statement-derived; the script withheld the yfinance +1583% at the 300% guard): Q2 2026 (q/e 2026-06-30) GAAP net income $44,558K vs $2,647K = +1583.3%, operating income swung $(35.5)M -&gt; +$5.5M on revenue +35.6%; other income $46.3M vs $41.6M (interest, recurring); no gain/divestiture/tax one-off. Big operational number off a tiny base = the SEI/CIEN precedent, stays. Was 113.4 (stale, pre-8/6 print). [8-K Ex-99.1 filed 2026-08-06]</t>
        </is>
      </c>
      <c r="F2997" s="33" t="inlineStr">
        <is>
          <t>https://www.sec.gov/Archives/edgar/data/1561550/000162828026053829/</t>
        </is>
      </c>
      <c r="G2997" s="33" t="inlineStr">
        <is>
          <t>High</t>
        </is>
      </c>
      <c r="H2997" s="33" t="inlineStr">
        <is>
          <t>Objective refresh</t>
        </is>
      </c>
    </row>
    <row r="2998">
      <c r="A2998" s="33" t="inlineStr">
        <is>
          <t>2026-09-07</t>
        </is>
      </c>
      <c r="B2998" s="33" t="inlineStr">
        <is>
          <t>HPE</t>
        </is>
      </c>
      <c r="C2998" s="33" t="inlineStr">
        <is>
          <t>EPS YoY (objective)</t>
        </is>
      </c>
      <c r="D2998" s="33" t="n">
        <v>404.9</v>
      </c>
      <c r="E2998" s="33" t="inlineStr">
        <is>
          <t>Rule-15 check, WRITTEN (statement-derived; script withheld yfinance +405%): Q3 FY26 (q/e 2026-07-31) net earnings attributable to HPE $1,540M vs $305M = +404.9%; earnings from operations $1,393M vs $247M (+464%, Juniper consolidation + AI systems). Includes a $444M 'Gain on sale of equity interest' (H3C-related per the non-GAAP note) — ex-gain pretax $1,318M vs $288M is still +358%, so the gain is NOT dominant. Was -30.3 (stale 7/16). [8-K Ex-99.1 filed 2026-09-02]</t>
        </is>
      </c>
      <c r="F2998" s="33" t="inlineStr">
        <is>
          <t>https://www.sec.gov/Archives/edgar/data/1645590/000164559026000078/</t>
        </is>
      </c>
      <c r="G2998" s="33" t="inlineStr">
        <is>
          <t>High</t>
        </is>
      </c>
      <c r="H2998" s="33" t="inlineStr">
        <is>
          <t>Objective refresh</t>
        </is>
      </c>
    </row>
    <row r="2999">
      <c r="A2999" s="33" t="inlineStr">
        <is>
          <t>2026-09-07</t>
        </is>
      </c>
      <c r="B2999" s="33" t="inlineStr">
        <is>
          <t>CIEN</t>
        </is>
      </c>
      <c r="C2999" s="33" t="inlineStr">
        <is>
          <t>EPS YoY (objective)</t>
        </is>
      </c>
      <c r="D2999" s="33" t="n">
        <v>429.6</v>
      </c>
      <c r="E2999" s="33" t="inlineStr">
        <is>
          <t>Rule-15 check, WRITTEN (statement-derived; script withheld yfinance +430%): Q3 FY26 (q/e 2026-08-01) GAAP net income $266.4M vs $50.3M = +429.6%; income from operations $301.2M vs $73.5M (+310%) on revenue +37.0% and gross margin 45.4% vs 41.3%. Only non-operating item is a $7.1M debt-extinguishment LOSS (a headwind). Operational, stays — same ruling as the 2026-06-24 CIEN entry (+2333, which this replaces). [8-K Ex-99.1 filed 2026-09-03]</t>
        </is>
      </c>
      <c r="F2999" s="33" t="inlineStr">
        <is>
          <t>https://www.sec.gov/Archives/edgar/data/936395/000162828026060245/</t>
        </is>
      </c>
      <c r="G2999" s="33" t="inlineStr">
        <is>
          <t>High</t>
        </is>
      </c>
      <c r="H2999" s="33" t="inlineStr">
        <is>
          <t>Objective refresh</t>
        </is>
      </c>
    </row>
    <row r="3000">
      <c r="A3000" s="33" t="inlineStr">
        <is>
          <t>2026-09-07</t>
        </is>
      </c>
      <c r="B3000" s="33" t="inlineStr">
        <is>
          <t>DELL</t>
        </is>
      </c>
      <c r="C3000" s="33" t="inlineStr">
        <is>
          <t>EPS YoY (objective)</t>
        </is>
      </c>
      <c r="D3000" s="33" t="n">
        <v>255.1</v>
      </c>
      <c r="E3000" s="33" t="inlineStr">
        <is>
          <t>Rule-15 check, KEPT mechanical write: Q2 FY27 (q/e 2026-07-31) GAAP net income $4,133M vs $1,164M (+255%), operating income $5,385M vs $1,773M (+204%) on revenue +58% (AI-server ramp); tax expense +262% (no benefit), interest &amp; other a smaller drag. Operational. [8-K Ex-99.1 filed 2026-09-01]</t>
        </is>
      </c>
      <c r="F3000" s="33" t="inlineStr">
        <is>
          <t>https://www.sec.gov/Archives/edgar/data/1571996/000157199626000039/</t>
        </is>
      </c>
      <c r="G3000" s="33" t="inlineStr">
        <is>
          <t>High</t>
        </is>
      </c>
      <c r="H3000" s="33" t="inlineStr">
        <is>
          <t>Objective refresh</t>
        </is>
      </c>
    </row>
    <row r="3001">
      <c r="A3001" s="33" t="inlineStr">
        <is>
          <t>2026-09-07</t>
        </is>
      </c>
      <c r="B3001" s="33" t="inlineStr">
        <is>
          <t>ADSK</t>
        </is>
      </c>
      <c r="C3001" s="33" t="inlineStr">
        <is>
          <t>EPS YoY (objective)</t>
        </is>
      </c>
      <c r="D3001" s="33" t="n">
        <v>57.2</v>
      </c>
      <c r="E3001" s="33" t="inlineStr">
        <is>
          <t>Rule-15 check, KEPT mechanical write: Q2 FY27 (q/e 2026-07-31) GAAP net income $492M vs $313M (+57.2%); income from operations $599M vs $444M (+35%), pretax +30%; the remainder is a lower effective tax rate (17% vs 31%) with no discrete item disclosed in Ex-99.1 — not dominant. Was 223 (the GAAP figure off the restructuring-depressed Q1 FY26 base). [8-K Ex-99.1 filed 2026-08-27]</t>
        </is>
      </c>
      <c r="F3001" s="33" t="inlineStr">
        <is>
          <t>https://www.sec.gov/Archives/edgar/data/769397/000076939726000059/</t>
        </is>
      </c>
      <c r="G3001" s="33" t="inlineStr">
        <is>
          <t>High</t>
        </is>
      </c>
      <c r="H3001" s="33" t="inlineStr">
        <is>
          <t>Objective refresh</t>
        </is>
      </c>
    </row>
    <row r="3002">
      <c r="A3002" s="33" t="inlineStr">
        <is>
          <t>2026-09-07</t>
        </is>
      </c>
      <c r="B3002" s="33" t="inlineStr">
        <is>
          <t>NTAP</t>
        </is>
      </c>
      <c r="C3002" s="33" t="inlineStr">
        <is>
          <t>EPS YoY (objective)</t>
        </is>
      </c>
      <c r="D3002" s="33" t="n">
        <v>60.9</v>
      </c>
      <c r="E3002" s="33" t="inlineStr">
        <is>
          <t>Rule-15 check, KEPT mechanical write: Q1 FY27 (q/e 2026-07-31) GAAP net income $375M vs $233M (+60.9%); income from operations $484M vs $309M (+57%) on revenue +29.9% ($2,025M vs $1,559M — verified, the 29.9 rev YoY is real); absorbed a $56M restructuring charge (headwind). Operational. [8-K Ex-99.1 filed 2026-09-02]</t>
        </is>
      </c>
      <c r="F3002" s="33" t="inlineStr">
        <is>
          <t>https://www.sec.gov/Archives/edgar/data/1002047/000100204726000003/</t>
        </is>
      </c>
      <c r="G3002" s="33" t="inlineStr">
        <is>
          <t>High</t>
        </is>
      </c>
      <c r="H3002" s="33" t="inlineStr">
        <is>
          <t>Objective refresh</t>
        </is>
      </c>
    </row>
    <row r="3003">
      <c r="A3003" s="33" t="inlineStr">
        <is>
          <t>2026-09-07</t>
        </is>
      </c>
      <c r="B3003" s="33" t="inlineStr">
        <is>
          <t>PANW</t>
        </is>
      </c>
      <c r="C3003" s="33" t="inlineStr">
        <is>
          <t>EPS YoY (objective)</t>
        </is>
      </c>
      <c r="E3003" s="33" t="inlineStr">
        <is>
          <t>Preserved blank re-verified: Q4 FY26 (q/e 2026-07-31) GAAP net LOSS $(282)M vs $254M profit (CyberArk/Chronosphere acquisition accounting) — profit-to-loss, ratio undefined. Blank stands (2026-06-17 ruling). [8-K Ex-99.1 filed 2026-09-01]</t>
        </is>
      </c>
      <c r="F3003" s="33" t="inlineStr">
        <is>
          <t>https://www.sec.gov/Archives/edgar/data/1327567/000132756726000019/</t>
        </is>
      </c>
      <c r="G3003" s="33" t="inlineStr">
        <is>
          <t>High</t>
        </is>
      </c>
      <c r="H3003" s="33" t="inlineStr">
        <is>
          <t>Objective refresh</t>
        </is>
      </c>
    </row>
    <row r="3004">
      <c r="A3004" s="33" t="inlineStr">
        <is>
          <t>2026-09-07</t>
        </is>
      </c>
      <c r="B3004" s="33" t="inlineStr">
        <is>
          <t>SNOW</t>
        </is>
      </c>
      <c r="C3004" s="33" t="inlineStr">
        <is>
          <t>EPS YoY (objective)</t>
        </is>
      </c>
      <c r="E3004" s="33" t="inlineStr">
        <is>
          <t>Preserved blank re-verified: Q2 FY27 (q/e 2026-07-31) GAAP net loss $(191.7)M vs $(298.0)M — loss both periods, ratio undefined. Blank stands. [8-K Ex-99.1 filed 2026-09-02]</t>
        </is>
      </c>
      <c r="F3004" s="33" t="inlineStr">
        <is>
          <t>https://www.sec.gov/Archives/edgar/data/1640147/000164014726000033/</t>
        </is>
      </c>
      <c r="G3004" s="33" t="inlineStr">
        <is>
          <t>High</t>
        </is>
      </c>
      <c r="H3004" s="33" t="inlineStr">
        <is>
          <t>Objective refresh</t>
        </is>
      </c>
    </row>
    <row r="3005">
      <c r="A3005" s="33" t="inlineStr">
        <is>
          <t>2026-09-07</t>
        </is>
      </c>
      <c r="B3005" s="33" t="inlineStr">
        <is>
          <t>CRWD</t>
        </is>
      </c>
      <c r="C3005" s="33" t="inlineStr">
        <is>
          <t>EPS YoY (objective)</t>
        </is>
      </c>
      <c r="E3005" s="33" t="inlineStr">
        <is>
          <t>Preserved blank re-verified: Q2 FY27 (q/e 2026-07-31) GAAP net income $5.3M vs net loss $(70.1)M — loss-to-profit, ratio undefined. Blank stands. [8-K Ex-99.1 filed 2026-08-26]</t>
        </is>
      </c>
      <c r="F3005" s="33" t="inlineStr">
        <is>
          <t>https://www.sec.gov/Archives/edgar/data/1535527/000153552726000029/</t>
        </is>
      </c>
      <c r="G3005" s="33" t="inlineStr">
        <is>
          <t>High</t>
        </is>
      </c>
      <c r="H3005" s="33" t="inlineStr">
        <is>
          <t>Objective refresh</t>
        </is>
      </c>
    </row>
    <row r="3006">
      <c r="A3006" s="33" t="inlineStr">
        <is>
          <t>2026-09-07</t>
        </is>
      </c>
      <c r="B3006" s="33" t="inlineStr">
        <is>
          <t>ZS</t>
        </is>
      </c>
      <c r="C3006" s="33" t="inlineStr">
        <is>
          <t>EPS YoY (objective)</t>
        </is>
      </c>
      <c r="E3006" s="33" t="inlineStr">
        <is>
          <t>Preserved blank re-verified: Q4 FY26 (q/e 2026-07-31) GAAP net loss $(3.4)M vs $(17.6)M — loss both periods, ratio undefined. Blank stands (2026-06-17 ruling). [8-K Ex-99.1 filed 2026-09-03]</t>
        </is>
      </c>
      <c r="F3006" s="33" t="inlineStr">
        <is>
          <t>https://www.sec.gov/Archives/edgar/data/1713683/000171368326000156/</t>
        </is>
      </c>
      <c r="G3006" s="33" t="inlineStr">
        <is>
          <t>High</t>
        </is>
      </c>
      <c r="H3006" s="33" t="inlineStr">
        <is>
          <t>Objective refresh</t>
        </is>
      </c>
    </row>
    <row r="3007">
      <c r="A3007" s="73" t="n">
        <v>46273</v>
      </c>
      <c r="B3007" s="33" t="inlineStr">
        <is>
          <t>SPCX</t>
        </is>
      </c>
      <c r="C3007" s="33" t="inlineStr">
        <is>
          <t>D1 AI Rev %</t>
        </is>
      </c>
      <c r="D3007" s="33" t="n">
        <v>4</v>
      </c>
      <c r="E3007" s="33" t="inlineStr">
        <is>
          <t>AI segment Q2 2026 $2,561M / $7,814M total = 32.8%; exceeds 25% band. Cursor ($1B ARR) not yet in numbers — consolidates Q3+. Strong upward trend (was ~17% FY2025).</t>
        </is>
      </c>
      <c r="F3007" s="33" t="inlineStr">
        <is>
          <t>Q2 2026 10-Q segment revenue; Q2 earnings release (filed 2026-08-04)</t>
        </is>
      </c>
      <c r="G3007" s="33" t="inlineStr">
        <is>
          <t>High</t>
        </is>
      </c>
      <c r="H3007" s="33" t="inlineStr">
        <is>
          <t>Raise from 3</t>
        </is>
      </c>
    </row>
    <row r="3008">
      <c r="A3008" s="73" t="n">
        <v>46273</v>
      </c>
      <c r="B3008" s="33" t="inlineStr">
        <is>
          <t>SPCX</t>
        </is>
      </c>
      <c r="C3008" s="33" t="inlineStr">
        <is>
          <t>D5 Hyperscaler/AI Capex</t>
        </is>
      </c>
      <c r="D3008" s="33" t="n">
        <v>5</v>
      </c>
      <c r="E3008" s="33" t="inlineStr">
        <is>
          <t>H1 2026 capex $28.5B → annualized $57B, firmly &gt;$30B/yr buyer-side AI-infra band per rule-23 parallel scale. $14.1B contracted cloud services agreements. $15.8B of Q2 capex specifically AI infrastructure.</t>
        </is>
      </c>
      <c r="F3008" s="33" t="inlineStr">
        <is>
          <t>H1 2026 cash flow statement (capex $28.48B, OCF $3.47B); Q2 2026 earnings release</t>
        </is>
      </c>
      <c r="G3008" s="33" t="inlineStr">
        <is>
          <t>High</t>
        </is>
      </c>
      <c r="H3008" s="33" t="inlineStr">
        <is>
          <t>Raise from 4</t>
        </is>
      </c>
    </row>
    <row r="3009">
      <c r="A3009" s="73" t="n">
        <v>46273</v>
      </c>
      <c r="B3009" s="33" t="inlineStr">
        <is>
          <t>SPCX</t>
        </is>
      </c>
      <c r="C3009" s="33" t="inlineStr">
        <is>
          <t>M1 EPS Revisions (90d)</t>
        </is>
      </c>
      <c r="D3009" s="33" t="n">
        <v>4</v>
      </c>
      <c r="E3009" s="33" t="inlineStr">
        <is>
          <t>Q2 2026 revenue $7.81B vs consensus estimate $6.9B (+13% beat). First quarterly report with analyst coverage; adj EBITDA +191% YoY also beat. Upward revisions expected for subsequent quarters. Only one quarter of estimate history — medium confidence.</t>
        </is>
      </c>
      <c r="F3009" s="33" t="inlineStr">
        <is>
          <t>CNBC Q2 2026 earnings live updates; S&amp;P Global Q2 earnings preview; Visible Alpha consensus</t>
        </is>
      </c>
      <c r="G3009" s="33" t="inlineStr">
        <is>
          <t>Medium</t>
        </is>
      </c>
      <c r="H3009" s="33" t="inlineStr">
        <is>
          <t>New (stub had blank)</t>
        </is>
      </c>
    </row>
    <row r="3010">
      <c r="A3010" s="73" t="n">
        <v>46273</v>
      </c>
      <c r="B3010" s="33" t="inlineStr">
        <is>
          <t>SPCX</t>
        </is>
      </c>
      <c r="C3010" s="33" t="inlineStr">
        <is>
          <t>M2 Relative Strength</t>
        </is>
      </c>
      <c r="D3010" s="33" t="n">
        <v>2</v>
      </c>
      <c r="E3010" s="33" t="inlineStr">
        <is>
          <t>IPO Jun 15 $135, ATH $225.64 same day. Fell to $104.83 by Aug 2 (-53% from ATH). Recovered to $147.95 Sep 7 (still -34% from ATH, +10% from IPO). Extended-hours -8% on Q2 print (capex shock). Underperforming tech benchmark significantly from peak.</t>
        </is>
      </c>
      <c r="F3010" s="33" t="inlineStr">
        <is>
          <t>Yahoo Finance 52-week range; CNBC Q2 earnings reaction; Investing.com price data Sep 7</t>
        </is>
      </c>
      <c r="G3010" s="33" t="inlineStr">
        <is>
          <t>Medium-High</t>
        </is>
      </c>
      <c r="H3010" s="33" t="inlineStr">
        <is>
          <t>New (stub had blank)</t>
        </is>
      </c>
    </row>
    <row r="3011">
      <c r="A3011" s="73" t="n">
        <v>46273</v>
      </c>
      <c r="B3011" s="33" t="inlineStr">
        <is>
          <t>SPCX</t>
        </is>
      </c>
      <c r="C3011" s="33" t="inlineStr">
        <is>
          <t>M3 Insider Activity</t>
        </is>
      </c>
      <c r="D3011" s="33" t="n">
        <v>3</v>
      </c>
      <c r="E3011" s="33" t="inlineStr">
        <is>
          <t>180-day post-IPO lockup (Jun 15 → Dec 15, 2026) almost certainly in effect. No Form 4 open-market transactions possible or expected during window. Default 3 — no negative signals; no meaningful signal yet.</t>
        </is>
      </c>
      <c r="F3011" s="33" t="inlineStr">
        <is>
          <t>Standard 180-day lockup convention; no Form 4 open-market trades in public search results</t>
        </is>
      </c>
      <c r="G3011" s="33" t="inlineStr">
        <is>
          <t>Low</t>
        </is>
      </c>
      <c r="H3011" s="33" t="inlineStr">
        <is>
          <t>New (stub had blank)</t>
        </is>
      </c>
    </row>
    <row r="3012">
      <c r="A3012" s="73" t="n">
        <v>46273</v>
      </c>
      <c r="B3012" s="33" t="inlineStr">
        <is>
          <t>SPCX</t>
        </is>
      </c>
      <c r="C3012" s="33" t="inlineStr">
        <is>
          <t>R3 Balance Sheet Risk</t>
        </is>
      </c>
      <c r="D3012" s="33" t="n">
        <v>5</v>
      </c>
      <c r="E3012" s="33" t="inlineStr">
        <is>
          <t>Post-IPO fortress: $93.5B cash equivalents + $100B total cash/securities, $38.4B total debt → net cash $55.1B. Even at $28.5B/half-year capex run-rate, 12+ months cash runway from cash alone. Unambiguous fortress balance sheet post-IPO proceeds.</t>
        </is>
      </c>
      <c r="F3012" s="33" t="inlineStr">
        <is>
          <t>Q2 2026 10-Q balance sheet; Q2 2026 earnings release (filed 2026-08-04)</t>
        </is>
      </c>
      <c r="G3012" s="33" t="inlineStr">
        <is>
          <t>High</t>
        </is>
      </c>
      <c r="H3012" s="33" t="inlineStr">
        <is>
          <t>Raise from 4</t>
        </is>
      </c>
    </row>
    <row r="3013">
      <c r="A3013" s="73" t="n">
        <v>46273</v>
      </c>
      <c r="B3013" s="33" t="inlineStr">
        <is>
          <t>SPCX</t>
        </is>
      </c>
      <c r="C3013" s="33" t="inlineStr">
        <is>
          <t>Full score gate</t>
        </is>
      </c>
      <c r="E3013" s="33" t="inlineStr">
        <is>
          <t>2026-09-08 full re-score. Both stub gates cleared: (1) first 10-Q filed 2026-08-04; (2) Cursor deal closed 2026-08-14. All objective inputs now populated (see context-2026-09-08.md). Estimated total ~57 (Tier ✓). EPS YoY blank per rule 15; 50DMA% blank (yfinance blocked in cloud session).</t>
        </is>
      </c>
      <c r="F3013" s="33" t="inlineStr">
        <is>
          <t>context-2026-09-08.md; Q2 2026 10-Q; Cursor close announcement</t>
        </is>
      </c>
      <c r="G3013" s="33" t="inlineStr">
        <is>
          <t>High</t>
        </is>
      </c>
      <c r="H3013" s="33" t="inlineStr">
        <is>
          <t>Methodology/Status</t>
        </is>
      </c>
    </row>
    <row r="3014">
      <c r="A3014" s="74" t="n">
        <v>46273</v>
      </c>
      <c r="B3014" s="33" t="inlineStr">
        <is>
          <t>CIEN</t>
        </is>
      </c>
      <c r="C3014" s="33" t="inlineStr">
        <is>
          <t>EPS YoY (objective)</t>
        </is>
      </c>
      <c r="D3014" s="33" t="n">
        <v>429.6</v>
      </c>
      <c r="E3014" s="33" t="inlineStr">
        <is>
          <t>Rule-15 ruling: CONFIRM the GAAP figure, do NOT blank. Fresh yfinance EPS YoY +429.6% tripped the 300% withhold safety net. Primary filing shows the change is operating-dominated: income from operations $301.179M vs $73.535M (+309.6%) on revenue +37.0%, off a depressed PY base. Non-operating delta is recurring (interest expense $5.803M vs $22.806M; interest income $22.388M vs $15.090M — post-refinancing, larger cash balance), and the only disclosed one-time item is a $7.143M loss on debt extinguishment that REDUCES the current period. Per rule 15, 'a big operational number off a small base stays.' Entry recorded in 00-master/eps-yoy-overrides.json (quarter_end 2026-08-01); expires automatically at the next print.</t>
        </is>
      </c>
      <c r="F3014" s="33" t="inlineStr">
        <is>
          <t>8-K Item 2.02 Ex-99.1 filed 2026-09-03, Condensed Consolidated Statements of Operations, qtr ended 2026-08-01 (acc. 0001628280-26-060245)</t>
        </is>
      </c>
      <c r="G3014" s="33" t="inlineStr">
        <is>
          <t>High</t>
        </is>
      </c>
      <c r="H3014" s="33" t="inlineStr">
        <is>
          <t>Objective input ruling (rule 15) — earnings sentinel</t>
        </is>
      </c>
    </row>
    <row r="3015">
      <c r="A3015" s="74" t="n">
        <v>46273</v>
      </c>
      <c r="B3015" s="33" t="inlineStr">
        <is>
          <t>(all)</t>
        </is>
      </c>
      <c r="C3015" s="33" t="inlineStr">
        <is>
          <t>ROIC % (objective) — methodology</t>
        </is>
      </c>
      <c r="E3015" s="33" t="inlineStr">
        <is>
          <t>Rule 34: ROIC changed from a hand-curated cell to a computed TTM figure = operating income x (1 - effective tax rate) / (total assets - current liabilities). Prior column was 84/214 blank, mixed provenance, and carried garbage (CRWD -1263%, PLUG +28% while loss-making). Financing denominator (debt+equity-cash) was tried first and rejected on the data: it collapses for cash-rich names (NTAP 262%, PLTR 451%, GEV 110%). Goodwill included; tax rate clamped [0,0.35] with a 0 floor so genuinely low real rates (AVGO 3.8%, CIEN 8.8%) are not overstated. 191/195 non-foreign computed, 63 blanks filled. Layers 11 and 08 crossed the n=8 line into percentile ranking. Mean |score move| 0.68 pts, 5 tier changes, top-8 essentially unchanged. Foreign local listings excluded by scope choice (metric is currency-neutral; rule 19 does not apply).</t>
        </is>
      </c>
      <c r="F3015" s="33" t="inlineStr">
        <is>
          <t>scripts/roic.py; impact report vs temp workbook (rule 24 method); CLAUDE.md rule 34</t>
        </is>
      </c>
      <c r="G3015" s="33" t="inlineStr">
        <is>
          <t>High</t>
        </is>
      </c>
      <c r="H3015" s="33" t="inlineStr">
        <is>
          <t>Methodology (rule 8, Dom-approved)</t>
        </is>
      </c>
    </row>
    <row r="3016">
      <c r="A3016" s="74" t="n">
        <v>46287</v>
      </c>
      <c r="B3016" s="33" t="inlineStr">
        <is>
          <t>CRWV</t>
        </is>
      </c>
      <c r="C3016" s="33" t="inlineStr">
        <is>
          <t>R1 Customer Concentration</t>
        </is>
      </c>
      <c r="D3016" s="33" t="n">
        <v>2</v>
      </c>
      <c r="E3016" s="33" t="inlineStr">
        <is>
          <t>1-&gt;2. Q2 2026 10-Q Significant Customers: top customer 36% of rev (was 71% a yr ago); B 26%, C 10% (top-2 ~62%, top-3 ~72%). De-concentrates from single-buyer &gt;60% (band 1) toward major-dependency (band 2); held at 2 not 3 because the top-3 hyperscaler oligopsony ~72% keeps structural concentration high.</t>
        </is>
      </c>
      <c r="F3016" s="33" t="inlineStr">
        <is>
          <t>10-Q acc.0001769628-26-000366 (Q2 2026); per-stock/CRWV/context-2026-09-21.md</t>
        </is>
      </c>
      <c r="G3016" s="33" t="inlineStr">
        <is>
          <t>Medium</t>
        </is>
      </c>
      <c r="H3016" s="33" t="inlineStr">
        <is>
          <t>Subjective re-rating (rule 12 weekly refresh)</t>
        </is>
      </c>
    </row>
    <row r="3017">
      <c r="A3017" s="74" t="n">
        <v>46287</v>
      </c>
      <c r="B3017" s="33" t="inlineStr">
        <is>
          <t>CRWV</t>
        </is>
      </c>
      <c r="C3017" s="33" t="inlineStr">
        <is>
          <t>R3 Balance Sheet Risk</t>
        </is>
      </c>
      <c r="D3017" s="33" t="n">
        <v>1</v>
      </c>
      <c r="E3017" s="33" t="inlineStr">
        <is>
          <t>2-&gt;1. Debt ~$35.1B (+~$14B from YE25); interest -$640M/qtr not covered by adj op income ~$128M/qtr; thin equity ~$5.0B vs $77B assets; new DDTL 5.5 $2.6B at SOFR+5.50% adds a 1.35x DSCR covenant + material-contract cross-default tying financing to customer performance. Elevated (band 2) -&gt; stressed (band 1: high leverage + covenant/dilution risk). No going-concern language in the 10-Q is the one mitigant.</t>
        </is>
      </c>
      <c r="F3017" s="33" t="inlineStr">
        <is>
          <t>10-Q acc.0001769628-26-000366; 8-K 2026-08-10; per-stock/CRWV/context-2026-09-21.md</t>
        </is>
      </c>
      <c r="G3017" s="33" t="inlineStr">
        <is>
          <t>Medium</t>
        </is>
      </c>
      <c r="H3017" s="33" t="inlineStr">
        <is>
          <t>Subjective re-rating (rule 12 weekly refresh)</t>
        </is>
      </c>
    </row>
    <row r="3018">
      <c r="A3018" s="74" t="n">
        <v>46287</v>
      </c>
      <c r="B3018" s="33" t="inlineStr">
        <is>
          <t>ETN</t>
        </is>
      </c>
      <c r="C3018" s="33" t="inlineStr">
        <is>
          <t>M1 EPS Revisions</t>
        </is>
      </c>
      <c r="D3018" s="33" t="n">
        <v>5</v>
      </c>
      <c r="E3018" s="33" t="inlineStr">
        <is>
          <t>4-&gt;5. Second consecutive beat-and-raise: record Q2 2026 (rev +21%, adj EPS $3.15 beat), FY26 adj-EPS guide raised a 2nd time to $13.40-13.60. Beat-and-raise pattern = band 5.</t>
        </is>
      </c>
      <c r="F3018" s="33" t="inlineStr">
        <is>
          <t>10-Q 2026-07-31; per-stock/ETN/context-2026-09-21.md</t>
        </is>
      </c>
      <c r="G3018" s="33" t="inlineStr">
        <is>
          <t>High</t>
        </is>
      </c>
      <c r="H3018" s="33" t="inlineStr">
        <is>
          <t>Subjective re-rating (rule 12 weekly refresh)</t>
        </is>
      </c>
    </row>
    <row r="3019">
      <c r="A3019" s="74" t="n">
        <v>46287</v>
      </c>
      <c r="B3019" s="33" t="inlineStr">
        <is>
          <t>HUBB</t>
        </is>
      </c>
      <c r="C3019" s="33" t="inlineStr">
        <is>
          <t>M2 Relative Strength</t>
        </is>
      </c>
      <c r="D3019" s="33" t="n">
        <v>2</v>
      </c>
      <c r="E3019" s="33" t="inlineStr">
        <is>
          <t>3-&gt;2. Stock de-rated -12 to -13% over 1-3 months despite a Q2 beat + FY raise; underperforming the industrials complex (XLI) = band 2 (underperform sector 5-20%). Momentum read, not quality - don't fight the read.</t>
        </is>
      </c>
      <c r="F3019" s="33" t="inlineStr">
        <is>
          <t>per-stock/HUBB/context-2026-09-21.md; Investing.com/Fool Sept 2026</t>
        </is>
      </c>
      <c r="G3019" s="33" t="inlineStr">
        <is>
          <t>Medium</t>
        </is>
      </c>
      <c r="H3019" s="33" t="inlineStr">
        <is>
          <t>Subjective re-rating (rule 12 weekly refresh)</t>
        </is>
      </c>
    </row>
    <row r="3020">
      <c r="A3020" s="74" t="n">
        <v>46287</v>
      </c>
      <c r="B3020" s="33" t="inlineStr">
        <is>
          <t>HUBB</t>
        </is>
      </c>
      <c r="C3020" s="33" t="inlineStr">
        <is>
          <t>R3 Balance Sheet Risk</t>
        </is>
      </c>
      <c r="D3020" s="33" t="n">
        <v>3</v>
      </c>
      <c r="E3020" s="33" t="inlineStr">
        <is>
          <t>4-&gt;3. LT debt more than doubled to $4,803.9M (from $2,036.3M at YE25) to fund the ~$3.0B NSI close; net interest +$24.6M YoY. Leverage steps from ND/EBITDA &lt;2x (band 4) into 2-4x (band 3). IG rating, 1H FCF ~$259M, full $1.0B revolver, no LT maturities within 12mo keep it band 3 not 2.</t>
        </is>
      </c>
      <c r="F3020" s="33" t="inlineStr">
        <is>
          <t>10-Q 2026-07-29 p.42/51; per-stock/HUBB/context-2026-09-21.md</t>
        </is>
      </c>
      <c r="G3020" s="33" t="inlineStr">
        <is>
          <t>Medium</t>
        </is>
      </c>
      <c r="H3020" s="33" t="inlineStr">
        <is>
          <t>Subjective re-rating (rule 12 weekly refresh)</t>
        </is>
      </c>
    </row>
    <row r="3021">
      <c r="A3021" s="74" t="n">
        <v>46287</v>
      </c>
      <c r="B3021" s="33" t="inlineStr">
        <is>
          <t>SBGSY</t>
        </is>
      </c>
      <c r="C3021" s="33" t="inlineStr">
        <is>
          <t>M1 EPS Revisions</t>
        </is>
      </c>
      <c r="D3021" s="33" t="n">
        <v>4</v>
      </c>
      <c r="E3021" s="33" t="inlineStr">
        <is>
          <t>3-&gt;4. H1 2026 record + FY guidance UPGRADE (organic-rev guide raised to +10-13% from +7-10%; EBITA +22% organic, NI +30%). Guidance upgrade implies net-positive revisions = band 4. Held at 4 not 5 pending an explicit ADR analyst-revision feed (foreign filer).</t>
        </is>
      </c>
      <c r="F3021" s="33" t="inlineStr">
        <is>
          <t>se.com H1 2026 release; per-stock/SBGSY/context-2026-09-21.md</t>
        </is>
      </c>
      <c r="G3021" s="33" t="inlineStr">
        <is>
          <t>Medium</t>
        </is>
      </c>
      <c r="H3021" s="33" t="inlineStr">
        <is>
          <t>Subjective re-rating (rule 12 weekly refresh)</t>
        </is>
      </c>
    </row>
    <row r="3022">
      <c r="A3022" s="74" t="n">
        <v>46287</v>
      </c>
      <c r="B3022" s="33" t="inlineStr">
        <is>
          <t>ABBNY</t>
        </is>
      </c>
      <c r="C3022" s="33" t="inlineStr">
        <is>
          <t>M1 EPS Revisions</t>
        </is>
      </c>
      <c r="D3022" s="33" t="n">
        <v>5</v>
      </c>
      <c r="E3022" s="33" t="inlineStr">
        <is>
          <t>4-&gt;5. Two consecutive FY26 guidance raises + sell-side PT increases; 2nd straight record-orders quarter (orders +28%, Electrification +58%). Beat-and-raise pattern = band 5.</t>
        </is>
      </c>
      <c r="F3022" s="33" t="inlineStr">
        <is>
          <t>ABB Q2 2026 results 2026-07-16; per-stock/ABBNY/context-2026-09-21.md</t>
        </is>
      </c>
      <c r="G3022" s="33" t="inlineStr">
        <is>
          <t>Medium-High</t>
        </is>
      </c>
      <c r="H3022" s="33" t="inlineStr">
        <is>
          <t>Subjective re-rating (rule 12 weekly refresh)</t>
        </is>
      </c>
    </row>
    <row r="3023">
      <c r="A3023" s="74" t="n">
        <v>46287</v>
      </c>
      <c r="B3023" s="33" t="inlineStr">
        <is>
          <t>HTHIY</t>
        </is>
      </c>
      <c r="C3023" s="33" t="inlineStr">
        <is>
          <t>M1 EPS Revisions</t>
        </is>
      </c>
      <c r="D3023" s="33" t="n">
        <v>4</v>
      </c>
      <c r="E3023" s="33" t="inlineStr">
        <is>
          <t>3-&gt;4. Q1 FY2026 record + guidance raised across the board (revenue guide +Y600B, adj-EBITA +Y100B; NI/FCF/ROIC outlooks all raised). Broad guidance raise = net-positive revisions, band 4. Held at 4 not 5 pending explicit ADR revision feed (foreign filer).</t>
        </is>
      </c>
      <c r="F3023" s="33" t="inlineStr">
        <is>
          <t>Hitachi 2026_1Q.pdf 2026-07-29; per-stock/HTHIY/context-2026-09-21.md</t>
        </is>
      </c>
      <c r="G3023" s="33" t="inlineStr">
        <is>
          <t>Medium</t>
        </is>
      </c>
      <c r="H3023" s="33" t="inlineStr">
        <is>
          <t>Subjective re-rating (rule 12 weekly refresh)</t>
        </is>
      </c>
    </row>
    <row r="3024">
      <c r="A3024" s="74" t="n">
        <v>46287</v>
      </c>
      <c r="B3024" s="33" t="inlineStr">
        <is>
          <t>ABBNY</t>
        </is>
      </c>
      <c r="C3024" s="33" t="inlineStr">
        <is>
          <t>EV/EBITDA (objective) — deliberate blank</t>
        </is>
      </c>
      <c r="E3024" s="33" t="inlineStr">
        <is>
          <t>Blanked the 102.433 value written by the 2026-09-22 objective refresh: ~102x EV/EBITDA is a transparent artifact for a company at 20.2% op-EBITA margin (rule-19 ADR enterpriseValue corruption; ABB reports USD so the FX branch does not fire, but the ADR EV is still corrupt). Prior state was also blank. Garbage-input principle (rules 10/13/19) + rule 3: better blank than mis-rank the L2 Value percentile. gross_mgn (0-&gt;40.25) and nd_ebitda (blank-&gt;0.46) from the same refresh were KEPT (correct fixes).</t>
        </is>
      </c>
      <c r="F3024" s="33" t="inlineStr">
        <is>
          <t>scripts/refresh_objective_inputs.py dry-run output 2026-09-22; CLAUDE.md rule 19</t>
        </is>
      </c>
      <c r="G3024" s="33" t="inlineStr">
        <is>
          <t>High</t>
        </is>
      </c>
      <c r="H3024" s="33" t="inlineStr">
        <is>
          <t>Objective blank (rule 3/19)</t>
        </is>
      </c>
    </row>
    <row r="3025">
      <c r="A3025" s="74" t="n">
        <v>46293</v>
      </c>
      <c r="B3025" s="33" t="inlineStr">
        <is>
          <t>META</t>
        </is>
      </c>
      <c r="C3025" s="33" t="inlineStr">
        <is>
          <t>M2 Relative Strength</t>
        </is>
      </c>
      <c r="D3025" s="33" t="n">
        <v>5</v>
      </c>
      <c r="E3025" s="33" t="inlineStr">
        <is>
          <t>1-&gt;5. 6-month relative performance vs XLC (Communication Services Select Sector SPDR): META +40.38% vs XLC +5.25% = +35.13% outperformance (&gt;20% threshold = band 5). 3-month: META +33.71% vs XLC +5.05% = +28.66%. The proposed 1-&gt;3 upgrade in the context briefing was far too conservative -- the stock has massively outperformed its sector benchmark. M2 was stale at 1 (lagging &gt;20%) from the prior rating when META was in a drawdown; the recovery + Muse launch + analyst upgrades drove a +35% sector-relative move in 6 months.</t>
        </is>
      </c>
      <c r="F3025" s="33" t="inlineStr">
        <is>
          <t>yfinance price history (2026-03-30 to 2026-09-25); per-stock/META/context-2026-09-28.md; tmp_m2_calc.py</t>
        </is>
      </c>
      <c r="G3025" s="33" t="inlineStr">
        <is>
          <t>High</t>
        </is>
      </c>
      <c r="H3025" s="33" t="inlineStr">
        <is>
          <t>Subjective re-rating (rule 12 refresh-context)</t>
        </is>
      </c>
    </row>
    <row r="3026">
      <c r="A3026" s="74" t="n">
        <v>46293</v>
      </c>
      <c r="B3026" s="33" t="inlineStr">
        <is>
          <t>META</t>
        </is>
      </c>
      <c r="C3026" s="33" t="inlineStr">
        <is>
          <t>M3 Insider Activity</t>
        </is>
      </c>
      <c r="D3026" s="33" t="n">
        <v>3</v>
      </c>
      <c r="E3026" s="33" t="inlineStr">
        <is>
          <t>3-&gt;3 (confirmed). SEC Form 4 evidence (20 filings fetched from EDGAR, 94 non-derivative transactions, 12 unique insiders): zero open-market purchases (code P). 62 open-market sales (code S) but all but 1 are 10b5-1 pre-scheduled (63 total 10b5-1 transactions). The single discretionary open-market sale was Susan Li (2,127 sh @ $689.85 = ~$1.47M, not 10b5-1) -- de minimis. Zuckerberg sold ~$20M via 10b5-1 plan across multiple dates (Aug-Sep 2026). Per rubric decision procedure step 2: 10b5-1 sales = routine, default 3. Step 4: no buying, no discretionary selling above thresholds = 3 (post-rally diversification baseline). Q2 buybacks were $0 (vs $10.2B Q2 2025) -- capital-allocation signal (funding capex), not insider signal.</t>
        </is>
      </c>
      <c r="F3026" s="33" t="inlineStr">
        <is>
          <t>SEC EDGAR Form 4 filings (CIK 0001326801); per-stock/META/filings/4_*.xml (20 files); per-stock/META/context-2026-09-28.md</t>
        </is>
      </c>
      <c r="G3026" s="33" t="inlineStr">
        <is>
          <t>High</t>
        </is>
      </c>
      <c r="H3026" s="33" t="inlineStr">
        <is>
          <t>Subjective re-rating (rule 12 refresh-context)</t>
        </is>
      </c>
    </row>
    <row r="3027">
      <c r="A3027" s="73" t="n">
        <v>46293</v>
      </c>
      <c r="B3027" s="33" t="inlineStr">
        <is>
          <t>META</t>
        </is>
      </c>
      <c r="C3027" s="33" t="inlineStr">
        <is>
          <t>D2 Supply Chain Position</t>
        </is>
      </c>
      <c r="D3027" s="33" t="n">
        <v>4</v>
      </c>
      <c r="E3027" s="33" t="inlineStr">
        <is>
          <t>3-&gt;4 (Dom-approved). Meta is now a model-API provider (Muse Spark 1.1/1.2/1.3 via Meta Model API + Muse Code), a consumer AI agent platform (Muse, launched Sep 8 with $20/$100/mo paid tiers on per-user Muse Secure VM), and a prospective cloud-compute seller (Meta Compute, acknowledged on Q2 call Jul 29, pre-launch). It has moved from pure compute buyer to buyer + emerging AI seller across three distinct supply-chain positions (model API, agent platform, compute resale). Not yet a 5: Muse revenue is immaterial vs $60B+ ad base, Meta Compute has zero disclosed revenue/pricing/launch, and no enterprise lock-in yet. But 4 is defensible -- Meta is now supplying AI products/models/agents, not just buying GPUs. The position expansion is real even if revenue is nascent. Counter-argument considered (D2 measures AI-infrastructure supply position; Meta core is still social-media ad monetization) -- Dom sided with the upgrade: the model API + agent platform + MTIA silicon production constitute a genuine supply-chain position expansion regardless of current revenue scale.</t>
        </is>
      </c>
      <c r="F3027" s="33" t="inlineStr">
        <is>
          <t>per-stock/META/context-2026-09-28.md sec 3a-3d; about.fb.com/news/2026/09/introducing-muse-personal-ai-agent/ (Sep 8); ai.meta.com/blog/introducing-muse-spark-meta-model-api/ (Jul 9); Bloomberg 2026-09-02 (Muse Spark 1.3); Reuters 2026-07-09 (MTIA production + 7GW/14GW); Q2 2026 earnings call transcript (Jul 29, Meta Compute acknowledged)</t>
        </is>
      </c>
      <c r="G3027" s="33" t="inlineStr">
        <is>
          <t>Medium</t>
        </is>
      </c>
      <c r="H3027" s="33" t="inlineStr">
        <is>
          <t>Subjective re-rating (Dom-approved, rule 12 refresh-context)</t>
        </is>
      </c>
    </row>
    <row r="3028">
      <c r="A3028" s="73" t="n">
        <v>46293</v>
      </c>
      <c r="B3028" s="33" t="inlineStr">
        <is>
          <t>META</t>
        </is>
      </c>
      <c r="C3028" s="33" t="inlineStr">
        <is>
          <t>R3 Balance Sheet Risk</t>
        </is>
      </c>
      <c r="D3028" s="33" t="n">
        <v>3</v>
      </c>
      <c r="E3028" s="33" t="inlineStr">
        <is>
          <t>4-&gt;3 (Dom-approved). Q2 2026 10-Q showed material balance-sheet deterioration: cash $35.9B-&gt;$15.5B (-57%), $24.9B new long-term debt issued, total liabilities $148.8B-&gt;$188.7B (+27%), FCF yield 2.89%-&gt;2.25%, FCF ~$1.7B in Q2 (capex $30.1B vs OCF $31.9B). ND/EBITDA rising as EBITDA compresses while debt grows. R3=4 (modest leverage, ND/EBITDA &lt;2x) is no longer honest given the FCF compression and debt issuance trajectory; R3=3 (average leverage for sector, ND/EBITDA 2-4x) is more accurate. Meta is not distressed -- this is deliberate capex investment ($130-145B FY2026 guidance), not balance-sheet stress -- but the leverage profile has genuinely worsened. Cushion acknowledged: $74.8B marketable securities + $30.2B non-marketable equity investments provide real liquidity backstop; net cash still positive. The downgrade reflects the directional deterioration, not distress. NOTE: the $2.4B Q2 legal charge driving the EPS miss was NOT traced to a specific matter -- flagged in context-2026-09-28.md sec 7 as an explicitly WAIVED follow-up per Dom. The R3 downgrade is based on the balance-sheet deterioration (cash, debt, FCF), not the legal charge.</t>
        </is>
      </c>
      <c r="F3028" s="33" t="inlineStr">
        <is>
          <t>per-stock/META/context-2026-09-28.md sec 2, sec 7; 10-Q filed 2026-07-30 (Q2 2026 financials); 8-K filed 2026-07-29 (Q2 results); Q2 2026 earnings call transcript (Jul 29); Variety 2026-07-29 ($2.4B legal charge, basis not traced -- waived per Dom)</t>
        </is>
      </c>
      <c r="G3028" s="33" t="inlineStr">
        <is>
          <t>Medium</t>
        </is>
      </c>
      <c r="H3028" s="33" t="inlineStr">
        <is>
          <t>Subjective re-rating (Dom-approved, rule 12 refresh-context)</t>
        </is>
      </c>
    </row>
    <row r="3029">
      <c r="A3029" s="33" t="inlineStr">
        <is>
          <t>2026-10-04</t>
        </is>
      </c>
      <c r="B3029" s="33" t="inlineStr">
        <is>
          <t>RDDT</t>
        </is>
      </c>
      <c r="C3029" s="33" t="inlineStr">
        <is>
          <t>D1-AIrev%</t>
        </is>
      </c>
      <c r="D3029" s="33" t="n">
        <v>2</v>
      </c>
      <c r="E3029" s="33" t="inlineStr">
        <is>
          <t>Re-rate 3-&gt;2 (Dom-approved). Other revenue, which contains data licensing, was $43.3M of $804.9M = 5.4% of Q2 2026 revenue (7.0% a year earlier; +24% vs ads +64%). The 2026-06-22 rating assumed licensing ~10% of revenue. 5-10% band = 2.</t>
        </is>
      </c>
      <c r="F3029" s="33" t="inlineStr">
        <is>
          <t>10-Q q/e 2026-06-30 (filed 2026-07-31), disaggregated revenue note; context-2026-10-04.md</t>
        </is>
      </c>
      <c r="G3029" s="33" t="inlineStr">
        <is>
          <t>High</t>
        </is>
      </c>
      <c r="H3029" s="33" t="inlineStr">
        <is>
          <t>Re-rate</t>
        </is>
      </c>
    </row>
    <row r="3030">
      <c r="A3030" s="33" t="inlineStr">
        <is>
          <t>2026-10-04</t>
        </is>
      </c>
      <c r="B3030" s="33" t="inlineStr">
        <is>
          <t>RDDT</t>
        </is>
      </c>
      <c r="C3030" s="33" t="inlineStr">
        <is>
          <t>R4-Reg</t>
        </is>
      </c>
      <c r="D3030" s="33" t="n">
        <v>3</v>
      </c>
      <c r="E3030" s="33" t="inlineStr">
        <is>
          <t>Re-rate 4-&gt;3 (Dom-approved). Securities class action (N.D. Cal., filed June 2025) and follow-on derivative suits alleging misleading statements on the impact of Google Search / AI Overviews are pending; no loss accrued. The 2026-06-22 rating said "nothing active", which was incorrect. Pending matters disclosed, not shown material = 3. Allegation, not a finding.</t>
        </is>
      </c>
      <c r="F3030" s="33" t="inlineStr">
        <is>
          <t>10-Q q/e 2026-06-30, Note 9 Legal Matters; context-2026-10-04.md</t>
        </is>
      </c>
      <c r="G3030" s="33" t="inlineStr">
        <is>
          <t>High</t>
        </is>
      </c>
      <c r="H3030" s="33" t="inlineStr">
        <is>
          <t>Re-rate</t>
        </is>
      </c>
    </row>
    <row r="3031">
      <c r="A3031" s="33" t="inlineStr">
        <is>
          <t>2026-10-04</t>
        </is>
      </c>
      <c r="B3031" s="33" t="inlineStr">
        <is>
          <t>RDDT</t>
        </is>
      </c>
      <c r="C3031" s="33" t="inlineStr">
        <is>
          <t>D2-Position</t>
        </is>
      </c>
      <c r="D3031" s="33" t="n">
        <v>2</v>
      </c>
      <c r="E3031" s="33" t="inlineStr">
        <is>
          <t>Re-rate 3-&gt;2 (Dom-approved). Reddit's share of ChatGPT Search citations fell 3.8% -&gt; 0.5% (2026-08-08 to 08-17) after a ChatGPT retrieval change, showing an AI platform can cut reliance on the corpus in days; the ~$60M/yr Google licence is near expiry with renewal contested. Little demonstrated pricing power as an AI-supply-chain input. Caveats: single-vendor data the vendor calls provisional; persistence into September unverified. D3 left at 3 to avoid double-counting (rule 23 D2/D3 overlap).</t>
        </is>
      </c>
      <c r="F3031" s="33" t="inlineStr">
        <is>
          <t>Promptwatch via Semrush 2026-08-26 (semrush.com/blog/reddits-citations-in-chatgpt-fall/); The Drum 2026-08-25; context-2026-10-04.md s7</t>
        </is>
      </c>
      <c r="G3031" s="33" t="inlineStr">
        <is>
          <t>Med</t>
        </is>
      </c>
      <c r="H3031" s="33" t="inlineStr">
        <is>
          <t>Re-rate</t>
        </is>
      </c>
    </row>
    <row r="3032">
      <c r="A3032" s="33" t="inlineStr">
        <is>
          <t>2026-10-05</t>
        </is>
      </c>
      <c r="B3032" s="33" t="inlineStr">
        <is>
          <t>AMZN</t>
        </is>
      </c>
      <c r="C3032" s="33" t="inlineStr">
        <is>
          <t>R3-BS</t>
        </is>
      </c>
      <c r="D3032" s="33" t="inlineStr">
        <is>
          <t>3</t>
        </is>
      </c>
      <c r="E3032" s="33" t="inlineStr">
        <is>
          <t>Re-rate 4-&gt;3 (Dom-approved 2026-10-05). Capital regime deteriorated since the May rating: long-term debt face value $68.8B -&gt; $133.0B in six months, ~$30B more issued since (8-Ks 2026-07-09, 2026-09-14); company-defined TTM free cash flow -$7,604M vs +$18,184M a year earlier; $137.2B of leases not yet commenced; interest expense $1,314M vs $516M. Still investment-grade with $123.0B liquidity and $161.4B TTM operating cash flow, so not band 2. ND/EBITDA remains &lt;2x (band-4 letter); rated on the holistic clause, consistent with the Dom-approved META 4-&gt;3 precedent of 2026-09-28 (same layer, same pattern, milder FCF). The GOOGL 2026-06-12 band-letter override is the counter-precedent.</t>
        </is>
      </c>
      <c r="F3032" s="33" t="inlineStr">
        <is>
          <t>10-Q q/e 2026-06-30 (acc. 0001018724-26-000026): cash-flow statement, Note 4, Note 5, MD&amp;A non-GAAP; context-2026-10-05.md</t>
        </is>
      </c>
      <c r="G3032" s="33" t="inlineStr">
        <is>
          <t>Med</t>
        </is>
      </c>
      <c r="H3032" s="33" t="inlineStr">
        <is>
          <t>Re-rate</t>
        </is>
      </c>
    </row>
    <row r="3033">
      <c r="A3033" s="33" t="inlineStr">
        <is>
          <t>2026-10-05</t>
        </is>
      </c>
      <c r="B3033" s="33" t="inlineStr">
        <is>
          <t>AMZN</t>
        </is>
      </c>
      <c r="C3033" s="33" t="inlineStr">
        <is>
          <t>M2-RelStr</t>
        </is>
      </c>
      <c r="D3033" s="33" t="inlineStr">
        <is>
          <t>3</t>
        </is>
      </c>
      <c r="E3033" s="33" t="inlineStr">
        <is>
          <t>Re-rate 4-&gt;3 (Dom-approved 2026-10-05). 126-trading-day return +18.1% vs SPY +18.2% = in line (band 3, +/-5%). Same benchmark as the 2026-05-18 rating (SPY), which was +7pp then. Against QQQ (+28.8%) the gap is -10.7pp, which would be band 2; benchmark choice for hyperscalers is not fixed in the rubric.</t>
        </is>
      </c>
      <c r="F3033" s="33" t="inlineStr">
        <is>
          <t>yfinance adjusted closes, 2026-10-05</t>
        </is>
      </c>
      <c r="G3033" s="33" t="inlineStr">
        <is>
          <t>Med</t>
        </is>
      </c>
      <c r="H3033" s="33" t="inlineStr">
        <is>
          <t>Re-rate</t>
        </is>
      </c>
    </row>
    <row r="3034">
      <c r="A3034" s="33" t="inlineStr">
        <is>
          <t>2026-10-05</t>
        </is>
      </c>
      <c r="B3034" s="33" t="inlineStr">
        <is>
          <t>AMZN</t>
        </is>
      </c>
      <c r="C3034" s="33" t="inlineStr">
        <is>
          <t>Review (no change)</t>
        </is>
      </c>
      <c r="D3034" s="33" t="inlineStr">
        <is>
          <t>-</t>
        </is>
      </c>
      <c r="E3034" s="33" t="inlineStr">
        <is>
          <t>Subjective review against the Q2 2026 10-Q; held: D1=3 (AI run-rate &gt;$25B is ~3% of ~$802B annualized revenue; literal band would be 1-2, but all Layer-9 hyperscalers carry 3 under the 2026-05-18 cohort convention - a cohort-wide question, not changed on one name), D2/D3/D4/D5=5, M1=5 (beat-and-raise; FY26 consensus up over 90d), M3=3 (no Form-4 check this pass), R1=5 (no customer &gt;15% of revenue; note OpenAI + Anthropic are roughly half of the $496B backlog), R2=4, R4=2 (FTC case; Xockets ITC investigation added), R5=5.</t>
        </is>
      </c>
      <c r="F3034" s="33" t="inlineStr">
        <is>
          <t>context-2026-10-05.md</t>
        </is>
      </c>
      <c r="G3034" s="33" t="inlineStr">
        <is>
          <t>Med</t>
        </is>
      </c>
      <c r="H3034" s="33" t="inlineStr">
        <is>
          <t>Review</t>
        </is>
      </c>
    </row>
    <row r="3035">
      <c r="A3035" s="33" t="inlineStr">
        <is>
          <t>2026-10-05</t>
        </is>
      </c>
      <c r="B3035" s="33" t="inlineStr">
        <is>
          <t>SBGSY</t>
        </is>
      </c>
      <c r="C3035" s="33" t="inlineStr">
        <is>
          <t>R3-BS</t>
        </is>
      </c>
      <c r="D3035" s="33" t="inlineStr">
        <is>
          <t>3</t>
        </is>
      </c>
      <c r="E3035" s="33" t="inlineStr">
        <is>
          <t>Re-rate 4-&gt;3 (Dom-approved 2026-10-05). PTC acquisition announced 2026-10-05: $22.6B cash, financed with EUR16-17B new debt + EUR5-6B new equity; buybacks paused 2027-28. Pro forma net debt ~EUR34-35B (EUR15.4B at 2026-06-30 + Cognite ~EUR2.8B + PTC debt) against ~EUR11B EBITDA = ~3x (my estimate; no company pro forma found), band 3 (2-4x); equity raise is the dilution clause. Company expects to keep A-category ratings. Rated on the signed commitment; close expected Q3 2027.</t>
        </is>
      </c>
      <c r="F3035" s="33" t="inlineStr">
        <is>
          <t>Euronews 2026-10-05; InsideArbitrage 2026-10; context-2026-10-05.md</t>
        </is>
      </c>
      <c r="G3035" s="33" t="inlineStr">
        <is>
          <t>Med</t>
        </is>
      </c>
      <c r="H3035" s="33" t="inlineStr">
        <is>
          <t>Re-rate</t>
        </is>
      </c>
    </row>
    <row r="3036">
      <c r="A3036" s="33" t="inlineStr">
        <is>
          <t>2026-10-05</t>
        </is>
      </c>
      <c r="B3036" s="33" t="inlineStr">
        <is>
          <t>SBGSY</t>
        </is>
      </c>
      <c r="C3036" s="33" t="inlineStr">
        <is>
          <t>M2-RelStr</t>
        </is>
      </c>
      <c r="D3036" s="33" t="inlineStr">
        <is>
          <t>4</t>
        </is>
      </c>
      <c r="E3036" s="33" t="inlineStr">
        <is>
          <t>Re-rate 3-&gt;4 (Dom-approved 2026-10-05). 126-trading-day return +12.9% vs XLI +4.3% = +8.6pp (band 4, 5-20%); 63-day +8.4pp. Same benchmark as 2026-05-18. Measured after the ~9-10% drop on the PTC announcement.</t>
        </is>
      </c>
      <c r="F3036" s="33" t="inlineStr">
        <is>
          <t>yfinance adjusted closes (ADR line), 2026-10-05</t>
        </is>
      </c>
      <c r="G3036" s="33" t="inlineStr">
        <is>
          <t>Med</t>
        </is>
      </c>
      <c r="H3036" s="33" t="inlineStr">
        <is>
          <t>Re-rate</t>
        </is>
      </c>
    </row>
    <row r="3037">
      <c r="A3037" s="33" t="inlineStr">
        <is>
          <t>2026-10-05</t>
        </is>
      </c>
      <c r="B3037" s="33" t="inlineStr">
        <is>
          <t>SBGSY</t>
        </is>
      </c>
      <c r="C3037" s="33" t="inlineStr">
        <is>
          <t>Review (no change)</t>
        </is>
      </c>
      <c r="D3037" s="33" t="inlineStr">
        <is>
          <t>-</t>
        </is>
      </c>
      <c r="E3037" s="33" t="inlineStr">
        <is>
          <t>Delta review after the PTC announcement; held: D1=4, D2=4, D3=4, D4=5 (flag: capital going to software M&amp;A rather than capacity), D5=4, M1=4 (90d revisions net positive; last 7d negative), M3=3, R1=5, R2=4, R4=4, R5=5 (rule-16 non-Layer-10 default; flag: software share of revenue rising with AVEVA + Cognite + PTC).</t>
        </is>
      </c>
      <c r="F3037" s="33" t="inlineStr">
        <is>
          <t>context-2026-10-05.md</t>
        </is>
      </c>
      <c r="G3037" s="33" t="inlineStr">
        <is>
          <t>Med</t>
        </is>
      </c>
      <c r="H3037" s="33" t="inlineStr">
        <is>
          <t>Review</t>
        </is>
      </c>
    </row>
    <row r="3038">
      <c r="A3038" s="33" t="inlineStr">
        <is>
          <t>2026-10-06</t>
        </is>
      </c>
      <c r="B3038" s="33" t="inlineStr">
        <is>
          <t>FIX</t>
        </is>
      </c>
      <c r="C3038" s="33" t="inlineStr">
        <is>
          <t>M2-RelStr</t>
        </is>
      </c>
      <c r="D3038" s="33" t="inlineStr">
        <is>
          <t>4</t>
        </is>
      </c>
      <c r="E3038" s="33" t="inlineStr">
        <is>
          <t>Mechanical re-measure 5-&gt;4 (pending Dom review). 126-trading-day return +25.2% vs XLI +5.4% = +19.8pp. Benchmark basis: prior audit row for this name.</t>
        </is>
      </c>
      <c r="F3038" s="33" t="inlineStr">
        <is>
          <t>yfinance adjusted closes, 2026-10-06</t>
        </is>
      </c>
      <c r="G3038" s="33" t="inlineStr">
        <is>
          <t>High</t>
        </is>
      </c>
      <c r="H3038" s="33" t="inlineStr">
        <is>
          <t>Re-rate</t>
        </is>
      </c>
    </row>
    <row r="3039">
      <c r="A3039" s="33" t="inlineStr">
        <is>
          <t>2026-10-06</t>
        </is>
      </c>
      <c r="B3039" s="33" t="inlineStr">
        <is>
          <t>TSM</t>
        </is>
      </c>
      <c r="C3039" s="33" t="inlineStr">
        <is>
          <t>M2-RelStr</t>
        </is>
      </c>
      <c r="D3039" s="33" t="inlineStr">
        <is>
          <t>2</t>
        </is>
      </c>
      <c r="E3039" s="33" t="inlineStr">
        <is>
          <t>Mechanical re-measure 1-&gt;2 (pending Dom review). 126-trading-day return +40.8% vs SMH +59.6% = -18.8pp. Benchmark basis: prior audit row for this name.</t>
        </is>
      </c>
      <c r="F3039" s="33" t="inlineStr">
        <is>
          <t>yfinance adjusted closes, 2026-10-06</t>
        </is>
      </c>
      <c r="G3039" s="33" t="inlineStr">
        <is>
          <t>High</t>
        </is>
      </c>
      <c r="H3039" s="33" t="inlineStr">
        <is>
          <t>Re-rate</t>
        </is>
      </c>
    </row>
    <row r="3040">
      <c r="A3040" s="33" t="inlineStr">
        <is>
          <t>2026-10-06</t>
        </is>
      </c>
      <c r="B3040" s="33" t="inlineStr">
        <is>
          <t>CRDO</t>
        </is>
      </c>
      <c r="C3040" s="33" t="inlineStr">
        <is>
          <t>M2-RelStr</t>
        </is>
      </c>
      <c r="D3040" s="33" t="inlineStr">
        <is>
          <t>5</t>
        </is>
      </c>
      <c r="E3040" s="33" t="inlineStr">
        <is>
          <t>Mechanical re-measure 4-&gt;5 (pending Dom review). 126-trading-day return +107.1% vs SMH +59.6% = +47.5pp. Benchmark basis: prior audit row for this name.</t>
        </is>
      </c>
      <c r="F3040" s="33" t="inlineStr">
        <is>
          <t>yfinance adjusted closes, 2026-10-06</t>
        </is>
      </c>
      <c r="G3040" s="33" t="inlineStr">
        <is>
          <t>High</t>
        </is>
      </c>
      <c r="H3040" s="33" t="inlineStr">
        <is>
          <t>Re-rate</t>
        </is>
      </c>
    </row>
    <row r="3041">
      <c r="A3041" s="33" t="inlineStr">
        <is>
          <t>2026-10-06</t>
        </is>
      </c>
      <c r="B3041" s="33" t="inlineStr">
        <is>
          <t>ANET</t>
        </is>
      </c>
      <c r="C3041" s="33" t="inlineStr">
        <is>
          <t>M2-RelStr</t>
        </is>
      </c>
      <c r="D3041" s="33" t="inlineStr">
        <is>
          <t>3</t>
        </is>
      </c>
      <c r="E3041" s="33" t="inlineStr">
        <is>
          <t>Mechanical re-measure 2-&gt;3 (pending Dom review). 126-trading-day return +57.8% vs SMH +59.6% = -1.8pp. Benchmark basis: layer default (no benchmark named in a prior audit row).</t>
        </is>
      </c>
      <c r="F3041" s="33" t="inlineStr">
        <is>
          <t>yfinance adjusted closes, 2026-10-06</t>
        </is>
      </c>
      <c r="G3041" s="33" t="inlineStr">
        <is>
          <t>High</t>
        </is>
      </c>
      <c r="H3041" s="33" t="inlineStr">
        <is>
          <t>Re-rate</t>
        </is>
      </c>
    </row>
    <row r="3042">
      <c r="A3042" s="33" t="inlineStr">
        <is>
          <t>2026-10-06</t>
        </is>
      </c>
      <c r="B3042" s="33" t="inlineStr">
        <is>
          <t>WDC</t>
        </is>
      </c>
      <c r="C3042" s="33" t="inlineStr">
        <is>
          <t>M2-RelStr</t>
        </is>
      </c>
      <c r="D3042" s="33" t="inlineStr">
        <is>
          <t>1</t>
        </is>
      </c>
      <c r="E3042" s="33" t="inlineStr">
        <is>
          <t>Mechanical re-measure 5-&gt;1 (pending Dom review). 126-trading-day return +33.5% vs SMH +59.6% = -26.1pp. Benchmark basis: layer default (no benchmark named in a prior audit row).</t>
        </is>
      </c>
      <c r="F3042" s="33" t="inlineStr">
        <is>
          <t>yfinance adjusted closes, 2026-10-06</t>
        </is>
      </c>
      <c r="G3042" s="33" t="inlineStr">
        <is>
          <t>High</t>
        </is>
      </c>
      <c r="H3042" s="33" t="inlineStr">
        <is>
          <t>Re-rate</t>
        </is>
      </c>
    </row>
    <row r="3043">
      <c r="A3043" s="33" t="inlineStr">
        <is>
          <t>2026-10-06</t>
        </is>
      </c>
      <c r="B3043" s="33" t="inlineStr">
        <is>
          <t>MSFT</t>
        </is>
      </c>
      <c r="C3043" s="33" t="inlineStr">
        <is>
          <t>M2-RelStr</t>
        </is>
      </c>
      <c r="D3043" s="33" t="inlineStr">
        <is>
          <t>5</t>
        </is>
      </c>
      <c r="E3043" s="33" t="inlineStr">
        <is>
          <t>Mechanical re-measure 1-&gt;5 (pending Dom review). 126-trading-day return +43.7% vs SPY +18.9% = +24.8pp. Benchmark basis: prior audit row for this name.</t>
        </is>
      </c>
      <c r="F3043" s="33" t="inlineStr">
        <is>
          <t>yfinance adjusted closes, 2026-10-06</t>
        </is>
      </c>
      <c r="G3043" s="33" t="inlineStr">
        <is>
          <t>High</t>
        </is>
      </c>
      <c r="H3043" s="33" t="inlineStr">
        <is>
          <t>Re-rate</t>
        </is>
      </c>
    </row>
    <row r="3044">
      <c r="A3044" s="33" t="inlineStr">
        <is>
          <t>2026-10-06</t>
        </is>
      </c>
      <c r="B3044" s="33" t="inlineStr">
        <is>
          <t>EME</t>
        </is>
      </c>
      <c r="C3044" s="33" t="inlineStr">
        <is>
          <t>M2-RelStr</t>
        </is>
      </c>
      <c r="D3044" s="33" t="inlineStr">
        <is>
          <t>3</t>
        </is>
      </c>
      <c r="E3044" s="33" t="inlineStr">
        <is>
          <t>Mechanical re-measure 4-&gt;3 (pending Dom review). 126-trading-day return +8.3% vs XLI +5.4% = +2.9pp. Benchmark basis: prior audit row for this name.</t>
        </is>
      </c>
      <c r="F3044" s="33" t="inlineStr">
        <is>
          <t>yfinance adjusted closes, 2026-10-06</t>
        </is>
      </c>
      <c r="G3044" s="33" t="inlineStr">
        <is>
          <t>High</t>
        </is>
      </c>
      <c r="H3044" s="33" t="inlineStr">
        <is>
          <t>Re-rate</t>
        </is>
      </c>
    </row>
    <row r="3045">
      <c r="A3045" s="33" t="inlineStr">
        <is>
          <t>2026-10-06</t>
        </is>
      </c>
      <c r="B3045" s="33" t="inlineStr">
        <is>
          <t>ALAB</t>
        </is>
      </c>
      <c r="C3045" s="33" t="inlineStr">
        <is>
          <t>M2-RelStr</t>
        </is>
      </c>
      <c r="D3045" s="33" t="inlineStr">
        <is>
          <t>5</t>
        </is>
      </c>
      <c r="E3045" s="33" t="inlineStr">
        <is>
          <t>Mechanical re-measure 3-&gt;5 (pending Dom review). 126-trading-day return +233.2% vs SMH +59.6% = +173.6pp. Benchmark basis: layer default (no benchmark named in a prior audit row).</t>
        </is>
      </c>
      <c r="F3045" s="33" t="inlineStr">
        <is>
          <t>yfinance adjusted closes, 2026-10-06</t>
        </is>
      </c>
      <c r="G3045" s="33" t="inlineStr">
        <is>
          <t>High</t>
        </is>
      </c>
      <c r="H3045" s="33" t="inlineStr">
        <is>
          <t>Re-rate</t>
        </is>
      </c>
    </row>
    <row r="3046">
      <c r="A3046" s="33" t="inlineStr">
        <is>
          <t>2026-10-06</t>
        </is>
      </c>
      <c r="B3046" s="33" t="inlineStr">
        <is>
          <t>PLTR</t>
        </is>
      </c>
      <c r="C3046" s="33" t="inlineStr">
        <is>
          <t>M2-RelStr</t>
        </is>
      </c>
      <c r="D3046" s="33" t="inlineStr">
        <is>
          <t>2</t>
        </is>
      </c>
      <c r="E3046" s="33" t="inlineStr">
        <is>
          <t>Mechanical re-measure 4-&gt;2 (pending Dom review). 126-trading-day return +28.5% vs IGV +38.6% = -10.1pp. Benchmark basis: prior audit row for this name.</t>
        </is>
      </c>
      <c r="F3046" s="33" t="inlineStr">
        <is>
          <t>yfinance adjusted closes, 2026-10-06</t>
        </is>
      </c>
      <c r="G3046" s="33" t="inlineStr">
        <is>
          <t>High</t>
        </is>
      </c>
      <c r="H3046" s="33" t="inlineStr">
        <is>
          <t>Re-rate</t>
        </is>
      </c>
    </row>
    <row r="3047">
      <c r="A3047" s="33" t="inlineStr">
        <is>
          <t>2026-10-06</t>
        </is>
      </c>
      <c r="B3047" s="33" t="inlineStr">
        <is>
          <t>VRT</t>
        </is>
      </c>
      <c r="C3047" s="33" t="inlineStr">
        <is>
          <t>M2-RelStr</t>
        </is>
      </c>
      <c r="D3047" s="33" t="inlineStr">
        <is>
          <t>2</t>
        </is>
      </c>
      <c r="E3047" s="33" t="inlineStr">
        <is>
          <t>Mechanical re-measure 4-&gt;2 (pending Dom review). 126-trading-day return -2.3% vs XLI +5.4% = -7.7pp. Benchmark basis: layer default (no benchmark named in a prior audit row).</t>
        </is>
      </c>
      <c r="F3047" s="33" t="inlineStr">
        <is>
          <t>yfinance adjusted closes, 2026-10-06</t>
        </is>
      </c>
      <c r="G3047" s="33" t="inlineStr">
        <is>
          <t>High</t>
        </is>
      </c>
      <c r="H3047" s="33" t="inlineStr">
        <is>
          <t>Re-rate</t>
        </is>
      </c>
    </row>
    <row r="3048">
      <c r="A3048" s="33" t="inlineStr">
        <is>
          <t>2026-10-06</t>
        </is>
      </c>
      <c r="B3048" s="33" t="inlineStr">
        <is>
          <t>RDDT</t>
        </is>
      </c>
      <c r="C3048" s="33" t="inlineStr">
        <is>
          <t>M2-RelStr</t>
        </is>
      </c>
      <c r="D3048" s="33" t="inlineStr">
        <is>
          <t>4</t>
        </is>
      </c>
      <c r="E3048" s="33" t="inlineStr">
        <is>
          <t>Mechanical re-measure 3-&gt;4 (pending Dom review). 126-trading-day return +6.0% vs XLC +0.3% = +5.7pp. Benchmark basis: layer default (no benchmark named in a prior audit row). Benchmark changed from IGV to XLC: ad-funded platform in the Communication Services sector, same basis as the Dom-approved META re-rate of 2026-09-28. Against IGV the gap would be -32.6pp (band 1).</t>
        </is>
      </c>
      <c r="F3048" s="33" t="inlineStr">
        <is>
          <t>yfinance adjusted closes, 2026-10-06</t>
        </is>
      </c>
      <c r="G3048" s="33" t="inlineStr">
        <is>
          <t>Med</t>
        </is>
      </c>
      <c r="H3048" s="33" t="inlineStr">
        <is>
          <t>Re-rate</t>
        </is>
      </c>
    </row>
    <row r="3049">
      <c r="A3049" s="33" t="inlineStr">
        <is>
          <t>2026-10-06</t>
        </is>
      </c>
      <c r="B3049" s="33" t="inlineStr">
        <is>
          <t>STX</t>
        </is>
      </c>
      <c r="C3049" s="33" t="inlineStr">
        <is>
          <t>M2-RelStr</t>
        </is>
      </c>
      <c r="D3049" s="33" t="inlineStr">
        <is>
          <t>4</t>
        </is>
      </c>
      <c r="E3049" s="33" t="inlineStr">
        <is>
          <t>Mechanical re-measure 5-&gt;4 (pending Dom review). 126-trading-day return +78.0% vs SMH +59.6% = +18.4pp. Benchmark basis: layer default (no benchmark named in a prior audit row).</t>
        </is>
      </c>
      <c r="F3049" s="33" t="inlineStr">
        <is>
          <t>yfinance adjusted closes, 2026-10-06</t>
        </is>
      </c>
      <c r="G3049" s="33" t="inlineStr">
        <is>
          <t>High</t>
        </is>
      </c>
      <c r="H3049" s="33" t="inlineStr">
        <is>
          <t>Re-rate</t>
        </is>
      </c>
    </row>
    <row r="3050">
      <c r="A3050" s="33" t="inlineStr">
        <is>
          <t>2026-10-06</t>
        </is>
      </c>
      <c r="B3050" s="33" t="inlineStr">
        <is>
          <t>SNPS</t>
        </is>
      </c>
      <c r="C3050" s="33" t="inlineStr">
        <is>
          <t>M2-RelStr</t>
        </is>
      </c>
      <c r="D3050" s="33" t="inlineStr">
        <is>
          <t>1</t>
        </is>
      </c>
      <c r="E3050" s="33" t="inlineStr">
        <is>
          <t>Mechanical re-measure 2-&gt;1 (pending Dom review). 126-trading-day return +23.4% vs SMH +59.6% = -36.2pp. Benchmark basis: layer default (no benchmark named in a prior audit row).</t>
        </is>
      </c>
      <c r="F3050" s="33" t="inlineStr">
        <is>
          <t>yfinance adjusted closes, 2026-10-06</t>
        </is>
      </c>
      <c r="G3050" s="33" t="inlineStr">
        <is>
          <t>High</t>
        </is>
      </c>
      <c r="H3050" s="33" t="inlineStr">
        <is>
          <t>Re-rate</t>
        </is>
      </c>
    </row>
    <row r="3051">
      <c r="A3051" s="33" t="inlineStr">
        <is>
          <t>2026-10-06</t>
        </is>
      </c>
      <c r="B3051" s="33" t="inlineStr">
        <is>
          <t>ORCL</t>
        </is>
      </c>
      <c r="C3051" s="33" t="inlineStr">
        <is>
          <t>M2-RelStr</t>
        </is>
      </c>
      <c r="D3051" s="33" t="inlineStr">
        <is>
          <t>2</t>
        </is>
      </c>
      <c r="E3051" s="33" t="inlineStr">
        <is>
          <t>Mechanical re-measure 1-&gt;2 (pending Dom review). 126-trading-day return +2.2% vs SPY +18.9% = -16.7pp. Benchmark basis: prior audit row for this name.</t>
        </is>
      </c>
      <c r="F3051" s="33" t="inlineStr">
        <is>
          <t>yfinance adjusted closes, 2026-10-06</t>
        </is>
      </c>
      <c r="G3051" s="33" t="inlineStr">
        <is>
          <t>High</t>
        </is>
      </c>
      <c r="H3051" s="33" t="inlineStr">
        <is>
          <t>Re-rate</t>
        </is>
      </c>
    </row>
    <row r="3052">
      <c r="A3052" s="33" t="inlineStr">
        <is>
          <t>2026-10-06</t>
        </is>
      </c>
      <c r="B3052" s="33" t="inlineStr">
        <is>
          <t>GOOGL</t>
        </is>
      </c>
      <c r="C3052" s="33" t="inlineStr">
        <is>
          <t>M2-RelStr</t>
        </is>
      </c>
      <c r="D3052" s="33" t="inlineStr">
        <is>
          <t>4</t>
        </is>
      </c>
      <c r="E3052" s="33" t="inlineStr">
        <is>
          <t>Mechanical re-measure 3-&gt;4 (pending Dom review). 126-trading-day return +13.3% vs XLC +0.3% = +13.0pp. Benchmark basis: prior audit row for this name. Benchmark changed from QQQ to XLC: ad-funded platform in the Communication Services sector, same basis as the Dom-approved META re-rate of 2026-09-28. Against QQQ the gap would be -16.3pp (band 2).</t>
        </is>
      </c>
      <c r="F3052" s="33" t="inlineStr">
        <is>
          <t>yfinance adjusted closes, 2026-10-06</t>
        </is>
      </c>
      <c r="G3052" s="33" t="inlineStr">
        <is>
          <t>Med</t>
        </is>
      </c>
      <c r="H3052" s="33" t="inlineStr">
        <is>
          <t>Re-rate</t>
        </is>
      </c>
    </row>
    <row r="3053">
      <c r="A3053" s="33" t="inlineStr">
        <is>
          <t>2026-10-06</t>
        </is>
      </c>
      <c r="B3053" s="33" t="inlineStr">
        <is>
          <t>TER</t>
        </is>
      </c>
      <c r="C3053" s="33" t="inlineStr">
        <is>
          <t>M2-RelStr</t>
        </is>
      </c>
      <c r="D3053" s="33" t="inlineStr">
        <is>
          <t>1</t>
        </is>
      </c>
      <c r="E3053" s="33" t="inlineStr">
        <is>
          <t>Mechanical re-measure 5-&gt;1 (pending Dom review). 126-trading-day return +36.8% vs SMH +59.6% = -22.8pp. Benchmark basis: prior audit row for this name.</t>
        </is>
      </c>
      <c r="F3053" s="33" t="inlineStr">
        <is>
          <t>yfinance adjusted closes, 2026-10-06</t>
        </is>
      </c>
      <c r="G3053" s="33" t="inlineStr">
        <is>
          <t>High</t>
        </is>
      </c>
      <c r="H3053" s="33" t="inlineStr">
        <is>
          <t>Re-rate</t>
        </is>
      </c>
    </row>
    <row r="3054">
      <c r="A3054" s="33" t="inlineStr">
        <is>
          <t>2026-10-06</t>
        </is>
      </c>
      <c r="B3054" s="33" t="inlineStr">
        <is>
          <t>GMED</t>
        </is>
      </c>
      <c r="C3054" s="33" t="inlineStr">
        <is>
          <t>M2-RelStr</t>
        </is>
      </c>
      <c r="D3054" s="33" t="inlineStr">
        <is>
          <t>2</t>
        </is>
      </c>
      <c r="E3054" s="33" t="inlineStr">
        <is>
          <t>Mechanical re-measure 3-&gt;2 (pending Dom review). 126-trading-day return -14.9% vs IHI -2.8% = -12.1pp. Benchmark basis: prior audit row for this name.</t>
        </is>
      </c>
      <c r="F3054" s="33" t="inlineStr">
        <is>
          <t>yfinance adjusted closes, 2026-10-06</t>
        </is>
      </c>
      <c r="G3054" s="33" t="inlineStr">
        <is>
          <t>High</t>
        </is>
      </c>
      <c r="H3054" s="33" t="inlineStr">
        <is>
          <t>Re-rate</t>
        </is>
      </c>
    </row>
    <row r="3055">
      <c r="A3055" s="33" t="inlineStr">
        <is>
          <t>2026-10-06</t>
        </is>
      </c>
      <c r="B3055" s="33" t="inlineStr">
        <is>
          <t>ONTO</t>
        </is>
      </c>
      <c r="C3055" s="33" t="inlineStr">
        <is>
          <t>M2-RelStr</t>
        </is>
      </c>
      <c r="D3055" s="33" t="inlineStr">
        <is>
          <t>2</t>
        </is>
      </c>
      <c r="E3055" s="33" t="inlineStr">
        <is>
          <t>Mechanical re-measure 5-&gt;2 (pending Dom review). 126-trading-day return +48.0% vs SMH +59.6% = -11.6pp. Benchmark basis: layer default (no benchmark named in a prior audit row).</t>
        </is>
      </c>
      <c r="F3055" s="33" t="inlineStr">
        <is>
          <t>yfinance adjusted closes, 2026-10-06</t>
        </is>
      </c>
      <c r="G3055" s="33" t="inlineStr">
        <is>
          <t>High</t>
        </is>
      </c>
      <c r="H3055" s="33" t="inlineStr">
        <is>
          <t>Re-rate</t>
        </is>
      </c>
    </row>
    <row r="3056">
      <c r="A3056" s="33" t="inlineStr">
        <is>
          <t>2026-10-06</t>
        </is>
      </c>
      <c r="B3056" s="33" t="inlineStr">
        <is>
          <t>FN</t>
        </is>
      </c>
      <c r="C3056" s="33" t="inlineStr">
        <is>
          <t>M2-RelStr</t>
        </is>
      </c>
      <c r="D3056" s="33" t="inlineStr">
        <is>
          <t>1</t>
        </is>
      </c>
      <c r="E3056" s="33" t="inlineStr">
        <is>
          <t>Mechanical re-measure 3-&gt;1 (pending Dom review). 126-trading-day return -15.2% vs SMH +59.6% = -74.8pp. Benchmark basis: layer default (no benchmark named in a prior audit row).</t>
        </is>
      </c>
      <c r="F3056" s="33" t="inlineStr">
        <is>
          <t>yfinance adjusted closes, 2026-10-06</t>
        </is>
      </c>
      <c r="G3056" s="33" t="inlineStr">
        <is>
          <t>High</t>
        </is>
      </c>
      <c r="H3056" s="33" t="inlineStr">
        <is>
          <t>Re-rate</t>
        </is>
      </c>
    </row>
    <row r="3057">
      <c r="A3057" s="33" t="inlineStr">
        <is>
          <t>2026-10-06</t>
        </is>
      </c>
      <c r="B3057" s="33" t="inlineStr">
        <is>
          <t>NVDA</t>
        </is>
      </c>
      <c r="C3057" s="33" t="inlineStr">
        <is>
          <t>R4-Reg</t>
        </is>
      </c>
      <c r="D3057" s="33" t="inlineStr">
        <is>
          <t>3</t>
        </is>
      </c>
      <c r="E3057" s="33" t="inlineStr">
        <is>
          <t>Re-rate 4-&gt;3 (pending Dom review; note Dom overrode 3-&gt;4 on 2026-05-18 because investigations had not become enforcement). New since then: DOJ opened an antitrust investigation into whether the ~$20B Groq licensing deal was structured to avoid Hart-Scott-Rodino merger review, with a formal information demand sent (Bloomberg / Axios 2026-09-10). A specific, active probe of a named transaction = band 3 (pending matter, not material to revenue); not band 2 because exposure is a deal-structure remedy or penalty, not the core business. Secondary sources only - no DOJ or company filing read.</t>
        </is>
      </c>
      <c r="F3057" s="33" t="inlineStr">
        <is>
          <t>Bloomberg 2026-09-10 (bloomberg.com/news/articles/2026-09-10/doj-probes-nvidia-s-license-deal-with-groq-on-antitrust-concerns); Axios 2026-09-10; news-log 2026-09-09/10</t>
        </is>
      </c>
      <c r="G3057" s="33" t="inlineStr">
        <is>
          <t>Med</t>
        </is>
      </c>
      <c r="H3057" s="33" t="inlineStr">
        <is>
          <t>Re-rate</t>
        </is>
      </c>
    </row>
    <row r="3058">
      <c r="A3058" s="33" t="inlineStr">
        <is>
          <t>2026-10-06</t>
        </is>
      </c>
      <c r="B3058" s="33" t="inlineStr">
        <is>
          <t>APH</t>
        </is>
      </c>
      <c r="C3058" s="33" t="inlineStr">
        <is>
          <t>M2-RelStr</t>
        </is>
      </c>
      <c r="D3058" s="33" t="inlineStr">
        <is>
          <t>1</t>
        </is>
      </c>
      <c r="E3058" s="33" t="inlineStr">
        <is>
          <t>Mechanical re-measure 2-&gt;1 (pending Dom review). 126-trading-day return +39.6% vs SMH +59.6%; unrounded gap is just beyond -20pp (band 1). Borderline: sits on the band-1/band-2 line. Benchmark basis: prior audit row (SOXX, mapped to SMH).</t>
        </is>
      </c>
      <c r="F3058" s="33" t="inlineStr">
        <is>
          <t>yfinance adjusted closes, 2026-10-06</t>
        </is>
      </c>
      <c r="G3058" s="33" t="inlineStr">
        <is>
          <t>Med</t>
        </is>
      </c>
      <c r="H3058" s="33" t="inlineStr">
        <is>
          <t>Re-rate</t>
        </is>
      </c>
    </row>
    <row r="3059">
      <c r="A3059" s="33" t="inlineStr">
        <is>
          <t>2026-10-06</t>
        </is>
      </c>
      <c r="B3059" s="33" t="inlineStr">
        <is>
          <t>GMED</t>
        </is>
      </c>
      <c r="C3059" s="33" t="inlineStr">
        <is>
          <t>M1-EPSRev</t>
        </is>
      </c>
      <c r="D3059" s="33" t="inlineStr">
        <is>
          <t>5</t>
        </is>
      </c>
      <c r="E3059" s="33" t="inlineStr">
        <is>
          <t>Re-rate 4-&gt;5 (pending Dom review). Q2 2026 beat-and-raise: FY2026 non-GAAP EPS guidance raised to $4.95-5.05 from $4.70-4.80; FY2026 consensus EPS $4.74 -&gt; $5.00 and FY2027 $5.15 -&gt; $5.40. Band 5 (multiple upward revisions, beat-and-raise). Revenue estimates flat.</t>
        </is>
      </c>
      <c r="F3059" s="33" t="inlineStr">
        <is>
          <t>8-K Ex-99.1 (Q2 2026); stockanalysis.com consensus; context-2026-10-06.md</t>
        </is>
      </c>
      <c r="G3059" s="33" t="inlineStr">
        <is>
          <t>Med</t>
        </is>
      </c>
      <c r="H3059" s="33" t="inlineStr">
        <is>
          <t>Re-rate</t>
        </is>
      </c>
    </row>
    <row r="3060">
      <c r="A3060" s="33" t="inlineStr">
        <is>
          <t>2026-10-06</t>
        </is>
      </c>
      <c r="B3060" s="33" t="inlineStr">
        <is>
          <t>PLTR</t>
        </is>
      </c>
      <c r="C3060" s="33" t="inlineStr">
        <is>
          <t>R1-CustConc</t>
        </is>
      </c>
      <c r="D3060" s="33" t="inlineStr">
        <is>
          <t>4</t>
        </is>
      </c>
      <c r="E3060" s="33" t="inlineStr">
        <is>
          <t>Re-rate 3-&gt;4 (pending Dom review). No customer exceeds 10% of revenue; top three = 16% (10-Q q/e 2026-06-30, Note 2 / Item 1A). The prior 3 ('top customer 25-40%') matches no filing fact. Literal band is 5; held to 4 under the government-customer convention because US government is 41.8% of revenue (across separately contracted agencies) and one customer is 27% of receivables.</t>
        </is>
      </c>
      <c r="F3060" s="33" t="inlineStr">
        <is>
          <t>10-Q q/e 2026-06-30 Note 2, Item 1A; context-2026-10-06.md</t>
        </is>
      </c>
      <c r="G3060" s="33" t="inlineStr">
        <is>
          <t>Med</t>
        </is>
      </c>
      <c r="H3060" s="33" t="inlineStr">
        <is>
          <t>Re-rate</t>
        </is>
      </c>
    </row>
    <row r="3061">
      <c r="A3061" s="33" t="inlineStr">
        <is>
          <t>2026-10-06</t>
        </is>
      </c>
      <c r="B3061" s="33" t="inlineStr">
        <is>
          <t>WDC</t>
        </is>
      </c>
      <c r="C3061" s="33" t="inlineStr">
        <is>
          <t>R1-CustConc</t>
        </is>
      </c>
      <c r="D3061" s="33" t="inlineStr">
        <is>
          <t>4</t>
        </is>
      </c>
      <c r="E3061" s="33" t="inlineStr">
        <is>
          <t>Re-rate 3-&gt;4 (pending Dom review). Top customer 16% of FY2026 revenue (next two 15% and 13%) = band 4 by the letter ('top customer 15-25%'). Counter-evidence, flagged: top-10 customers are 73% (68%, 55% in prior years), cloud is 89% of revenue, and concentration is rising; an explicit ruling may prefer 3.</t>
        </is>
      </c>
      <c r="F3061" s="33" t="inlineStr">
        <is>
          <t>10-K FY2026 (filed 2026-08-14) Item 7 / Item 1A; context-2026-10-06.md</t>
        </is>
      </c>
      <c r="G3061" s="33" t="inlineStr">
        <is>
          <t>Low-Med</t>
        </is>
      </c>
      <c r="H3061" s="33" t="inlineStr">
        <is>
          <t>Re-rate</t>
        </is>
      </c>
    </row>
    <row r="3062">
      <c r="A3062" s="33" t="inlineStr">
        <is>
          <t>2026-10-06</t>
        </is>
      </c>
      <c r="B3062" s="33" t="inlineStr">
        <is>
          <t>GOOGL</t>
        </is>
      </c>
      <c r="C3062" s="33" t="inlineStr">
        <is>
          <t>R3-BS</t>
        </is>
      </c>
      <c r="D3062" s="33" t="inlineStr">
        <is>
          <t>4</t>
        </is>
      </c>
      <c r="E3062" s="33" t="inlineStr">
        <is>
          <t>Re-rate 5-&gt;4 (Dom confirmed 2026-10-10: "current scores are ok"). Band 5 requires 'strong FCF generation'; Q2 2026 FCF was -$5.9B and the capex guide ($195-205B) implies a negative second half. A further $25B of notes closed 2026-08-10; Q2 interest expense $1,278M vs $261M; buybacks zero. Of $242.5B 'cash', $80.0B is sale-restricted SpaceX equity, so net cash is ~$53B. Still net cash with well-spread maturities = band 4. Note Dom's 2026-06-12 strict-letter override to 5 rested on all three band-5 conditions being met; the FCF condition no longer is.</t>
        </is>
      </c>
      <c r="F3062" s="33" t="inlineStr">
        <is>
          <t>10-Q q/e 2026-06-30 (acc. 0001652044-26-000071) Note 3, MD&amp;A; 8-K acc. 0001193125-26-342390; context-2026-10-06.md</t>
        </is>
      </c>
      <c r="G3062" s="33" t="inlineStr">
        <is>
          <t>Med</t>
        </is>
      </c>
      <c r="H3062" s="33" t="inlineStr">
        <is>
          <t>Re-rate</t>
        </is>
      </c>
    </row>
    <row r="3063">
      <c r="A3063" s="33" t="inlineStr">
        <is>
          <t>2026-10-06</t>
        </is>
      </c>
      <c r="B3063" s="33" t="inlineStr">
        <is>
          <t>CRM</t>
        </is>
      </c>
      <c r="C3063" s="33" t="inlineStr">
        <is>
          <t>R3-BS</t>
        </is>
      </c>
      <c r="D3063" s="33" t="inlineStr">
        <is>
          <t>3</t>
        </is>
      </c>
      <c r="E3063" s="33" t="inlineStr">
        <is>
          <t>Re-rate 4-&gt;3 (Dom confirmed 2026-10-10). Debt $39.5B vs $14.5B at fiscal year-end (funded the buyback); net debt/EBITDA ~2.2x, ~2.6x after the cash purchases of Fin/Intercom ($3.6B) and Contentful ($1.5B) = band 3 (2-4x). The prior rationale cited 0.65x.</t>
        </is>
      </c>
      <c r="F3063" s="33" t="inlineStr">
        <is>
          <t>10-Q q/e 2026-07-31 debt and acquisition notes; context-2026-10-06.md</t>
        </is>
      </c>
      <c r="G3063" s="33" t="inlineStr">
        <is>
          <t>Med-High</t>
        </is>
      </c>
      <c r="H3063" s="33" t="inlineStr">
        <is>
          <t>Re-rate</t>
        </is>
      </c>
    </row>
    <row r="3064">
      <c r="A3064" s="33" t="inlineStr">
        <is>
          <t>2026-10-06</t>
        </is>
      </c>
      <c r="B3064" s="33" t="inlineStr">
        <is>
          <t>GMED</t>
        </is>
      </c>
      <c r="C3064" s="33" t="inlineStr">
        <is>
          <t>EPS YoY (objective)</t>
        </is>
      </c>
      <c r="E3064" s="33" t="inlineStr">
        <is>
          <t>Rule-15 blank: Q2 2026 GAAP EPS YoY -25.3% is dominated by prior-year one-time items - Q2 2025 net income of $202.8M included a $110.561M non-taxable Nevro bargain purchase gain and a $34.815M state valuation-allowance tax benefit (72% of it). Operating income rose 139.7% ($76.1M -&gt; $182.4M). No ex-item value substituted because the base also carried $40.4M merger and $19.9M restructuring costs.</t>
        </is>
      </c>
      <c r="F3064" s="33" t="inlineStr">
        <is>
          <t>10-Q filed 2026-08-06, Statements of Income, MD&amp;A 'Bargain Purchase Gain', Note 14; 8-K Ex-99.1</t>
        </is>
      </c>
      <c r="G3064" s="33" t="inlineStr">
        <is>
          <t>High</t>
        </is>
      </c>
      <c r="H3064" s="33" t="inlineStr">
        <is>
          <t>Objective refresh</t>
        </is>
      </c>
    </row>
    <row r="3065">
      <c r="A3065" s="33" t="inlineStr">
        <is>
          <t>2026-10-06</t>
        </is>
      </c>
      <c r="B3065" s="33" t="inlineStr">
        <is>
          <t>WDC</t>
        </is>
      </c>
      <c r="C3065" s="33" t="inlineStr">
        <is>
          <t>EPS YoY (objective)</t>
        </is>
      </c>
      <c r="E3065" s="33" t="inlineStr">
        <is>
          <t>Rule-15 blank (cell already blank; ruling recorded): fiscal Q4 2026 GAAP EPS $8.21 vs $0.67 (+1,125%) dominated by a $2,050M mark-to-market gain on the retained SanDisk stake this year and a $166M SanDisk loss plus $100M exchange costs last year. Stake fully disposed by 2026-07-03. Needs re-ruling each FY2027 quarter (base effect reverses).</t>
        </is>
      </c>
      <c r="F3065" s="33" t="inlineStr">
        <is>
          <t>8-K Ex-99.1 filed 2026-08-05 reconciliation; 10-K FY2026 Item 7</t>
        </is>
      </c>
      <c r="G3065" s="33" t="inlineStr">
        <is>
          <t>High</t>
        </is>
      </c>
      <c r="H3065" s="33" t="inlineStr">
        <is>
          <t>Objective refresh</t>
        </is>
      </c>
    </row>
    <row r="3066">
      <c r="A3066" s="33" t="inlineStr">
        <is>
          <t>2026-10-06</t>
        </is>
      </c>
      <c r="B3066" s="33" t="inlineStr">
        <is>
          <t>GOOGL</t>
        </is>
      </c>
      <c r="C3066" s="33" t="inlineStr">
        <is>
          <t>EPS YoY (objective)</t>
        </is>
      </c>
      <c r="E3066" s="33" t="inlineStr">
        <is>
          <t>Rule-15 blank (cell already blank; ruling recorded): Q2 2026 diluted EPS $9.11 vs $2.31 (+294%) - equity-securities gain of $99,031M is 71% of pre-tax income of $138,753M. Under the 300% withhold, so without this entry a refresh would write it back.</t>
        </is>
      </c>
      <c r="F3066" s="33" t="inlineStr">
        <is>
          <t>10-Q q/e 2026-06-30 (acc. 0001652044-26-000071) OI&amp;E table</t>
        </is>
      </c>
      <c r="G3066" s="33" t="inlineStr">
        <is>
          <t>High</t>
        </is>
      </c>
      <c r="H3066" s="33" t="inlineStr">
        <is>
          <t>Objective refresh</t>
        </is>
      </c>
    </row>
    <row r="3067">
      <c r="A3067" s="33" t="inlineStr">
        <is>
          <t>2026-10-06</t>
        </is>
      </c>
      <c r="B3067" s="33" t="inlineStr">
        <is>
          <t>(multi)</t>
        </is>
      </c>
      <c r="C3067" s="33" t="inlineStr">
        <is>
          <t>Review (no change)</t>
        </is>
      </c>
      <c r="D3067" s="33" t="inlineStr">
        <is>
          <t>-</t>
        </is>
      </c>
      <c r="E3067" s="33" t="inlineStr">
        <is>
          <t>2026-10-06 research passes, ratings held on the evidence: APP (R4=1, R5=4, D3=3, M1=2 all hold; new San Diego County action filed 2026-10-05 and Talbot v. AppLovin 3:26-cv-10584 already consistent with R4=1); GMED D1 held at 2 though disclosed robotics revenue is 3.3% of sales (literal band 1) - the 2026-08-02 L11 rating already rested on undisclosed pull-through, flagged for Dom; PLTR R2 held at 4 (5 arguable, low confidence); CRM D1=2 and R5=3 confirmed, R4 held; GOOGL D1=3 confirmed by a literal reading (10-15% est.), R4=2 held; WDC D2/D3 held.</t>
        </is>
      </c>
      <c r="F3067" s="33" t="inlineStr">
        <is>
          <t>per-stock/*/context-2026-10-06.md</t>
        </is>
      </c>
      <c r="G3067" s="33" t="inlineStr">
        <is>
          <t>Med</t>
        </is>
      </c>
      <c r="H3067" s="33" t="inlineStr">
        <is>
          <t>Review</t>
        </is>
      </c>
    </row>
    <row r="3068">
      <c r="A3068" s="33" t="inlineStr">
        <is>
          <t>2026-10-10</t>
        </is>
      </c>
      <c r="B3068" s="33" t="inlineStr">
        <is>
          <t>APP</t>
        </is>
      </c>
      <c r="C3068" s="33" t="inlineStr">
        <is>
          <t>D1-AIRev</t>
        </is>
      </c>
      <c r="D3068" s="33" t="inlineStr">
        <is>
          <t>3</t>
        </is>
      </c>
      <c r="E3068" s="33" t="inlineStr">
        <is>
          <t>Re-rate 5-&gt;3 (Dom-directed 2026-10-10: an ad platform with AI-based targeting should not rate above META). Applies the new ad-platform convention in the rubric: baseline 2, 3 when AI-attributable revenue or lift is quantified above ~10% of revenue, capped at 3 because ad revenue is AI-enabled, not AI-infrastructure-tied. APP qualifies for 3: substantially all revenue runs through the Axon model and Q2 2026 growth was model-driven yield (net revenue per installation +58%, installs -2%). The prior 5 ('~100% of revenue is the AI engine') read 'uses AI' as 'AI-infrastructure revenue'; META carries 3 on the same facts.</t>
        </is>
      </c>
      <c r="F3068" s="33" t="inlineStr">
        <is>
          <t>10-Q q/e 2026-06-30 MD&amp;A; rubric D1 ad-platform convention; Rating Audit META D1 2026-06-12</t>
        </is>
      </c>
      <c r="G3068" s="33" t="inlineStr">
        <is>
          <t>High</t>
        </is>
      </c>
      <c r="H3068" s="33" t="inlineStr">
        <is>
          <t>Re-rate</t>
        </is>
      </c>
    </row>
    <row r="3069">
      <c r="A3069" s="33" t="inlineStr">
        <is>
          <t>2026-10-10</t>
        </is>
      </c>
      <c r="B3069" s="33" t="inlineStr">
        <is>
          <t>APP</t>
        </is>
      </c>
      <c r="C3069" s="33" t="inlineStr">
        <is>
          <t>R4-Reg</t>
        </is>
      </c>
      <c r="D3069" s="33" t="inlineStr">
        <is>
          <t>1</t>
        </is>
      </c>
      <c r="E3069" s="33" t="inlineStr">
        <is>
          <t>HELD at 1; rationale refreshed. The 2026-09-07 row cited an active SEC probe. Validation 2026-10-10: the Q2 2026 10-Q names no SEC inquiry (generic investigations language only; no 'subpoena'), and no filing, SEC statement or press source confirming closure was found - the closure rests on a spoken CFO remark on the 2026-08-05 call. Treat SEC status as UNVERIFIED either way. The 1 now rests on: People v. AppLovin (San Diego County, filed 2026-10-05, seeks an injunction on data collection), Talbot v. AppLovin 3:26-cv-10584 (N.D. Cal., filed 2026-09-16) and Brownback 4:25-cv-02772 (pending).</t>
        </is>
      </c>
      <c r="F3069" s="33" t="inlineStr">
        <is>
          <t>10-Q q/e 2026-06-30 Legal Proceedings / risk factors; context-2026-10-06.md</t>
        </is>
      </c>
      <c r="G3069" s="33" t="inlineStr">
        <is>
          <t>Med</t>
        </is>
      </c>
      <c r="H3069" s="33" t="inlineStr">
        <is>
          <t>Review</t>
        </is>
      </c>
    </row>
    <row r="3070">
      <c r="A3070" s="33" t="inlineStr">
        <is>
          <t>2026-10-10</t>
        </is>
      </c>
      <c r="B3070" s="33" t="inlineStr">
        <is>
          <t>APP</t>
        </is>
      </c>
      <c r="C3070" s="33" t="inlineStr">
        <is>
          <t>R1-CustConc</t>
        </is>
      </c>
      <c r="D3070" s="33" t="inlineStr">
        <is>
          <t>4</t>
        </is>
      </c>
      <c r="E3070" s="33" t="inlineStr">
        <is>
          <t>HELD at 4, now evidenced. No single customer was 10% or more of revenue in 2024, 2023 or 2022 (FY2024 10-K note); FY2025 reported the same per secondary coverage (Zacks) - FY2025 10-K note not read directly. Literal band would be 5 (no customer &gt;15%). Held at 4 for distribution concentration the customer test does not capture: a significant amount of revenue is derived through Apple's App Store, Google Play and Meta, and the business is concentrated in mobile gaming (10-Q q/e 2026-06-30 risk factors). Flagged for Dom: 5 is the strict-letter reading.</t>
        </is>
      </c>
      <c r="F3070" s="33" t="inlineStr">
        <is>
          <t>FY2024 10-K concentration note (sec.gov app-20241231.htm); Zacks via TradingView; 10-Q q/e 2026-06-30 risk factors</t>
        </is>
      </c>
      <c r="G3070" s="33" t="inlineStr">
        <is>
          <t>Med</t>
        </is>
      </c>
      <c r="H3070" s="33" t="inlineStr">
        <is>
          <t>Review</t>
        </is>
      </c>
    </row>
    <row r="3071">
      <c r="A3071" s="33" t="inlineStr">
        <is>
          <t>2026-10-10</t>
        </is>
      </c>
      <c r="B3071" s="33" t="inlineStr">
        <is>
          <t>APP</t>
        </is>
      </c>
      <c r="C3071" s="33" t="inlineStr">
        <is>
          <t>D3-Moat</t>
        </is>
      </c>
      <c r="D3071" s="33" t="inlineStr">
        <is>
          <t>2</t>
        </is>
      </c>
      <c r="E3071" s="33" t="inlineStr">
        <is>
          <t>Re-rate 3-&gt;2 (Dom's call 2026-10-10: 'feels like the industry is catching up'). Band 2 = 'Weak moat. Losing share possible. Price-taker behavior.' Evidence for: share gains reported stalled (Edgewater 2026-09-23), Unity Vector growing, management said Axon model lifts were 'lighter than normal' and are not guaranteed each quarter, lost a TRO bid against Unity (2026-10-02), META shipping competing AI ad products. Evidence against, recorded as Claude's dissent: net revenue per installation +58% in Q2 2026 is pricing power, not price-taking; Claude leaned 3 until the Q3 print (~2026-11-11) shows whether share is actually being lost. Revisit then.</t>
        </is>
      </c>
      <c r="F3071" s="33" t="inlineStr">
        <is>
          <t>10-Q q/e 2026-06-30 MD&amp;A; context-2026-10-06.md</t>
        </is>
      </c>
      <c r="G3071" s="33" t="inlineStr">
        <is>
          <t>Med</t>
        </is>
      </c>
      <c r="H3071" s="33" t="inlineStr">
        <is>
          <t>Re-rate</t>
        </is>
      </c>
    </row>
    <row r="3072">
      <c r="A3072" s="33" t="inlineStr">
        <is>
          <t>2026-10-10</t>
        </is>
      </c>
      <c r="B3072" s="33" t="inlineStr">
        <is>
          <t>RDDT</t>
        </is>
      </c>
      <c r="C3072" s="33" t="inlineStr">
        <is>
          <t>Review (no change)</t>
        </is>
      </c>
      <c r="D3072" s="33" t="inlineStr">
        <is>
          <t>-</t>
        </is>
      </c>
      <c r="E3072" s="33" t="inlineStr">
        <is>
          <t>Refresh of the 2026-06-22 ratings (Dom asked; D3 Moat and R5 Disruption deliberately left as-is). All held, now evidenced: M1=5 (FY2026 consensus EPS $4.97 -&gt; $5.38 and FY2027 $6.47 -&gt; $7.07 over 90 days; revisions up-only in the last 30 days - yfinance 2026-10-10); M3=3 (routine exercise-and-sell, no open-market buying - context-2026-10-04.md); D4=3 (asset-light: purchases of property and equipment $1.1M in Q2 2026 against $804.9M revenue, while $234.6M went to buybacks - steady-state per the APP 2026-09-07 precedent, not band 1); D5=2 (data licensing is at most 5.4% of revenue and falling); R1=5 (top-10 customers ~25% of 2024 revenue, no customer &gt;10% in 2022-2023; FY2025 10-K note not read); R2=5 (US $638.1M of $804.9M = 79% of Q2 2026 revenue, no risk-geography leg); R3=5 (cash $2.79B vs debt $21M; FCF margin 37%). M2 re-measured 2026-10-09: +14.4% vs XLC -2.6% = +17.0pp (band 4); vs SPY -0.8pp (3), vs QQQ -8.8pp (2), vs IGV -36.5pp (1).</t>
        </is>
      </c>
      <c r="F3072" s="33" t="inlineStr">
        <is>
          <t>10-Q q/e 2026-06-30; FY2024 10-K via search; yfinance 2026-10-10; context-2026-10-04.md</t>
        </is>
      </c>
      <c r="G3072" s="33" t="inlineStr">
        <is>
          <t>Med</t>
        </is>
      </c>
      <c r="H3072" s="33" t="inlineStr">
        <is>
          <t>Review</t>
        </is>
      </c>
    </row>
    <row r="3073">
      <c r="A3073" s="33" t="inlineStr">
        <is>
          <t>2026-10-10</t>
        </is>
      </c>
      <c r="B3073" s="33" t="inlineStr">
        <is>
          <t>WDC</t>
        </is>
      </c>
      <c r="C3073" s="33" t="inlineStr">
        <is>
          <t>D1-AIRev</t>
        </is>
      </c>
      <c r="D3073" s="33" t="inlineStr">
        <is>
          <t>4</t>
        </is>
      </c>
      <c r="E3073" s="33" t="inlineStr">
        <is>
          <t>Re-rate 5-&gt;4 (Dom's call 2026-10-10). The 5 equated cloud revenue (89% of FY2026) with AI revenue - the rubric's named failure mode ('counting data center revenue as AI revenue'). WDC discloses no AI share; cloud exabyte demand is AI-driven in part and general cloud storage in part. Band 4 (25-50%, strong AI exposure that is a major growth driver) and consistent with STX at 4.</t>
        </is>
      </c>
      <c r="F3073" s="33" t="inlineStr">
        <is>
          <t>10-K FY2026 (filed 2026-08-14) Item 7: cloud 89% of revenue, +38%; context-2026-10-06.md</t>
        </is>
      </c>
      <c r="G3073" s="33" t="inlineStr">
        <is>
          <t>Med</t>
        </is>
      </c>
      <c r="H3073" s="33" t="inlineStr">
        <is>
          <t>Re-rate</t>
        </is>
      </c>
    </row>
    <row r="3074">
      <c r="A3074" s="33" t="inlineStr">
        <is>
          <t>2026-10-10</t>
        </is>
      </c>
      <c r="B3074" s="33" t="inlineStr">
        <is>
          <t>WDC</t>
        </is>
      </c>
      <c r="C3074" s="33" t="inlineStr">
        <is>
          <t>R1-CustConc</t>
        </is>
      </c>
      <c r="D3074" s="33" t="inlineStr">
        <is>
          <t>3</t>
        </is>
      </c>
      <c r="E3074" s="33" t="inlineStr">
        <is>
          <t>Re-rate 4-&gt;3 (Dom's call 2026-10-10; reverses the 2026-10-06 strict-letter 3-&gt;4). Top customer 16% is band 4 by the letter, but top three are 44%, top ten 73% (68%, 55% in prior years) and cloud is 89% of revenue - concentration is high and rising, and a handful of hyperscalers set the terms. Rated on the cluster, not the single largest name.</t>
        </is>
      </c>
      <c r="F3074" s="33" t="inlineStr">
        <is>
          <t>10-K FY2026 Item 7 and Item 1A; context-2026-10-06.md</t>
        </is>
      </c>
      <c r="G3074" s="33" t="inlineStr">
        <is>
          <t>Med</t>
        </is>
      </c>
      <c r="H3074" s="33" t="inlineStr">
        <is>
          <t>Re-rate</t>
        </is>
      </c>
    </row>
    <row r="3075">
      <c r="A3075" s="33" t="inlineStr">
        <is>
          <t>2026-10-10</t>
        </is>
      </c>
      <c r="B3075" s="33" t="inlineStr">
        <is>
          <t>WDC</t>
        </is>
      </c>
      <c r="C3075" s="33" t="inlineStr">
        <is>
          <t>R2-Geo</t>
        </is>
      </c>
      <c r="D3075" s="33" t="inlineStr">
        <is>
          <t>3</t>
        </is>
      </c>
      <c r="E3075" s="33" t="inlineStr">
        <is>
          <t>Re-rate 4-&gt;3 (Dom-approved 2026-10-10 after the 10-K check the 2026-09-07 row said was never run). Worst plausible shock: a China trade-policy or procurement action. Exposed: China $2,541M (20%) + Hong Kong $1,487M (12%) = 31% of FY2026 revenue by ship-to, with China alone up from $488M in FY2024. Two legs = band 3: (a) demand - &gt;25% of revenue shipped to a risk geography; (b) policy - the 10-K flags China's rare-earth export restrictions as critical to hard drive manufacturing, plus a Shenzhen facility. Not band 2: long-lived assets are Thailand $867M (35%) and Malaysia $443M (18%), which are not conflict-risk geographies under the rubric (FN, Thai manufacturing, carries 4). STX carries 4 on an unexamined rationale and needs the same check.</t>
        </is>
      </c>
      <c r="F3075" s="33" t="inlineStr">
        <is>
          <t>10-K FY2026 (filed 2026-08-14): geographic note (net revenue and long-lived assets by region), Item 1A, Item 2</t>
        </is>
      </c>
      <c r="G3075" s="33" t="inlineStr">
        <is>
          <t>Med-High</t>
        </is>
      </c>
      <c r="H3075" s="33" t="inlineStr">
        <is>
          <t>Re-rate</t>
        </is>
      </c>
    </row>
    <row r="3076">
      <c r="A3076" s="33" t="inlineStr">
        <is>
          <t>2026-10-10</t>
        </is>
      </c>
      <c r="B3076" s="33" t="inlineStr">
        <is>
          <t>WDC</t>
        </is>
      </c>
      <c r="C3076" s="33" t="inlineStr">
        <is>
          <t>D3-Moat</t>
        </is>
      </c>
      <c r="D3076" s="33" t="inlineStr">
        <is>
          <t>3</t>
        </is>
      </c>
      <c r="E3076" s="33" t="inlineStr">
        <is>
          <t>Re-rate 4-&gt;3 (Dom-approved 2026-10-10). Band 3 = 'modest moat; share roughly stable but pricing is competitive'. From the 10-K: the company describes its products as 'largely interchangeable with competitors' products' (Item 1A) - low switching costs; price per exabyte rose 8% on 'an improved pricing environment' (Item 7), i.e. shortage-driven, not differentiation; long-term agreements fix or formula-price volumes. HAMR drive not due until H1 2027 (Q4 FY26 call), behind STX, which carries 4 partly on its HAMR lead. For 4: in-house heads and media, three-supplier oligopoly, sold out for CY2026. The unverified Toshiba capacity report (Nikkei 2026-10-02) is NOT relied on - it appears nowhere in the 10-K.</t>
        </is>
      </c>
      <c r="F3076" s="33" t="inlineStr">
        <is>
          <t>10-K FY2026 Item 1, Item 1A, Item 7; context-2026-10-06.md</t>
        </is>
      </c>
      <c r="G3076" s="33" t="inlineStr">
        <is>
          <t>Med</t>
        </is>
      </c>
      <c r="H3076" s="33" t="inlineStr">
        <is>
          <t>Re-rate</t>
        </is>
      </c>
    </row>
    <row r="3077">
      <c r="A3077" s="33" t="inlineStr">
        <is>
          <t>2026-10-10</t>
        </is>
      </c>
      <c r="B3077" s="33" t="inlineStr">
        <is>
          <t>PLTR</t>
        </is>
      </c>
      <c r="C3077" s="33" t="inlineStr">
        <is>
          <t>R2-Geo</t>
        </is>
      </c>
      <c r="D3077" s="33" t="inlineStr">
        <is>
          <t>5</t>
        </is>
      </c>
      <c r="E3077" s="33" t="inlineStr">
        <is>
          <t>Re-rate 4-&gt;5 (Dom-approved 2026-10-10). Worst plausible shock: loss or curtailment of a non-US government programme (e.g. the UK NHS renewal, Feb 2027); exposed revenue is well under 10% - the US is 81% of revenue and no other country reaches 10% (10-Q q/e 2026-06-30). No demand leg (band 4 needs &gt;25% shipped to a risk geography), no China/policy leg, no asset leg = band 5 'no legs'. The 2026-05-18 rationale ('US-based, government-aligned. Clean geo') described a 5 and recorded a 4.</t>
        </is>
      </c>
      <c r="F3077" s="33" t="inlineStr">
        <is>
          <t>10-Q q/e 2026-06-30 (acc. 0001321655-26-000041) geographic note; context-2026-10-06.md</t>
        </is>
      </c>
      <c r="G3077" s="33" t="inlineStr">
        <is>
          <t>Med</t>
        </is>
      </c>
      <c r="H3077" s="33" t="inlineStr">
        <is>
          <t>Re-rate</t>
        </is>
      </c>
    </row>
    <row r="3078">
      <c r="A3078" s="33" t="inlineStr">
        <is>
          <t>2026-10-10</t>
        </is>
      </c>
      <c r="B3078" s="33" t="inlineStr">
        <is>
          <t>PLTR</t>
        </is>
      </c>
      <c r="C3078" s="33" t="inlineStr">
        <is>
          <t>D3-Moat</t>
        </is>
      </c>
      <c r="D3078" s="33" t="inlineStr">
        <is>
          <t>4</t>
        </is>
      </c>
      <c r="E3078" s="33" t="inlineStr">
        <is>
          <t>Re-rate 5-&gt;4 (Claude's call at Dom's invitation 2026-10-10: 'what do you think? we can always adjust later'). Band 5 needs durability across multiple dimensions with 10+ year defensibility plausible; the rubric's anchors are ASML, TSMC at the leading edge and NVIDIA/CUDA, and it calls this the most halo-prone rating. For 5: net dollar retention 157% (Q2 call), deep government entrenchment, high switching costs. Against: it holds share versus credible competitors rather than standing alone - Microsoft, Databricks, Snowflake - and OpenAI and Anthropic are building forward-deployed-engineering arms, which is Palantir's delivery method; international commercial +2% QoQ. That is band 4 (strong in one or two dimensions, share held vs credible competitors). Dom's note the same day: Palantir owns defense AI 'for now until the other AI labs start trying to poach' - consistent with strong-but-contestable. Revisit on evidence either way.</t>
        </is>
      </c>
      <c r="F3078" s="33" t="inlineStr">
        <is>
          <t>10-Q q/e 2026-06-30; Q2 2026 call; context-2026-10-06.md</t>
        </is>
      </c>
      <c r="G3078" s="33" t="inlineStr">
        <is>
          <t>Med</t>
        </is>
      </c>
      <c r="H3078" s="33" t="inlineStr">
        <is>
          <t>Re-rate</t>
        </is>
      </c>
    </row>
    <row r="3079">
      <c r="A3079" s="33" t="inlineStr">
        <is>
          <t>2026-10-10</t>
        </is>
      </c>
      <c r="B3079" s="33" t="inlineStr">
        <is>
          <t>PLTR</t>
        </is>
      </c>
      <c r="C3079" s="33" t="inlineStr">
        <is>
          <t>Review (no change)</t>
        </is>
      </c>
      <c r="D3079" s="33" t="inlineStr">
        <is>
          <t>-</t>
        </is>
      </c>
      <c r="E3079" s="33" t="inlineStr">
        <is>
          <t>Dom review 2026-10-10. M3=3 HELD, now evidenced (was a default with no filings pulled): 54 Form 4 filings 2025-11-03..2026-10-01 show zero open-market purchases; 256 sale transactions under 10b5-1 plans ($658M - Thiel, Karp, Sankar, Moore, Taylor, Glazer) and 55 not flagged as plan sales ($210M), almost all Cohen ($144M) and Karp ($66M) on the 20th-21st of Nov/Feb/May - a quarterly vest-date pattern consistent with sell-to-cover, not verified from footnotes. Percent-of-holdings test not computable from Class A post-transaction balances alone (founders hold Class B and options). No buying + routine/plan selling = 3. D1=4 HELD at Dom's direction (AIP share undisclosed; US commercial is 39% of revenue; 'owns the defense AI category for now'). M2=2 HELD vs IGV (software is the like-for-like benchmark).</t>
        </is>
      </c>
      <c r="F3079" s="33" t="inlineStr">
        <is>
          <t>per-stock/PLTR/filings/4_*.xml via parse_form4.py; 10-Q q/e 2026-06-30</t>
        </is>
      </c>
      <c r="G3079" s="33" t="inlineStr">
        <is>
          <t>Med</t>
        </is>
      </c>
      <c r="H3079" s="33" t="inlineStr">
        <is>
          <t>Review</t>
        </is>
      </c>
    </row>
    <row r="3080">
      <c r="A3080" s="33" t="inlineStr">
        <is>
          <t>2026-10-10</t>
        </is>
      </c>
      <c r="B3080" s="33" t="inlineStr">
        <is>
          <t>GOOGL</t>
        </is>
      </c>
      <c r="C3080" s="33" t="inlineStr">
        <is>
          <t>Review (no change)</t>
        </is>
      </c>
      <c r="D3080" s="33" t="inlineStr">
        <is>
          <t>-</t>
        </is>
      </c>
      <c r="E3080" s="33" t="inlineStr">
        <is>
          <t>Dom review 2026-10-10: all ratings held ('I think the current scores are ok'), including R3=4 and M2=4 vs XLC. M3=3 now evidenced: 173 Form 4 filings 2025-10-13 onward show zero open-market purchases (no code-P transactions); executive sales (Pichai $108.8M, Walker $25.6M over the window) are disclosed as Rule 10b5-1 plan sales in the filing footnotes - the aff10b5One checkbox is false on these filings, so parse_form4.py reports them as discretionary; read the footnotes for this issuer. GV fund filings in the pull concern other issuers and are excluded. Entry-gate note: Stewart v. Alphabet, 3:26-cv-11290 (N.D. Cal., filed 2026-10-02) - hold to be recorded.</t>
        </is>
      </c>
      <c r="F3080" s="33" t="inlineStr">
        <is>
          <t>per-stock/GOOGL/filings/4_*.xml; context-2026-10-06.md</t>
        </is>
      </c>
      <c r="G3080" s="33" t="inlineStr">
        <is>
          <t>Med</t>
        </is>
      </c>
      <c r="H3080" s="33" t="inlineStr">
        <is>
          <t>Review</t>
        </is>
      </c>
    </row>
    <row r="3081">
      <c r="A3081" s="33" t="inlineStr">
        <is>
          <t>2026-10-10</t>
        </is>
      </c>
      <c r="B3081" s="33" t="inlineStr">
        <is>
          <t>GOOGL</t>
        </is>
      </c>
      <c r="C3081" s="33" t="inlineStr">
        <is>
          <t>R2-Geo</t>
        </is>
      </c>
      <c r="D3081" s="33" t="inlineStr">
        <is>
          <t>5</t>
        </is>
      </c>
      <c r="E3081" s="33" t="inlineStr">
        <is>
          <t>Re-rate 4-&gt;5 (Dom-approved 2026-10-10, Layer-9 hyperscaler R2 check against filings). Worst plausible shock: an EU regulatory remedy on Search/Play - but that is regulatory, already carried in R4=2, not a geographic or trade-policy shock. Revenue Q2 2026: US 48%, EMEA 29%, APAC 17%, Other Americas 6%; no China revenue. No demand, policy or asset leg under the R2 framework = band 5. The 2026-05-18 rationale ('Global; no operations in China consumer market') described no legs and recorded a 4.</t>
        </is>
      </c>
      <c r="F3081" s="33" t="inlineStr">
        <is>
          <t>10-Q q/e 2026-06-30 (acc. 0001652044-26-000071) revenue-by-geography table</t>
        </is>
      </c>
      <c r="G3081" s="33" t="inlineStr">
        <is>
          <t>Med</t>
        </is>
      </c>
      <c r="H3081" s="33" t="inlineStr">
        <is>
          <t>Re-rate</t>
        </is>
      </c>
    </row>
    <row r="3082">
      <c r="A3082" s="33" t="inlineStr">
        <is>
          <t>2026-10-10</t>
        </is>
      </c>
      <c r="B3082" s="33" t="inlineStr">
        <is>
          <t>MSFT</t>
        </is>
      </c>
      <c r="C3082" s="33" t="inlineStr">
        <is>
          <t>R2-Geo</t>
        </is>
      </c>
      <c r="D3082" s="33" t="inlineStr">
        <is>
          <t>5</t>
        </is>
      </c>
      <c r="E3082" s="33" t="inlineStr">
        <is>
          <t>Re-rate 4-&gt;5 (Dom-approved 2026-10-10, Layer-9 hyperscaler R2 check against filings). Worst plausible shock: none identified that plausibly impairs &gt;10% of revenue. FY2026 revenue: United States $170,794M of $331,839M (51%); the 10-K states 'No sales to an individual customer or country other than the United States accounted for more than 10% of revenue for fiscal years 2026, 2025, or 2024.' China is not separately material. No legs = band 5. The 2026-05-18 rationale cited 'some China exposure (Azure China limited)' without a figure.</t>
        </is>
      </c>
      <c r="F3082" s="33" t="inlineStr">
        <is>
          <t>10-K FY2026 (filed 2026-07-29, acc. 0001193125-26-323660) segment and geographic note</t>
        </is>
      </c>
      <c r="G3082" s="33" t="inlineStr">
        <is>
          <t>High</t>
        </is>
      </c>
      <c r="H3082" s="33" t="inlineStr">
        <is>
          <t>Re-rate</t>
        </is>
      </c>
    </row>
    <row r="3083">
      <c r="A3083" s="33" t="inlineStr">
        <is>
          <t>2026-10-10</t>
        </is>
      </c>
      <c r="B3083" s="33" t="inlineStr">
        <is>
          <t>META</t>
        </is>
      </c>
      <c r="C3083" s="33" t="inlineStr">
        <is>
          <t>R2-Geo</t>
        </is>
      </c>
      <c r="D3083" s="33" t="inlineStr">
        <is>
          <t>3</t>
        </is>
      </c>
      <c r="E3083" s="33" t="inlineStr">
        <is>
          <t>Re-rate 4-&gt;3 (Dom-approved 2026-10-10, Layer-9 hyperscaler R2 check against filings). Worst plausible shock: US-China trade action or a Chinese government move that cuts China-based advertising. Two legs = band 3: (a) demand - Asia-Pacific is $53,817M of $200,966M = 26.8% of FY2025 revenue (26.4% in Q2 2026), above the 25% line; (b) policy - the 10-K says Meta generates 'meaningful revenue from a small number of resellers serving advertisers based in China' and that government action or tariffs could reduce or eliminate it, and names China among the largest non-US revenue countries. The FY2025 10-K gives no China percentage; earlier disclosures put it at about 10-11% of revenue (FY2023 10-K 10%; ~$18B in 2024 per Reuters) - not re-verified for 2025. Not band 2: no asset leg and nothing currently impaired.</t>
        </is>
      </c>
      <c r="F3083" s="33" t="inlineStr">
        <is>
          <t>10-K FY2025 (filed 2026-01-29, acc. 0001628280-26-003942) revenue-by-geography note and Item 1A; 10-Q q/e 2026-06-30</t>
        </is>
      </c>
      <c r="G3083" s="33" t="inlineStr">
        <is>
          <t>Med-High</t>
        </is>
      </c>
      <c r="H3083" s="33" t="inlineStr">
        <is>
          <t>Re-rate</t>
        </is>
      </c>
    </row>
    <row r="3084">
      <c r="A3084" s="33" t="inlineStr">
        <is>
          <t>2026-10-10</t>
        </is>
      </c>
      <c r="B3084" s="33" t="inlineStr">
        <is>
          <t>AMZN</t>
        </is>
      </c>
      <c r="C3084" s="33" t="inlineStr">
        <is>
          <t>R2-Geo</t>
        </is>
      </c>
      <c r="D3084" s="33" t="inlineStr">
        <is>
          <t>4</t>
        </is>
      </c>
      <c r="E3084" s="33" t="inlineStr">
        <is>
          <t>HELD at 4 in the same Layer-9 check. One leg: trade-policy exposure through imported goods and China-based third-party sellers (third-party seller services are ~21% of revenue; the Q2 2026 10-Q records ~$640M of IEEPA tariff refunds, showing the cost channel is real). No China revenue leg and no asset leg. The China-based seller share is not disclosed, so the exposure is named but not sized.</t>
        </is>
      </c>
      <c r="F3084" s="33" t="inlineStr">
        <is>
          <t>10-Q q/e 2026-06-30 (acc. 0001018724-26-000026)</t>
        </is>
      </c>
      <c r="G3084" s="33" t="inlineStr">
        <is>
          <t>Low-Med</t>
        </is>
      </c>
      <c r="H3084" s="33" t="inlineStr">
        <is>
          <t>Review</t>
        </is>
      </c>
    </row>
    <row r="3085">
      <c r="A3085" s="33" t="inlineStr">
        <is>
          <t>2026-10-10</t>
        </is>
      </c>
      <c r="B3085" s="33" t="inlineStr">
        <is>
          <t>CRM</t>
        </is>
      </c>
      <c r="C3085" s="33" t="inlineStr">
        <is>
          <t>M3-Insider</t>
        </is>
      </c>
      <c r="D3085" s="33" t="inlineStr">
        <is>
          <t>5</t>
        </is>
      </c>
      <c r="E3085" s="33" t="inlineStr">
        <is>
          <t>Re-rate 3-&gt;5 (Dom review 2026-10-10: 'do the research and score updates'). Three directors made open-market purchases (Form 4 code P, not 10b5-1) in the last 12 months: G. Mason Morfit (ValueAct) 96,000 shares at $260.58 = $25.0M on 2025-12-05; David Kirk 8,682 shares = $2.0M across 2025-12-17, 2026-03-18 and 2026-09-18; Laura Alber 2,571 shares = $0.5M on 2026-03-19. Rubric decision procedure step 1: two or more insiders buying = 5, full stop, regardless of size. Executive sales in the window were plan sales (Harris $31.6M, Benioff $9.6M). The prior 3 was a default with no filings pulled.</t>
        </is>
      </c>
      <c r="F3085" s="33" t="inlineStr">
        <is>
          <t>per-stock/CRM/filings/4_*.xml (118 filings, 2025-10-09..2026-09-22) via parse_form4.py</t>
        </is>
      </c>
      <c r="G3085" s="33" t="inlineStr">
        <is>
          <t>High</t>
        </is>
      </c>
      <c r="H3085" s="33" t="inlineStr">
        <is>
          <t>Re-rate</t>
        </is>
      </c>
    </row>
    <row r="3086">
      <c r="A3086" s="33" t="inlineStr">
        <is>
          <t>2026-10-10</t>
        </is>
      </c>
      <c r="B3086" s="33" t="inlineStr">
        <is>
          <t>CRM</t>
        </is>
      </c>
      <c r="C3086" s="33" t="inlineStr">
        <is>
          <t>R2-Geo</t>
        </is>
      </c>
      <c r="D3086" s="33" t="inlineStr">
        <is>
          <t>5</t>
        </is>
      </c>
      <c r="E3086" s="33" t="inlineStr">
        <is>
          <t>Re-rate 4-&gt;5 (Dom review 2026-10-10: 'do the research and score updates'). Worst plausible shock: none identified that plausibly impairs &gt;10% of revenue. Q2 FY27 revenue: Americas 65% (about 93% of that is the United States), Europe 25%, Asia Pacific 10%; 'No other country represented more than ten percent of total revenue'; no China leg; 84% of assets in the United States. No legs = band 5. The 2026-05-18 rationale ('US-based, global delivery. Clean.') described a 5 and recorded a 4.</t>
        </is>
      </c>
      <c r="F3086" s="33" t="inlineStr">
        <is>
          <t>10-Q q/e 2026-07-31 (acc. 0001108524-26-000190) revenue-by-geography and concentration notes</t>
        </is>
      </c>
      <c r="G3086" s="33" t="inlineStr">
        <is>
          <t>High</t>
        </is>
      </c>
      <c r="H3086" s="33" t="inlineStr">
        <is>
          <t>Re-rate</t>
        </is>
      </c>
    </row>
    <row r="3087">
      <c r="A3087" s="33" t="inlineStr">
        <is>
          <t>2026-10-10</t>
        </is>
      </c>
      <c r="B3087" s="33" t="inlineStr">
        <is>
          <t>CRM</t>
        </is>
      </c>
      <c r="C3087" s="33" t="inlineStr">
        <is>
          <t>R4-Reg</t>
        </is>
      </c>
      <c r="D3087" s="33" t="inlineStr">
        <is>
          <t>3</t>
        </is>
      </c>
      <c r="E3087" s="33" t="inlineStr">
        <is>
          <t>Re-rate 4-&gt;3 (Dom review 2026-10-10: 'do the research and score updates'). Band 4 is 'routine matters only; no material disclosed risks'; band 3 is 'some pending matters disclosed but immaterial'. The 10-Q legal note specifically describes two clusters: Slack IPO securities class actions (state court action reopened for discovery and a renewed class-certification motion, Nov 2025) and the Backpage litigation (multiple consolidated federal and state actions by dozens of plaintiffs alleging the Company's software facilitated sex trafficking by a former customer). No loss is accrued or estimated. Named pending matters = 3. The prior rationale was one word: 'Clean'.</t>
        </is>
      </c>
      <c r="F3087" s="33" t="inlineStr">
        <is>
          <t>10-Q q/e 2026-07-31 Legal Proceedings note</t>
        </is>
      </c>
      <c r="G3087" s="33" t="inlineStr">
        <is>
          <t>Med</t>
        </is>
      </c>
      <c r="H3087" s="33" t="inlineStr">
        <is>
          <t>Re-rate</t>
        </is>
      </c>
    </row>
    <row r="3088">
      <c r="A3088" s="33" t="inlineStr">
        <is>
          <t>2026-10-10</t>
        </is>
      </c>
      <c r="B3088" s="33" t="inlineStr">
        <is>
          <t>VRT</t>
        </is>
      </c>
      <c r="C3088" s="33" t="inlineStr">
        <is>
          <t>M3-Insider</t>
        </is>
      </c>
      <c r="D3088" s="33" t="inlineStr">
        <is>
          <t>2</t>
        </is>
      </c>
      <c r="E3088" s="33" t="inlineStr">
        <is>
          <t>Re-rate 3-&gt;2 (Dom-approved 2026-10-10; first evidenced M3 for this name). No open-market purchases in 91 Form 4 filings, 2025-11-10..2026-10-05. On 2026-02-26/27 three directors made open-market sales with no 10b5-1 checkbox and no plan footnote: Roger Fradin ~203,333 shares ($51.4M), Steven Reinemund 100,000 ($25.4M), Executive Chairman David Cote 40,000 ($10.2M), at $250-259. Against beneficial ownership in the 2026 proxy (as of 2026-04-15, i.e. after the sales, options included): Fradin 301,317 -&gt; sold ~40% of the pre-sale total; Reinemund 218,024 -&gt; ~31%; Cote 481,587 -&gt; ~8%. Two non-executive directors individually exceed the 30% line (band 1 read person-by-person); as a share of all directors' and officers' holdings (~4.2M incl. options) the three sales are ~8% (band 3 read in aggregate), and no executive officer sold outside a plan. Rated 2 between the two readings. Excluded as routine: van Dokkum and Karlborg option-exercise-and-sell the same day; Monser plan sales. Sales came in an open window after Q4 results; the shares later traded to $376.</t>
        </is>
      </c>
      <c r="F3088" s="33" t="inlineStr">
        <is>
          <t>per-stock/VRT/filings/4_*.xml via parse_form4.py; DEF 14A filed 2026-04-24 beneficial-ownership table and footnotes</t>
        </is>
      </c>
      <c r="G3088" s="33" t="inlineStr">
        <is>
          <t>Med</t>
        </is>
      </c>
    </row>
    <row r="3089">
      <c r="A3089" s="33" t="inlineStr">
        <is>
          <t>2026-10-10</t>
        </is>
      </c>
      <c r="B3089" s="33" t="inlineStr">
        <is>
          <t>VRT</t>
        </is>
      </c>
      <c r="C3089" s="33" t="inlineStr">
        <is>
          <t>Baseline (first log)</t>
        </is>
      </c>
      <c r="D3089" s="33" t="inlineStr">
        <is>
          <t>-</t>
        </is>
      </c>
      <c r="E3089" s="33" t="inlineStr">
        <is>
          <t>No Rating Audit rows existed for VRT before 2026-10-06 - twelve ratings carried with no logged rationale. Baseline as reviewed with Dom 2026-10-10, evidence from context-2026-09-21.md and the filings read today: D1=4 (data-centre power and thermal; no AI share disclosed; organic orders +152% on AI data-centre demand); D2=4 (broad power+thermal+service supplier, NVIDIA 800VDC co-design); D3=4 (breadth and service network; individual lines have competitors); D4=4 (expanding; ~$2.6B UtilityInnovation acquisition pending HSR, Q4 2026 close); D5=5 (hyperscale/colocation-led demand, $15.0B backlog at 2025-12-31 per 10-K); M1=5 (two consecutive beat-and-raise quarters, FY2026 guide raised to ~$14.0B); R1=3 (see separate note - no 10% customer disclosed in the FY2025 10-K; under review); R2=4 (2025 sales by destination: United States $6,013.6M of $10,229.9M = 59%, Asia Pacific 20%, Europe 14%; one trade-policy leg via tariffs, IEEPA refunds noted in the Q2 10-Q); R3=4 (net debt/EBITDA ~0.1x before the acquisition, funded from existing resources); R4=5 (no filed securities case; plaintiff-firm solicitations only); R5=5 (rule-16 default).</t>
        </is>
      </c>
      <c r="F3089" s="33" t="inlineStr">
        <is>
          <t>context-2026-09-21.md; 10-K FY2025 (filed 2026-02-13); 10-Q q/e 2026-06-30</t>
        </is>
      </c>
      <c r="G3089" s="33" t="inlineStr">
        <is>
          <t>Med</t>
        </is>
      </c>
      <c r="H3089" s="33" t="inlineStr">
        <is>
          <t>Review</t>
        </is>
      </c>
    </row>
    <row r="3090">
      <c r="A3090" s="33" t="inlineStr">
        <is>
          <t>2026-10-11</t>
        </is>
      </c>
      <c r="B3090" s="33" t="inlineStr">
        <is>
          <t>VRT</t>
        </is>
      </c>
      <c r="C3090" s="33" t="inlineStr">
        <is>
          <t>R1-CustConc</t>
        </is>
      </c>
      <c r="D3090" s="33" t="inlineStr">
        <is>
          <t>4</t>
        </is>
      </c>
      <c r="E3090" s="33" t="inlineStr">
        <is>
          <t>Re-rate 3-&gt;4 (Dom-approved 2026-10-11). The FY2025 10-K discloses no customer at 10% or more of sales; accounting rules require that disclosure when one exists, so none is inferred (the filing does not state it affirmatively). The prior 3 ('top customer 25-40%') matched no filing fact. Literal band is 5; held to 4 because demand comes from a small group of hyperscale and colocation buyers whose combined share is undisclosed, and the 10-K's own risk factor says that with fewer, larger customers the loss of one 'could have an outsized impact'. Contrast WDC (3), where the filing shows top-10 customers at 73% and rising.</t>
        </is>
      </c>
      <c r="F3090" s="33" t="inlineStr">
        <is>
          <t>10-K FY2025 (filed 2026-02-13, acc. 0001674101-26-000008) Item 1A and segment note</t>
        </is>
      </c>
      <c r="G3090" s="33" t="inlineStr">
        <is>
          <t>Med</t>
        </is>
      </c>
      <c r="H3090" s="33" t="inlineStr">
        <is>
          <t>Re-rate</t>
        </is>
      </c>
    </row>
    <row r="3091">
      <c r="A3091" s="33" t="inlineStr">
        <is>
          <t>2026-10-11</t>
        </is>
      </c>
      <c r="B3091" s="33" t="inlineStr">
        <is>
          <t>MU</t>
        </is>
      </c>
      <c r="C3091" s="33" t="inlineStr">
        <is>
          <t>EPS YoY (objective)</t>
        </is>
      </c>
      <c r="D3091" s="33" t="n">
        <v>1077.8</v>
      </c>
      <c r="E3091" s="33" t="inlineStr">
        <is>
          <t>Rule-15 ruling, WRITTEN: Operational memory super-cycle, no one-off: FY2026 revenue $133,188M vs $37,378M, operating income $99,340M (75% of revenue) vs $9,770M, net income $84,969M vs $8,539M - net income is below operating income, so nothing non-operating inflates it. Fiscal Q4 (q/e 2026-09-03) GAAP YoY +1077.8% per yfinance earningsQuarterlyGrowth; quarterly statements in yfinance still lag at 2026-05-31, so the Q4 quarter itself was not decomposed.</t>
        </is>
      </c>
      <c r="F3091" s="33" t="inlineStr">
        <is>
          <t>10-K FY2026 (filed 2026-10-09, acc. 0000723125-26-000023) consolidated statements of operations; yfinance 2026-10-11</t>
        </is>
      </c>
      <c r="G3091" s="33" t="inlineStr">
        <is>
          <t>Med-High</t>
        </is>
      </c>
      <c r="H3091" s="33" t="inlineStr">
        <is>
          <t>Objective refresh</t>
        </is>
      </c>
    </row>
    <row r="3092">
      <c r="A3092" s="33" t="inlineStr">
        <is>
          <t>2026-10-11</t>
        </is>
      </c>
      <c r="B3092" s="33" t="inlineStr">
        <is>
          <t>TER</t>
        </is>
      </c>
      <c r="C3092" s="33" t="inlineStr">
        <is>
          <t>EPS YoY (objective)</t>
        </is>
      </c>
      <c r="D3092" s="33" t="n">
        <v>377.9</v>
      </c>
      <c r="E3092" s="33" t="inlineStr">
        <is>
          <t>Rule-15 ruling, WRITTEN: Operational: Q2 2026 revenue $1,329.0M vs $651.8M (+104%), income from operations $440.8M vs $93.1M (+373%), net income $374.5M vs $78.4M (+377.9%); unusual items -$3.0M; tax rate 15.1% vs 12.7% (works against the jump). Same basis as the 2026-06-24 ruling.</t>
        </is>
      </c>
      <c r="F3092" s="33" t="inlineStr">
        <is>
          <t>10-Q q/e 2026-06-28 (filed 2026-07-31, acc. 0001193125-26-327715) via yfinance quarterly statements</t>
        </is>
      </c>
      <c r="G3092" s="33" t="inlineStr">
        <is>
          <t>Med-High</t>
        </is>
      </c>
      <c r="H3092" s="33" t="inlineStr">
        <is>
          <t>Objective refresh</t>
        </is>
      </c>
    </row>
    <row r="3093">
      <c r="A3093" s="33" t="inlineStr">
        <is>
          <t>2026-10-11</t>
        </is>
      </c>
      <c r="B3093" s="33" t="inlineStr">
        <is>
          <t>SMCI</t>
        </is>
      </c>
      <c r="C3093" s="33" t="inlineStr">
        <is>
          <t>EPS YoY (objective)</t>
        </is>
      </c>
      <c r="D3093" s="33" t="n">
        <v>503.7</v>
      </c>
      <c r="E3093" s="33" t="inlineStr">
        <is>
          <t>Rule-15 ruling, WRITTEN: Operational AI-server ramp: fiscal Q4 2026 net sales $11,119.8M vs $5,756.9M (+93%), income from operations $1,488.1M vs $228.4M (+552%), net income $1,178.2M vs $195.2M (+503.7%); tax rate 19.7% vs 8.7% (works against the jump). FY2026 income from operations $2,770.5M vs $1,253.0M.</t>
        </is>
      </c>
      <c r="F3093" s="33" t="inlineStr">
        <is>
          <t>10-K FY2026 (filed 2026-08-31, acc. 0001375365-26-000022); yfinance quarterly statements</t>
        </is>
      </c>
      <c r="G3093" s="33" t="inlineStr">
        <is>
          <t>Med-High</t>
        </is>
      </c>
      <c r="H3093" s="33" t="inlineStr">
        <is>
          <t>Objective refresh</t>
        </is>
      </c>
    </row>
    <row r="3094">
      <c r="A3094" s="33" t="inlineStr">
        <is>
          <t>2026-10-11</t>
        </is>
      </c>
      <c r="B3094" s="33" t="inlineStr">
        <is>
          <t>HPE</t>
        </is>
      </c>
      <c r="C3094" s="33" t="inlineStr">
        <is>
          <t>EPS YoY (objective)</t>
        </is>
      </c>
      <c r="D3094" s="33" t="n">
        <v>404.9</v>
      </c>
      <c r="E3094" s="33" t="inlineStr">
        <is>
          <t>Rule-15 ruling, WRITTEN: Carries the 2026-09-07 ruling into the overrides file so the refresh stops withholding it: Q3 FY26 net earnings $1,540M vs $305M = +404.9%; earnings from operations up +464% ($1,393M vs $247M per that ruling). Note a $373M other-income item this year vs -$180M last year (21% of pre-tax); the operating line still carries the change.</t>
        </is>
      </c>
      <c r="F3094" s="33" t="inlineStr">
        <is>
          <t>Rating Audit 2026-09-07 EPS YoY (objective); yfinance quarterly statements 2026-10-11</t>
        </is>
      </c>
      <c r="G3094" s="33" t="inlineStr">
        <is>
          <t>Med</t>
        </is>
      </c>
      <c r="H3094" s="33" t="inlineStr">
        <is>
          <t>Objective refresh</t>
        </is>
      </c>
    </row>
    <row r="3095">
      <c r="A3095" s="33" t="inlineStr">
        <is>
          <t>2026-10-11</t>
        </is>
      </c>
      <c r="B3095" s="33" t="inlineStr">
        <is>
          <t>UMC</t>
        </is>
      </c>
      <c r="C3095" s="33" t="inlineStr">
        <is>
          <t>EPS YoY (objective)</t>
        </is>
      </c>
      <c r="E3095" s="33" t="inlineStr">
        <is>
          <t>Rule-15 blank: Q2 2026 net income NT$42.26B vs NT$8.90B (+375%) is dominated by net non-operating income of about NT$30.24B (a net expense of NT$0.67B a year earlier) - roughly two-thirds of pre-tax income of NT$45.19B, attributed by management to investment and dividend income. Operating income rose about 38% YoY (NT$14.9B vs NT$10.8B). The cell held a stale 107.9.</t>
        </is>
      </c>
      <c r="F3095" s="33" t="inlineStr">
        <is>
          <t>UMC Q2 2026 results, Form 6-K Ex-99 (sec.gov/Archives/edgar/data/0001033767/000119312526322027/umc-ex99.htm); Q2 2026 call</t>
        </is>
      </c>
      <c r="G3095" s="33" t="inlineStr">
        <is>
          <t>High</t>
        </is>
      </c>
      <c r="H3095" s="33" t="inlineStr">
        <is>
          <t>Objective refresh</t>
        </is>
      </c>
    </row>
    <row r="3096">
      <c r="A3096" s="33" t="inlineStr">
        <is>
          <t>2026-10-12</t>
        </is>
      </c>
      <c r="B3096" s="33" t="inlineStr">
        <is>
          <t>SPCX</t>
        </is>
      </c>
      <c r="C3096" s="33" t="inlineStr">
        <is>
          <t>R3-BS</t>
        </is>
      </c>
      <c r="D3096" s="33" t="inlineStr">
        <is>
          <t>4</t>
        </is>
      </c>
      <c r="E3096" s="33" t="inlineStr">
        <is>
          <t>Re-rate 5-&gt;4 (Dom-approved 2026-10-12). Band 5 is 'net cash, strong FCF generation, no debt concerns'. Net cash still held at the last filing ($93.5B cash vs $38.4B debt at 2026-06-30), but the other two conditions fail: free cash flow is about -141% of revenue on ~$57B annualized capex, and the credit market is pricing concern - five-year CDS ~195bp, a record, from ~110bp in June; 50-year bonds reported at 85 cents; rated BBB. Since the filing: ~$8B cash committed to spectrum and early talks to borrow ~$40B for Nvidia chips. Band 4 while net cash holds; the Q3 balance sheet may argue for 3. Same strong-FCF clause that moved GOOGL (2026-10-06).</t>
        </is>
      </c>
      <c r="F3096" s="33" t="inlineStr">
        <is>
          <t>10-Q q/e 2026-06-30 (acc. 0001628280-26-052535) balance sheet; Advisor Perspectives/Bloomberg 2026-10-07; Axios 2026-10-09; context-2026-10-12.md</t>
        </is>
      </c>
      <c r="G3096" s="33" t="inlineStr">
        <is>
          <t>Med-High</t>
        </is>
      </c>
      <c r="H3096" s="33" t="inlineStr">
        <is>
          <t>Re-rate</t>
        </is>
      </c>
    </row>
    <row r="3097">
      <c r="A3097" s="33" t="inlineStr">
        <is>
          <t>2026-10-12</t>
        </is>
      </c>
      <c r="B3097" s="33" t="inlineStr">
        <is>
          <t>SPCX</t>
        </is>
      </c>
      <c r="C3097" s="33" t="inlineStr">
        <is>
          <t>D1-AIRev</t>
        </is>
      </c>
      <c r="D3097" s="33" t="inlineStr">
        <is>
          <t>4</t>
        </is>
      </c>
      <c r="E3097" s="33" t="inlineStr">
        <is>
          <t>HELD at 4; rationale corrected (Dom-approved 2026-10-12). The 2026-09-08 row used the whole AI segment, $2,561M / $7,814M = 32.8%. The 10-Q defines that segment as X advertising plus AI solutions and infrastructure; advertising was $367M in Q2 2026. AI Solutions &amp; Infrastructure alone = $2,194M = 28.1% of revenue (band 4, 25-50%); X ads are excluded under the 2026-10-10 ad-platform convention. Also corrected: Cursor was ~$4B+ annualized at June 2026 (Dealroom, press-reported, pre-close), not ~$1B as that row and briefing stated - roughly $1B a quarter consolidating from 2026-08-14, which would lift the share toward 36-40%. Note AI Solutions &amp; Infrastructure rose from $475M in Q1 to $2,194M in Q2; buyers undisclosed.</t>
        </is>
      </c>
      <c r="F3097" s="33" t="inlineStr">
        <is>
          <t>10-Q q/e 2026-06-30 segment description and revenue-by-type table; context-2026-10-12.md</t>
        </is>
      </c>
      <c r="G3097" s="33" t="inlineStr">
        <is>
          <t>High</t>
        </is>
      </c>
      <c r="H3097" s="33" t="inlineStr">
        <is>
          <t>Review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2026-10-12T22:26:17Z</dcterms:modified>
  <cp:revision>0</cp:revision>
</cp:coreProperties>
</file>