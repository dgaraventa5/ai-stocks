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izing Rules" sheetId="2" state="visible" r:id="rId2"/>
    <sheet xmlns:r="http://schemas.openxmlformats.org/officeDocument/2006/relationships" name="Targets" sheetId="3" state="visible" r:id="rId3"/>
    <sheet xmlns:r="http://schemas.openxmlformats.org/officeDocument/2006/relationships" name="Positions" sheetId="4" state="visible" r:id="rId4"/>
    <sheet xmlns:r="http://schemas.openxmlformats.org/officeDocument/2006/relationships" name="Reconcili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&quot;$&quot;#,##0"/>
    <numFmt numFmtId="166" formatCode="0.0%"/>
    <numFmt numFmtId="167" formatCode="&quot;$&quot;#,##0;[Red]-&quot;$&quot;#,##0"/>
    <numFmt numFmtId="168" formatCode="0.0%;[Red]-0.0%"/>
    <numFmt numFmtId="169" formatCode="$#,##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3" borderId="0" pivotButton="0" quotePrefix="0" xfId="0"/>
    <xf numFmtId="10" fontId="0" fillId="0" borderId="0" pivotButton="0" quotePrefix="0" xfId="0"/>
    <xf numFmtId="10" fontId="2" fillId="0" borderId="0" pivotButton="0" quotePrefix="0" xfId="0"/>
    <xf numFmtId="169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11" t="inlineStr">
        <is>
          <t>AI Supply Chain Portfolio Model</t>
        </is>
      </c>
    </row>
    <row r="2"/>
    <row r="3"/>
    <row r="4">
      <c r="A4" s="7" t="inlineStr">
        <is>
          <t>Purpose</t>
        </is>
      </c>
      <c r="B4" t="inlineStr">
        <is>
          <t>Score-driven target portfolio with manual override; tracks current vs target for rebalancing.</t>
        </is>
      </c>
    </row>
    <row r="5"/>
    <row r="6">
      <c r="A6" s="7" t="inlineStr">
        <is>
          <t>Sheets (in order)</t>
        </is>
      </c>
    </row>
    <row r="7">
      <c r="A7" t="inlineStr">
        <is>
          <t xml:space="preserve">  Sizing Rules</t>
        </is>
      </c>
      <c r="B7" t="inlineStr">
        <is>
          <t>Parameters (tier weights, caps, cash buffer). Edit values directly.</t>
        </is>
      </c>
    </row>
    <row r="8">
      <c r="A8" t="inlineStr">
        <is>
          <t xml:space="preserve">  Targets</t>
        </is>
      </c>
      <c r="B8" t="inlineStr">
        <is>
          <t>Score-driven target weights per ticker. Toggle Include?=Y/N to add/remove from portfolio. Snapshot of Watchlist scores; refresh with refresh_targets.py.</t>
        </is>
      </c>
    </row>
    <row r="9">
      <c r="A9" t="inlineStr">
        <is>
          <t xml:space="preserve">  Positions</t>
        </is>
      </c>
      <c r="B9" t="inlineStr">
        <is>
          <t>Manual entry: shares, cost basis, current price. Computes weight % and unrealized P/L.</t>
        </is>
      </c>
    </row>
    <row r="10">
      <c r="A10" t="inlineStr">
        <is>
          <t xml:space="preserve">  Reconciliation</t>
        </is>
      </c>
      <c r="B10" t="inlineStr">
        <is>
          <t>Target vs Current diff + suggested Action (BUY/TRIM/hold).</t>
        </is>
      </c>
    </row>
    <row r="11"/>
    <row r="12">
      <c r="A12" s="7" t="inlineStr">
        <is>
          <t>Methodology</t>
        </is>
      </c>
    </row>
    <row r="13">
      <c r="A13" t="inlineStr">
        <is>
          <t xml:space="preserve">  Tier weights</t>
        </is>
      </c>
      <c r="B13" t="inlineStr">
        <is>
          <t>Conviction-weighted: ✓✓✓ 8% flat, ✓✓ 3-5% linear interp over score 70-85, ✓ 1% flat, ? and ✗ 0%.</t>
        </is>
      </c>
    </row>
    <row r="14">
      <c r="A14" t="inlineStr">
        <is>
          <t xml:space="preserve">  Max single position</t>
        </is>
      </c>
      <c r="B14" t="inlineStr">
        <is>
          <t>8% (any name capped, including ✓✓✓).</t>
        </is>
      </c>
    </row>
    <row r="15">
      <c r="A15" t="inlineStr">
        <is>
          <t xml:space="preserve">  Layer cap</t>
        </is>
      </c>
      <c r="B15" t="inlineStr">
        <is>
          <t>None (pure score-driven per Dom 2026-05-18).</t>
        </is>
      </c>
    </row>
    <row r="16">
      <c r="A16" t="inlineStr">
        <is>
          <t xml:space="preserve">  Cash buffer</t>
        </is>
      </c>
      <c r="B16" t="inlineStr">
        <is>
          <t>5% default. Remainder after targets sums.</t>
        </is>
      </c>
    </row>
    <row r="17">
      <c r="A17" t="inlineStr">
        <is>
          <t xml:space="preserve">  Default Include</t>
        </is>
      </c>
      <c r="B17" t="inlineStr">
        <is>
          <t>All ✓✓✓ + top 20 ✓✓ by score = Y. Others = N. Manually toggle to customize.</t>
        </is>
      </c>
    </row>
    <row r="18"/>
    <row r="19">
      <c r="A19" s="7" t="inlineStr">
        <is>
          <t>Workflow</t>
        </is>
      </c>
    </row>
    <row r="20">
      <c r="A20" t="inlineStr">
        <is>
          <t xml:space="preserve">  1. Review Targets sheet — adjust Include?=Y/N to match your conviction list (target 15-25 names).</t>
        </is>
      </c>
    </row>
    <row r="21">
      <c r="A21" t="inlineStr">
        <is>
          <t xml:space="preserve">  2. Enter current positions in Positions sheet (ticker, shares, cost, current price).</t>
        </is>
      </c>
    </row>
    <row r="22">
      <c r="A22" t="inlineStr">
        <is>
          <t xml:space="preserve">  3. Check Reconciliation — see which positions need adjustment.</t>
        </is>
      </c>
    </row>
    <row r="23">
      <c r="A23" t="inlineStr">
        <is>
          <t xml:space="preserve">  4. After material rating changes (quarterly rescore), run refresh_targets.py to update scores in Targets.</t>
        </is>
      </c>
    </row>
    <row r="24"/>
    <row r="25">
      <c r="A25" s="7" t="inlineStr">
        <is>
          <t>Refresh command</t>
        </is>
      </c>
      <c r="B25" t="inlineStr">
        <is>
          <t>python3 scripts/refresh_targets.py  (rebuilds Targets sheet from current Watchlist)</t>
        </is>
      </c>
    </row>
    <row r="26"/>
    <row r="27">
      <c r="A27" s="7" t="inlineStr">
        <is>
          <t>Last built</t>
        </is>
      </c>
      <c r="B27" t="inlineStr">
        <is>
          <t>2026-06-10 (refresh_targets.py — hysteresis pipeline)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4" customWidth="1" min="5" max="5"/>
  </cols>
  <sheetData>
    <row r="1">
      <c r="A1" s="12" t="inlineStr">
        <is>
          <t>Portfolio Sizing Rules</t>
        </is>
      </c>
    </row>
    <row r="2"/>
    <row r="3">
      <c r="A3" s="13" t="inlineStr">
        <is>
          <t>Parameter</t>
        </is>
      </c>
      <c r="B3" s="13" t="inlineStr">
        <is>
          <t>Value</t>
        </is>
      </c>
      <c r="C3" s="13" t="inlineStr">
        <is>
          <t>Notes</t>
        </is>
      </c>
    </row>
    <row r="4">
      <c r="A4" t="inlineStr">
        <is>
          <t>Cash buffer %</t>
        </is>
      </c>
      <c r="B4" s="4" t="n">
        <v>0</v>
      </c>
      <c r="C4" t="inlineStr">
        <is>
          <t>Cash buffer = 0 per Dom preference (full deployment)</t>
        </is>
      </c>
    </row>
    <row r="5">
      <c r="A5" t="inlineStr">
        <is>
          <t>Max single position %</t>
        </is>
      </c>
      <c r="B5" s="4" t="n">
        <v>0.12</v>
      </c>
      <c r="C5" t="inlineStr">
        <is>
          <t>Hard cap on any one ticker</t>
        </is>
      </c>
    </row>
    <row r="6">
      <c r="A6" t="inlineStr">
        <is>
          <t>Target position count</t>
        </is>
      </c>
      <c r="B6" t="n">
        <v>17</v>
      </c>
      <c r="C6" t="inlineStr">
        <is>
          <t>Target N positions (pure score-driven, May 2026 reweight)</t>
        </is>
      </c>
    </row>
    <row r="7"/>
    <row r="8">
      <c r="A8" s="7" t="inlineStr">
        <is>
          <t>Tier-based base weight</t>
        </is>
      </c>
    </row>
    <row r="9">
      <c r="A9" s="13" t="inlineStr">
        <is>
          <t>Tier</t>
        </is>
      </c>
      <c r="B9" s="13" t="inlineStr">
        <is>
          <t>Score Floor</t>
        </is>
      </c>
      <c r="C9" s="13" t="inlineStr">
        <is>
          <t>Weight @ Floor</t>
        </is>
      </c>
      <c r="D9" s="13" t="inlineStr">
        <is>
          <t>Weight @ Ceiling</t>
        </is>
      </c>
      <c r="E9" s="13" t="inlineStr">
        <is>
          <t>Score Ceiling</t>
        </is>
      </c>
    </row>
    <row r="10">
      <c r="A10" t="inlineStr">
        <is>
          <t>✓✓✓</t>
        </is>
      </c>
      <c r="B10" t="n">
        <v>85</v>
      </c>
      <c r="C10" s="4" t="n">
        <v>0.12</v>
      </c>
      <c r="D10" s="4" t="n">
        <v>0.12</v>
      </c>
      <c r="E10" t="n">
        <v>100</v>
      </c>
    </row>
    <row r="11">
      <c r="A11" t="inlineStr">
        <is>
          <t>✓✓</t>
        </is>
      </c>
      <c r="B11" t="n">
        <v>70</v>
      </c>
      <c r="C11" s="4" t="n">
        <v>0.03</v>
      </c>
      <c r="D11" s="4" t="n">
        <v>0.1</v>
      </c>
      <c r="E11" t="n">
        <v>85</v>
      </c>
    </row>
    <row r="12">
      <c r="A12" t="inlineStr">
        <is>
          <t>✓</t>
        </is>
      </c>
      <c r="B12" t="n">
        <v>55</v>
      </c>
      <c r="C12" s="4" t="n">
        <v>0.01</v>
      </c>
      <c r="D12" s="4" t="n">
        <v>0.03</v>
      </c>
      <c r="E12" t="n">
        <v>70</v>
      </c>
    </row>
    <row r="13">
      <c r="A13" t="inlineStr">
        <is>
          <t>?</t>
        </is>
      </c>
      <c r="B13" t="n">
        <v>40</v>
      </c>
      <c r="C13" s="4" t="n">
        <v>0</v>
      </c>
      <c r="D13" s="4" t="n">
        <v>0</v>
      </c>
      <c r="E13" t="n">
        <v>55</v>
      </c>
    </row>
    <row r="14">
      <c r="A14" t="inlineStr">
        <is>
          <t>✗</t>
        </is>
      </c>
      <c r="B14" t="n">
        <v>0</v>
      </c>
      <c r="C14" s="4" t="n">
        <v>0</v>
      </c>
      <c r="D14" s="4" t="n">
        <v>0</v>
      </c>
      <c r="E14" t="n">
        <v>40</v>
      </c>
    </row>
    <row r="15"/>
    <row r="16">
      <c r="A16" t="inlineStr">
        <is>
          <t>Portfolio Value ($)</t>
        </is>
      </c>
      <c r="B16" t="n">
        <v>13800</v>
      </c>
      <c r="C16" t="inlineStr">
        <is>
          <t>Total capital to deploy in AI basket</t>
        </is>
      </c>
    </row>
    <row r="17">
      <c r="A17" t="inlineStr">
        <is>
          <t>Entry rank</t>
        </is>
      </c>
      <c r="B17" t="n">
        <v>15</v>
      </c>
      <c r="C17" t="inlineStr">
        <is>
          <t>Non-holding enters when live rank &lt;= this (added 2026-06-09)</t>
        </is>
      </c>
    </row>
    <row r="18">
      <c r="A18" t="inlineStr">
        <is>
          <t>Exit rank</t>
        </is>
      </c>
      <c r="B18" t="n">
        <v>25</v>
      </c>
      <c r="C18" t="inlineStr">
        <is>
          <t>Holding exits when live rank &gt; this (2-run confirm) (added 2026-06-09)</t>
        </is>
      </c>
    </row>
    <row r="19">
      <c r="A19" t="inlineStr">
        <is>
          <t>Exit confirm runs</t>
        </is>
      </c>
      <c r="B19" t="n">
        <v>2</v>
      </c>
      <c r="C19" t="inlineStr">
        <is>
          <t>Consecutive refreshes below exit rank before EXIT (added 2026-06-09)</t>
        </is>
      </c>
    </row>
    <row r="20">
      <c r="A20" t="inlineStr">
        <is>
          <t>Max positions</t>
        </is>
      </c>
      <c r="B20" t="n">
        <v>20</v>
      </c>
      <c r="C20" t="inlineStr">
        <is>
          <t>Hysteresis lets count float; hard ceiling (added 2026-06-09)</t>
        </is>
      </c>
    </row>
    <row r="21">
      <c r="A21" t="inlineStr">
        <is>
          <t>Max stale price days</t>
        </is>
      </c>
      <c r="B21" t="n">
        <v>7</v>
      </c>
      <c r="C21" t="inlineStr">
        <is>
          <t>Last trade older than this = dead, excluded (added 2026-06-09)</t>
        </is>
      </c>
    </row>
    <row r="22">
      <c r="A22" t="inlineStr">
        <is>
          <t>Layer cap %</t>
        </is>
      </c>
      <c r="B22" t="n">
        <v>1</v>
      </c>
      <c r="C22" t="inlineStr">
        <is>
          <t>Off (1.0) per Dom 2026-06-10: layer caps manage label- not factor-concentration; real controls are single-name cap + capex tripwire. Was 0.25.</t>
        </is>
      </c>
    </row>
    <row r="23">
      <c r="A23" t="inlineStr">
        <is>
          <t>Entry score</t>
        </is>
      </c>
      <c r="B23" t="n">
        <v>74.5</v>
      </c>
      <c r="C23" t="inlineStr">
        <is>
          <t>Non-holding ENTERs when score &gt;= this (added 2026-06-09)</t>
        </is>
      </c>
    </row>
    <row r="24">
      <c r="A24" t="inlineStr">
        <is>
          <t>Exit score</t>
        </is>
      </c>
      <c r="B24" t="n">
        <v>73</v>
      </c>
      <c r="C24" t="inlineStr">
        <is>
          <t>Holding EXITs when score &lt; this (2-run confirm, or immediate on --resize) (added 2026-06-09)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8" customWidth="1" min="2" max="2"/>
    <col width="8" customWidth="1" min="3" max="3"/>
    <col width="7" customWidth="1" min="4" max="4"/>
    <col width="14" customWidth="1" min="5" max="5"/>
    <col width="11" customWidth="1" min="6" max="6"/>
    <col width="13" customWidth="1" min="7" max="7"/>
    <col width="12" customWidth="1" min="8" max="8"/>
    <col width="30" customWidth="1" min="9" max="9"/>
  </cols>
  <sheetData>
    <row r="1">
      <c r="A1" t="inlineStr">
        <is>
          <t>Target Portfolio (refreshed 2026-06-10, live Watchlist scores)</t>
        </is>
      </c>
    </row>
    <row r="2">
      <c r="A2" s="17" t="inlineStr">
        <is>
          <t>Ticker</t>
        </is>
      </c>
      <c r="B2" s="17" t="inlineStr">
        <is>
          <t>Layer</t>
        </is>
      </c>
      <c r="C2" s="17" t="inlineStr">
        <is>
          <t>TOTAL</t>
        </is>
      </c>
      <c r="D2" s="17" t="inlineStr">
        <is>
          <t>Tier</t>
        </is>
      </c>
      <c r="E2" s="17" t="inlineStr">
        <is>
          <t>Rank</t>
        </is>
      </c>
      <c r="F2" s="17" t="inlineStr">
        <is>
          <t>Status</t>
        </is>
      </c>
      <c r="G2" s="17" t="inlineStr">
        <is>
          <t>Include?</t>
        </is>
      </c>
      <c r="H2" s="17" t="inlineStr">
        <is>
          <t>Override</t>
        </is>
      </c>
      <c r="I2" s="17" t="inlineStr">
        <is>
          <t>Target %</t>
        </is>
      </c>
      <c r="J2" s="17" t="inlineStr">
        <is>
          <t>Notes</t>
        </is>
      </c>
    </row>
    <row r="3">
      <c r="A3" t="inlineStr">
        <is>
          <t>NVDA</t>
        </is>
      </c>
      <c r="B3" t="inlineStr">
        <is>
          <t>06 AI Compute Silicon / GPUs / merchant accelerators</t>
        </is>
      </c>
      <c r="C3" t="n">
        <v>83.33</v>
      </c>
      <c r="D3" t="inlineStr">
        <is>
          <t>✓✓</t>
        </is>
      </c>
      <c r="E3" t="n">
        <v>1</v>
      </c>
      <c r="F3" t="inlineStr">
        <is>
          <t>HOLD</t>
        </is>
      </c>
      <c r="G3" t="inlineStr">
        <is>
          <t>Y</t>
        </is>
      </c>
      <c r="H3" t="inlineStr"/>
      <c r="I3" t="n">
        <v>8.99</v>
      </c>
      <c r="J3" t="inlineStr"/>
    </row>
    <row r="4">
      <c r="A4" t="inlineStr">
        <is>
          <t>TSM</t>
        </is>
      </c>
      <c r="B4" t="inlineStr">
        <is>
          <t>05 Fabs &amp; Foundries</t>
        </is>
      </c>
      <c r="C4" t="n">
        <v>79.84999999999999</v>
      </c>
      <c r="D4" t="inlineStr">
        <is>
          <t>✓✓</t>
        </is>
      </c>
      <c r="E4" t="n">
        <v>2</v>
      </c>
      <c r="F4" t="inlineStr">
        <is>
          <t>HOLD</t>
        </is>
      </c>
      <c r="G4" t="inlineStr">
        <is>
          <t>Y</t>
        </is>
      </c>
      <c r="H4" t="inlineStr"/>
      <c r="I4" t="n">
        <v>7.41</v>
      </c>
      <c r="J4" t="inlineStr"/>
    </row>
    <row r="5">
      <c r="A5" t="inlineStr">
        <is>
          <t>SNDK</t>
        </is>
      </c>
      <c r="B5" t="inlineStr">
        <is>
          <t>06 AI Compute Silicon / Memory (HBM is the bottleneck)</t>
        </is>
      </c>
      <c r="C5" t="n">
        <v>79.65000000000001</v>
      </c>
      <c r="D5" t="inlineStr">
        <is>
          <t>✓✓</t>
        </is>
      </c>
      <c r="E5" t="n">
        <v>3</v>
      </c>
      <c r="F5" t="inlineStr">
        <is>
          <t>HOLD</t>
        </is>
      </c>
      <c r="G5" t="inlineStr">
        <is>
          <t>Y</t>
        </is>
      </c>
      <c r="H5" t="inlineStr"/>
      <c r="I5" t="n">
        <v>7.32</v>
      </c>
      <c r="J5" t="inlineStr">
        <is>
          <t>Manually excluded 2026-05-18: $1,333 share price prevents capital-efficient sizing below ~$25k. Conscious framework override (target ~$10k portfolio). | Override removed 2026-06-09: fractional shares adopted, share-price constraint obsolete (Dom decision).</t>
        </is>
      </c>
    </row>
    <row r="6">
      <c r="A6" t="inlineStr">
        <is>
          <t>MU</t>
        </is>
      </c>
      <c r="B6" t="inlineStr">
        <is>
          <t>06 Silicon - Memory</t>
        </is>
      </c>
      <c r="C6" t="n">
        <v>79.5</v>
      </c>
      <c r="D6" t="inlineStr">
        <is>
          <t>✓✓</t>
        </is>
      </c>
      <c r="E6" t="n">
        <v>4</v>
      </c>
      <c r="F6" t="inlineStr">
        <is>
          <t>HOLD</t>
        </is>
      </c>
      <c r="G6" t="inlineStr">
        <is>
          <t>Y</t>
        </is>
      </c>
      <c r="H6" t="inlineStr"/>
      <c r="I6" t="n">
        <v>7.25</v>
      </c>
      <c r="J6" t="inlineStr"/>
    </row>
    <row r="7">
      <c r="A7" t="inlineStr">
        <is>
          <t>META</t>
        </is>
      </c>
      <c r="B7" t="inlineStr">
        <is>
          <t>09 Compute-as-a-Service / Hyperscalers (public-cloud AI revenue)</t>
        </is>
      </c>
      <c r="C7" t="n">
        <v>78.95</v>
      </c>
      <c r="D7" t="inlineStr">
        <is>
          <t>✓✓</t>
        </is>
      </c>
      <c r="E7" t="n">
        <v>5</v>
      </c>
      <c r="F7" t="inlineStr">
        <is>
          <t>HOLD</t>
        </is>
      </c>
      <c r="G7" t="inlineStr">
        <is>
          <t>Y</t>
        </is>
      </c>
      <c r="H7" t="inlineStr"/>
      <c r="I7" t="n">
        <v>7</v>
      </c>
      <c r="J7" t="inlineStr"/>
    </row>
    <row r="8">
      <c r="A8" t="inlineStr">
        <is>
          <t>CRDO</t>
        </is>
      </c>
      <c r="B8" t="inlineStr">
        <is>
          <t>07 Optical, Networking &amp; Interconnect / Connectivity ASICs</t>
        </is>
      </c>
      <c r="C8" t="n">
        <v>78.3</v>
      </c>
      <c r="D8" t="inlineStr">
        <is>
          <t>✓✓</t>
        </is>
      </c>
      <c r="E8" t="n">
        <v>6</v>
      </c>
      <c r="F8" t="inlineStr">
        <is>
          <t>HOLD</t>
        </is>
      </c>
      <c r="G8" t="inlineStr">
        <is>
          <t>Y</t>
        </is>
      </c>
      <c r="H8" t="inlineStr"/>
      <c r="I8" t="n">
        <v>6.7</v>
      </c>
      <c r="J8" t="inlineStr">
        <is>
          <t>Added 2026-05-25: score 78.4, ranked #4 in reweighted watchlist. Optical connectivity pure-play.</t>
        </is>
      </c>
    </row>
    <row r="9">
      <c r="A9" t="inlineStr">
        <is>
          <t>GOOGL</t>
        </is>
      </c>
      <c r="B9" t="inlineStr">
        <is>
          <t>09 Compute-as-a-Service / Hyperscalers (public-cloud AI revenue)</t>
        </is>
      </c>
      <c r="C9" t="n">
        <v>77.72</v>
      </c>
      <c r="D9" t="inlineStr">
        <is>
          <t>✓✓</t>
        </is>
      </c>
      <c r="E9" t="n">
        <v>7</v>
      </c>
      <c r="F9" t="inlineStr">
        <is>
          <t>HOLD</t>
        </is>
      </c>
      <c r="G9" t="inlineStr">
        <is>
          <t>Y</t>
        </is>
      </c>
      <c r="H9" t="inlineStr"/>
      <c r="I9" t="n">
        <v>6.44</v>
      </c>
      <c r="J9" t="inlineStr"/>
    </row>
    <row r="10">
      <c r="A10" t="inlineStr">
        <is>
          <t>ANET</t>
        </is>
      </c>
      <c r="B10" t="inlineStr">
        <is>
          <t>07 Optical, Networking &amp; Interconnect / Networking systems</t>
        </is>
      </c>
      <c r="C10" t="n">
        <v>77.5</v>
      </c>
      <c r="D10" t="inlineStr">
        <is>
          <t>✓✓</t>
        </is>
      </c>
      <c r="E10" t="n">
        <v>8</v>
      </c>
      <c r="F10" t="inlineStr">
        <is>
          <t>HOLD</t>
        </is>
      </c>
      <c r="G10" t="inlineStr">
        <is>
          <t>Y</t>
        </is>
      </c>
      <c r="H10" t="inlineStr"/>
      <c r="I10" t="n">
        <v>6.34</v>
      </c>
      <c r="J10" t="inlineStr"/>
    </row>
    <row r="11">
      <c r="A11" t="inlineStr">
        <is>
          <t>EME</t>
        </is>
      </c>
      <c r="B11" t="inlineStr">
        <is>
          <t>03 Data Center Construction, REITs &amp; Cooling</t>
        </is>
      </c>
      <c r="C11" t="n">
        <v>76.65000000000001</v>
      </c>
      <c r="D11" t="inlineStr">
        <is>
          <t>✓✓</t>
        </is>
      </c>
      <c r="E11" t="n">
        <v>9</v>
      </c>
      <c r="F11" t="inlineStr">
        <is>
          <t>HOLD</t>
        </is>
      </c>
      <c r="G11" t="inlineStr">
        <is>
          <t>Y</t>
        </is>
      </c>
      <c r="H11" t="inlineStr"/>
      <c r="I11" t="n">
        <v>5.95</v>
      </c>
      <c r="J11" t="inlineStr">
        <is>
          <t>Added 2026-05-25: score 75.2, DC construction, strong momentum (86.7).</t>
        </is>
      </c>
    </row>
    <row r="12">
      <c r="A12" t="inlineStr">
        <is>
          <t>ALAB</t>
        </is>
      </c>
      <c r="B12" t="inlineStr">
        <is>
          <t>06 AI Compute Silicon / Custom silicon / ASIC designers</t>
        </is>
      </c>
      <c r="C12" t="n">
        <v>76.48</v>
      </c>
      <c r="D12" t="inlineStr">
        <is>
          <t>✓✓</t>
        </is>
      </c>
      <c r="E12" t="n">
        <v>10</v>
      </c>
      <c r="F12" t="inlineStr">
        <is>
          <t>HOLD</t>
        </is>
      </c>
      <c r="G12" t="inlineStr">
        <is>
          <t>Y</t>
        </is>
      </c>
      <c r="H12" t="inlineStr"/>
      <c r="I12" t="n">
        <v>5.87</v>
      </c>
      <c r="J12" t="inlineStr"/>
    </row>
    <row r="13">
      <c r="A13" t="inlineStr">
        <is>
          <t>FIX</t>
        </is>
      </c>
      <c r="B13" t="inlineStr">
        <is>
          <t>03 Data Center Construction, REITs &amp; Cooling</t>
        </is>
      </c>
      <c r="C13" t="n">
        <v>76.34999999999999</v>
      </c>
      <c r="D13" t="inlineStr">
        <is>
          <t>✓✓</t>
        </is>
      </c>
      <c r="E13" t="n">
        <v>11</v>
      </c>
      <c r="F13" t="inlineStr">
        <is>
          <t>HOLD</t>
        </is>
      </c>
      <c r="G13" t="inlineStr">
        <is>
          <t>Y</t>
        </is>
      </c>
      <c r="H13" t="inlineStr"/>
      <c r="I13" t="n">
        <v>5.82</v>
      </c>
      <c r="J13" t="inlineStr">
        <is>
          <t>Manually excluded 2026-05-18: $1,854 share price prevents reasonable position sizing below ~$50k portfolio. Conscious framework override. | Override removed 2026-06-09: fractional shares adopted, share-price constraint obsolete (Dom decision).</t>
        </is>
      </c>
    </row>
    <row r="14">
      <c r="A14" t="inlineStr">
        <is>
          <t>MSFT</t>
        </is>
      </c>
      <c r="B14" t="inlineStr">
        <is>
          <t>09 Compute-as-a-Service / Hyperscalers (public-cloud AI revenue)</t>
        </is>
      </c>
      <c r="C14" t="n">
        <v>76.25</v>
      </c>
      <c r="D14" t="inlineStr">
        <is>
          <t>✓✓</t>
        </is>
      </c>
      <c r="E14" t="n">
        <v>12</v>
      </c>
      <c r="F14" t="inlineStr">
        <is>
          <t>HOLD</t>
        </is>
      </c>
      <c r="G14" t="inlineStr">
        <is>
          <t>Y</t>
        </is>
      </c>
      <c r="H14" t="inlineStr"/>
      <c r="I14" t="n">
        <v>5.77</v>
      </c>
      <c r="J14" t="inlineStr"/>
    </row>
    <row r="15">
      <c r="A15" t="inlineStr">
        <is>
          <t>PLTR</t>
        </is>
      </c>
      <c r="B15" t="inlineStr">
        <is>
          <t>10 Models, Software &amp; Applications</t>
        </is>
      </c>
      <c r="C15" t="n">
        <v>74.84999999999999</v>
      </c>
      <c r="D15" t="inlineStr">
        <is>
          <t>✓✓</t>
        </is>
      </c>
      <c r="E15" t="n">
        <v>13</v>
      </c>
      <c r="F15" t="inlineStr">
        <is>
          <t>HOLD</t>
        </is>
      </c>
      <c r="G15" t="inlineStr">
        <is>
          <t>Y</t>
        </is>
      </c>
      <c r="H15" t="inlineStr"/>
      <c r="I15" t="n">
        <v>5.13</v>
      </c>
      <c r="J15" t="inlineStr"/>
    </row>
    <row r="16">
      <c r="A16" t="inlineStr">
        <is>
          <t>AVGO</t>
        </is>
      </c>
      <c r="B16" t="inlineStr">
        <is>
          <t>06 AI Compute Silicon / Custom silicon / ASIC designers</t>
        </is>
      </c>
      <c r="C16" t="n">
        <v>74.59999999999999</v>
      </c>
      <c r="D16" t="inlineStr">
        <is>
          <t>✓✓</t>
        </is>
      </c>
      <c r="E16" t="n">
        <v>14</v>
      </c>
      <c r="F16" t="inlineStr">
        <is>
          <t>HOLD</t>
        </is>
      </c>
      <c r="G16" t="inlineStr">
        <is>
          <t>Y</t>
        </is>
      </c>
      <c r="H16" t="inlineStr"/>
      <c r="I16" t="n">
        <v>5.02</v>
      </c>
      <c r="J16" t="inlineStr"/>
    </row>
    <row r="17">
      <c r="A17" t="inlineStr">
        <is>
          <t>EQT</t>
        </is>
      </c>
      <c r="B17" t="inlineStr">
        <is>
          <t>01 Power Generation / Natural gas E&amp;P (powering gas turbines for data centers)</t>
        </is>
      </c>
      <c r="C17" t="n">
        <v>73.84999999999999</v>
      </c>
      <c r="D17" t="inlineStr">
        <is>
          <t>✓✓</t>
        </is>
      </c>
      <c r="E17" t="n">
        <v>15</v>
      </c>
      <c r="F17" t="inlineStr">
        <is>
          <t>HOLD</t>
        </is>
      </c>
      <c r="G17" t="inlineStr">
        <is>
          <t>Y</t>
        </is>
      </c>
      <c r="H17" t="inlineStr"/>
      <c r="I17" t="n">
        <v>4.68</v>
      </c>
      <c r="J17" t="inlineStr"/>
    </row>
    <row r="18">
      <c r="A18" t="inlineStr">
        <is>
          <t>VRT</t>
        </is>
      </c>
      <c r="B18" t="inlineStr">
        <is>
          <t>03 DC Infrastructure</t>
        </is>
      </c>
      <c r="C18" t="n">
        <v>73.7</v>
      </c>
      <c r="D18" t="inlineStr">
        <is>
          <t>✓✓</t>
        </is>
      </c>
      <c r="E18" t="n">
        <v>16</v>
      </c>
      <c r="F18" t="inlineStr"/>
      <c r="G18" t="inlineStr">
        <is>
          <t>N</t>
        </is>
      </c>
      <c r="H18" t="inlineStr"/>
      <c r="J18" t="inlineStr"/>
    </row>
    <row r="19">
      <c r="A19" t="inlineStr">
        <is>
          <t>AMD</t>
        </is>
      </c>
      <c r="B19" t="inlineStr">
        <is>
          <t>06 AI Compute Silicon / GPUs / merchant accelerators</t>
        </is>
      </c>
      <c r="C19" t="n">
        <v>73.45</v>
      </c>
      <c r="D19" t="inlineStr">
        <is>
          <t>✓✓</t>
        </is>
      </c>
      <c r="E19" t="n">
        <v>17</v>
      </c>
      <c r="F19" t="inlineStr"/>
      <c r="G19" t="inlineStr">
        <is>
          <t>N</t>
        </is>
      </c>
      <c r="H19" t="inlineStr"/>
      <c r="J19" t="inlineStr">
        <is>
          <t>Removed 2026-05-25: score 74.1 fell below natural 17-name cutoff (ARM 74.2). First name out.</t>
        </is>
      </c>
    </row>
    <row r="20">
      <c r="A20" t="inlineStr">
        <is>
          <t>TER</t>
        </is>
      </c>
      <c r="B20" t="inlineStr">
        <is>
          <t>04 Semiconductor Equipment &amp; Materials / Equipment</t>
        </is>
      </c>
      <c r="C20" t="n">
        <v>73</v>
      </c>
      <c r="D20" t="inlineStr">
        <is>
          <t>✓✓</t>
        </is>
      </c>
      <c r="E20" t="n">
        <v>18</v>
      </c>
      <c r="F20" t="inlineStr">
        <is>
          <t>HOLD</t>
        </is>
      </c>
      <c r="G20" t="inlineStr">
        <is>
          <t>Y</t>
        </is>
      </c>
      <c r="H20" t="inlineStr"/>
      <c r="I20" t="n">
        <v>4.29</v>
      </c>
      <c r="J20" t="inlineStr"/>
    </row>
    <row r="21">
      <c r="A21" t="inlineStr">
        <is>
          <t>DELL</t>
        </is>
      </c>
      <c r="B21" t="inlineStr">
        <is>
          <t>08 Servers, Systems &amp; Liquid Cooling</t>
        </is>
      </c>
      <c r="C21" t="n">
        <v>72.67</v>
      </c>
      <c r="D21" t="inlineStr">
        <is>
          <t>✓✓</t>
        </is>
      </c>
      <c r="E21" t="n">
        <v>19</v>
      </c>
      <c r="F21" t="inlineStr"/>
      <c r="G21" t="inlineStr">
        <is>
          <t>N</t>
        </is>
      </c>
      <c r="H21" t="inlineStr"/>
      <c r="J21" t="inlineStr"/>
    </row>
    <row r="22">
      <c r="A22" t="inlineStr">
        <is>
          <t>MRVL</t>
        </is>
      </c>
      <c r="B22" t="inlineStr">
        <is>
          <t>06 AI Compute Silicon / Custom silicon / ASIC designers</t>
        </is>
      </c>
      <c r="C22" t="n">
        <v>72.42</v>
      </c>
      <c r="D22" t="inlineStr">
        <is>
          <t>✓✓</t>
        </is>
      </c>
      <c r="E22" t="n">
        <v>20</v>
      </c>
      <c r="F22" t="inlineStr"/>
      <c r="G22" t="inlineStr">
        <is>
          <t>N</t>
        </is>
      </c>
      <c r="H22" t="inlineStr"/>
      <c r="J22" t="inlineStr"/>
    </row>
    <row r="23">
      <c r="A23" t="inlineStr">
        <is>
          <t>APH</t>
        </is>
      </c>
      <c r="B23" t="inlineStr">
        <is>
          <t>07 Optical, Networking &amp; Interconnect / Cabling &amp; physical layer</t>
        </is>
      </c>
      <c r="C23" t="n">
        <v>72.28</v>
      </c>
      <c r="D23" t="inlineStr">
        <is>
          <t>✓✓</t>
        </is>
      </c>
      <c r="E23" t="n">
        <v>21</v>
      </c>
      <c r="F23" t="inlineStr"/>
      <c r="G23" t="inlineStr">
        <is>
          <t>N</t>
        </is>
      </c>
      <c r="H23" t="inlineStr"/>
      <c r="J23" t="inlineStr"/>
    </row>
    <row r="24">
      <c r="A24" t="inlineStr">
        <is>
          <t>CRM</t>
        </is>
      </c>
      <c r="B24" t="inlineStr">
        <is>
          <t>10 Models, Software &amp; Applications</t>
        </is>
      </c>
      <c r="C24" t="n">
        <v>72</v>
      </c>
      <c r="D24" t="inlineStr">
        <is>
          <t>✓✓</t>
        </is>
      </c>
      <c r="E24" t="n">
        <v>22</v>
      </c>
      <c r="F24" t="inlineStr">
        <is>
          <t>EXIT (resize, score 72.0 &lt; 73.0)</t>
        </is>
      </c>
      <c r="G24" t="inlineStr">
        <is>
          <t>N</t>
        </is>
      </c>
      <c r="H24" t="inlineStr"/>
      <c r="J24" t="inlineStr">
        <is>
          <t>Added 2026-05-25: score 74.8, Quality 97, PEG 0.8. Enterprise SaaS with AI exposure.</t>
        </is>
      </c>
    </row>
    <row r="25">
      <c r="A25" t="inlineStr">
        <is>
          <t>AMZN</t>
        </is>
      </c>
      <c r="B25" t="inlineStr">
        <is>
          <t>09 Compute-as-a-Service / Hyperscalers (public-cloud AI revenue)</t>
        </is>
      </c>
      <c r="C25" t="n">
        <v>71.95</v>
      </c>
      <c r="D25" t="inlineStr">
        <is>
          <t>✓✓</t>
        </is>
      </c>
      <c r="E25" t="n">
        <v>23</v>
      </c>
      <c r="F25" t="inlineStr"/>
      <c r="G25" t="inlineStr">
        <is>
          <t>N</t>
        </is>
      </c>
      <c r="H25" t="inlineStr"/>
      <c r="J25" t="inlineStr"/>
    </row>
    <row r="26">
      <c r="A26" t="inlineStr">
        <is>
          <t>RRC</t>
        </is>
      </c>
      <c r="B26" t="inlineStr">
        <is>
          <t>01 Power Generation / Natural gas E&amp;P (powering gas turbines for data centers)</t>
        </is>
      </c>
      <c r="C26" t="n">
        <v>71.7</v>
      </c>
      <c r="D26" t="inlineStr">
        <is>
          <t>✓✓</t>
        </is>
      </c>
      <c r="E26" t="n">
        <v>24</v>
      </c>
      <c r="F26" t="inlineStr">
        <is>
          <t>EXIT (resize, score 71.7 &lt; 73.0)</t>
        </is>
      </c>
      <c r="G26" t="inlineStr">
        <is>
          <t>N</t>
        </is>
      </c>
      <c r="H26" t="inlineStr"/>
      <c r="J26" t="inlineStr"/>
    </row>
    <row r="27">
      <c r="A27" t="inlineStr">
        <is>
          <t>LSCC</t>
        </is>
      </c>
      <c r="B27" t="inlineStr">
        <is>
          <t>06 AI Compute Silicon / Programmable logic</t>
        </is>
      </c>
      <c r="C27" t="n">
        <v>71.48</v>
      </c>
      <c r="D27" t="inlineStr">
        <is>
          <t>✓✓</t>
        </is>
      </c>
      <c r="E27" t="n">
        <v>25</v>
      </c>
      <c r="F27" t="inlineStr"/>
      <c r="G27" t="inlineStr">
        <is>
          <t>N</t>
        </is>
      </c>
      <c r="H27" t="inlineStr"/>
      <c r="J27" t="inlineStr"/>
    </row>
    <row r="28">
      <c r="A28" t="inlineStr">
        <is>
          <t>GEV</t>
        </is>
      </c>
      <c r="B28" t="inlineStr">
        <is>
          <t>02 Grid Equipment</t>
        </is>
      </c>
      <c r="C28" t="n">
        <v>71.09999999999999</v>
      </c>
      <c r="D28" t="inlineStr">
        <is>
          <t>✓✓</t>
        </is>
      </c>
      <c r="E28" t="n">
        <v>26</v>
      </c>
      <c r="F28" t="inlineStr"/>
      <c r="G28" t="inlineStr">
        <is>
          <t>N</t>
        </is>
      </c>
      <c r="H28" t="inlineStr"/>
      <c r="J28" t="inlineStr"/>
    </row>
    <row r="29">
      <c r="A29" t="inlineStr">
        <is>
          <t>EXE</t>
        </is>
      </c>
      <c r="B29" t="inlineStr">
        <is>
          <t>01 Power Generation / Natural gas E&amp;P (powering gas turbines for data centers)</t>
        </is>
      </c>
      <c r="C29" t="n">
        <v>70.92</v>
      </c>
      <c r="D29" t="inlineStr">
        <is>
          <t>✓✓</t>
        </is>
      </c>
      <c r="E29" t="n">
        <v>27</v>
      </c>
      <c r="F29" t="inlineStr">
        <is>
          <t>EXIT (resize, score 70.9 &lt; 73.0)</t>
        </is>
      </c>
      <c r="G29" t="inlineStr">
        <is>
          <t>N</t>
        </is>
      </c>
      <c r="H29" t="inlineStr"/>
      <c r="J29" t="inlineStr"/>
    </row>
    <row r="30">
      <c r="A30" t="inlineStr">
        <is>
          <t>PATH</t>
        </is>
      </c>
      <c r="B30" t="inlineStr">
        <is>
          <t>10 Models, Software &amp; Applications / AI-powered automation</t>
        </is>
      </c>
      <c r="C30" t="n">
        <v>70.90000000000001</v>
      </c>
      <c r="D30" t="inlineStr">
        <is>
          <t>✓✓</t>
        </is>
      </c>
      <c r="E30" t="n">
        <v>28</v>
      </c>
      <c r="F30" t="inlineStr"/>
      <c r="G30" t="inlineStr">
        <is>
          <t>N</t>
        </is>
      </c>
      <c r="H30" t="inlineStr"/>
      <c r="J30" t="inlineStr"/>
    </row>
    <row r="31">
      <c r="A31" t="inlineStr">
        <is>
          <t>KEYS</t>
        </is>
      </c>
      <c r="B31" t="inlineStr">
        <is>
          <t>04 Semiconductor Equipment &amp; Materials / Test &amp; measurement</t>
        </is>
      </c>
      <c r="C31" t="n">
        <v>70.87</v>
      </c>
      <c r="D31" t="inlineStr">
        <is>
          <t>✓✓</t>
        </is>
      </c>
      <c r="E31" t="n">
        <v>29</v>
      </c>
      <c r="F31" t="inlineStr"/>
      <c r="G31" t="inlineStr">
        <is>
          <t>N</t>
        </is>
      </c>
      <c r="H31" t="inlineStr"/>
      <c r="J31" t="inlineStr"/>
    </row>
    <row r="32">
      <c r="A32" t="inlineStr">
        <is>
          <t>LRCX</t>
        </is>
      </c>
      <c r="B32" t="inlineStr">
        <is>
          <t>04 Semiconductor Equipment &amp; Materials / Equipment</t>
        </is>
      </c>
      <c r="C32" t="n">
        <v>70.34999999999999</v>
      </c>
      <c r="D32" t="inlineStr">
        <is>
          <t>✓✓</t>
        </is>
      </c>
      <c r="E32" t="n">
        <v>30</v>
      </c>
      <c r="F32" t="inlineStr"/>
      <c r="G32" t="inlineStr">
        <is>
          <t>N</t>
        </is>
      </c>
      <c r="H32" t="inlineStr"/>
      <c r="J32" t="inlineStr"/>
    </row>
    <row r="33">
      <c r="A33" t="inlineStr">
        <is>
          <t>MPWR</t>
        </is>
      </c>
      <c r="B33" t="inlineStr">
        <is>
          <t>06 AI Compute Silicon / Power management silicon</t>
        </is>
      </c>
      <c r="C33" t="n">
        <v>70.15000000000001</v>
      </c>
      <c r="D33" t="inlineStr">
        <is>
          <t>✓✓</t>
        </is>
      </c>
      <c r="E33" t="n">
        <v>31</v>
      </c>
      <c r="F33" t="inlineStr"/>
      <c r="G33" t="inlineStr">
        <is>
          <t>N</t>
        </is>
      </c>
      <c r="H33" t="inlineStr"/>
      <c r="J33" t="inlineStr"/>
    </row>
    <row r="34">
      <c r="A34" t="inlineStr">
        <is>
          <t>AR</t>
        </is>
      </c>
      <c r="B34" t="inlineStr">
        <is>
          <t>01 Power Generation / Natural gas E&amp;P (powering gas turbines for data centers)</t>
        </is>
      </c>
      <c r="C34" t="n">
        <v>70</v>
      </c>
      <c r="D34" t="inlineStr">
        <is>
          <t>✓✓</t>
        </is>
      </c>
      <c r="E34" t="n">
        <v>32</v>
      </c>
      <c r="F34" t="inlineStr">
        <is>
          <t>EXIT (resize, score 70.0 &lt; 73.0)</t>
        </is>
      </c>
      <c r="G34" t="inlineStr">
        <is>
          <t>N</t>
        </is>
      </c>
      <c r="H34" t="inlineStr"/>
      <c r="J34" t="inlineStr">
        <is>
          <t>Added 2026-05-22 as substitute for CTRA (delisted). Pure score-driven pick: next-best ✓✓ at 75.62, same Layer 1 NG E&amp;P sub-category — preserves natural gas thesis concentration.</t>
        </is>
      </c>
    </row>
    <row r="35">
      <c r="A35" t="inlineStr">
        <is>
          <t>ARM</t>
        </is>
      </c>
      <c r="B35" t="inlineStr">
        <is>
          <t>04 Semiconductor Equipment &amp; Materials / EDA &amp; IP</t>
        </is>
      </c>
      <c r="C35" t="n">
        <v>69.58</v>
      </c>
      <c r="D35" t="inlineStr">
        <is>
          <t>✓</t>
        </is>
      </c>
      <c r="E35" t="n">
        <v>33</v>
      </c>
      <c r="F35" t="inlineStr"/>
      <c r="G35" t="inlineStr">
        <is>
          <t>N</t>
        </is>
      </c>
      <c r="H35" t="inlineStr"/>
      <c r="J35" t="inlineStr"/>
    </row>
    <row r="36">
      <c r="A36" t="inlineStr">
        <is>
          <t>CIEN</t>
        </is>
      </c>
      <c r="B36" t="inlineStr">
        <is>
          <t>07 Optical, Networking &amp; Interconnect / Networking systems</t>
        </is>
      </c>
      <c r="C36" t="n">
        <v>69.25</v>
      </c>
      <c r="D36" t="inlineStr">
        <is>
          <t>✓</t>
        </is>
      </c>
      <c r="E36" t="n">
        <v>34</v>
      </c>
      <c r="F36" t="inlineStr"/>
      <c r="G36" t="inlineStr">
        <is>
          <t>N</t>
        </is>
      </c>
      <c r="H36" t="inlineStr"/>
      <c r="J36" t="inlineStr"/>
    </row>
    <row r="37">
      <c r="A37" t="inlineStr">
        <is>
          <t>STX</t>
        </is>
      </c>
      <c r="B37" t="inlineStr">
        <is>
          <t>08 Servers, Systems &amp; Liquid Cooling / Storage infrastructure</t>
        </is>
      </c>
      <c r="C37" t="n">
        <v>69.25</v>
      </c>
      <c r="D37" t="inlineStr">
        <is>
          <t>✓</t>
        </is>
      </c>
      <c r="E37" t="n">
        <v>35</v>
      </c>
      <c r="F37" t="inlineStr"/>
      <c r="G37" t="inlineStr">
        <is>
          <t>N</t>
        </is>
      </c>
      <c r="H37" t="inlineStr"/>
      <c r="J37" t="inlineStr"/>
    </row>
    <row r="38">
      <c r="A38" t="inlineStr">
        <is>
          <t>FN</t>
        </is>
      </c>
      <c r="B38" t="inlineStr">
        <is>
          <t>07 Optical, Networking &amp; Interconnect / Optical components &amp; transceivers</t>
        </is>
      </c>
      <c r="C38" t="n">
        <v>69.2</v>
      </c>
      <c r="D38" t="inlineStr">
        <is>
          <t>✓</t>
        </is>
      </c>
      <c r="E38" t="n">
        <v>36</v>
      </c>
      <c r="F38" t="inlineStr"/>
      <c r="G38" t="inlineStr">
        <is>
          <t>N</t>
        </is>
      </c>
      <c r="H38" t="inlineStr"/>
      <c r="J38" t="inlineStr"/>
    </row>
    <row r="39">
      <c r="A39" t="inlineStr">
        <is>
          <t>TEL</t>
        </is>
      </c>
      <c r="B39" t="inlineStr">
        <is>
          <t>07 Optical, Networking &amp; Interconnect / Cabling &amp; physical layer</t>
        </is>
      </c>
      <c r="C39" t="n">
        <v>69.2</v>
      </c>
      <c r="D39" t="inlineStr">
        <is>
          <t>✓</t>
        </is>
      </c>
      <c r="E39" t="n">
        <v>37</v>
      </c>
      <c r="F39" t="inlineStr"/>
      <c r="G39" t="inlineStr">
        <is>
          <t>N</t>
        </is>
      </c>
      <c r="H39" t="inlineStr"/>
      <c r="J39" t="inlineStr"/>
    </row>
    <row r="40">
      <c r="A40" t="inlineStr">
        <is>
          <t>TLN</t>
        </is>
      </c>
      <c r="B40" t="inlineStr">
        <is>
          <t>01 Power Generation / Independent Power Producers (IPPs)</t>
        </is>
      </c>
      <c r="C40" t="n">
        <v>69.17</v>
      </c>
      <c r="D40" t="inlineStr">
        <is>
          <t>✓</t>
        </is>
      </c>
      <c r="E40" t="n">
        <v>38</v>
      </c>
      <c r="F40" t="inlineStr"/>
      <c r="G40" t="inlineStr">
        <is>
          <t>N</t>
        </is>
      </c>
      <c r="H40" t="inlineStr"/>
      <c r="J40" t="inlineStr"/>
    </row>
    <row r="41">
      <c r="A41" t="inlineStr">
        <is>
          <t>VST</t>
        </is>
      </c>
      <c r="B41" t="inlineStr">
        <is>
          <t>01 Power Generation / Independent Power Producers (IPPs)</t>
        </is>
      </c>
      <c r="C41" t="n">
        <v>69.09999999999999</v>
      </c>
      <c r="D41" t="inlineStr">
        <is>
          <t>✓</t>
        </is>
      </c>
      <c r="E41" t="n">
        <v>39</v>
      </c>
      <c r="F41" t="inlineStr"/>
      <c r="G41" t="inlineStr">
        <is>
          <t>N</t>
        </is>
      </c>
      <c r="H41" t="inlineStr"/>
      <c r="J41" t="inlineStr"/>
    </row>
    <row r="42">
      <c r="A42" t="inlineStr">
        <is>
          <t>GLW</t>
        </is>
      </c>
      <c r="B42" t="inlineStr">
        <is>
          <t>07 Optical, Networking &amp; Interconnect / Cabling &amp; physical layer</t>
        </is>
      </c>
      <c r="C42" t="n">
        <v>68.8</v>
      </c>
      <c r="D42" t="inlineStr">
        <is>
          <t>✓</t>
        </is>
      </c>
      <c r="E42" t="n">
        <v>40</v>
      </c>
      <c r="F42" t="inlineStr"/>
      <c r="G42" t="inlineStr">
        <is>
          <t>N</t>
        </is>
      </c>
      <c r="H42" t="inlineStr"/>
      <c r="J42" t="inlineStr"/>
    </row>
    <row r="43">
      <c r="A43" t="inlineStr">
        <is>
          <t>ASML</t>
        </is>
      </c>
      <c r="B43" t="inlineStr">
        <is>
          <t>04 Semiconductor Equipment &amp; Materials / Equipment</t>
        </is>
      </c>
      <c r="C43" t="n">
        <v>68.3</v>
      </c>
      <c r="D43" t="inlineStr">
        <is>
          <t>✓</t>
        </is>
      </c>
      <c r="E43" t="n">
        <v>41</v>
      </c>
      <c r="F43" t="inlineStr"/>
      <c r="G43" t="inlineStr">
        <is>
          <t>N</t>
        </is>
      </c>
      <c r="H43" t="inlineStr"/>
      <c r="J43" t="inlineStr"/>
    </row>
    <row r="44">
      <c r="A44" t="inlineStr">
        <is>
          <t>KLAC</t>
        </is>
      </c>
      <c r="B44" t="inlineStr">
        <is>
          <t>04 Semiconductor Equipment &amp; Materials / Equipment</t>
        </is>
      </c>
      <c r="C44" t="n">
        <v>68.3</v>
      </c>
      <c r="D44" t="inlineStr">
        <is>
          <t>✓</t>
        </is>
      </c>
      <c r="E44" t="n">
        <v>42</v>
      </c>
      <c r="F44" t="inlineStr"/>
      <c r="G44" t="inlineStr">
        <is>
          <t>N</t>
        </is>
      </c>
      <c r="H44" t="inlineStr"/>
      <c r="J44" t="inlineStr"/>
    </row>
    <row r="45">
      <c r="A45" t="inlineStr">
        <is>
          <t>HTHIY</t>
        </is>
      </c>
      <c r="B45" t="inlineStr">
        <is>
          <t>02 Grid &amp; Power Equipment</t>
        </is>
      </c>
      <c r="C45" t="n">
        <v>68.22</v>
      </c>
      <c r="D45" t="inlineStr">
        <is>
          <t>✓</t>
        </is>
      </c>
      <c r="E45" t="n">
        <v>43</v>
      </c>
      <c r="F45" t="inlineStr"/>
      <c r="G45" t="inlineStr">
        <is>
          <t>N</t>
        </is>
      </c>
      <c r="H45" t="inlineStr"/>
      <c r="J45" t="inlineStr"/>
    </row>
    <row r="46">
      <c r="A46" t="inlineStr">
        <is>
          <t>AEIS</t>
        </is>
      </c>
      <c r="B46" t="inlineStr">
        <is>
          <t>04 Semiconductor Equipment &amp; Materials / Materials &amp; consumables</t>
        </is>
      </c>
      <c r="C46" t="n">
        <v>68.17</v>
      </c>
      <c r="D46" t="inlineStr">
        <is>
          <t>✓</t>
        </is>
      </c>
      <c r="E46" t="n">
        <v>44</v>
      </c>
      <c r="F46" t="inlineStr"/>
      <c r="G46" t="inlineStr">
        <is>
          <t>N</t>
        </is>
      </c>
      <c r="H46" t="inlineStr"/>
      <c r="J46" t="inlineStr"/>
    </row>
    <row r="47">
      <c r="A47" t="inlineStr">
        <is>
          <t>AMAT</t>
        </is>
      </c>
      <c r="B47" t="inlineStr">
        <is>
          <t>04 Semiconductor Equipment &amp; Materials / Equipment</t>
        </is>
      </c>
      <c r="C47" t="n">
        <v>68.15000000000001</v>
      </c>
      <c r="D47" t="inlineStr">
        <is>
          <t>✓</t>
        </is>
      </c>
      <c r="E47" t="n">
        <v>45</v>
      </c>
      <c r="F47" t="inlineStr"/>
      <c r="G47" t="inlineStr">
        <is>
          <t>N</t>
        </is>
      </c>
      <c r="H47" t="inlineStr"/>
      <c r="J47" t="inlineStr"/>
    </row>
    <row r="48">
      <c r="A48" t="inlineStr">
        <is>
          <t>TT</t>
        </is>
      </c>
      <c r="B48" t="inlineStr">
        <is>
          <t>03 Data Center Construction, REITs &amp; Cooling</t>
        </is>
      </c>
      <c r="C48" t="n">
        <v>68.12</v>
      </c>
      <c r="D48" t="inlineStr">
        <is>
          <t>✓</t>
        </is>
      </c>
      <c r="E48" t="n">
        <v>46</v>
      </c>
      <c r="F48" t="inlineStr"/>
      <c r="G48" t="inlineStr">
        <is>
          <t>N</t>
        </is>
      </c>
      <c r="H48" t="inlineStr"/>
      <c r="J48" t="inlineStr"/>
    </row>
    <row r="49">
      <c r="A49" t="inlineStr">
        <is>
          <t>PWR</t>
        </is>
      </c>
      <c r="B49" t="inlineStr">
        <is>
          <t>02 Grid &amp; Power Equipment</t>
        </is>
      </c>
      <c r="C49" t="n">
        <v>68.05</v>
      </c>
      <c r="D49" t="inlineStr">
        <is>
          <t>✓</t>
        </is>
      </c>
      <c r="E49" t="n">
        <v>47</v>
      </c>
      <c r="F49" t="inlineStr"/>
      <c r="G49" t="inlineStr">
        <is>
          <t>N</t>
        </is>
      </c>
      <c r="H49" t="inlineStr"/>
      <c r="J49" t="inlineStr"/>
    </row>
    <row r="50">
      <c r="A50" t="inlineStr">
        <is>
          <t>NOW</t>
        </is>
      </c>
      <c r="B50" t="inlineStr">
        <is>
          <t>10 Models, Software &amp; Applications</t>
        </is>
      </c>
      <c r="C50" t="n">
        <v>67.8</v>
      </c>
      <c r="D50" t="inlineStr">
        <is>
          <t>✓</t>
        </is>
      </c>
      <c r="E50" t="n">
        <v>48</v>
      </c>
      <c r="F50" t="inlineStr"/>
      <c r="G50" t="inlineStr">
        <is>
          <t>N</t>
        </is>
      </c>
      <c r="H50" t="inlineStr"/>
      <c r="J50" t="inlineStr"/>
    </row>
    <row r="51">
      <c r="A51" t="inlineStr">
        <is>
          <t>DDOG</t>
        </is>
      </c>
      <c r="B51" t="inlineStr">
        <is>
          <t>10 Models, Software &amp; Applications / AI observability &amp; infrastructure software</t>
        </is>
      </c>
      <c r="C51" t="n">
        <v>67.7</v>
      </c>
      <c r="D51" t="inlineStr">
        <is>
          <t>✓</t>
        </is>
      </c>
      <c r="E51" t="n">
        <v>49</v>
      </c>
      <c r="F51" t="inlineStr"/>
      <c r="G51" t="inlineStr">
        <is>
          <t>N</t>
        </is>
      </c>
      <c r="H51" t="inlineStr"/>
      <c r="J51" t="inlineStr">
        <is>
          <t>Added 2026-05-25: score 75.4, Quality 100, PEG 0.7. Beats 4 existing portfolio names.</t>
        </is>
      </c>
    </row>
    <row r="52">
      <c r="A52" t="inlineStr">
        <is>
          <t>UMC</t>
        </is>
      </c>
      <c r="B52" t="inlineStr">
        <is>
          <t>05 Fabs &amp; Foundries</t>
        </is>
      </c>
      <c r="C52" t="n">
        <v>67.55</v>
      </c>
      <c r="D52" t="inlineStr">
        <is>
          <t>✓</t>
        </is>
      </c>
      <c r="E52" t="n">
        <v>50</v>
      </c>
      <c r="F52" t="inlineStr"/>
      <c r="G52" t="inlineStr">
        <is>
          <t>N</t>
        </is>
      </c>
      <c r="H52" t="inlineStr"/>
      <c r="J52" t="inlineStr"/>
    </row>
    <row r="53">
      <c r="A53" t="inlineStr">
        <is>
          <t>ABBNY</t>
        </is>
      </c>
      <c r="B53" t="inlineStr">
        <is>
          <t>02 Grid &amp; Power Equipment</t>
        </is>
      </c>
      <c r="C53" t="n">
        <v>67.45</v>
      </c>
      <c r="D53" t="inlineStr">
        <is>
          <t>✓</t>
        </is>
      </c>
      <c r="E53" t="n">
        <v>51</v>
      </c>
      <c r="F53" t="inlineStr"/>
      <c r="G53" t="inlineStr">
        <is>
          <t>N</t>
        </is>
      </c>
      <c r="H53" t="inlineStr"/>
      <c r="J53" t="inlineStr"/>
    </row>
    <row r="54">
      <c r="A54" t="inlineStr">
        <is>
          <t>CDNS</t>
        </is>
      </c>
      <c r="B54" t="inlineStr">
        <is>
          <t>04 Semiconductor Equipment &amp; Materials / EDA &amp; IP</t>
        </is>
      </c>
      <c r="C54" t="n">
        <v>67.40000000000001</v>
      </c>
      <c r="D54" t="inlineStr">
        <is>
          <t>✓</t>
        </is>
      </c>
      <c r="E54" t="n">
        <v>52</v>
      </c>
      <c r="F54" t="inlineStr"/>
      <c r="G54" t="inlineStr">
        <is>
          <t>N</t>
        </is>
      </c>
      <c r="H54" t="inlineStr"/>
      <c r="J54" t="inlineStr"/>
    </row>
    <row r="55">
      <c r="A55" t="inlineStr">
        <is>
          <t>CSCO</t>
        </is>
      </c>
      <c r="B55" t="inlineStr">
        <is>
          <t>07 Optical, Networking &amp; Interconnect / Networking systems</t>
        </is>
      </c>
      <c r="C55" t="n">
        <v>67.40000000000001</v>
      </c>
      <c r="D55" t="inlineStr">
        <is>
          <t>✓</t>
        </is>
      </c>
      <c r="E55" t="n">
        <v>53</v>
      </c>
      <c r="F55" t="inlineStr"/>
      <c r="G55" t="inlineStr">
        <is>
          <t>N</t>
        </is>
      </c>
      <c r="H55" t="inlineStr"/>
      <c r="J55" t="inlineStr"/>
    </row>
    <row r="56">
      <c r="A56" t="inlineStr">
        <is>
          <t>DLR</t>
        </is>
      </c>
      <c r="B56" t="inlineStr">
        <is>
          <t>03 Data Center Construction, REITs &amp; Cooling</t>
        </is>
      </c>
      <c r="C56" t="n">
        <v>67.2</v>
      </c>
      <c r="D56" t="inlineStr">
        <is>
          <t>✓</t>
        </is>
      </c>
      <c r="E56" t="n">
        <v>54</v>
      </c>
      <c r="F56" t="inlineStr"/>
      <c r="G56" t="inlineStr">
        <is>
          <t>N</t>
        </is>
      </c>
      <c r="H56" t="inlineStr"/>
      <c r="J56" t="inlineStr"/>
    </row>
    <row r="57">
      <c r="A57" t="inlineStr">
        <is>
          <t>BESIY</t>
        </is>
      </c>
      <c r="B57" t="inlineStr">
        <is>
          <t>04 Semiconductor Equipment &amp; Materials / Equipment</t>
        </is>
      </c>
      <c r="C57" t="n">
        <v>67.2</v>
      </c>
      <c r="D57" t="inlineStr">
        <is>
          <t>✓</t>
        </is>
      </c>
      <c r="E57" t="n">
        <v>55</v>
      </c>
      <c r="F57" t="inlineStr"/>
      <c r="G57" t="inlineStr">
        <is>
          <t>N</t>
        </is>
      </c>
      <c r="H57" t="inlineStr"/>
      <c r="J57" t="inlineStr"/>
    </row>
    <row r="58">
      <c r="A58" t="inlineStr">
        <is>
          <t>CEG</t>
        </is>
      </c>
      <c r="B58" t="inlineStr">
        <is>
          <t>01 Power - IPP / Nuclear</t>
        </is>
      </c>
      <c r="C58" t="n">
        <v>67.15000000000001</v>
      </c>
      <c r="D58" t="inlineStr">
        <is>
          <t>✓</t>
        </is>
      </c>
      <c r="E58" t="n">
        <v>56</v>
      </c>
      <c r="F58" t="inlineStr"/>
      <c r="G58" t="inlineStr">
        <is>
          <t>N</t>
        </is>
      </c>
      <c r="H58" t="inlineStr"/>
      <c r="J58" t="inlineStr"/>
    </row>
    <row r="59">
      <c r="A59" t="inlineStr">
        <is>
          <t>SBGSY</t>
        </is>
      </c>
      <c r="B59" t="inlineStr">
        <is>
          <t>02 Grid &amp; Power Equipment</t>
        </is>
      </c>
      <c r="C59" t="n">
        <v>67.05</v>
      </c>
      <c r="D59" t="inlineStr">
        <is>
          <t>✓</t>
        </is>
      </c>
      <c r="E59" t="n">
        <v>57</v>
      </c>
      <c r="F59" t="inlineStr"/>
      <c r="G59" t="inlineStr">
        <is>
          <t>N</t>
        </is>
      </c>
      <c r="H59" t="inlineStr"/>
      <c r="J59" t="inlineStr"/>
    </row>
    <row r="60">
      <c r="A60" t="inlineStr">
        <is>
          <t>JCI</t>
        </is>
      </c>
      <c r="B60" t="inlineStr">
        <is>
          <t>03 Data Center Construction, REITs &amp; Cooling</t>
        </is>
      </c>
      <c r="C60" t="n">
        <v>66.8</v>
      </c>
      <c r="D60" t="inlineStr">
        <is>
          <t>✓</t>
        </is>
      </c>
      <c r="E60" t="n">
        <v>58</v>
      </c>
      <c r="F60" t="inlineStr"/>
      <c r="G60" t="inlineStr">
        <is>
          <t>N</t>
        </is>
      </c>
      <c r="H60" t="inlineStr"/>
      <c r="J60" t="inlineStr"/>
    </row>
    <row r="61">
      <c r="A61" t="inlineStr">
        <is>
          <t>POWL</t>
        </is>
      </c>
      <c r="B61" t="inlineStr">
        <is>
          <t>02 Grid &amp; Power Equipment</t>
        </is>
      </c>
      <c r="C61" t="n">
        <v>66.75</v>
      </c>
      <c r="D61" t="inlineStr">
        <is>
          <t>✓</t>
        </is>
      </c>
      <c r="E61" t="n">
        <v>59</v>
      </c>
      <c r="F61" t="inlineStr"/>
      <c r="G61" t="inlineStr">
        <is>
          <t>N</t>
        </is>
      </c>
      <c r="H61" t="inlineStr"/>
      <c r="J61" t="inlineStr"/>
    </row>
    <row r="62">
      <c r="A62" t="inlineStr">
        <is>
          <t>MTZ</t>
        </is>
      </c>
      <c r="B62" t="inlineStr">
        <is>
          <t>02 Grid &amp; Power Equipment</t>
        </is>
      </c>
      <c r="C62" t="n">
        <v>66.7</v>
      </c>
      <c r="D62" t="inlineStr">
        <is>
          <t>✓</t>
        </is>
      </c>
      <c r="E62" t="n">
        <v>60</v>
      </c>
      <c r="F62" t="inlineStr"/>
      <c r="G62" t="inlineStr">
        <is>
          <t>N</t>
        </is>
      </c>
      <c r="H62" t="inlineStr"/>
      <c r="J62" t="inlineStr"/>
    </row>
    <row r="63">
      <c r="A63" t="inlineStr">
        <is>
          <t>NVT</t>
        </is>
      </c>
      <c r="B63" t="inlineStr">
        <is>
          <t>02 Grid &amp; Power Equipment</t>
        </is>
      </c>
      <c r="C63" t="n">
        <v>66.55</v>
      </c>
      <c r="D63" t="inlineStr">
        <is>
          <t>✓</t>
        </is>
      </c>
      <c r="E63" t="n">
        <v>61</v>
      </c>
      <c r="F63" t="inlineStr"/>
      <c r="G63" t="inlineStr">
        <is>
          <t>N</t>
        </is>
      </c>
      <c r="H63" t="inlineStr"/>
      <c r="J63" t="inlineStr"/>
    </row>
    <row r="64">
      <c r="A64" t="inlineStr">
        <is>
          <t>ONTO</t>
        </is>
      </c>
      <c r="B64" t="inlineStr">
        <is>
          <t>04 Semiconductor Equipment &amp; Materials / Equipment</t>
        </is>
      </c>
      <c r="C64" t="n">
        <v>66.09999999999999</v>
      </c>
      <c r="D64" t="inlineStr">
        <is>
          <t>✓</t>
        </is>
      </c>
      <c r="E64" t="n">
        <v>62</v>
      </c>
      <c r="F64" t="inlineStr"/>
      <c r="G64" t="inlineStr">
        <is>
          <t>N</t>
        </is>
      </c>
      <c r="H64" t="inlineStr"/>
      <c r="J64" t="inlineStr"/>
    </row>
    <row r="65">
      <c r="A65" t="inlineStr">
        <is>
          <t>ENTG</t>
        </is>
      </c>
      <c r="B65" t="inlineStr">
        <is>
          <t>04 Semiconductor Equipment &amp; Materials / Materials &amp; consumables</t>
        </is>
      </c>
      <c r="C65" t="n">
        <v>66.05</v>
      </c>
      <c r="D65" t="inlineStr">
        <is>
          <t>✓</t>
        </is>
      </c>
      <c r="E65" t="n">
        <v>63</v>
      </c>
      <c r="F65" t="inlineStr"/>
      <c r="G65" t="inlineStr">
        <is>
          <t>N</t>
        </is>
      </c>
      <c r="H65" t="inlineStr"/>
      <c r="J65" t="inlineStr"/>
    </row>
    <row r="66">
      <c r="A66" t="inlineStr">
        <is>
          <t>BE</t>
        </is>
      </c>
      <c r="B66" t="inlineStr">
        <is>
          <t>01 Power - Distributed</t>
        </is>
      </c>
      <c r="C66" t="n">
        <v>65.90000000000001</v>
      </c>
      <c r="D66" t="inlineStr">
        <is>
          <t>✓</t>
        </is>
      </c>
      <c r="E66" t="n">
        <v>64</v>
      </c>
      <c r="F66" t="inlineStr"/>
      <c r="G66" t="inlineStr">
        <is>
          <t>N</t>
        </is>
      </c>
      <c r="H66" t="inlineStr"/>
      <c r="J66" t="inlineStr"/>
    </row>
    <row r="67">
      <c r="A67" t="inlineStr">
        <is>
          <t>AAON</t>
        </is>
      </c>
      <c r="B67" t="inlineStr">
        <is>
          <t>03 Data Center Construction, REITs &amp; Cooling</t>
        </is>
      </c>
      <c r="C67" t="n">
        <v>65.83</v>
      </c>
      <c r="D67" t="inlineStr">
        <is>
          <t>✓</t>
        </is>
      </c>
      <c r="E67" t="n">
        <v>65</v>
      </c>
      <c r="F67" t="inlineStr"/>
      <c r="G67" t="inlineStr">
        <is>
          <t>N</t>
        </is>
      </c>
      <c r="H67" t="inlineStr"/>
      <c r="J67" t="inlineStr"/>
    </row>
    <row r="68">
      <c r="A68" t="inlineStr">
        <is>
          <t>FORM</t>
        </is>
      </c>
      <c r="B68" t="inlineStr">
        <is>
          <t>04 Semiconductor Equipment &amp; Materials / Test &amp; measurement</t>
        </is>
      </c>
      <c r="C68" t="n">
        <v>65.72</v>
      </c>
      <c r="D68" t="inlineStr">
        <is>
          <t>✓</t>
        </is>
      </c>
      <c r="E68" t="n">
        <v>66</v>
      </c>
      <c r="F68" t="inlineStr"/>
      <c r="G68" t="inlineStr">
        <is>
          <t>N</t>
        </is>
      </c>
      <c r="H68" t="inlineStr"/>
      <c r="J68" t="inlineStr"/>
    </row>
    <row r="69">
      <c r="A69" t="inlineStr">
        <is>
          <t>MKSI</t>
        </is>
      </c>
      <c r="B69" t="inlineStr">
        <is>
          <t>04 Semiconductor Equipment &amp; Materials / Materials &amp; consumables</t>
        </is>
      </c>
      <c r="C69" t="n">
        <v>65.7</v>
      </c>
      <c r="D69" t="inlineStr">
        <is>
          <t>✓</t>
        </is>
      </c>
      <c r="E69" t="n">
        <v>67</v>
      </c>
      <c r="F69" t="inlineStr"/>
      <c r="G69" t="inlineStr">
        <is>
          <t>N</t>
        </is>
      </c>
      <c r="H69" t="inlineStr"/>
      <c r="J69" t="inlineStr"/>
    </row>
    <row r="70">
      <c r="A70" t="inlineStr">
        <is>
          <t>TSEM</t>
        </is>
      </c>
      <c r="B70" t="inlineStr">
        <is>
          <t>05 Fabs &amp; Foundries</t>
        </is>
      </c>
      <c r="C70" t="n">
        <v>65.5</v>
      </c>
      <c r="D70" t="inlineStr">
        <is>
          <t>✓</t>
        </is>
      </c>
      <c r="E70" t="n">
        <v>68</v>
      </c>
      <c r="F70" t="inlineStr"/>
      <c r="G70" t="inlineStr">
        <is>
          <t>N</t>
        </is>
      </c>
      <c r="H70" t="inlineStr"/>
      <c r="J70" t="inlineStr"/>
    </row>
    <row r="71">
      <c r="A71" t="inlineStr">
        <is>
          <t>SNPS</t>
        </is>
      </c>
      <c r="B71" t="inlineStr">
        <is>
          <t>04 Semiconductor Equipment &amp; Materials / EDA &amp; IP</t>
        </is>
      </c>
      <c r="C71" t="n">
        <v>65.47</v>
      </c>
      <c r="D71" t="inlineStr">
        <is>
          <t>✓</t>
        </is>
      </c>
      <c r="E71" t="n">
        <v>69</v>
      </c>
      <c r="F71" t="inlineStr"/>
      <c r="G71" t="inlineStr">
        <is>
          <t>N</t>
        </is>
      </c>
      <c r="H71" t="inlineStr"/>
      <c r="J71" t="inlineStr"/>
    </row>
    <row r="72">
      <c r="A72" t="inlineStr">
        <is>
          <t>PLAB</t>
        </is>
      </c>
      <c r="B72" t="inlineStr">
        <is>
          <t>04 Semiconductor Equipment &amp; Materials / Materials &amp; consumables</t>
        </is>
      </c>
      <c r="C72" t="n">
        <v>65.15000000000001</v>
      </c>
      <c r="D72" t="inlineStr">
        <is>
          <t>✓</t>
        </is>
      </c>
      <c r="E72" t="n">
        <v>70</v>
      </c>
      <c r="F72" t="inlineStr"/>
      <c r="G72" t="inlineStr">
        <is>
          <t>N</t>
        </is>
      </c>
      <c r="H72" t="inlineStr"/>
      <c r="J72" t="inlineStr"/>
    </row>
    <row r="73">
      <c r="A73" t="inlineStr">
        <is>
          <t>FLEX</t>
        </is>
      </c>
      <c r="B73" t="inlineStr">
        <is>
          <t>08 Servers, Systems &amp; Liquid Cooling / Contract manufacturing / ODMs</t>
        </is>
      </c>
      <c r="C73" t="n">
        <v>64.84999999999999</v>
      </c>
      <c r="D73" t="inlineStr">
        <is>
          <t>✓</t>
        </is>
      </c>
      <c r="E73" t="n">
        <v>71</v>
      </c>
      <c r="F73" t="inlineStr"/>
      <c r="G73" t="inlineStr">
        <is>
          <t>N</t>
        </is>
      </c>
      <c r="H73" t="inlineStr"/>
      <c r="J73" t="inlineStr"/>
    </row>
    <row r="74">
      <c r="A74" t="inlineStr">
        <is>
          <t>RMBS</t>
        </is>
      </c>
      <c r="B74" t="inlineStr">
        <is>
          <t>06 AI Compute Silicon / Memory (HBM is the bottleneck)</t>
        </is>
      </c>
      <c r="C74" t="n">
        <v>64.84999999999999</v>
      </c>
      <c r="D74" t="inlineStr">
        <is>
          <t>✓</t>
        </is>
      </c>
      <c r="E74" t="n">
        <v>72</v>
      </c>
      <c r="F74" t="inlineStr"/>
      <c r="G74" t="inlineStr">
        <is>
          <t>N</t>
        </is>
      </c>
      <c r="H74" t="inlineStr"/>
      <c r="J74" t="inlineStr"/>
    </row>
    <row r="75">
      <c r="A75" t="inlineStr">
        <is>
          <t>CCJ</t>
        </is>
      </c>
      <c r="B75" t="inlineStr">
        <is>
          <t>01 Power Generation / Nuclear-specific</t>
        </is>
      </c>
      <c r="C75" t="n">
        <v>64.28</v>
      </c>
      <c r="D75" t="inlineStr">
        <is>
          <t>✓</t>
        </is>
      </c>
      <c r="E75" t="n">
        <v>73</v>
      </c>
      <c r="F75" t="inlineStr"/>
      <c r="G75" t="inlineStr">
        <is>
          <t>N</t>
        </is>
      </c>
      <c r="H75" t="inlineStr"/>
      <c r="J75" t="inlineStr"/>
    </row>
    <row r="76">
      <c r="A76" t="inlineStr">
        <is>
          <t>HUBB</t>
        </is>
      </c>
      <c r="B76" t="inlineStr">
        <is>
          <t>02 Grid &amp; Power Equipment</t>
        </is>
      </c>
      <c r="C76" t="n">
        <v>63.92</v>
      </c>
      <c r="D76" t="inlineStr">
        <is>
          <t>✓</t>
        </is>
      </c>
      <c r="E76" t="n">
        <v>74</v>
      </c>
      <c r="F76" t="inlineStr"/>
      <c r="G76" t="inlineStr">
        <is>
          <t>N</t>
        </is>
      </c>
      <c r="H76" t="inlineStr"/>
      <c r="J76" t="inlineStr"/>
    </row>
    <row r="77">
      <c r="A77" t="inlineStr">
        <is>
          <t>GNRC</t>
        </is>
      </c>
      <c r="B77" t="inlineStr">
        <is>
          <t>01 Power Generation / Distributed / on-site power</t>
        </is>
      </c>
      <c r="C77" t="n">
        <v>63.85</v>
      </c>
      <c r="D77" t="inlineStr">
        <is>
          <t>✓</t>
        </is>
      </c>
      <c r="E77" t="n">
        <v>75</v>
      </c>
      <c r="F77" t="inlineStr"/>
      <c r="G77" t="inlineStr">
        <is>
          <t>N</t>
        </is>
      </c>
      <c r="H77" t="inlineStr"/>
      <c r="J77" t="inlineStr"/>
    </row>
    <row r="78">
      <c r="A78" t="inlineStr">
        <is>
          <t>NEE</t>
        </is>
      </c>
      <c r="B78" t="inlineStr">
        <is>
          <t>01 Power Generation / Regulated utilities (data-center geographic exposure)</t>
        </is>
      </c>
      <c r="C78" t="n">
        <v>63.62</v>
      </c>
      <c r="D78" t="inlineStr">
        <is>
          <t>✓</t>
        </is>
      </c>
      <c r="E78" t="n">
        <v>76</v>
      </c>
      <c r="F78" t="inlineStr"/>
      <c r="G78" t="inlineStr">
        <is>
          <t>N</t>
        </is>
      </c>
      <c r="H78" t="inlineStr"/>
      <c r="J78" t="inlineStr"/>
    </row>
    <row r="79">
      <c r="A79" t="inlineStr">
        <is>
          <t>SNOW</t>
        </is>
      </c>
      <c r="B79" t="inlineStr">
        <is>
          <t>10 Models, Software &amp; Applications</t>
        </is>
      </c>
      <c r="C79" t="n">
        <v>63.4</v>
      </c>
      <c r="D79" t="inlineStr">
        <is>
          <t>✓</t>
        </is>
      </c>
      <c r="E79" t="n">
        <v>77</v>
      </c>
      <c r="F79" t="inlineStr"/>
      <c r="G79" t="inlineStr">
        <is>
          <t>N</t>
        </is>
      </c>
      <c r="H79" t="inlineStr"/>
      <c r="J79" t="inlineStr"/>
    </row>
    <row r="80">
      <c r="A80" t="inlineStr">
        <is>
          <t>KLIC</t>
        </is>
      </c>
      <c r="B80" t="inlineStr">
        <is>
          <t>04 Semiconductor Equipment &amp; Materials / Equipment</t>
        </is>
      </c>
      <c r="C80" t="n">
        <v>63.08</v>
      </c>
      <c r="D80" t="inlineStr">
        <is>
          <t>✓</t>
        </is>
      </c>
      <c r="E80" t="n">
        <v>78</v>
      </c>
      <c r="F80" t="inlineStr"/>
      <c r="G80" t="inlineStr">
        <is>
          <t>N</t>
        </is>
      </c>
      <c r="H80" t="inlineStr"/>
      <c r="J80" t="inlineStr"/>
    </row>
    <row r="81">
      <c r="A81" t="inlineStr">
        <is>
          <t>ORCL</t>
        </is>
      </c>
      <c r="B81" t="inlineStr">
        <is>
          <t>09 Compute-as-a-Service / Hyperscalers (public-cloud AI revenue)</t>
        </is>
      </c>
      <c r="C81" t="n">
        <v>62.75</v>
      </c>
      <c r="D81" t="inlineStr">
        <is>
          <t>✓</t>
        </is>
      </c>
      <c r="E81" t="n">
        <v>79</v>
      </c>
      <c r="F81" t="inlineStr"/>
      <c r="G81" t="inlineStr">
        <is>
          <t>N</t>
        </is>
      </c>
      <c r="H81" t="inlineStr"/>
      <c r="J81" t="inlineStr"/>
    </row>
    <row r="82">
      <c r="A82" t="inlineStr">
        <is>
          <t>IRM</t>
        </is>
      </c>
      <c r="B82" t="inlineStr">
        <is>
          <t>03 Data Center Construction, REITs &amp; Cooling</t>
        </is>
      </c>
      <c r="C82" t="n">
        <v>62.6</v>
      </c>
      <c r="D82" t="inlineStr">
        <is>
          <t>✓</t>
        </is>
      </c>
      <c r="E82" t="n">
        <v>80</v>
      </c>
      <c r="F82" t="inlineStr"/>
      <c r="G82" t="inlineStr">
        <is>
          <t>N</t>
        </is>
      </c>
      <c r="H82" t="inlineStr"/>
      <c r="J82" t="inlineStr"/>
    </row>
    <row r="83">
      <c r="A83" t="inlineStr">
        <is>
          <t>NBIS</t>
        </is>
      </c>
      <c r="B83" t="inlineStr">
        <is>
          <t>09 Compute-as-a-Service / Neoclouds (AI-native cloud providers)</t>
        </is>
      </c>
      <c r="C83" t="n">
        <v>62.6</v>
      </c>
      <c r="D83" t="inlineStr">
        <is>
          <t>✓</t>
        </is>
      </c>
      <c r="E83" t="n">
        <v>81</v>
      </c>
      <c r="F83" t="inlineStr"/>
      <c r="G83" t="inlineStr">
        <is>
          <t>N</t>
        </is>
      </c>
      <c r="H83" t="inlineStr"/>
      <c r="J83" t="inlineStr">
        <is>
          <t>Removed 2026-05-25: dropped to ✓ (65.5) after reweight. Value 7.5 penalized by higher Value weight.</t>
        </is>
      </c>
    </row>
    <row r="84">
      <c r="A84" t="inlineStr">
        <is>
          <t>SMCI</t>
        </is>
      </c>
      <c r="B84" t="inlineStr">
        <is>
          <t>08 Servers, Systems &amp; Liquid Cooling</t>
        </is>
      </c>
      <c r="C84" t="n">
        <v>62.45</v>
      </c>
      <c r="D84" t="inlineStr">
        <is>
          <t>✓</t>
        </is>
      </c>
      <c r="E84" t="n">
        <v>82</v>
      </c>
      <c r="F84" t="inlineStr"/>
      <c r="G84" t="inlineStr">
        <is>
          <t>N</t>
        </is>
      </c>
      <c r="H84" t="inlineStr"/>
      <c r="J84" t="inlineStr"/>
    </row>
    <row r="85">
      <c r="A85" t="inlineStr">
        <is>
          <t>ETN</t>
        </is>
      </c>
      <c r="B85" t="inlineStr">
        <is>
          <t>02 Grid &amp; Power Equipment</t>
        </is>
      </c>
      <c r="C85" t="n">
        <v>62.35</v>
      </c>
      <c r="D85" t="inlineStr">
        <is>
          <t>✓</t>
        </is>
      </c>
      <c r="E85" t="n">
        <v>83</v>
      </c>
      <c r="F85" t="inlineStr"/>
      <c r="G85" t="inlineStr">
        <is>
          <t>N</t>
        </is>
      </c>
      <c r="H85" t="inlineStr"/>
      <c r="J85" t="inlineStr"/>
    </row>
    <row r="86">
      <c r="A86" t="inlineStr">
        <is>
          <t>CRWV</t>
        </is>
      </c>
      <c r="B86" t="inlineStr">
        <is>
          <t>09 Cloud - Neocloud</t>
        </is>
      </c>
      <c r="C86" t="n">
        <v>62.23</v>
      </c>
      <c r="D86" t="inlineStr">
        <is>
          <t>✓</t>
        </is>
      </c>
      <c r="E86" t="n">
        <v>84</v>
      </c>
      <c r="F86" t="inlineStr"/>
      <c r="G86" t="inlineStr">
        <is>
          <t>N</t>
        </is>
      </c>
      <c r="H86" t="inlineStr"/>
      <c r="J86" t="inlineStr"/>
    </row>
    <row r="87">
      <c r="A87" t="inlineStr">
        <is>
          <t>KN</t>
        </is>
      </c>
      <c r="B87" t="inlineStr">
        <is>
          <t>04 Semi Equip - Materials</t>
        </is>
      </c>
      <c r="C87" t="n">
        <v>62.15</v>
      </c>
      <c r="D87" t="inlineStr">
        <is>
          <t>✓</t>
        </is>
      </c>
      <c r="E87" t="n">
        <v>85</v>
      </c>
      <c r="F87" t="inlineStr"/>
      <c r="G87" t="inlineStr">
        <is>
          <t>N</t>
        </is>
      </c>
      <c r="H87" t="inlineStr"/>
      <c r="J87" t="inlineStr"/>
    </row>
    <row r="88">
      <c r="A88" t="inlineStr">
        <is>
          <t>LITE</t>
        </is>
      </c>
      <c r="B88" t="inlineStr">
        <is>
          <t>07 Optical, Networking &amp; Interconnect / Optical components &amp; transceivers</t>
        </is>
      </c>
      <c r="C88" t="n">
        <v>62.08</v>
      </c>
      <c r="D88" t="inlineStr">
        <is>
          <t>✓</t>
        </is>
      </c>
      <c r="E88" t="n">
        <v>86</v>
      </c>
      <c r="F88" t="inlineStr"/>
      <c r="G88" t="inlineStr">
        <is>
          <t>N</t>
        </is>
      </c>
      <c r="H88" t="inlineStr"/>
      <c r="J88" t="inlineStr"/>
    </row>
    <row r="89">
      <c r="A89" t="inlineStr">
        <is>
          <t>PSTG</t>
        </is>
      </c>
      <c r="B89" t="inlineStr">
        <is>
          <t>08 Servers, Systems &amp; Liquid Cooling / Storage infrastructure</t>
        </is>
      </c>
      <c r="C89" t="n">
        <v>61.8</v>
      </c>
      <c r="D89" t="inlineStr">
        <is>
          <t>✓</t>
        </is>
      </c>
      <c r="E89" t="n">
        <v>87</v>
      </c>
      <c r="F89" t="inlineStr"/>
      <c r="G89" t="inlineStr">
        <is>
          <t>N</t>
        </is>
      </c>
      <c r="H89" t="inlineStr"/>
      <c r="J89" t="inlineStr"/>
    </row>
    <row r="90">
      <c r="A90" t="inlineStr">
        <is>
          <t>HPE</t>
        </is>
      </c>
      <c r="B90" t="inlineStr">
        <is>
          <t>08 Servers, Systems &amp; Liquid Cooling</t>
        </is>
      </c>
      <c r="C90" t="n">
        <v>61.48</v>
      </c>
      <c r="D90" t="inlineStr">
        <is>
          <t>✓</t>
        </is>
      </c>
      <c r="E90" t="n">
        <v>88</v>
      </c>
      <c r="F90" t="inlineStr"/>
      <c r="G90" t="inlineStr">
        <is>
          <t>N</t>
        </is>
      </c>
      <c r="H90" t="inlineStr"/>
      <c r="J90" t="inlineStr"/>
    </row>
    <row r="91">
      <c r="A91" t="inlineStr">
        <is>
          <t>CRWD</t>
        </is>
      </c>
      <c r="B91" t="inlineStr">
        <is>
          <t>10 Models, Software &amp; Applications / AI cybersecurity</t>
        </is>
      </c>
      <c r="C91" t="n">
        <v>61.45</v>
      </c>
      <c r="D91" t="inlineStr">
        <is>
          <t>✓</t>
        </is>
      </c>
      <c r="E91" t="n">
        <v>89</v>
      </c>
      <c r="F91" t="inlineStr"/>
      <c r="G91" t="inlineStr">
        <is>
          <t>N</t>
        </is>
      </c>
      <c r="H91" t="inlineStr"/>
      <c r="J91" t="inlineStr"/>
    </row>
    <row r="92">
      <c r="A92" t="inlineStr">
        <is>
          <t>NXT</t>
        </is>
      </c>
      <c r="B92" t="inlineStr">
        <is>
          <t>01 Power Generation / Solar &amp; renewables equipment (behind-the-meter DC power)</t>
        </is>
      </c>
      <c r="C92" t="n">
        <v>61.42</v>
      </c>
      <c r="D92" t="inlineStr">
        <is>
          <t>✓</t>
        </is>
      </c>
      <c r="E92" t="n">
        <v>90</v>
      </c>
      <c r="F92" t="inlineStr"/>
      <c r="G92" t="inlineStr">
        <is>
          <t>N</t>
        </is>
      </c>
      <c r="H92" t="inlineStr"/>
      <c r="J92" t="inlineStr"/>
    </row>
    <row r="93">
      <c r="A93" t="inlineStr">
        <is>
          <t>CMI</t>
        </is>
      </c>
      <c r="B93" t="inlineStr">
        <is>
          <t>01 Power Generation / Distributed / on-site power</t>
        </is>
      </c>
      <c r="C93" t="n">
        <v>61.35</v>
      </c>
      <c r="D93" t="inlineStr">
        <is>
          <t>✓</t>
        </is>
      </c>
      <c r="E93" t="n">
        <v>91</v>
      </c>
      <c r="F93" t="inlineStr"/>
      <c r="G93" t="inlineStr">
        <is>
          <t>N</t>
        </is>
      </c>
      <c r="H93" t="inlineStr"/>
      <c r="J93" t="inlineStr"/>
    </row>
    <row r="94">
      <c r="A94" t="inlineStr">
        <is>
          <t>EQIX</t>
        </is>
      </c>
      <c r="B94" t="inlineStr">
        <is>
          <t>03 Data Center Construction, REITs &amp; Cooling</t>
        </is>
      </c>
      <c r="C94" t="n">
        <v>60.25</v>
      </c>
      <c r="D94" t="inlineStr">
        <is>
          <t>✓</t>
        </is>
      </c>
      <c r="E94" t="n">
        <v>92</v>
      </c>
      <c r="F94" t="inlineStr"/>
      <c r="G94" t="inlineStr">
        <is>
          <t>N</t>
        </is>
      </c>
      <c r="H94" t="inlineStr"/>
      <c r="J94" t="inlineStr"/>
    </row>
    <row r="95">
      <c r="A95" t="inlineStr">
        <is>
          <t>HUT</t>
        </is>
      </c>
      <c r="B95" t="inlineStr">
        <is>
          <t>09 Compute-as-a-Service / Bitcoin miners pivoting to AI hosting</t>
        </is>
      </c>
      <c r="C95" t="n">
        <v>60.25</v>
      </c>
      <c r="D95" t="inlineStr">
        <is>
          <t>✓</t>
        </is>
      </c>
      <c r="E95" t="n">
        <v>93</v>
      </c>
      <c r="F95" t="inlineStr"/>
      <c r="G95" t="inlineStr">
        <is>
          <t>N</t>
        </is>
      </c>
      <c r="H95" t="inlineStr"/>
      <c r="J95" t="inlineStr"/>
    </row>
    <row r="96">
      <c r="A96" t="inlineStr">
        <is>
          <t>TTMI</t>
        </is>
      </c>
      <c r="B96" t="inlineStr">
        <is>
          <t>04 Semiconductor Equipment &amp; Materials / PCB / substrates</t>
        </is>
      </c>
      <c r="C96" t="n">
        <v>60.25</v>
      </c>
      <c r="D96" t="inlineStr">
        <is>
          <t>✓</t>
        </is>
      </c>
      <c r="E96" t="n">
        <v>94</v>
      </c>
      <c r="F96" t="inlineStr"/>
      <c r="G96" t="inlineStr">
        <is>
          <t>N</t>
        </is>
      </c>
      <c r="H96" t="inlineStr"/>
      <c r="J96" t="inlineStr"/>
    </row>
    <row r="97">
      <c r="A97" t="inlineStr">
        <is>
          <t>COHR</t>
        </is>
      </c>
      <c r="B97" t="inlineStr">
        <is>
          <t>07 Optical, Networking &amp; Interconnect / Optical components &amp; transceivers</t>
        </is>
      </c>
      <c r="C97" t="n">
        <v>60.05</v>
      </c>
      <c r="D97" t="inlineStr">
        <is>
          <t>✓</t>
        </is>
      </c>
      <c r="E97" t="n">
        <v>95</v>
      </c>
      <c r="F97" t="inlineStr"/>
      <c r="G97" t="inlineStr">
        <is>
          <t>N</t>
        </is>
      </c>
      <c r="H97" t="inlineStr"/>
      <c r="J97" t="inlineStr"/>
    </row>
    <row r="98">
      <c r="A98" t="inlineStr">
        <is>
          <t>BWXT</t>
        </is>
      </c>
      <c r="B98" t="inlineStr">
        <is>
          <t>01 Power Generation / Nuclear-specific</t>
        </is>
      </c>
      <c r="C98" t="n">
        <v>59.78</v>
      </c>
      <c r="D98" t="inlineStr">
        <is>
          <t>✓</t>
        </is>
      </c>
      <c r="E98" t="n">
        <v>96</v>
      </c>
      <c r="F98" t="inlineStr"/>
      <c r="G98" t="inlineStr">
        <is>
          <t>N</t>
        </is>
      </c>
      <c r="H98" t="inlineStr"/>
      <c r="J98" t="inlineStr"/>
    </row>
    <row r="99">
      <c r="A99" t="inlineStr">
        <is>
          <t>DUK</t>
        </is>
      </c>
      <c r="B99" t="inlineStr">
        <is>
          <t>01 Power Generation / Regulated utilities (data-center geographic exposure)</t>
        </is>
      </c>
      <c r="C99" t="n">
        <v>59.65</v>
      </c>
      <c r="D99" t="inlineStr">
        <is>
          <t>✓</t>
        </is>
      </c>
      <c r="E99" t="n">
        <v>97</v>
      </c>
      <c r="F99" t="inlineStr"/>
      <c r="G99" t="inlineStr">
        <is>
          <t>N</t>
        </is>
      </c>
      <c r="H99" t="inlineStr"/>
      <c r="J99" t="inlineStr"/>
    </row>
    <row r="100">
      <c r="A100" t="inlineStr">
        <is>
          <t>GFS</t>
        </is>
      </c>
      <c r="B100" t="inlineStr">
        <is>
          <t>05 Fabs &amp; Foundries</t>
        </is>
      </c>
      <c r="C100" t="n">
        <v>59.35</v>
      </c>
      <c r="D100" t="inlineStr">
        <is>
          <t>✓</t>
        </is>
      </c>
      <c r="E100" t="n">
        <v>98</v>
      </c>
      <c r="F100" t="inlineStr"/>
      <c r="G100" t="inlineStr">
        <is>
          <t>N</t>
        </is>
      </c>
      <c r="H100" t="inlineStr"/>
      <c r="J100" t="inlineStr"/>
    </row>
    <row r="101">
      <c r="A101" t="inlineStr">
        <is>
          <t>AEP</t>
        </is>
      </c>
      <c r="B101" t="inlineStr">
        <is>
          <t>01 Power Generation / Regulated utilities (data-center geographic exposure)</t>
        </is>
      </c>
      <c r="C101" t="n">
        <v>58.92</v>
      </c>
      <c r="D101" t="inlineStr">
        <is>
          <t>✓</t>
        </is>
      </c>
      <c r="E101" t="n">
        <v>99</v>
      </c>
      <c r="F101" t="inlineStr"/>
      <c r="G101" t="inlineStr">
        <is>
          <t>N</t>
        </is>
      </c>
      <c r="H101" t="inlineStr"/>
      <c r="J101" t="inlineStr"/>
    </row>
    <row r="102">
      <c r="A102" t="inlineStr">
        <is>
          <t>MOD</t>
        </is>
      </c>
      <c r="B102" t="inlineStr">
        <is>
          <t>03 Data Center Construction, REITs &amp; Cooling</t>
        </is>
      </c>
      <c r="C102" t="n">
        <v>58.85</v>
      </c>
      <c r="D102" t="inlineStr">
        <is>
          <t>✓</t>
        </is>
      </c>
      <c r="E102" t="n">
        <v>100</v>
      </c>
      <c r="F102" t="inlineStr"/>
      <c r="G102" t="inlineStr">
        <is>
          <t>N</t>
        </is>
      </c>
      <c r="H102" t="inlineStr"/>
      <c r="J102" t="inlineStr"/>
    </row>
    <row r="103">
      <c r="A103" t="inlineStr">
        <is>
          <t>CARR</t>
        </is>
      </c>
      <c r="B103" t="inlineStr">
        <is>
          <t>03 Data Center Construction, REITs &amp; Cooling</t>
        </is>
      </c>
      <c r="C103" t="n">
        <v>58.02</v>
      </c>
      <c r="D103" t="inlineStr">
        <is>
          <t>✓</t>
        </is>
      </c>
      <c r="E103" t="n">
        <v>101</v>
      </c>
      <c r="F103" t="inlineStr"/>
      <c r="G103" t="inlineStr">
        <is>
          <t>N</t>
        </is>
      </c>
      <c r="H103" t="inlineStr"/>
      <c r="J103" t="inlineStr"/>
    </row>
    <row r="104">
      <c r="A104" t="inlineStr">
        <is>
          <t>D</t>
        </is>
      </c>
      <c r="B104" t="inlineStr">
        <is>
          <t>01 Power Generation / Regulated utilities (data-center geographic exposure)</t>
        </is>
      </c>
      <c r="C104" t="n">
        <v>57.98</v>
      </c>
      <c r="D104" t="inlineStr">
        <is>
          <t>✓</t>
        </is>
      </c>
      <c r="E104" t="n">
        <v>102</v>
      </c>
      <c r="F104" t="inlineStr"/>
      <c r="G104" t="inlineStr">
        <is>
          <t>N</t>
        </is>
      </c>
      <c r="H104" t="inlineStr"/>
      <c r="J104" t="inlineStr"/>
    </row>
    <row r="105">
      <c r="A105" t="inlineStr">
        <is>
          <t>PPL</t>
        </is>
      </c>
      <c r="B105" t="inlineStr">
        <is>
          <t>01 Power Generation / Regulated utilities (data-center geographic exposure)</t>
        </is>
      </c>
      <c r="C105" t="n">
        <v>57.92</v>
      </c>
      <c r="D105" t="inlineStr">
        <is>
          <t>✓</t>
        </is>
      </c>
      <c r="E105" t="n">
        <v>103</v>
      </c>
      <c r="F105" t="inlineStr"/>
      <c r="G105" t="inlineStr">
        <is>
          <t>N</t>
        </is>
      </c>
      <c r="H105" t="inlineStr"/>
      <c r="J105" t="inlineStr"/>
    </row>
    <row r="106">
      <c r="A106" t="inlineStr">
        <is>
          <t>ATKR</t>
        </is>
      </c>
      <c r="B106" t="inlineStr">
        <is>
          <t>02 Grid &amp; Power Equipment</t>
        </is>
      </c>
      <c r="C106" t="n">
        <v>57.55</v>
      </c>
      <c r="D106" t="inlineStr">
        <is>
          <t>✓</t>
        </is>
      </c>
      <c r="E106" t="n">
        <v>104</v>
      </c>
      <c r="F106" t="inlineStr"/>
      <c r="G106" t="inlineStr">
        <is>
          <t>N</t>
        </is>
      </c>
      <c r="H106" t="inlineStr"/>
      <c r="J106" t="inlineStr"/>
    </row>
    <row r="107">
      <c r="A107" t="inlineStr">
        <is>
          <t>TEM</t>
        </is>
      </c>
      <c r="B107" t="inlineStr">
        <is>
          <t>10 Models, Software &amp; Applications / AI-native vertical applications</t>
        </is>
      </c>
      <c r="C107" t="n">
        <v>57.55</v>
      </c>
      <c r="D107" t="inlineStr">
        <is>
          <t>✓</t>
        </is>
      </c>
      <c r="E107" t="n">
        <v>105</v>
      </c>
      <c r="F107" t="inlineStr"/>
      <c r="G107" t="inlineStr">
        <is>
          <t>N</t>
        </is>
      </c>
      <c r="H107" t="inlineStr"/>
      <c r="J107" t="inlineStr"/>
    </row>
    <row r="108">
      <c r="A108" t="inlineStr">
        <is>
          <t>ETR</t>
        </is>
      </c>
      <c r="B108" t="inlineStr">
        <is>
          <t>01 Power Generation / Regulated utilities (data-center geographic exposure)</t>
        </is>
      </c>
      <c r="C108" t="n">
        <v>56.9</v>
      </c>
      <c r="D108" t="inlineStr">
        <is>
          <t>✓</t>
        </is>
      </c>
      <c r="E108" t="n">
        <v>106</v>
      </c>
      <c r="F108" t="inlineStr"/>
      <c r="G108" t="inlineStr">
        <is>
          <t>N</t>
        </is>
      </c>
      <c r="H108" t="inlineStr"/>
      <c r="J108" t="inlineStr"/>
    </row>
    <row r="109">
      <c r="A109" t="inlineStr">
        <is>
          <t>XEL</t>
        </is>
      </c>
      <c r="B109" t="inlineStr">
        <is>
          <t>01 Power Generation / Regulated utilities (data-center geographic exposure)</t>
        </is>
      </c>
      <c r="C109" t="n">
        <v>56.6</v>
      </c>
      <c r="D109" t="inlineStr">
        <is>
          <t>✓</t>
        </is>
      </c>
      <c r="E109" t="n">
        <v>107</v>
      </c>
      <c r="F109" t="inlineStr"/>
      <c r="G109" t="inlineStr">
        <is>
          <t>N</t>
        </is>
      </c>
      <c r="H109" t="inlineStr"/>
      <c r="J109" t="inlineStr"/>
    </row>
    <row r="110">
      <c r="A110" t="inlineStr">
        <is>
          <t>MDB</t>
        </is>
      </c>
      <c r="B110" t="inlineStr">
        <is>
          <t>10 Models, Software &amp; Applications / AI data layer</t>
        </is>
      </c>
      <c r="C110" t="n">
        <v>55.8</v>
      </c>
      <c r="D110" t="inlineStr">
        <is>
          <t>✓</t>
        </is>
      </c>
      <c r="E110" t="n">
        <v>108</v>
      </c>
      <c r="F110" t="inlineStr"/>
      <c r="G110" t="inlineStr">
        <is>
          <t>N</t>
        </is>
      </c>
      <c r="H110" t="inlineStr"/>
      <c r="J110" t="inlineStr"/>
    </row>
    <row r="111">
      <c r="A111" t="inlineStr">
        <is>
          <t>UCTT</t>
        </is>
      </c>
      <c r="B111" t="inlineStr">
        <is>
          <t>04 Semiconductor Equipment &amp; Materials / Materials &amp; consumables</t>
        </is>
      </c>
      <c r="C111" t="n">
        <v>55.27</v>
      </c>
      <c r="D111" t="inlineStr">
        <is>
          <t>✓</t>
        </is>
      </c>
      <c r="E111" t="n">
        <v>109</v>
      </c>
      <c r="F111" t="inlineStr"/>
      <c r="G111" t="inlineStr">
        <is>
          <t>N</t>
        </is>
      </c>
      <c r="H111" t="inlineStr"/>
      <c r="J111" t="inlineStr"/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4" customWidth="1" min="4" max="4"/>
    <col width="16" customWidth="1" min="5" max="5"/>
    <col width="16" customWidth="1" min="6" max="6"/>
    <col width="10" customWidth="1" min="7" max="7"/>
    <col width="16" customWidth="1" min="8" max="8"/>
    <col width="14" customWidth="1" min="9" max="9"/>
    <col width="12" customWidth="1" min="10" max="10"/>
    <col width="40" customWidth="1" min="11" max="11"/>
  </cols>
  <sheetData>
    <row r="1">
      <c r="A1" s="1" t="inlineStr">
        <is>
          <t>Ticker</t>
        </is>
      </c>
      <c r="B1" s="1" t="inlineStr">
        <is>
          <t>Layer</t>
        </is>
      </c>
      <c r="C1" s="1" t="inlineStr">
        <is>
          <t>Shares</t>
        </is>
      </c>
      <c r="D1" s="1" t="inlineStr">
        <is>
          <t>Cost Basis ($)</t>
        </is>
      </c>
      <c r="E1" s="1" t="inlineStr">
        <is>
          <t>Current Price ($)</t>
        </is>
      </c>
      <c r="F1" s="1" t="inlineStr">
        <is>
          <t>Market Value ($)</t>
        </is>
      </c>
      <c r="G1" s="1" t="inlineStr">
        <is>
          <t>Weight %</t>
        </is>
      </c>
      <c r="H1" s="1" t="inlineStr">
        <is>
          <t>Unrealized P/L ($)</t>
        </is>
      </c>
      <c r="I1" s="1" t="inlineStr">
        <is>
          <t>Unrealized %</t>
        </is>
      </c>
      <c r="J1" s="1" t="inlineStr">
        <is>
          <t>Thesis Date</t>
        </is>
      </c>
      <c r="K1" s="1" t="inlineStr">
        <is>
          <t>Notes</t>
        </is>
      </c>
    </row>
    <row r="2">
      <c r="D2" s="2" t="n"/>
      <c r="E2" s="2" t="n"/>
      <c r="F2" s="3">
        <f>IFERROR(C2*E2,"")</f>
        <v/>
      </c>
      <c r="G2" s="4">
        <f>IFERROR(F2/SUM($F$2:$F$21),"")</f>
        <v/>
      </c>
      <c r="H2" s="5">
        <f>IFERROR((E2-D2)*C2,"")</f>
        <v/>
      </c>
      <c r="I2" s="6">
        <f>IFERROR((E2-D2)/D2,"")</f>
        <v/>
      </c>
    </row>
    <row r="3">
      <c r="D3" s="2" t="n"/>
      <c r="E3" s="2" t="n"/>
      <c r="F3" s="3">
        <f>IFERROR(C3*E3,"")</f>
        <v/>
      </c>
      <c r="G3" s="4">
        <f>IFERROR(F3/SUM($F$2:$F$21),"")</f>
        <v/>
      </c>
      <c r="H3" s="5">
        <f>IFERROR((E3-D3)*C3,"")</f>
        <v/>
      </c>
      <c r="I3" s="6">
        <f>IFERROR((E3-D3)/D3,"")</f>
        <v/>
      </c>
    </row>
    <row r="4">
      <c r="D4" s="2" t="n"/>
      <c r="E4" s="2" t="n"/>
      <c r="F4" s="3">
        <f>IFERROR(C4*E4,"")</f>
        <v/>
      </c>
      <c r="G4" s="4">
        <f>IFERROR(F4/SUM($F$2:$F$21),"")</f>
        <v/>
      </c>
      <c r="H4" s="5">
        <f>IFERROR((E4-D4)*C4,"")</f>
        <v/>
      </c>
      <c r="I4" s="6">
        <f>IFERROR((E4-D4)/D4,"")</f>
        <v/>
      </c>
    </row>
    <row r="5">
      <c r="D5" s="2" t="n"/>
      <c r="E5" s="2" t="n"/>
      <c r="F5" s="3">
        <f>IFERROR(C5*E5,"")</f>
        <v/>
      </c>
      <c r="G5" s="4">
        <f>IFERROR(F5/SUM($F$2:$F$21),"")</f>
        <v/>
      </c>
      <c r="H5" s="5">
        <f>IFERROR((E5-D5)*C5,"")</f>
        <v/>
      </c>
      <c r="I5" s="6">
        <f>IFERROR((E5-D5)/D5,"")</f>
        <v/>
      </c>
    </row>
    <row r="6">
      <c r="D6" s="2" t="n"/>
      <c r="E6" s="2" t="n"/>
      <c r="F6" s="3">
        <f>IFERROR(C6*E6,"")</f>
        <v/>
      </c>
      <c r="G6" s="4">
        <f>IFERROR(F6/SUM($F$2:$F$21),"")</f>
        <v/>
      </c>
      <c r="H6" s="5">
        <f>IFERROR((E6-D6)*C6,"")</f>
        <v/>
      </c>
      <c r="I6" s="6">
        <f>IFERROR((E6-D6)/D6,"")</f>
        <v/>
      </c>
    </row>
    <row r="7">
      <c r="D7" s="2" t="n"/>
      <c r="E7" s="2" t="n"/>
      <c r="F7" s="3">
        <f>IFERROR(C7*E7,"")</f>
        <v/>
      </c>
      <c r="G7" s="4">
        <f>IFERROR(F7/SUM($F$2:$F$21),"")</f>
        <v/>
      </c>
      <c r="H7" s="5">
        <f>IFERROR((E7-D7)*C7,"")</f>
        <v/>
      </c>
      <c r="I7" s="6">
        <f>IFERROR((E7-D7)/D7,"")</f>
        <v/>
      </c>
    </row>
    <row r="8">
      <c r="D8" s="2" t="n"/>
      <c r="E8" s="2" t="n"/>
      <c r="F8" s="3">
        <f>IFERROR(C8*E8,"")</f>
        <v/>
      </c>
      <c r="G8" s="4">
        <f>IFERROR(F8/SUM($F$2:$F$21),"")</f>
        <v/>
      </c>
      <c r="H8" s="5">
        <f>IFERROR((E8-D8)*C8,"")</f>
        <v/>
      </c>
      <c r="I8" s="6">
        <f>IFERROR((E8-D8)/D8,"")</f>
        <v/>
      </c>
    </row>
    <row r="9">
      <c r="D9" s="2" t="n"/>
      <c r="E9" s="2" t="n"/>
      <c r="F9" s="3">
        <f>IFERROR(C9*E9,"")</f>
        <v/>
      </c>
      <c r="G9" s="4">
        <f>IFERROR(F9/SUM($F$2:$F$21),"")</f>
        <v/>
      </c>
      <c r="H9" s="5">
        <f>IFERROR((E9-D9)*C9,"")</f>
        <v/>
      </c>
      <c r="I9" s="6">
        <f>IFERROR((E9-D9)/D9,"")</f>
        <v/>
      </c>
    </row>
    <row r="10">
      <c r="D10" s="2" t="n"/>
      <c r="E10" s="2" t="n"/>
      <c r="F10" s="3">
        <f>IFERROR(C10*E10,"")</f>
        <v/>
      </c>
      <c r="G10" s="4">
        <f>IFERROR(F10/SUM($F$2:$F$21),"")</f>
        <v/>
      </c>
      <c r="H10" s="5">
        <f>IFERROR((E10-D10)*C10,"")</f>
        <v/>
      </c>
      <c r="I10" s="6">
        <f>IFERROR((E10-D10)/D10,"")</f>
        <v/>
      </c>
    </row>
    <row r="11">
      <c r="D11" s="2" t="n"/>
      <c r="E11" s="2" t="n"/>
      <c r="F11" s="3">
        <f>IFERROR(C11*E11,"")</f>
        <v/>
      </c>
      <c r="G11" s="4">
        <f>IFERROR(F11/SUM($F$2:$F$21),"")</f>
        <v/>
      </c>
      <c r="H11" s="5">
        <f>IFERROR((E11-D11)*C11,"")</f>
        <v/>
      </c>
      <c r="I11" s="6">
        <f>IFERROR((E11-D11)/D11,"")</f>
        <v/>
      </c>
    </row>
    <row r="12">
      <c r="D12" s="2" t="n"/>
      <c r="E12" s="2" t="n"/>
      <c r="F12" s="3">
        <f>IFERROR(C12*E12,"")</f>
        <v/>
      </c>
      <c r="G12" s="4">
        <f>IFERROR(F12/SUM($F$2:$F$21),"")</f>
        <v/>
      </c>
      <c r="H12" s="5">
        <f>IFERROR((E12-D12)*C12,"")</f>
        <v/>
      </c>
      <c r="I12" s="6">
        <f>IFERROR((E12-D12)/D12,"")</f>
        <v/>
      </c>
    </row>
    <row r="13">
      <c r="D13" s="2" t="n"/>
      <c r="E13" s="2" t="n"/>
      <c r="F13" s="3">
        <f>IFERROR(C13*E13,"")</f>
        <v/>
      </c>
      <c r="G13" s="4">
        <f>IFERROR(F13/SUM($F$2:$F$21),"")</f>
        <v/>
      </c>
      <c r="H13" s="5">
        <f>IFERROR((E13-D13)*C13,"")</f>
        <v/>
      </c>
      <c r="I13" s="6">
        <f>IFERROR((E13-D13)/D13,"")</f>
        <v/>
      </c>
    </row>
    <row r="14">
      <c r="D14" s="2" t="n"/>
      <c r="E14" s="2" t="n"/>
      <c r="F14" s="3">
        <f>IFERROR(C14*E14,"")</f>
        <v/>
      </c>
      <c r="G14" s="4">
        <f>IFERROR(F14/SUM($F$2:$F$21),"")</f>
        <v/>
      </c>
      <c r="H14" s="5">
        <f>IFERROR((E14-D14)*C14,"")</f>
        <v/>
      </c>
      <c r="I14" s="6">
        <f>IFERROR((E14-D14)/D14,"")</f>
        <v/>
      </c>
    </row>
    <row r="15">
      <c r="D15" s="2" t="n"/>
      <c r="E15" s="2" t="n"/>
      <c r="F15" s="3">
        <f>IFERROR(C15*E15,"")</f>
        <v/>
      </c>
      <c r="G15" s="4">
        <f>IFERROR(F15/SUM($F$2:$F$21),"")</f>
        <v/>
      </c>
      <c r="H15" s="5">
        <f>IFERROR((E15-D15)*C15,"")</f>
        <v/>
      </c>
      <c r="I15" s="6">
        <f>IFERROR((E15-D15)/D15,"")</f>
        <v/>
      </c>
    </row>
    <row r="16">
      <c r="D16" s="2" t="n"/>
      <c r="E16" s="2" t="n"/>
      <c r="F16" s="3">
        <f>IFERROR(C16*E16,"")</f>
        <v/>
      </c>
      <c r="G16" s="4">
        <f>IFERROR(F16/SUM($F$2:$F$21),"")</f>
        <v/>
      </c>
      <c r="H16" s="5">
        <f>IFERROR((E16-D16)*C16,"")</f>
        <v/>
      </c>
      <c r="I16" s="6">
        <f>IFERROR((E16-D16)/D16,"")</f>
        <v/>
      </c>
    </row>
    <row r="17">
      <c r="D17" s="2" t="n"/>
      <c r="E17" s="2" t="n"/>
      <c r="F17" s="3">
        <f>IFERROR(C17*E17,"")</f>
        <v/>
      </c>
      <c r="G17" s="4">
        <f>IFERROR(F17/SUM($F$2:$F$21),"")</f>
        <v/>
      </c>
      <c r="H17" s="5">
        <f>IFERROR((E17-D17)*C17,"")</f>
        <v/>
      </c>
      <c r="I17" s="6">
        <f>IFERROR((E17-D17)/D17,"")</f>
        <v/>
      </c>
    </row>
    <row r="18">
      <c r="D18" s="2" t="n"/>
      <c r="E18" s="2" t="n"/>
      <c r="F18" s="3">
        <f>IFERROR(C18*E18,"")</f>
        <v/>
      </c>
      <c r="G18" s="4">
        <f>IFERROR(F18/SUM($F$2:$F$21),"")</f>
        <v/>
      </c>
      <c r="H18" s="5">
        <f>IFERROR((E18-D18)*C18,"")</f>
        <v/>
      </c>
      <c r="I18" s="6">
        <f>IFERROR((E18-D18)/D18,"")</f>
        <v/>
      </c>
    </row>
    <row r="19">
      <c r="D19" s="2" t="n"/>
      <c r="E19" s="2" t="n"/>
      <c r="F19" s="3">
        <f>IFERROR(C19*E19,"")</f>
        <v/>
      </c>
      <c r="G19" s="4">
        <f>IFERROR(F19/SUM($F$2:$F$21),"")</f>
        <v/>
      </c>
      <c r="H19" s="5">
        <f>IFERROR((E19-D19)*C19,"")</f>
        <v/>
      </c>
      <c r="I19" s="6">
        <f>IFERROR((E19-D19)/D19,"")</f>
        <v/>
      </c>
    </row>
    <row r="20">
      <c r="D20" s="2" t="n"/>
      <c r="E20" s="2" t="n"/>
      <c r="F20" s="3">
        <f>IFERROR(C20*E20,"")</f>
        <v/>
      </c>
      <c r="G20" s="4">
        <f>IFERROR(F20/SUM($F$2:$F$21),"")</f>
        <v/>
      </c>
      <c r="H20" s="5">
        <f>IFERROR((E20-D20)*C20,"")</f>
        <v/>
      </c>
      <c r="I20" s="6">
        <f>IFERROR((E20-D20)/D20,"")</f>
        <v/>
      </c>
    </row>
    <row r="21">
      <c r="D21" s="2" t="n"/>
      <c r="E21" s="2" t="n"/>
      <c r="F21" s="3">
        <f>IFERROR(C21*E21,"")</f>
        <v/>
      </c>
      <c r="G21" s="4">
        <f>IFERROR(F21/SUM($F$2:$F$21),"")</f>
        <v/>
      </c>
      <c r="H21" s="5">
        <f>IFERROR((E21-D21)*C21,"")</f>
        <v/>
      </c>
      <c r="I21" s="6">
        <f>IFERROR((E21-D21)/D21,"")</f>
        <v/>
      </c>
    </row>
    <row r="22">
      <c r="D22" s="2" t="n"/>
      <c r="E22" s="2" t="n"/>
      <c r="F22" s="3" t="n"/>
      <c r="G22" s="4" t="n"/>
      <c r="H22" s="5" t="n"/>
      <c r="I22" s="6" t="n"/>
    </row>
    <row r="23">
      <c r="A23" s="7" t="inlineStr">
        <is>
          <t>TOTAL</t>
        </is>
      </c>
      <c r="D23" s="2" t="n"/>
      <c r="E23" s="2" t="n"/>
      <c r="F23" s="8">
        <f>SUM(F2:F21)</f>
        <v/>
      </c>
      <c r="G23" s="9">
        <f>SUM(G2:G21)</f>
        <v/>
      </c>
      <c r="H23" s="10">
        <f>SUM(H2:H21)</f>
        <v/>
      </c>
      <c r="I23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8" customWidth="1" min="4" max="4"/>
    <col width="8" customWidth="1" min="5" max="5"/>
    <col width="11" customWidth="1" min="6" max="6"/>
    <col width="18" customWidth="1" min="7" max="7"/>
  </cols>
  <sheetData>
    <row r="1">
      <c r="A1" t="inlineStr">
        <is>
          <t>Mechanical target diff (fresh deployment — Positions sheet is empty) — not a trade recommendation; decisions are Dom's (CLAUDE.md rule 5)</t>
        </is>
      </c>
    </row>
    <row r="2">
      <c r="A2" t="inlineStr">
        <is>
          <t>Portfolio: $13,800 | Prices as of 2026-06-10</t>
        </is>
      </c>
    </row>
    <row r="3">
      <c r="A3" s="17" t="inlineStr">
        <is>
          <t>Ticker</t>
        </is>
      </c>
      <c r="B3" s="17" t="inlineStr">
        <is>
          <t>Score</t>
        </is>
      </c>
      <c r="C3" s="17" t="inlineStr">
        <is>
          <t>Target %</t>
        </is>
      </c>
      <c r="D3" s="17" t="inlineStr">
        <is>
          <t>$ Amount</t>
        </is>
      </c>
      <c r="E3" s="17" t="inlineStr">
        <is>
          <t>Price</t>
        </is>
      </c>
      <c r="F3" s="17" t="inlineStr">
        <is>
          <t>Shares</t>
        </is>
      </c>
      <c r="G3" s="17" t="inlineStr">
        <is>
          <t>Round $</t>
        </is>
      </c>
      <c r="H3" s="17" t="inlineStr">
        <is>
          <t>Delta</t>
        </is>
      </c>
    </row>
    <row r="4">
      <c r="A4" t="inlineStr">
        <is>
          <t>NVDA</t>
        </is>
      </c>
      <c r="B4" t="n">
        <v>83.3</v>
      </c>
      <c r="C4" t="n">
        <v>8.99</v>
      </c>
      <c r="D4">
        <f>C4/100*'Sizing Rules'!$B$16</f>
        <v/>
      </c>
      <c r="E4" t="n">
        <v>202.34</v>
      </c>
      <c r="F4">
        <f>IF(E4="","",ROUND(D4/E4,4))</f>
        <v/>
      </c>
      <c r="G4">
        <f>IF(E4="","",F4*E4)</f>
        <v/>
      </c>
      <c r="H4" t="inlineStr">
        <is>
          <t>NEW</t>
        </is>
      </c>
    </row>
    <row r="5">
      <c r="A5" t="inlineStr">
        <is>
          <t>TSM</t>
        </is>
      </c>
      <c r="B5" t="n">
        <v>79.8</v>
      </c>
      <c r="C5" t="n">
        <v>7.41</v>
      </c>
      <c r="D5">
        <f>C5/100*'Sizing Rules'!$B$16</f>
        <v/>
      </c>
      <c r="E5" t="n">
        <v>412.98</v>
      </c>
      <c r="F5">
        <f>IF(E5="","",ROUND(D5/E5,4))</f>
        <v/>
      </c>
      <c r="G5">
        <f>IF(E5="","",F5*E5)</f>
        <v/>
      </c>
      <c r="H5" t="inlineStr">
        <is>
          <t>NEW</t>
        </is>
      </c>
    </row>
    <row r="6">
      <c r="A6" t="inlineStr">
        <is>
          <t>SNDK</t>
        </is>
      </c>
      <c r="B6" t="n">
        <v>79.7</v>
      </c>
      <c r="C6" t="n">
        <v>7.32</v>
      </c>
      <c r="D6">
        <f>C6/100*'Sizing Rules'!$B$16</f>
        <v/>
      </c>
      <c r="E6" t="n">
        <v>1670.92</v>
      </c>
      <c r="F6">
        <f>IF(E6="","",ROUND(D6/E6,4))</f>
        <v/>
      </c>
      <c r="G6">
        <f>IF(E6="","",F6*E6)</f>
        <v/>
      </c>
      <c r="H6" t="inlineStr">
        <is>
          <t>NEW</t>
        </is>
      </c>
    </row>
    <row r="7">
      <c r="A7" t="inlineStr">
        <is>
          <t>MU</t>
        </is>
      </c>
      <c r="B7" t="n">
        <v>79.5</v>
      </c>
      <c r="C7" t="n">
        <v>7.25</v>
      </c>
      <c r="D7">
        <f>C7/100*'Sizing Rules'!$B$16</f>
        <v/>
      </c>
      <c r="E7" t="n">
        <v>901.41</v>
      </c>
      <c r="F7">
        <f>IF(E7="","",ROUND(D7/E7,4))</f>
        <v/>
      </c>
      <c r="G7">
        <f>IF(E7="","",F7*E7)</f>
        <v/>
      </c>
      <c r="H7" t="inlineStr">
        <is>
          <t>NEW</t>
        </is>
      </c>
    </row>
    <row r="8">
      <c r="A8" t="inlineStr">
        <is>
          <t>META</t>
        </is>
      </c>
      <c r="B8" t="n">
        <v>79</v>
      </c>
      <c r="C8" t="n">
        <v>7</v>
      </c>
      <c r="D8">
        <f>C8/100*'Sizing Rules'!$B$16</f>
        <v/>
      </c>
      <c r="E8" t="n">
        <v>575.47</v>
      </c>
      <c r="F8">
        <f>IF(E8="","",ROUND(D8/E8,4))</f>
        <v/>
      </c>
      <c r="G8">
        <f>IF(E8="","",F8*E8)</f>
        <v/>
      </c>
      <c r="H8" t="inlineStr">
        <is>
          <t>NEW</t>
        </is>
      </c>
    </row>
    <row r="9">
      <c r="A9" t="inlineStr">
        <is>
          <t>CRDO</t>
        </is>
      </c>
      <c r="B9" t="n">
        <v>78.3</v>
      </c>
      <c r="C9" t="n">
        <v>6.7</v>
      </c>
      <c r="D9">
        <f>C9/100*'Sizing Rules'!$B$16</f>
        <v/>
      </c>
      <c r="E9" t="n">
        <v>241.86</v>
      </c>
      <c r="F9">
        <f>IF(E9="","",ROUND(D9/E9,4))</f>
        <v/>
      </c>
      <c r="G9">
        <f>IF(E9="","",F9*E9)</f>
        <v/>
      </c>
      <c r="H9" t="inlineStr">
        <is>
          <t>NEW</t>
        </is>
      </c>
    </row>
    <row r="10">
      <c r="A10" t="inlineStr">
        <is>
          <t>GOOGL</t>
        </is>
      </c>
      <c r="B10" t="n">
        <v>77.7</v>
      </c>
      <c r="C10" t="n">
        <v>6.44</v>
      </c>
      <c r="D10">
        <f>C10/100*'Sizing Rules'!$B$16</f>
        <v/>
      </c>
      <c r="E10" t="n">
        <v>356.14</v>
      </c>
      <c r="F10">
        <f>IF(E10="","",ROUND(D10/E10,4))</f>
        <v/>
      </c>
      <c r="G10">
        <f>IF(E10="","",F10*E10)</f>
        <v/>
      </c>
      <c r="H10" t="inlineStr">
        <is>
          <t>NEW</t>
        </is>
      </c>
    </row>
    <row r="11">
      <c r="A11" t="inlineStr">
        <is>
          <t>ANET</t>
        </is>
      </c>
      <c r="B11" t="n">
        <v>77.5</v>
      </c>
      <c r="C11" t="n">
        <v>6.34</v>
      </c>
      <c r="D11">
        <f>C11/100*'Sizing Rules'!$B$16</f>
        <v/>
      </c>
      <c r="E11" t="n">
        <v>152.44</v>
      </c>
      <c r="F11">
        <f>IF(E11="","",ROUND(D11/E11,4))</f>
        <v/>
      </c>
      <c r="G11">
        <f>IF(E11="","",F11*E11)</f>
        <v/>
      </c>
      <c r="H11" t="inlineStr">
        <is>
          <t>NEW</t>
        </is>
      </c>
    </row>
    <row r="12">
      <c r="A12" t="inlineStr">
        <is>
          <t>EME</t>
        </is>
      </c>
      <c r="B12" t="n">
        <v>76.7</v>
      </c>
      <c r="C12" t="n">
        <v>5.95</v>
      </c>
      <c r="D12">
        <f>C12/100*'Sizing Rules'!$B$16</f>
        <v/>
      </c>
      <c r="E12" t="n">
        <v>788.1799999999999</v>
      </c>
      <c r="F12">
        <f>IF(E12="","",ROUND(D12/E12,4))</f>
        <v/>
      </c>
      <c r="G12">
        <f>IF(E12="","",F12*E12)</f>
        <v/>
      </c>
      <c r="H12" t="inlineStr">
        <is>
          <t>NEW</t>
        </is>
      </c>
    </row>
    <row r="13">
      <c r="A13" t="inlineStr">
        <is>
          <t>ALAB</t>
        </is>
      </c>
      <c r="B13" t="n">
        <v>76.5</v>
      </c>
      <c r="C13" t="n">
        <v>5.87</v>
      </c>
      <c r="D13">
        <f>C13/100*'Sizing Rules'!$B$16</f>
        <v/>
      </c>
      <c r="E13" t="n">
        <v>339.65</v>
      </c>
      <c r="F13">
        <f>IF(E13="","",ROUND(D13/E13,4))</f>
        <v/>
      </c>
      <c r="G13">
        <f>IF(E13="","",F13*E13)</f>
        <v/>
      </c>
      <c r="H13" t="inlineStr">
        <is>
          <t>NEW</t>
        </is>
      </c>
    </row>
    <row r="14">
      <c r="A14" t="inlineStr">
        <is>
          <t>FIX</t>
        </is>
      </c>
      <c r="B14" t="n">
        <v>76.40000000000001</v>
      </c>
      <c r="C14" t="n">
        <v>5.82</v>
      </c>
      <c r="D14">
        <f>C14/100*'Sizing Rules'!$B$16</f>
        <v/>
      </c>
      <c r="E14" t="n">
        <v>1741.8</v>
      </c>
      <c r="F14">
        <f>IF(E14="","",ROUND(D14/E14,4))</f>
        <v/>
      </c>
      <c r="G14">
        <f>IF(E14="","",F14*E14)</f>
        <v/>
      </c>
      <c r="H14" t="inlineStr">
        <is>
          <t>NEW</t>
        </is>
      </c>
    </row>
    <row r="15">
      <c r="A15" t="inlineStr">
        <is>
          <t>MSFT</t>
        </is>
      </c>
      <c r="B15" t="n">
        <v>76.2</v>
      </c>
      <c r="C15" t="n">
        <v>5.77</v>
      </c>
      <c r="D15">
        <f>C15/100*'Sizing Rules'!$B$16</f>
        <v/>
      </c>
      <c r="E15" t="n">
        <v>401.28</v>
      </c>
      <c r="F15">
        <f>IF(E15="","",ROUND(D15/E15,4))</f>
        <v/>
      </c>
      <c r="G15">
        <f>IF(E15="","",F15*E15)</f>
        <v/>
      </c>
      <c r="H15" t="inlineStr">
        <is>
          <t>NEW</t>
        </is>
      </c>
    </row>
    <row r="16">
      <c r="A16" t="inlineStr">
        <is>
          <t>PLTR</t>
        </is>
      </c>
      <c r="B16" t="n">
        <v>74.8</v>
      </c>
      <c r="C16" t="n">
        <v>5.13</v>
      </c>
      <c r="D16">
        <f>C16/100*'Sizing Rules'!$B$16</f>
        <v/>
      </c>
      <c r="E16" t="n">
        <v>131.47</v>
      </c>
      <c r="F16">
        <f>IF(E16="","",ROUND(D16/E16,4))</f>
        <v/>
      </c>
      <c r="G16">
        <f>IF(E16="","",F16*E16)</f>
        <v/>
      </c>
      <c r="H16" t="inlineStr">
        <is>
          <t>NEW</t>
        </is>
      </c>
    </row>
    <row r="17">
      <c r="A17" t="inlineStr">
        <is>
          <t>AVGO</t>
        </is>
      </c>
      <c r="B17" t="n">
        <v>74.59999999999999</v>
      </c>
      <c r="C17" t="n">
        <v>5.02</v>
      </c>
      <c r="D17">
        <f>C17/100*'Sizing Rules'!$B$16</f>
        <v/>
      </c>
      <c r="E17" t="n">
        <v>378.69</v>
      </c>
      <c r="F17">
        <f>IF(E17="","",ROUND(D17/E17,4))</f>
        <v/>
      </c>
      <c r="G17">
        <f>IF(E17="","",F17*E17)</f>
        <v/>
      </c>
      <c r="H17" t="inlineStr">
        <is>
          <t>NEW</t>
        </is>
      </c>
    </row>
    <row r="18">
      <c r="A18" t="inlineStr">
        <is>
          <t>EQT</t>
        </is>
      </c>
      <c r="B18" t="n">
        <v>73.8</v>
      </c>
      <c r="C18" t="n">
        <v>4.68</v>
      </c>
      <c r="D18">
        <f>C18/100*'Sizing Rules'!$B$16</f>
        <v/>
      </c>
      <c r="E18" t="n">
        <v>52.93</v>
      </c>
      <c r="F18">
        <f>IF(E18="","",ROUND(D18/E18,4))</f>
        <v/>
      </c>
      <c r="G18">
        <f>IF(E18="","",F18*E18)</f>
        <v/>
      </c>
      <c r="H18" t="inlineStr">
        <is>
          <t>NEW</t>
        </is>
      </c>
    </row>
    <row r="19">
      <c r="A19" t="inlineStr">
        <is>
          <t>TER</t>
        </is>
      </c>
      <c r="B19" t="n">
        <v>73</v>
      </c>
      <c r="C19" t="n">
        <v>4.29</v>
      </c>
      <c r="D19">
        <f>C19/100*'Sizing Rules'!$B$16</f>
        <v/>
      </c>
      <c r="E19" t="n">
        <v>350.63</v>
      </c>
      <c r="F19">
        <f>IF(E19="","",ROUND(D19/E19,4))</f>
        <v/>
      </c>
      <c r="G19">
        <f>IF(E19="","",F19*E19)</f>
        <v/>
      </c>
      <c r="H19" t="inlineStr">
        <is>
          <t>NEW</t>
        </is>
      </c>
    </row>
    <row r="20">
      <c r="A20" t="inlineStr">
        <is>
          <t>TOTAL</t>
        </is>
      </c>
      <c r="C20">
        <f>SUM(C4:C19)</f>
        <v/>
      </c>
      <c r="D20">
        <f>SUM(D4:D19)</f>
        <v/>
      </c>
      <c r="G20">
        <f>SUM(G4:G19)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2026-05-18T04:48:23Z</dcterms:created>
  <dcterms:modified xmlns:dcterms="http://purl.org/dc/terms/" xmlns:xsi="http://www.w3.org/2001/XMLSchema-instance" xsi:type="dcterms:W3CDTF">2026-06-10T18:26:19Z</dcterms:modified>
</cp:coreProperties>
</file>