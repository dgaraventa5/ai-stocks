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izing Rules" sheetId="2" state="visible" r:id="rId2"/>
    <sheet xmlns:r="http://schemas.openxmlformats.org/officeDocument/2006/relationships" name="Targets" sheetId="3" state="visible" r:id="rId3"/>
    <sheet xmlns:r="http://schemas.openxmlformats.org/officeDocument/2006/relationships" name="Positions" sheetId="4" state="visible" r:id="rId4"/>
    <sheet xmlns:r="http://schemas.openxmlformats.org/officeDocument/2006/relationships" name="Reconcili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&quot;$&quot;#,##0"/>
    <numFmt numFmtId="166" formatCode="0.0%"/>
    <numFmt numFmtId="167" formatCode="&quot;$&quot;#,##0;[Red]-&quot;$&quot;#,##0"/>
    <numFmt numFmtId="168" formatCode="0.0%;[Red]-0.0%"/>
    <numFmt numFmtId="169" formatCode="$#,##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  <font>
      <b val="1"/>
      <sz val="16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2" fillId="3" borderId="0" pivotButton="0" quotePrefix="0" xfId="0"/>
    <xf numFmtId="10" fontId="0" fillId="0" borderId="0" pivotButton="0" quotePrefix="0" xfId="0"/>
    <xf numFmtId="10" fontId="2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11" t="inlineStr">
        <is>
          <t>AI Supply Chain Portfolio Model</t>
        </is>
      </c>
    </row>
    <row r="4">
      <c r="A4" s="7" t="inlineStr">
        <is>
          <t>Purpose</t>
        </is>
      </c>
      <c r="B4" t="inlineStr">
        <is>
          <t>Score-driven target portfolio with manual override; tracks current vs target for rebalancing.</t>
        </is>
      </c>
    </row>
    <row r="6">
      <c r="A6" s="7" t="inlineStr">
        <is>
          <t>Sheets (in order)</t>
        </is>
      </c>
    </row>
    <row r="7">
      <c r="A7" t="inlineStr">
        <is>
          <t xml:space="preserve">  Sizing Rules</t>
        </is>
      </c>
      <c r="B7" t="inlineStr">
        <is>
          <t>Parameters (tier weights, caps, cash buffer). Edit values directly.</t>
        </is>
      </c>
    </row>
    <row r="8">
      <c r="A8" t="inlineStr">
        <is>
          <t xml:space="preserve">  Targets</t>
        </is>
      </c>
      <c r="B8" t="inlineStr">
        <is>
          <t>Score-driven target weights per ticker. Toggle Include?=Y/N to add/remove from portfolio. Snapshot of Watchlist scores; refresh with refresh_targets.py.</t>
        </is>
      </c>
    </row>
    <row r="9">
      <c r="A9" t="inlineStr">
        <is>
          <t xml:space="preserve">  Positions</t>
        </is>
      </c>
      <c r="B9" t="inlineStr">
        <is>
          <t>Manual entry: shares, cost basis, current price. Computes weight % and unrealized P/L.</t>
        </is>
      </c>
    </row>
    <row r="10">
      <c r="A10" t="inlineStr">
        <is>
          <t xml:space="preserve">  Reconciliation</t>
        </is>
      </c>
      <c r="B10" t="inlineStr">
        <is>
          <t>Target vs Current diff + suggested Action (BUY/TRIM/hold).</t>
        </is>
      </c>
    </row>
    <row r="12">
      <c r="A12" s="7" t="inlineStr">
        <is>
          <t>Methodology</t>
        </is>
      </c>
    </row>
    <row r="13">
      <c r="A13" t="inlineStr">
        <is>
          <t xml:space="preserve">  Tier weights</t>
        </is>
      </c>
      <c r="B13" t="inlineStr">
        <is>
          <t>Conviction-weighted: ✓✓✓ 8% flat, ✓✓ 3-5% linear interp over score 70-85, ✓ 1% flat, ? and ✗ 0%.</t>
        </is>
      </c>
    </row>
    <row r="14">
      <c r="A14" t="inlineStr">
        <is>
          <t xml:space="preserve">  Max single position</t>
        </is>
      </c>
      <c r="B14" t="inlineStr">
        <is>
          <t>8% (any name capped, including ✓✓✓).</t>
        </is>
      </c>
    </row>
    <row r="15">
      <c r="A15" t="inlineStr">
        <is>
          <t xml:space="preserve">  Layer cap</t>
        </is>
      </c>
      <c r="B15" t="inlineStr">
        <is>
          <t>None (pure score-driven per Dom 2026-05-18).</t>
        </is>
      </c>
    </row>
    <row r="16">
      <c r="A16" t="inlineStr">
        <is>
          <t xml:space="preserve">  Cash buffer</t>
        </is>
      </c>
      <c r="B16" t="inlineStr">
        <is>
          <t>5% default. Remainder after targets sums.</t>
        </is>
      </c>
    </row>
    <row r="17">
      <c r="A17" t="inlineStr">
        <is>
          <t xml:space="preserve">  Default Include</t>
        </is>
      </c>
      <c r="B17" t="inlineStr">
        <is>
          <t>All ✓✓✓ + top 20 ✓✓ by score = Y. Others = N. Manually toggle to customize.</t>
        </is>
      </c>
    </row>
    <row r="19">
      <c r="A19" s="7" t="inlineStr">
        <is>
          <t>Workflow</t>
        </is>
      </c>
    </row>
    <row r="20">
      <c r="A20" t="inlineStr">
        <is>
          <t xml:space="preserve">  1. Review Targets sheet — adjust Include?=Y/N to match your conviction list (target 15-25 names).</t>
        </is>
      </c>
    </row>
    <row r="21">
      <c r="A21" t="inlineStr">
        <is>
          <t xml:space="preserve">  2. Enter current positions in Positions sheet (ticker, shares, cost, current price).</t>
        </is>
      </c>
    </row>
    <row r="22">
      <c r="A22" t="inlineStr">
        <is>
          <t xml:space="preserve">  3. Check Reconciliation — see which positions need adjustment.</t>
        </is>
      </c>
    </row>
    <row r="23">
      <c r="A23" t="inlineStr">
        <is>
          <t xml:space="preserve">  4. After material rating changes (quarterly rescore), run refresh_targets.py to update scores in Targets.</t>
        </is>
      </c>
    </row>
    <row r="25">
      <c r="A25" s="7" t="inlineStr">
        <is>
          <t>Refresh command</t>
        </is>
      </c>
      <c r="B25" t="inlineStr">
        <is>
          <t>python3 scripts/refresh_targets.py  (rebuilds Targets sheet from current Watchlist)</t>
        </is>
      </c>
    </row>
    <row r="27">
      <c r="A27" s="7" t="inlineStr">
        <is>
          <t>Last built</t>
        </is>
      </c>
      <c r="B27" t="inlineStr">
        <is>
          <t>2026-05-18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14" customWidth="1" min="5" max="5"/>
  </cols>
  <sheetData>
    <row r="1">
      <c r="A1" s="12" t="inlineStr">
        <is>
          <t>Portfolio Sizing Rules</t>
        </is>
      </c>
    </row>
    <row r="3">
      <c r="A3" s="13" t="inlineStr">
        <is>
          <t>Parameter</t>
        </is>
      </c>
      <c r="B3" s="13" t="inlineStr">
        <is>
          <t>Value</t>
        </is>
      </c>
      <c r="C3" s="13" t="inlineStr">
        <is>
          <t>Notes</t>
        </is>
      </c>
    </row>
    <row r="4">
      <c r="A4" t="inlineStr">
        <is>
          <t>Cash buffer %</t>
        </is>
      </c>
      <c r="B4" s="4" t="n">
        <v>0</v>
      </c>
      <c r="C4" t="inlineStr">
        <is>
          <t>Cash buffer = 0 per Dom preference (full deployment)</t>
        </is>
      </c>
    </row>
    <row r="5">
      <c r="A5" t="inlineStr">
        <is>
          <t>Max single position %</t>
        </is>
      </c>
      <c r="B5" s="4" t="n">
        <v>0.12</v>
      </c>
      <c r="C5" t="inlineStr">
        <is>
          <t>Hard cap on any one ticker</t>
        </is>
      </c>
    </row>
    <row r="6">
      <c r="A6" t="inlineStr">
        <is>
          <t>Target position count</t>
        </is>
      </c>
      <c r="B6" t="n">
        <v>17</v>
      </c>
      <c r="C6" t="inlineStr">
        <is>
          <t>Target N positions (pure score-driven, May 2026 reweight)</t>
        </is>
      </c>
    </row>
    <row r="8">
      <c r="A8" s="7" t="inlineStr">
        <is>
          <t>Tier-based base weight</t>
        </is>
      </c>
    </row>
    <row r="9">
      <c r="A9" s="13" t="inlineStr">
        <is>
          <t>Tier</t>
        </is>
      </c>
      <c r="B9" s="13" t="inlineStr">
        <is>
          <t>Score Floor</t>
        </is>
      </c>
      <c r="C9" s="13" t="inlineStr">
        <is>
          <t>Weight @ Floor</t>
        </is>
      </c>
      <c r="D9" s="13" t="inlineStr">
        <is>
          <t>Weight @ Ceiling</t>
        </is>
      </c>
      <c r="E9" s="13" t="inlineStr">
        <is>
          <t>Score Ceiling</t>
        </is>
      </c>
    </row>
    <row r="10">
      <c r="A10" t="inlineStr">
        <is>
          <t>✓✓✓</t>
        </is>
      </c>
      <c r="B10" t="n">
        <v>85</v>
      </c>
      <c r="C10" s="4" t="n">
        <v>0.12</v>
      </c>
      <c r="D10" s="4" t="n">
        <v>0.12</v>
      </c>
      <c r="E10" t="n">
        <v>100</v>
      </c>
    </row>
    <row r="11">
      <c r="A11" t="inlineStr">
        <is>
          <t>✓✓</t>
        </is>
      </c>
      <c r="B11" t="n">
        <v>70</v>
      </c>
      <c r="C11" s="4" t="n">
        <v>0.05</v>
      </c>
      <c r="D11" s="4" t="n">
        <v>0.07000000000000001</v>
      </c>
      <c r="E11" t="n">
        <v>85</v>
      </c>
    </row>
    <row r="12">
      <c r="A12" t="inlineStr">
        <is>
          <t>✓</t>
        </is>
      </c>
      <c r="B12" t="n">
        <v>55</v>
      </c>
      <c r="C12" s="4" t="n">
        <v>0.01</v>
      </c>
      <c r="D12" s="4" t="n">
        <v>0.01</v>
      </c>
      <c r="E12" t="n">
        <v>70</v>
      </c>
    </row>
    <row r="13">
      <c r="A13" t="inlineStr">
        <is>
          <t>?</t>
        </is>
      </c>
      <c r="B13" t="n">
        <v>40</v>
      </c>
      <c r="C13" s="4" t="n">
        <v>0</v>
      </c>
      <c r="D13" s="4" t="n">
        <v>0</v>
      </c>
      <c r="E13" t="n">
        <v>55</v>
      </c>
    </row>
    <row r="14">
      <c r="A14" t="inlineStr">
        <is>
          <t>✗</t>
        </is>
      </c>
      <c r="B14" t="n">
        <v>0</v>
      </c>
      <c r="C14" s="4" t="n">
        <v>0</v>
      </c>
      <c r="D14" s="4" t="n">
        <v>0</v>
      </c>
      <c r="E14" t="n">
        <v>40</v>
      </c>
    </row>
    <row r="16">
      <c r="A16" t="inlineStr">
        <is>
          <t>Portfolio Value ($)</t>
        </is>
      </c>
      <c r="B16" t="n">
        <v>13800</v>
      </c>
      <c r="C16" t="inlineStr">
        <is>
          <t>Total capital to deploy in AI basket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38" customWidth="1" min="2" max="2"/>
    <col width="8" customWidth="1" min="3" max="3"/>
    <col width="7" customWidth="1" min="4" max="4"/>
    <col width="14" customWidth="1" min="5" max="5"/>
    <col width="11" customWidth="1" min="6" max="6"/>
    <col width="13" customWidth="1" min="7" max="7"/>
    <col width="12" customWidth="1" min="8" max="8"/>
    <col width="30" customWidth="1" min="9" max="9"/>
  </cols>
  <sheetData>
    <row r="1">
      <c r="A1" s="12" t="inlineStr">
        <is>
          <t>Target Portfolio (snapshot 2026-05-25, reweighted)</t>
        </is>
      </c>
    </row>
    <row r="3">
      <c r="A3" s="13" t="inlineStr">
        <is>
          <t>Ticker</t>
        </is>
      </c>
      <c r="B3" s="13" t="inlineStr">
        <is>
          <t>Layer</t>
        </is>
      </c>
      <c r="C3" s="13" t="inlineStr">
        <is>
          <t>TOTAL</t>
        </is>
      </c>
      <c r="D3" s="13" t="inlineStr">
        <is>
          <t>Tier</t>
        </is>
      </c>
      <c r="E3" s="13" t="inlineStr">
        <is>
          <t>Base Weight %</t>
        </is>
      </c>
      <c r="F3" s="13" t="inlineStr">
        <is>
          <t>Include?</t>
        </is>
      </c>
      <c r="G3" s="13" t="inlineStr">
        <is>
          <t>Raw Target %</t>
        </is>
      </c>
      <c r="H3" s="13" t="inlineStr">
        <is>
          <t>Capped %</t>
        </is>
      </c>
      <c r="I3" s="13" t="inlineStr">
        <is>
          <t>Notes</t>
        </is>
      </c>
    </row>
    <row r="4">
      <c r="A4" t="inlineStr">
        <is>
          <t>TSM</t>
        </is>
      </c>
      <c r="B4" t="inlineStr">
        <is>
          <t>05 Fabs &amp; Foundries</t>
        </is>
      </c>
      <c r="C4" t="n">
        <v>83.88</v>
      </c>
      <c r="D4" t="inlineStr">
        <is>
          <t>✓✓</t>
        </is>
      </c>
      <c r="E4" s="14">
        <f>IFERROR(IF(D4="✓✓✓",'Sizing Rules'!$C$10,IF(D4="✓✓",'Sizing Rules'!$C$11+(C4-'Sizing Rules'!$B$11)*('Sizing Rules'!$D$11-'Sizing Rules'!$C$11)/('Sizing Rules'!$E$11-'Sizing Rules'!$B$11),IF(D4="✓",'Sizing Rules'!$C$12,0))),0)</f>
        <v/>
      </c>
      <c r="F4" t="inlineStr">
        <is>
          <t>Y</t>
        </is>
      </c>
      <c r="G4" s="14">
        <f>IF(F4="Y",E4,0)</f>
        <v/>
      </c>
      <c r="H4" s="14">
        <f>MIN(G4,'Sizing Rules'!$B$5)</f>
        <v/>
      </c>
    </row>
    <row r="5">
      <c r="A5" t="inlineStr">
        <is>
          <t>EQT</t>
        </is>
      </c>
      <c r="B5" t="inlineStr">
        <is>
          <t>01 Power Generation / Natural gas E&amp;P (powering gas turbines for data centers)</t>
        </is>
      </c>
      <c r="C5" t="n">
        <v>82</v>
      </c>
      <c r="D5" t="inlineStr">
        <is>
          <t>✓✓</t>
        </is>
      </c>
      <c r="E5" s="14">
        <f>IFERROR(IF(D5="✓✓✓",'Sizing Rules'!$C$10,IF(D5="✓✓",'Sizing Rules'!$C$11+(C5-'Sizing Rules'!$B$11)*('Sizing Rules'!$D$11-'Sizing Rules'!$C$11)/('Sizing Rules'!$E$11-'Sizing Rules'!$B$11),IF(D5="✓",'Sizing Rules'!$C$12,0))),0)</f>
        <v/>
      </c>
      <c r="F5" t="inlineStr">
        <is>
          <t>Y</t>
        </is>
      </c>
      <c r="G5" s="14">
        <f>IF(F5="Y",E5,0)</f>
        <v/>
      </c>
      <c r="H5" s="14">
        <f>MIN(G5,'Sizing Rules'!$B$5)</f>
        <v/>
      </c>
    </row>
    <row r="6">
      <c r="A6" t="inlineStr">
        <is>
          <t>NVDA</t>
        </is>
      </c>
      <c r="B6" t="inlineStr">
        <is>
          <t>06 AI Compute Silicon / GPUs / merchant accelerators</t>
        </is>
      </c>
      <c r="C6" t="n">
        <v>81.58</v>
      </c>
      <c r="D6" t="inlineStr">
        <is>
          <t>✓✓</t>
        </is>
      </c>
      <c r="E6" s="14">
        <f>IFERROR(IF(D6="✓✓✓",'Sizing Rules'!$C$10,IF(D6="✓✓",'Sizing Rules'!$C$11+(C6-'Sizing Rules'!$B$11)*('Sizing Rules'!$D$11-'Sizing Rules'!$C$11)/('Sizing Rules'!$E$11-'Sizing Rules'!$B$11),IF(D6="✓",'Sizing Rules'!$C$12,0))),0)</f>
        <v/>
      </c>
      <c r="F6" t="inlineStr">
        <is>
          <t>Y</t>
        </is>
      </c>
      <c r="G6" s="14">
        <f>IF(F6="Y",E6,0)</f>
        <v/>
      </c>
      <c r="H6" s="14">
        <f>MIN(G6,'Sizing Rules'!$B$5)</f>
        <v/>
      </c>
    </row>
    <row r="7">
      <c r="A7" t="inlineStr">
        <is>
          <t>CRDO</t>
        </is>
      </c>
      <c r="B7" t="inlineStr">
        <is>
          <t>07 Optical, Networking &amp; Interconnect / Connectivity ASICs</t>
        </is>
      </c>
      <c r="C7" t="n">
        <v>78.40000000000001</v>
      </c>
      <c r="D7" t="inlineStr">
        <is>
          <t>✓✓</t>
        </is>
      </c>
      <c r="E7" s="14">
        <f>IFERROR(IF(D7="✓✓✓",'Sizing Rules'!$C$10,IF(D7="✓✓",'Sizing Rules'!$C$11+(C7-'Sizing Rules'!$B$11)*('Sizing Rules'!$D$11-'Sizing Rules'!$C$11)/('Sizing Rules'!$E$11-'Sizing Rules'!$B$11),IF(D7="✓",'Sizing Rules'!$C$12,0))),0)</f>
        <v/>
      </c>
      <c r="F7" t="inlineStr">
        <is>
          <t>Y</t>
        </is>
      </c>
      <c r="G7" s="14">
        <f>IF(F7="Y",E7,0)</f>
        <v/>
      </c>
      <c r="H7" s="14">
        <f>MIN(G7,'Sizing Rules'!$B$5)</f>
        <v/>
      </c>
      <c r="I7" t="inlineStr">
        <is>
          <t>Added 2026-05-25: score 78.4, ranked #4 in reweighted watchlist. Optical connectivity pure-play.</t>
        </is>
      </c>
    </row>
    <row r="8">
      <c r="A8" t="inlineStr">
        <is>
          <t>ANET</t>
        </is>
      </c>
      <c r="B8" t="inlineStr">
        <is>
          <t>07 Optical, Networking &amp; Interconnect / Networking systems</t>
        </is>
      </c>
      <c r="C8" t="n">
        <v>77.67</v>
      </c>
      <c r="D8" t="inlineStr">
        <is>
          <t>✓✓</t>
        </is>
      </c>
      <c r="E8" s="14">
        <f>IFERROR(IF(D8="✓✓✓",'Sizing Rules'!$C$10,IF(D8="✓✓",'Sizing Rules'!$C$11+(C8-'Sizing Rules'!$B$11)*('Sizing Rules'!$D$11-'Sizing Rules'!$C$11)/('Sizing Rules'!$E$11-'Sizing Rules'!$B$11),IF(D8="✓",'Sizing Rules'!$C$12,0))),0)</f>
        <v/>
      </c>
      <c r="F8" t="inlineStr">
        <is>
          <t>Y</t>
        </is>
      </c>
      <c r="G8" s="14">
        <f>IF(F8="Y",E8,0)</f>
        <v/>
      </c>
      <c r="H8" s="14">
        <f>MIN(G8,'Sizing Rules'!$B$5)</f>
        <v/>
      </c>
    </row>
    <row r="9">
      <c r="A9" t="inlineStr">
        <is>
          <t>RRC</t>
        </is>
      </c>
      <c r="B9" t="inlineStr">
        <is>
          <t>01 Power Generation / Natural gas E&amp;P (powering gas turbines for data centers)</t>
        </is>
      </c>
      <c r="C9" t="n">
        <v>77.28</v>
      </c>
      <c r="D9" t="inlineStr">
        <is>
          <t>✓✓</t>
        </is>
      </c>
      <c r="E9" s="14">
        <f>IFERROR(IF(D9="✓✓✓",'Sizing Rules'!$C$10,IF(D9="✓✓",'Sizing Rules'!$C$11+(C9-'Sizing Rules'!$B$11)*('Sizing Rules'!$D$11-'Sizing Rules'!$C$11)/('Sizing Rules'!$E$11-'Sizing Rules'!$B$11),IF(D9="✓",'Sizing Rules'!$C$12,0))),0)</f>
        <v/>
      </c>
      <c r="F9" t="inlineStr">
        <is>
          <t>Y</t>
        </is>
      </c>
      <c r="G9" s="14">
        <f>IF(F9="Y",E9,0)</f>
        <v/>
      </c>
      <c r="H9" s="14">
        <f>MIN(G9,'Sizing Rules'!$B$5)</f>
        <v/>
      </c>
    </row>
    <row r="10">
      <c r="A10" t="inlineStr">
        <is>
          <t>SNDK</t>
        </is>
      </c>
      <c r="B10" t="inlineStr">
        <is>
          <t>06 AI Compute Silicon / Memory (HBM is the bottleneck)</t>
        </is>
      </c>
      <c r="C10" t="n">
        <v>76.97</v>
      </c>
      <c r="D10" t="inlineStr">
        <is>
          <t>✓✓</t>
        </is>
      </c>
      <c r="E10" s="14">
        <f>IFERROR(IF(D10="✓✓✓",'Sizing Rules'!$C$10,IF(D10="✓✓",'Sizing Rules'!$C$11+(C10-'Sizing Rules'!$B$11)*('Sizing Rules'!$D$11-'Sizing Rules'!$C$11)/('Sizing Rules'!$E$11-'Sizing Rules'!$B$11),IF(D10="✓",'Sizing Rules'!$C$12,0))),0)</f>
        <v/>
      </c>
      <c r="F10" t="inlineStr">
        <is>
          <t>N</t>
        </is>
      </c>
      <c r="G10" s="14">
        <f>IF(F10="Y",E10,0)</f>
        <v/>
      </c>
      <c r="H10" s="14">
        <f>MIN(G10,'Sizing Rules'!$B$5)</f>
        <v/>
      </c>
      <c r="I10" t="inlineStr">
        <is>
          <t>Manually excluded 2026-05-18: $1,333 share price prevents capital-efficient sizing below ~$25k. Conscious framework override (target ~$10k portfolio).</t>
        </is>
      </c>
    </row>
    <row r="11">
      <c r="A11" t="inlineStr">
        <is>
          <t>CTRA</t>
        </is>
      </c>
      <c r="B11" t="inlineStr">
        <is>
          <t>01 Power Generation / Natural gas E&amp;P (powering gas turbines for data centers)</t>
        </is>
      </c>
      <c r="C11" t="n">
        <v>76.7</v>
      </c>
      <c r="D11" t="inlineStr">
        <is>
          <t>✓✓</t>
        </is>
      </c>
      <c r="E11" s="14">
        <f>IFERROR(IF(D11="✓✓✓",'Sizing Rules'!$C$10,IF(D11="✓✓",'Sizing Rules'!$C$11+(C11-'Sizing Rules'!$B$11)*('Sizing Rules'!$D$11-'Sizing Rules'!$C$11)/('Sizing Rules'!$E$11-'Sizing Rules'!$B$11),IF(D11="✓",'Sizing Rules'!$C$12,0))),0)</f>
        <v/>
      </c>
      <c r="F11" t="inlineStr">
        <is>
          <t>N</t>
        </is>
      </c>
      <c r="G11" s="14">
        <f>IF(F11="Y",E11,0)</f>
        <v/>
      </c>
      <c r="H11" s="14">
        <f>MIN(G11,'Sizing Rules'!$B$5)</f>
        <v/>
      </c>
      <c r="I11" t="inlineStr">
        <is>
          <t>DELISTED from NYSE 2026-05-22 — no longer tradeable. Rubric rating remains 77.67 ✓✓ for historical reference; investability override.</t>
        </is>
      </c>
    </row>
    <row r="12">
      <c r="A12" t="inlineStr">
        <is>
          <t>ALAB</t>
        </is>
      </c>
      <c r="B12" t="inlineStr">
        <is>
          <t>06 AI Compute Silicon / Custom silicon / ASIC designers</t>
        </is>
      </c>
      <c r="C12" t="n">
        <v>76.56999999999999</v>
      </c>
      <c r="D12" t="inlineStr">
        <is>
          <t>✓✓</t>
        </is>
      </c>
      <c r="E12" s="14">
        <f>IFERROR(IF(D12="✓✓✓",'Sizing Rules'!$C$10,IF(D12="✓✓",'Sizing Rules'!$C$11+(C12-'Sizing Rules'!$B$11)*('Sizing Rules'!$D$11-'Sizing Rules'!$C$11)/('Sizing Rules'!$E$11-'Sizing Rules'!$B$11),IF(D12="✓",'Sizing Rules'!$C$12,0))),0)</f>
        <v/>
      </c>
      <c r="F12" t="inlineStr">
        <is>
          <t>Y</t>
        </is>
      </c>
      <c r="G12" s="14">
        <f>IF(F12="Y",E12,0)</f>
        <v/>
      </c>
      <c r="H12" s="14">
        <f>MIN(G12,'Sizing Rules'!$B$5)</f>
        <v/>
      </c>
    </row>
    <row r="13">
      <c r="A13" t="inlineStr">
        <is>
          <t>AR</t>
        </is>
      </c>
      <c r="B13" t="inlineStr">
        <is>
          <t>01 Power Generation / Natural gas E&amp;P (powering gas turbines for data centers)</t>
        </is>
      </c>
      <c r="C13" t="n">
        <v>76.47</v>
      </c>
      <c r="D13" t="inlineStr">
        <is>
          <t>✓✓</t>
        </is>
      </c>
      <c r="E13" s="14">
        <f>IFERROR(IF(D13="✓✓✓",'Sizing Rules'!$C$10,IF(D13="✓✓",'Sizing Rules'!$C$11+(C13-'Sizing Rules'!$B$11)*('Sizing Rules'!$D$11-'Sizing Rules'!$C$11)/('Sizing Rules'!$E$11-'Sizing Rules'!$B$11),IF(D13="✓",'Sizing Rules'!$C$12,0))),0)</f>
        <v/>
      </c>
      <c r="F13" t="inlineStr">
        <is>
          <t>Y</t>
        </is>
      </c>
      <c r="G13" s="14">
        <f>IF(F13="Y",E13,0)</f>
        <v/>
      </c>
      <c r="H13" s="14">
        <f>MIN(G13,'Sizing Rules'!$B$5)</f>
        <v/>
      </c>
      <c r="I13" t="inlineStr">
        <is>
          <t>Added 2026-05-22 as substitute for CTRA (delisted). Pure score-driven pick: next-best ✓✓ at 75.62, same Layer 1 NG E&amp;P sub-category — preserves natural gas thesis concentration.</t>
        </is>
      </c>
    </row>
    <row r="14">
      <c r="A14" t="inlineStr">
        <is>
          <t>EXE</t>
        </is>
      </c>
      <c r="B14" t="inlineStr">
        <is>
          <t>01 Power Generation / Natural gas E&amp;P (powering gas turbines for data centers)</t>
        </is>
      </c>
      <c r="C14" t="n">
        <v>76.42</v>
      </c>
      <c r="D14" t="inlineStr">
        <is>
          <t>✓✓</t>
        </is>
      </c>
      <c r="E14" s="14">
        <f>IFERROR(IF(D14="✓✓✓",'Sizing Rules'!$C$10,IF(D14="✓✓",'Sizing Rules'!$C$11+(C14-'Sizing Rules'!$B$11)*('Sizing Rules'!$D$11-'Sizing Rules'!$C$11)/('Sizing Rules'!$E$11-'Sizing Rules'!$B$11),IF(D14="✓",'Sizing Rules'!$C$12,0))),0)</f>
        <v/>
      </c>
      <c r="F14" t="inlineStr">
        <is>
          <t>Y</t>
        </is>
      </c>
      <c r="G14" s="14">
        <f>IF(F14="Y",E14,0)</f>
        <v/>
      </c>
      <c r="H14" s="14">
        <f>MIN(G14,'Sizing Rules'!$B$5)</f>
        <v/>
      </c>
    </row>
    <row r="15">
      <c r="A15" t="inlineStr">
        <is>
          <t>GOOGL</t>
        </is>
      </c>
      <c r="B15" t="inlineStr">
        <is>
          <t>09 Compute-as-a-Service / Hyperscalers (public-cloud AI revenue)</t>
        </is>
      </c>
      <c r="C15" t="n">
        <v>75.92</v>
      </c>
      <c r="D15" t="inlineStr">
        <is>
          <t>✓✓</t>
        </is>
      </c>
      <c r="E15" s="14">
        <f>IFERROR(IF(D15="✓✓✓",'Sizing Rules'!$C$10,IF(D15="✓✓",'Sizing Rules'!$C$11+(C15-'Sizing Rules'!$B$11)*('Sizing Rules'!$D$11-'Sizing Rules'!$C$11)/('Sizing Rules'!$E$11-'Sizing Rules'!$B$11),IF(D15="✓",'Sizing Rules'!$C$12,0))),0)</f>
        <v/>
      </c>
      <c r="F15" t="inlineStr">
        <is>
          <t>Y</t>
        </is>
      </c>
      <c r="G15" s="14">
        <f>IF(F15="Y",E15,0)</f>
        <v/>
      </c>
      <c r="H15" s="14">
        <f>MIN(G15,'Sizing Rules'!$B$5)</f>
        <v/>
      </c>
    </row>
    <row r="16">
      <c r="A16" t="inlineStr">
        <is>
          <t>PLTR</t>
        </is>
      </c>
      <c r="B16" t="inlineStr">
        <is>
          <t>10 Models, Software &amp; Applications</t>
        </is>
      </c>
      <c r="C16" t="n">
        <v>75.55</v>
      </c>
      <c r="D16" t="inlineStr">
        <is>
          <t>✓✓</t>
        </is>
      </c>
      <c r="E16" s="14">
        <f>IFERROR(IF(D16="✓✓✓",'Sizing Rules'!$C$10,IF(D16="✓✓",'Sizing Rules'!$C$11+(C16-'Sizing Rules'!$B$11)*('Sizing Rules'!$D$11-'Sizing Rules'!$C$11)/('Sizing Rules'!$E$11-'Sizing Rules'!$B$11),IF(D16="✓",'Sizing Rules'!$C$12,0))),0)</f>
        <v/>
      </c>
      <c r="F16" t="inlineStr">
        <is>
          <t>Y</t>
        </is>
      </c>
      <c r="G16" s="14">
        <f>IF(F16="Y",E16,0)</f>
        <v/>
      </c>
      <c r="H16" s="14">
        <f>MIN(G16,'Sizing Rules'!$B$5)</f>
        <v/>
      </c>
    </row>
    <row r="17">
      <c r="A17" t="inlineStr">
        <is>
          <t>FIX</t>
        </is>
      </c>
      <c r="B17" t="inlineStr">
        <is>
          <t>03 Data Center Construction, REITs &amp; Cooling</t>
        </is>
      </c>
      <c r="C17" t="n">
        <v>75.42</v>
      </c>
      <c r="D17" t="inlineStr">
        <is>
          <t>✓✓</t>
        </is>
      </c>
      <c r="E17" s="14">
        <f>IFERROR(IF(D17="✓✓✓",'Sizing Rules'!$C$10,IF(D17="✓✓",'Sizing Rules'!$C$11+(C17-'Sizing Rules'!$B$11)*('Sizing Rules'!$D$11-'Sizing Rules'!$C$11)/('Sizing Rules'!$E$11-'Sizing Rules'!$B$11),IF(D17="✓",'Sizing Rules'!$C$12,0))),0)</f>
        <v/>
      </c>
      <c r="F17" t="inlineStr">
        <is>
          <t>N</t>
        </is>
      </c>
      <c r="G17" s="14">
        <f>IF(F17="Y",E17,0)</f>
        <v/>
      </c>
      <c r="H17" s="14">
        <f>MIN(G17,'Sizing Rules'!$B$5)</f>
        <v/>
      </c>
      <c r="I17" t="inlineStr">
        <is>
          <t>Manually excluded 2026-05-18: $1,854 share price prevents reasonable position sizing below ~$50k portfolio. Conscious framework override.</t>
        </is>
      </c>
    </row>
    <row r="18">
      <c r="A18" t="inlineStr">
        <is>
          <t>DDOG</t>
        </is>
      </c>
      <c r="B18" t="inlineStr">
        <is>
          <t>10 Models, Software &amp; Applications / AI observability &amp; infrastructure software</t>
        </is>
      </c>
      <c r="C18" t="n">
        <v>75.37</v>
      </c>
      <c r="D18" t="inlineStr">
        <is>
          <t>✓✓</t>
        </is>
      </c>
      <c r="E18" s="14">
        <f>IFERROR(IF(D18="✓✓✓",'Sizing Rules'!$C$10,IF(D18="✓✓",'Sizing Rules'!$C$11+(C18-'Sizing Rules'!$B$11)*('Sizing Rules'!$D$11-'Sizing Rules'!$C$11)/('Sizing Rules'!$E$11-'Sizing Rules'!$B$11),IF(D18="✓",'Sizing Rules'!$C$12,0))),0)</f>
        <v/>
      </c>
      <c r="F18" t="inlineStr">
        <is>
          <t>Y</t>
        </is>
      </c>
      <c r="G18" s="14">
        <f>IF(F18="Y",E18,0)</f>
        <v/>
      </c>
      <c r="H18" s="14">
        <f>MIN(G18,'Sizing Rules'!$B$5)</f>
        <v/>
      </c>
      <c r="I18" t="inlineStr">
        <is>
          <t>Added 2026-05-25: score 75.4, Quality 100, PEG 0.7. Beats 4 existing portfolio names.</t>
        </is>
      </c>
    </row>
    <row r="19">
      <c r="A19" t="inlineStr">
        <is>
          <t>EME</t>
        </is>
      </c>
      <c r="B19" t="inlineStr">
        <is>
          <t>03 Data Center Construction, REITs &amp; Cooling</t>
        </is>
      </c>
      <c r="C19" t="n">
        <v>75.22</v>
      </c>
      <c r="D19" t="inlineStr">
        <is>
          <t>✓✓</t>
        </is>
      </c>
      <c r="E19" s="14">
        <f>IFERROR(IF(D19="✓✓✓",'Sizing Rules'!$C$10,IF(D19="✓✓",'Sizing Rules'!$C$11+(C19-'Sizing Rules'!$B$11)*('Sizing Rules'!$D$11-'Sizing Rules'!$C$11)/('Sizing Rules'!$E$11-'Sizing Rules'!$B$11),IF(D19="✓",'Sizing Rules'!$C$12,0))),0)</f>
        <v/>
      </c>
      <c r="F19" t="inlineStr">
        <is>
          <t>Y</t>
        </is>
      </c>
      <c r="G19" s="14">
        <f>IF(F19="Y",E19,0)</f>
        <v/>
      </c>
      <c r="H19" s="14">
        <f>MIN(G19,'Sizing Rules'!$B$5)</f>
        <v/>
      </c>
      <c r="I19" t="inlineStr">
        <is>
          <t>Added 2026-05-25: score 75.2, DC construction, strong momentum (86.7).</t>
        </is>
      </c>
    </row>
    <row r="20">
      <c r="A20" t="inlineStr">
        <is>
          <t>CRM</t>
        </is>
      </c>
      <c r="B20" t="inlineStr">
        <is>
          <t>10 Models, Software &amp; Applications</t>
        </is>
      </c>
      <c r="C20" t="n">
        <v>74.83</v>
      </c>
      <c r="D20" t="inlineStr">
        <is>
          <t>✓✓</t>
        </is>
      </c>
      <c r="E20" s="14">
        <f>IFERROR(IF(D20="✓✓✓",'Sizing Rules'!$C$10,IF(D20="✓✓",'Sizing Rules'!$C$11+(C20-'Sizing Rules'!$B$11)*('Sizing Rules'!$D$11-'Sizing Rules'!$C$11)/('Sizing Rules'!$E$11-'Sizing Rules'!$B$11),IF(D20="✓",'Sizing Rules'!$C$12,0))),0)</f>
        <v/>
      </c>
      <c r="F20" t="inlineStr">
        <is>
          <t>Y</t>
        </is>
      </c>
      <c r="G20" s="14">
        <f>IF(F20="Y",E20,0)</f>
        <v/>
      </c>
      <c r="H20" s="14">
        <f>MIN(G20,'Sizing Rules'!$B$5)</f>
        <v/>
      </c>
      <c r="I20" t="inlineStr">
        <is>
          <t>Added 2026-05-25: score 74.8, Quality 97, PEG 0.8. Enterprise SaaS with AI exposure.</t>
        </is>
      </c>
    </row>
    <row r="21">
      <c r="A21" t="inlineStr">
        <is>
          <t>AVGO</t>
        </is>
      </c>
      <c r="B21" t="inlineStr">
        <is>
          <t>06 AI Compute Silicon / Custom silicon / ASIC designers</t>
        </is>
      </c>
      <c r="C21" t="n">
        <v>74.68000000000001</v>
      </c>
      <c r="D21" t="inlineStr">
        <is>
          <t>✓✓</t>
        </is>
      </c>
      <c r="E21" s="14">
        <f>IFERROR(IF(D21="✓✓✓",'Sizing Rules'!$C$10,IF(D21="✓✓",'Sizing Rules'!$C$11+(C21-'Sizing Rules'!$B$11)*('Sizing Rules'!$D$11-'Sizing Rules'!$C$11)/('Sizing Rules'!$E$11-'Sizing Rules'!$B$11),IF(D21="✓",'Sizing Rules'!$C$12,0))),0)</f>
        <v/>
      </c>
      <c r="F21" t="inlineStr">
        <is>
          <t>Y</t>
        </is>
      </c>
      <c r="G21" s="14">
        <f>IF(F21="Y",E21,0)</f>
        <v/>
      </c>
      <c r="H21" s="14">
        <f>MIN(G21,'Sizing Rules'!$B$5)</f>
        <v/>
      </c>
    </row>
    <row r="22">
      <c r="A22" t="inlineStr">
        <is>
          <t>MSFT</t>
        </is>
      </c>
      <c r="B22" t="inlineStr">
        <is>
          <t>09 Compute-as-a-Service / Hyperscalers (public-cloud AI revenue)</t>
        </is>
      </c>
      <c r="C22" t="n">
        <v>74.31999999999999</v>
      </c>
      <c r="D22" t="inlineStr">
        <is>
          <t>✓✓</t>
        </is>
      </c>
      <c r="E22" s="14">
        <f>IFERROR(IF(D22="✓✓✓",'Sizing Rules'!$C$10,IF(D22="✓✓",'Sizing Rules'!$C$11+(C22-'Sizing Rules'!$B$11)*('Sizing Rules'!$D$11-'Sizing Rules'!$C$11)/('Sizing Rules'!$E$11-'Sizing Rules'!$B$11),IF(D22="✓",'Sizing Rules'!$C$12,0))),0)</f>
        <v/>
      </c>
      <c r="F22" t="inlineStr">
        <is>
          <t>Y</t>
        </is>
      </c>
      <c r="G22" s="14">
        <f>IF(F22="Y",E22,0)</f>
        <v/>
      </c>
      <c r="H22" s="14">
        <f>MIN(G22,'Sizing Rules'!$B$5)</f>
        <v/>
      </c>
    </row>
    <row r="23">
      <c r="A23" t="inlineStr">
        <is>
          <t>ARM</t>
        </is>
      </c>
      <c r="B23" t="inlineStr">
        <is>
          <t>04 Semiconductor Equipment &amp; Materials / EDA &amp; IP</t>
        </is>
      </c>
      <c r="C23" t="n">
        <v>74.20999999999999</v>
      </c>
      <c r="D23" t="inlineStr">
        <is>
          <t>✓✓</t>
        </is>
      </c>
      <c r="E23" s="14">
        <f>IFERROR(IF(D23="✓✓✓",'Sizing Rules'!$C$10,IF(D23="✓✓",'Sizing Rules'!$C$11+(C23-'Sizing Rules'!$B$11)*('Sizing Rules'!$D$11-'Sizing Rules'!$C$11)/('Sizing Rules'!$E$11-'Sizing Rules'!$B$11),IF(D23="✓",'Sizing Rules'!$C$12,0))),0)</f>
        <v/>
      </c>
      <c r="F23" t="inlineStr">
        <is>
          <t>Y</t>
        </is>
      </c>
      <c r="G23" s="14">
        <f>IF(F23="Y",E23,0)</f>
        <v/>
      </c>
      <c r="H23" s="14">
        <f>MIN(G23,'Sizing Rules'!$B$5)</f>
        <v/>
      </c>
    </row>
    <row r="24">
      <c r="A24" t="inlineStr">
        <is>
          <t>AMD</t>
        </is>
      </c>
      <c r="B24" t="inlineStr">
        <is>
          <t>06 AI Compute Silicon / GPUs / merchant accelerators</t>
        </is>
      </c>
      <c r="C24" t="n">
        <v>74.12</v>
      </c>
      <c r="D24" t="inlineStr">
        <is>
          <t>✓✓</t>
        </is>
      </c>
      <c r="E24" s="14">
        <f>IFERROR(IF(D24="✓✓✓",'Sizing Rules'!$C$10,IF(D24="✓✓",'Sizing Rules'!$C$11+(C24-'Sizing Rules'!$B$11)*('Sizing Rules'!$D$11-'Sizing Rules'!$C$11)/('Sizing Rules'!$E$11-'Sizing Rules'!$B$11),IF(D24="✓",'Sizing Rules'!$C$12,0))),0)</f>
        <v/>
      </c>
      <c r="F24" t="inlineStr">
        <is>
          <t>N</t>
        </is>
      </c>
      <c r="G24" s="14">
        <f>IF(F24="Y",E24,0)</f>
        <v/>
      </c>
      <c r="H24" s="14">
        <f>MIN(G24,'Sizing Rules'!$B$5)</f>
        <v/>
      </c>
      <c r="I24" t="inlineStr">
        <is>
          <t>Removed 2026-05-25: score 74.1 fell below natural 17-name cutoff (ARM 74.2). First name out.</t>
        </is>
      </c>
    </row>
    <row r="25">
      <c r="A25" t="inlineStr">
        <is>
          <t>META</t>
        </is>
      </c>
      <c r="B25" t="inlineStr">
        <is>
          <t>09 Compute-as-a-Service / Hyperscalers (public-cloud AI revenue)</t>
        </is>
      </c>
      <c r="C25" t="n">
        <v>73.81999999999999</v>
      </c>
      <c r="D25" t="inlineStr">
        <is>
          <t>✓✓</t>
        </is>
      </c>
      <c r="E25" s="14">
        <f>IFERROR(IF(D25="✓✓✓",'Sizing Rules'!$C$10,IF(D25="✓✓",'Sizing Rules'!$C$11+(C25-'Sizing Rules'!$B$11)*('Sizing Rules'!$D$11-'Sizing Rules'!$C$11)/('Sizing Rules'!$E$11-'Sizing Rules'!$B$11),IF(D25="✓",'Sizing Rules'!$C$12,0))),0)</f>
        <v/>
      </c>
      <c r="F25" t="inlineStr">
        <is>
          <t>N</t>
        </is>
      </c>
      <c r="G25" s="14">
        <f>IF(F25="Y",E25,0)</f>
        <v/>
      </c>
      <c r="H25" s="14">
        <f>MIN(G25,'Sizing Rules'!$B$5)</f>
        <v/>
      </c>
    </row>
    <row r="26">
      <c r="A26" t="inlineStr">
        <is>
          <t>AMZN</t>
        </is>
      </c>
      <c r="B26" t="inlineStr">
        <is>
          <t>09 Compute-as-a-Service / Hyperscalers (public-cloud AI revenue)</t>
        </is>
      </c>
      <c r="C26" t="n">
        <v>73.8</v>
      </c>
      <c r="D26" t="inlineStr">
        <is>
          <t>✓✓</t>
        </is>
      </c>
      <c r="E26" s="14">
        <f>IFERROR(IF(D26="✓✓✓",'Sizing Rules'!$C$10,IF(D26="✓✓",'Sizing Rules'!$C$11+(C26-'Sizing Rules'!$B$11)*('Sizing Rules'!$D$11-'Sizing Rules'!$C$11)/('Sizing Rules'!$E$11-'Sizing Rules'!$B$11),IF(D26="✓",'Sizing Rules'!$C$12,0))),0)</f>
        <v/>
      </c>
      <c r="F26" t="inlineStr">
        <is>
          <t>N</t>
        </is>
      </c>
      <c r="G26" s="14">
        <f>IF(F26="Y",E26,0)</f>
        <v/>
      </c>
      <c r="H26" s="14">
        <f>MIN(G26,'Sizing Rules'!$B$5)</f>
        <v/>
      </c>
    </row>
    <row r="27">
      <c r="A27" t="inlineStr">
        <is>
          <t>TER</t>
        </is>
      </c>
      <c r="B27" t="inlineStr">
        <is>
          <t>04 Semiconductor Equipment &amp; Materials / Equipment</t>
        </is>
      </c>
      <c r="C27" t="n">
        <v>73.47</v>
      </c>
      <c r="D27" t="inlineStr">
        <is>
          <t>✓✓</t>
        </is>
      </c>
      <c r="E27" s="14">
        <f>IFERROR(IF(D27="✓✓✓",'Sizing Rules'!$C$10,IF(D27="✓✓",'Sizing Rules'!$C$11+(C27-'Sizing Rules'!$B$11)*('Sizing Rules'!$D$11-'Sizing Rules'!$C$11)/('Sizing Rules'!$E$11-'Sizing Rules'!$B$11),IF(D27="✓",'Sizing Rules'!$C$12,0))),0)</f>
        <v/>
      </c>
      <c r="F27" t="inlineStr">
        <is>
          <t>N</t>
        </is>
      </c>
      <c r="G27" s="14">
        <f>IF(F27="Y",E27,0)</f>
        <v/>
      </c>
      <c r="H27" s="14">
        <f>MIN(G27,'Sizing Rules'!$B$5)</f>
        <v/>
      </c>
    </row>
    <row r="28">
      <c r="A28" t="inlineStr">
        <is>
          <t>VRT</t>
        </is>
      </c>
      <c r="B28" t="inlineStr">
        <is>
          <t>03 DC Infrastructure</t>
        </is>
      </c>
      <c r="C28" t="n">
        <v>73.45</v>
      </c>
      <c r="D28" t="inlineStr">
        <is>
          <t>✓✓</t>
        </is>
      </c>
      <c r="E28" s="14">
        <f>IFERROR(IF(D28="✓✓✓",'Sizing Rules'!$C$10,IF(D28="✓✓",'Sizing Rules'!$C$11+(C28-'Sizing Rules'!$B$11)*('Sizing Rules'!$D$11-'Sizing Rules'!$C$11)/('Sizing Rules'!$E$11-'Sizing Rules'!$B$11),IF(D28="✓",'Sizing Rules'!$C$12,0))),0)</f>
        <v/>
      </c>
      <c r="F28" t="inlineStr">
        <is>
          <t>N</t>
        </is>
      </c>
      <c r="G28" s="14">
        <f>IF(F28="Y",E28,0)</f>
        <v/>
      </c>
      <c r="H28" s="14">
        <f>MIN(G28,'Sizing Rules'!$B$5)</f>
        <v/>
      </c>
    </row>
    <row r="29">
      <c r="A29" t="inlineStr">
        <is>
          <t>MRVL</t>
        </is>
      </c>
      <c r="B29" t="inlineStr">
        <is>
          <t>06 AI Compute Silicon / Custom silicon / ASIC designers</t>
        </is>
      </c>
      <c r="C29" t="n">
        <v>72.93000000000001</v>
      </c>
      <c r="D29" t="inlineStr">
        <is>
          <t>✓✓</t>
        </is>
      </c>
      <c r="E29" s="14">
        <f>IFERROR(IF(D29="✓✓✓",'Sizing Rules'!$C$10,IF(D29="✓✓",'Sizing Rules'!$C$11+(C29-'Sizing Rules'!$B$11)*('Sizing Rules'!$D$11-'Sizing Rules'!$C$11)/('Sizing Rules'!$E$11-'Sizing Rules'!$B$11),IF(D29="✓",'Sizing Rules'!$C$12,0))),0)</f>
        <v/>
      </c>
      <c r="F29" t="inlineStr">
        <is>
          <t>N</t>
        </is>
      </c>
      <c r="G29" s="14">
        <f>IF(F29="Y",E29,0)</f>
        <v/>
      </c>
      <c r="H29" s="14">
        <f>MIN(G29,'Sizing Rules'!$B$5)</f>
        <v/>
      </c>
    </row>
    <row r="30">
      <c r="A30" t="inlineStr">
        <is>
          <t>MU</t>
        </is>
      </c>
      <c r="B30" t="inlineStr">
        <is>
          <t>06 Silicon - Memory</t>
        </is>
      </c>
      <c r="C30" t="n">
        <v>72.7</v>
      </c>
      <c r="D30" t="inlineStr">
        <is>
          <t>✓✓</t>
        </is>
      </c>
      <c r="E30" s="14">
        <f>IFERROR(IF(D30="✓✓✓",'Sizing Rules'!$C$10,IF(D30="✓✓",'Sizing Rules'!$C$11+(C30-'Sizing Rules'!$B$11)*('Sizing Rules'!$D$11-'Sizing Rules'!$C$11)/('Sizing Rules'!$E$11-'Sizing Rules'!$B$11),IF(D30="✓",'Sizing Rules'!$C$12,0))),0)</f>
        <v/>
      </c>
      <c r="F30" t="inlineStr">
        <is>
          <t>N</t>
        </is>
      </c>
      <c r="G30" s="14">
        <f>IF(F30="Y",E30,0)</f>
        <v/>
      </c>
      <c r="H30" s="14">
        <f>MIN(G30,'Sizing Rules'!$B$5)</f>
        <v/>
      </c>
    </row>
    <row r="31">
      <c r="A31" t="inlineStr">
        <is>
          <t>LRCX</t>
        </is>
      </c>
      <c r="B31" t="inlineStr">
        <is>
          <t>04 Semiconductor Equipment &amp; Materials / Equipment</t>
        </is>
      </c>
      <c r="C31" t="n">
        <v>71.84999999999999</v>
      </c>
      <c r="D31" t="inlineStr">
        <is>
          <t>✓✓</t>
        </is>
      </c>
      <c r="E31" s="14">
        <f>IFERROR(IF(D31="✓✓✓",'Sizing Rules'!$C$10,IF(D31="✓✓",'Sizing Rules'!$C$11+(C31-'Sizing Rules'!$B$11)*('Sizing Rules'!$D$11-'Sizing Rules'!$C$11)/('Sizing Rules'!$E$11-'Sizing Rules'!$B$11),IF(D31="✓",'Sizing Rules'!$C$12,0))),0)</f>
        <v/>
      </c>
      <c r="F31" t="inlineStr">
        <is>
          <t>N</t>
        </is>
      </c>
      <c r="G31" s="14">
        <f>IF(F31="Y",E31,0)</f>
        <v/>
      </c>
      <c r="H31" s="14">
        <f>MIN(G31,'Sizing Rules'!$B$5)</f>
        <v/>
      </c>
    </row>
    <row r="32">
      <c r="A32" t="inlineStr">
        <is>
          <t>DELL</t>
        </is>
      </c>
      <c r="B32" t="inlineStr">
        <is>
          <t>08 Servers, Systems &amp; Liquid Cooling</t>
        </is>
      </c>
      <c r="C32" t="n">
        <v>71.78</v>
      </c>
      <c r="D32" t="inlineStr">
        <is>
          <t>✓✓</t>
        </is>
      </c>
      <c r="E32" s="14">
        <f>IFERROR(IF(D32="✓✓✓",'Sizing Rules'!$C$10,IF(D32="✓✓",'Sizing Rules'!$C$11+(C32-'Sizing Rules'!$B$11)*('Sizing Rules'!$D$11-'Sizing Rules'!$C$11)/('Sizing Rules'!$E$11-'Sizing Rules'!$B$11),IF(D32="✓",'Sizing Rules'!$C$12,0))),0)</f>
        <v/>
      </c>
      <c r="F32" t="inlineStr">
        <is>
          <t>N</t>
        </is>
      </c>
      <c r="G32" s="14">
        <f>IF(F32="Y",E32,0)</f>
        <v/>
      </c>
      <c r="H32" s="14">
        <f>MIN(G32,'Sizing Rules'!$B$5)</f>
        <v/>
      </c>
    </row>
    <row r="33">
      <c r="A33" t="inlineStr">
        <is>
          <t>APH</t>
        </is>
      </c>
      <c r="B33" t="inlineStr">
        <is>
          <t>07 Optical, Networking &amp; Interconnect / Cabling &amp; physical layer</t>
        </is>
      </c>
      <c r="C33" t="n">
        <v>71.75</v>
      </c>
      <c r="D33" t="inlineStr">
        <is>
          <t>✓✓</t>
        </is>
      </c>
      <c r="E33" s="14">
        <f>IFERROR(IF(D33="✓✓✓",'Sizing Rules'!$C$10,IF(D33="✓✓",'Sizing Rules'!$C$11+(C33-'Sizing Rules'!$B$11)*('Sizing Rules'!$D$11-'Sizing Rules'!$C$11)/('Sizing Rules'!$E$11-'Sizing Rules'!$B$11),IF(D33="✓",'Sizing Rules'!$C$12,0))),0)</f>
        <v/>
      </c>
      <c r="F33" t="inlineStr">
        <is>
          <t>N</t>
        </is>
      </c>
      <c r="G33" s="14">
        <f>IF(F33="Y",E33,0)</f>
        <v/>
      </c>
      <c r="H33" s="14">
        <f>MIN(G33,'Sizing Rules'!$B$5)</f>
        <v/>
      </c>
    </row>
    <row r="34">
      <c r="A34" t="inlineStr">
        <is>
          <t>TLN</t>
        </is>
      </c>
      <c r="B34" t="inlineStr">
        <is>
          <t>01 Power Generation / Independent Power Producers (IPPs)</t>
        </is>
      </c>
      <c r="C34" t="n">
        <v>71.58</v>
      </c>
      <c r="D34" t="inlineStr">
        <is>
          <t>✓✓</t>
        </is>
      </c>
      <c r="E34" s="14">
        <f>IFERROR(IF(D34="✓✓✓",'Sizing Rules'!$C$10,IF(D34="✓✓",'Sizing Rules'!$C$11+(C34-'Sizing Rules'!$B$11)*('Sizing Rules'!$D$11-'Sizing Rules'!$C$11)/('Sizing Rules'!$E$11-'Sizing Rules'!$B$11),IF(D34="✓",'Sizing Rules'!$C$12,0))),0)</f>
        <v/>
      </c>
      <c r="F34" t="inlineStr">
        <is>
          <t>N</t>
        </is>
      </c>
      <c r="G34" s="14">
        <f>IF(F34="Y",E34,0)</f>
        <v/>
      </c>
      <c r="H34" s="14">
        <f>MIN(G34,'Sizing Rules'!$B$5)</f>
        <v/>
      </c>
    </row>
    <row r="35">
      <c r="A35" t="inlineStr">
        <is>
          <t>GEV</t>
        </is>
      </c>
      <c r="B35" t="inlineStr">
        <is>
          <t>02 Grid Equipment</t>
        </is>
      </c>
      <c r="C35" t="n">
        <v>71.40000000000001</v>
      </c>
      <c r="D35" t="inlineStr">
        <is>
          <t>✓✓</t>
        </is>
      </c>
      <c r="E35" s="14">
        <f>IFERROR(IF(D35="✓✓✓",'Sizing Rules'!$C$10,IF(D35="✓✓",'Sizing Rules'!$C$11+(C35-'Sizing Rules'!$B$11)*('Sizing Rules'!$D$11-'Sizing Rules'!$C$11)/('Sizing Rules'!$E$11-'Sizing Rules'!$B$11),IF(D35="✓",'Sizing Rules'!$C$12,0))),0)</f>
        <v/>
      </c>
      <c r="F35" t="inlineStr">
        <is>
          <t>N</t>
        </is>
      </c>
      <c r="G35" s="14">
        <f>IF(F35="Y",E35,0)</f>
        <v/>
      </c>
      <c r="H35" s="14">
        <f>MIN(G35,'Sizing Rules'!$B$5)</f>
        <v/>
      </c>
    </row>
    <row r="36">
      <c r="A36" t="inlineStr">
        <is>
          <t>PATH</t>
        </is>
      </c>
      <c r="B36" t="inlineStr">
        <is>
          <t>10 Models, Software &amp; Applications / AI-powered automation</t>
        </is>
      </c>
      <c r="C36" t="n">
        <v>71.17</v>
      </c>
      <c r="D36" t="inlineStr">
        <is>
          <t>✓✓</t>
        </is>
      </c>
      <c r="E36" s="14">
        <f>IFERROR(IF(D36="✓✓✓",'Sizing Rules'!$C$10,IF(D36="✓✓",'Sizing Rules'!$C$11+(C36-'Sizing Rules'!$B$11)*('Sizing Rules'!$D$11-'Sizing Rules'!$C$11)/('Sizing Rules'!$E$11-'Sizing Rules'!$B$11),IF(D36="✓",'Sizing Rules'!$C$12,0))),0)</f>
        <v/>
      </c>
      <c r="F36" t="inlineStr">
        <is>
          <t>N</t>
        </is>
      </c>
      <c r="G36" s="14">
        <f>IF(F36="Y",E36,0)</f>
        <v/>
      </c>
      <c r="H36" s="14">
        <f>MIN(G36,'Sizing Rules'!$B$5)</f>
        <v/>
      </c>
    </row>
    <row r="37">
      <c r="A37" t="inlineStr">
        <is>
          <t>VST</t>
        </is>
      </c>
      <c r="B37" t="inlineStr">
        <is>
          <t>01 Power Generation / Independent Power Producers (IPPs)</t>
        </is>
      </c>
      <c r="C37" t="n">
        <v>71.03</v>
      </c>
      <c r="D37" t="inlineStr">
        <is>
          <t>✓✓</t>
        </is>
      </c>
      <c r="E37" s="14">
        <f>IFERROR(IF(D37="✓✓✓",'Sizing Rules'!$C$10,IF(D37="✓✓",'Sizing Rules'!$C$11+(C37-'Sizing Rules'!$B$11)*('Sizing Rules'!$D$11-'Sizing Rules'!$C$11)/('Sizing Rules'!$E$11-'Sizing Rules'!$B$11),IF(D37="✓",'Sizing Rules'!$C$12,0))),0)</f>
        <v/>
      </c>
      <c r="F37" t="inlineStr">
        <is>
          <t>N</t>
        </is>
      </c>
      <c r="G37" s="14">
        <f>IF(F37="Y",E37,0)</f>
        <v/>
      </c>
      <c r="H37" s="14">
        <f>MIN(G37,'Sizing Rules'!$B$5)</f>
        <v/>
      </c>
    </row>
    <row r="38">
      <c r="A38" t="inlineStr">
        <is>
          <t>KEYS</t>
        </is>
      </c>
      <c r="B38" t="inlineStr">
        <is>
          <t>04 Semiconductor Equipment &amp; Materials / Test &amp; measurement</t>
        </is>
      </c>
      <c r="C38" t="n">
        <v>70.53</v>
      </c>
      <c r="D38" t="inlineStr">
        <is>
          <t>✓✓</t>
        </is>
      </c>
      <c r="E38" s="14">
        <f>IFERROR(IF(D38="✓✓✓",'Sizing Rules'!$C$10,IF(D38="✓✓",'Sizing Rules'!$C$11+(C38-'Sizing Rules'!$B$11)*('Sizing Rules'!$D$11-'Sizing Rules'!$C$11)/('Sizing Rules'!$E$11-'Sizing Rules'!$B$11),IF(D38="✓",'Sizing Rules'!$C$12,0))),0)</f>
        <v/>
      </c>
      <c r="F38" t="inlineStr">
        <is>
          <t>N</t>
        </is>
      </c>
      <c r="G38" s="14">
        <f>IF(F38="Y",E38,0)</f>
        <v/>
      </c>
      <c r="H38" s="14">
        <f>MIN(G38,'Sizing Rules'!$B$5)</f>
        <v/>
      </c>
    </row>
    <row r="39">
      <c r="A39" t="inlineStr">
        <is>
          <t>TOELY</t>
        </is>
      </c>
      <c r="B39" t="inlineStr">
        <is>
          <t>04 Semiconductor Equipment &amp; Materials / Equipment</t>
        </is>
      </c>
      <c r="C39" t="n">
        <v>70.28</v>
      </c>
      <c r="D39" t="inlineStr">
        <is>
          <t>✓✓</t>
        </is>
      </c>
      <c r="E39" s="14">
        <f>IFERROR(IF(D39="✓✓✓",'Sizing Rules'!$C$10,IF(D39="✓✓",'Sizing Rules'!$C$11+(C39-'Sizing Rules'!$B$11)*('Sizing Rules'!$D$11-'Sizing Rules'!$C$11)/('Sizing Rules'!$E$11-'Sizing Rules'!$B$11),IF(D39="✓",'Sizing Rules'!$C$12,0))),0)</f>
        <v/>
      </c>
      <c r="F39" t="inlineStr">
        <is>
          <t>N</t>
        </is>
      </c>
      <c r="G39" s="14">
        <f>IF(F39="Y",E39,0)</f>
        <v/>
      </c>
      <c r="H39" s="14">
        <f>MIN(G39,'Sizing Rules'!$B$5)</f>
        <v/>
      </c>
    </row>
    <row r="40">
      <c r="A40" t="inlineStr">
        <is>
          <t>MPWR</t>
        </is>
      </c>
      <c r="B40" t="inlineStr">
        <is>
          <t>06 AI Compute Silicon / Power management silicon</t>
        </is>
      </c>
      <c r="C40" t="n">
        <v>69.73</v>
      </c>
      <c r="D40" t="inlineStr">
        <is>
          <t>✓</t>
        </is>
      </c>
      <c r="E40" s="14">
        <f>IFERROR(IF(D40="✓✓✓",'Sizing Rules'!$C$10,IF(D40="✓✓",'Sizing Rules'!$C$11+(C40-'Sizing Rules'!$B$11)*('Sizing Rules'!$D$11-'Sizing Rules'!$C$11)/('Sizing Rules'!$E$11-'Sizing Rules'!$B$11),IF(D40="✓",'Sizing Rules'!$C$12,0))),0)</f>
        <v/>
      </c>
      <c r="F40" t="inlineStr">
        <is>
          <t>N</t>
        </is>
      </c>
      <c r="G40" s="14">
        <f>IF(F40="Y",E40,0)</f>
        <v/>
      </c>
      <c r="H40" s="14">
        <f>MIN(G40,'Sizing Rules'!$B$5)</f>
        <v/>
      </c>
    </row>
    <row r="41">
      <c r="A41" t="inlineStr">
        <is>
          <t>NOW</t>
        </is>
      </c>
      <c r="B41" t="inlineStr">
        <is>
          <t>10 Models, Software &amp; Applications</t>
        </is>
      </c>
      <c r="C41" t="n">
        <v>69.7</v>
      </c>
      <c r="D41" t="inlineStr">
        <is>
          <t>✓</t>
        </is>
      </c>
      <c r="E41" s="14">
        <f>IFERROR(IF(D41="✓✓✓",'Sizing Rules'!$C$10,IF(D41="✓✓",'Sizing Rules'!$C$11+(C41-'Sizing Rules'!$B$11)*('Sizing Rules'!$D$11-'Sizing Rules'!$C$11)/('Sizing Rules'!$E$11-'Sizing Rules'!$B$11),IF(D41="✓",'Sizing Rules'!$C$12,0))),0)</f>
        <v/>
      </c>
      <c r="F41" t="inlineStr">
        <is>
          <t>N</t>
        </is>
      </c>
      <c r="G41" s="14">
        <f>IF(F41="Y",E41,0)</f>
        <v/>
      </c>
      <c r="H41" s="14">
        <f>MIN(G41,'Sizing Rules'!$B$5)</f>
        <v/>
      </c>
    </row>
    <row r="42">
      <c r="A42" t="inlineStr">
        <is>
          <t>SNOW</t>
        </is>
      </c>
      <c r="B42" t="inlineStr">
        <is>
          <t>10 Models, Software &amp; Applications</t>
        </is>
      </c>
      <c r="C42" t="n">
        <v>69.56999999999999</v>
      </c>
      <c r="D42" t="inlineStr">
        <is>
          <t>✓</t>
        </is>
      </c>
      <c r="E42" s="14">
        <f>IFERROR(IF(D42="✓✓✓",'Sizing Rules'!$C$10,IF(D42="✓✓",'Sizing Rules'!$C$11+(C42-'Sizing Rules'!$B$11)*('Sizing Rules'!$D$11-'Sizing Rules'!$C$11)/('Sizing Rules'!$E$11-'Sizing Rules'!$B$11),IF(D42="✓",'Sizing Rules'!$C$12,0))),0)</f>
        <v/>
      </c>
      <c r="F42" t="inlineStr">
        <is>
          <t>N</t>
        </is>
      </c>
      <c r="G42" s="14">
        <f>IF(F42="Y",E42,0)</f>
        <v/>
      </c>
      <c r="H42" s="14">
        <f>MIN(G42,'Sizing Rules'!$B$5)</f>
        <v/>
      </c>
    </row>
    <row r="43">
      <c r="A43" t="inlineStr">
        <is>
          <t>ASML</t>
        </is>
      </c>
      <c r="B43" t="inlineStr">
        <is>
          <t>04 Semiconductor Equipment &amp; Materials / Equipment</t>
        </is>
      </c>
      <c r="C43" t="n">
        <v>69.45</v>
      </c>
      <c r="D43" t="inlineStr">
        <is>
          <t>✓</t>
        </is>
      </c>
      <c r="E43" s="14">
        <f>IFERROR(IF(D43="✓✓✓",'Sizing Rules'!$C$10,IF(D43="✓✓",'Sizing Rules'!$C$11+(C43-'Sizing Rules'!$B$11)*('Sizing Rules'!$D$11-'Sizing Rules'!$C$11)/('Sizing Rules'!$E$11-'Sizing Rules'!$B$11),IF(D43="✓",'Sizing Rules'!$C$12,0))),0)</f>
        <v/>
      </c>
      <c r="F43" t="inlineStr">
        <is>
          <t>N</t>
        </is>
      </c>
      <c r="G43" s="14">
        <f>IF(F43="Y",E43,0)</f>
        <v/>
      </c>
      <c r="H43" s="14">
        <f>MIN(G43,'Sizing Rules'!$B$5)</f>
        <v/>
      </c>
    </row>
    <row r="44">
      <c r="A44" t="inlineStr">
        <is>
          <t>AMAT</t>
        </is>
      </c>
      <c r="B44" t="inlineStr">
        <is>
          <t>04 Semiconductor Equipment &amp; Materials / Equipment</t>
        </is>
      </c>
      <c r="C44" t="n">
        <v>68.87</v>
      </c>
      <c r="D44" t="inlineStr">
        <is>
          <t>✓</t>
        </is>
      </c>
      <c r="E44" s="14">
        <f>IFERROR(IF(D44="✓✓✓",'Sizing Rules'!$C$10,IF(D44="✓✓",'Sizing Rules'!$C$11+(C44-'Sizing Rules'!$B$11)*('Sizing Rules'!$D$11-'Sizing Rules'!$C$11)/('Sizing Rules'!$E$11-'Sizing Rules'!$B$11),IF(D44="✓",'Sizing Rules'!$C$12,0))),0)</f>
        <v/>
      </c>
      <c r="F44" t="inlineStr">
        <is>
          <t>N</t>
        </is>
      </c>
      <c r="G44" s="14">
        <f>IF(F44="Y",E44,0)</f>
        <v/>
      </c>
      <c r="H44" s="14">
        <f>MIN(G44,'Sizing Rules'!$B$5)</f>
        <v/>
      </c>
    </row>
    <row r="45">
      <c r="A45" t="inlineStr">
        <is>
          <t>PWR</t>
        </is>
      </c>
      <c r="B45" t="inlineStr">
        <is>
          <t>02 Grid &amp; Power Equipment</t>
        </is>
      </c>
      <c r="C45" t="n">
        <v>67.97</v>
      </c>
      <c r="D45" t="inlineStr">
        <is>
          <t>✓</t>
        </is>
      </c>
      <c r="E45" s="14">
        <f>IFERROR(IF(D45="✓✓✓",'Sizing Rules'!$C$10,IF(D45="✓✓",'Sizing Rules'!$C$11+(C45-'Sizing Rules'!$B$11)*('Sizing Rules'!$D$11-'Sizing Rules'!$C$11)/('Sizing Rules'!$E$11-'Sizing Rules'!$B$11),IF(D45="✓",'Sizing Rules'!$C$12,0))),0)</f>
        <v/>
      </c>
      <c r="F45" t="inlineStr">
        <is>
          <t>N</t>
        </is>
      </c>
      <c r="G45" s="14">
        <f>IF(F45="Y",E45,0)</f>
        <v/>
      </c>
      <c r="H45" s="14">
        <f>MIN(G45,'Sizing Rules'!$B$5)</f>
        <v/>
      </c>
    </row>
    <row r="46">
      <c r="A46" t="inlineStr">
        <is>
          <t>CCJ</t>
        </is>
      </c>
      <c r="B46" t="inlineStr">
        <is>
          <t>01 Power Generation / Nuclear-specific</t>
        </is>
      </c>
      <c r="C46" t="n">
        <v>67.90000000000001</v>
      </c>
      <c r="D46" t="inlineStr">
        <is>
          <t>✓</t>
        </is>
      </c>
      <c r="E46" s="14">
        <f>IFERROR(IF(D46="✓✓✓",'Sizing Rules'!$C$10,IF(D46="✓✓",'Sizing Rules'!$C$11+(C46-'Sizing Rules'!$B$11)*('Sizing Rules'!$D$11-'Sizing Rules'!$C$11)/('Sizing Rules'!$E$11-'Sizing Rules'!$B$11),IF(D46="✓",'Sizing Rules'!$C$12,0))),0)</f>
        <v/>
      </c>
      <c r="F46" t="inlineStr">
        <is>
          <t>N</t>
        </is>
      </c>
      <c r="G46" s="14">
        <f>IF(F46="Y",E46,0)</f>
        <v/>
      </c>
      <c r="H46" s="14">
        <f>MIN(G46,'Sizing Rules'!$B$5)</f>
        <v/>
      </c>
    </row>
    <row r="47">
      <c r="A47" t="inlineStr">
        <is>
          <t>HTHIY</t>
        </is>
      </c>
      <c r="B47" t="inlineStr">
        <is>
          <t>02 Grid &amp; Power Equipment</t>
        </is>
      </c>
      <c r="C47" t="n">
        <v>67.68000000000001</v>
      </c>
      <c r="D47" t="inlineStr">
        <is>
          <t>✓</t>
        </is>
      </c>
      <c r="E47" s="14">
        <f>IFERROR(IF(D47="✓✓✓",'Sizing Rules'!$C$10,IF(D47="✓✓",'Sizing Rules'!$C$11+(C47-'Sizing Rules'!$B$11)*('Sizing Rules'!$D$11-'Sizing Rules'!$C$11)/('Sizing Rules'!$E$11-'Sizing Rules'!$B$11),IF(D47="✓",'Sizing Rules'!$C$12,0))),0)</f>
        <v/>
      </c>
      <c r="F47" t="inlineStr">
        <is>
          <t>N</t>
        </is>
      </c>
      <c r="G47" s="14">
        <f>IF(F47="Y",E47,0)</f>
        <v/>
      </c>
      <c r="H47" s="14">
        <f>MIN(G47,'Sizing Rules'!$B$5)</f>
        <v/>
      </c>
    </row>
    <row r="48">
      <c r="A48" t="inlineStr">
        <is>
          <t>TEL</t>
        </is>
      </c>
      <c r="B48" t="inlineStr">
        <is>
          <t>07 Optical, Networking &amp; Interconnect / Cabling &amp; physical layer</t>
        </is>
      </c>
      <c r="C48" t="n">
        <v>67.59999999999999</v>
      </c>
      <c r="D48" t="inlineStr">
        <is>
          <t>✓</t>
        </is>
      </c>
      <c r="E48" s="14">
        <f>IFERROR(IF(D48="✓✓✓",'Sizing Rules'!$C$10,IF(D48="✓✓",'Sizing Rules'!$C$11+(C48-'Sizing Rules'!$B$11)*('Sizing Rules'!$D$11-'Sizing Rules'!$C$11)/('Sizing Rules'!$E$11-'Sizing Rules'!$B$11),IF(D48="✓",'Sizing Rules'!$C$12,0))),0)</f>
        <v/>
      </c>
      <c r="F48" t="inlineStr">
        <is>
          <t>N</t>
        </is>
      </c>
      <c r="G48" s="14">
        <f>IF(F48="Y",E48,0)</f>
        <v/>
      </c>
      <c r="H48" s="14">
        <f>MIN(G48,'Sizing Rules'!$B$5)</f>
        <v/>
      </c>
    </row>
    <row r="49">
      <c r="A49" t="inlineStr">
        <is>
          <t>KLAC</t>
        </is>
      </c>
      <c r="B49" t="inlineStr">
        <is>
          <t>04 Semiconductor Equipment &amp; Materials / Equipment</t>
        </is>
      </c>
      <c r="C49" t="n">
        <v>67.56999999999999</v>
      </c>
      <c r="D49" t="inlineStr">
        <is>
          <t>✓</t>
        </is>
      </c>
      <c r="E49" s="14">
        <f>IFERROR(IF(D49="✓✓✓",'Sizing Rules'!$C$10,IF(D49="✓✓",'Sizing Rules'!$C$11+(C49-'Sizing Rules'!$B$11)*('Sizing Rules'!$D$11-'Sizing Rules'!$C$11)/('Sizing Rules'!$E$11-'Sizing Rules'!$B$11),IF(D49="✓",'Sizing Rules'!$C$12,0))),0)</f>
        <v/>
      </c>
      <c r="F49" t="inlineStr">
        <is>
          <t>N</t>
        </is>
      </c>
      <c r="G49" s="14">
        <f>IF(F49="Y",E49,0)</f>
        <v/>
      </c>
      <c r="H49" s="14">
        <f>MIN(G49,'Sizing Rules'!$B$5)</f>
        <v/>
      </c>
    </row>
    <row r="50">
      <c r="A50" t="inlineStr">
        <is>
          <t>MKSI</t>
        </is>
      </c>
      <c r="B50" t="inlineStr">
        <is>
          <t>04 Semiconductor Equipment &amp; Materials / Materials &amp; consumables</t>
        </is>
      </c>
      <c r="C50" t="n">
        <v>67.47</v>
      </c>
      <c r="D50" t="inlineStr">
        <is>
          <t>✓</t>
        </is>
      </c>
      <c r="E50" s="14">
        <f>IFERROR(IF(D50="✓✓✓",'Sizing Rules'!$C$10,IF(D50="✓✓",'Sizing Rules'!$C$11+(C50-'Sizing Rules'!$B$11)*('Sizing Rules'!$D$11-'Sizing Rules'!$C$11)/('Sizing Rules'!$E$11-'Sizing Rules'!$B$11),IF(D50="✓",'Sizing Rules'!$C$12,0))),0)</f>
        <v/>
      </c>
      <c r="F50" t="inlineStr">
        <is>
          <t>N</t>
        </is>
      </c>
      <c r="G50" s="14">
        <f>IF(F50="Y",E50,0)</f>
        <v/>
      </c>
      <c r="H50" s="14">
        <f>MIN(G50,'Sizing Rules'!$B$5)</f>
        <v/>
      </c>
    </row>
    <row r="51">
      <c r="A51" t="inlineStr">
        <is>
          <t>CIEN</t>
        </is>
      </c>
      <c r="B51" t="inlineStr">
        <is>
          <t>07 Optical, Networking &amp; Interconnect / Networking systems</t>
        </is>
      </c>
      <c r="C51" t="n">
        <v>67.42</v>
      </c>
      <c r="D51" t="inlineStr">
        <is>
          <t>✓</t>
        </is>
      </c>
      <c r="E51" s="14">
        <f>IFERROR(IF(D51="✓✓✓",'Sizing Rules'!$C$10,IF(D51="✓✓",'Sizing Rules'!$C$11+(C51-'Sizing Rules'!$B$11)*('Sizing Rules'!$D$11-'Sizing Rules'!$C$11)/('Sizing Rules'!$E$11-'Sizing Rules'!$B$11),IF(D51="✓",'Sizing Rules'!$C$12,0))),0)</f>
        <v/>
      </c>
      <c r="F51" t="inlineStr">
        <is>
          <t>N</t>
        </is>
      </c>
      <c r="G51" s="14">
        <f>IF(F51="Y",E51,0)</f>
        <v/>
      </c>
      <c r="H51" s="14">
        <f>MIN(G51,'Sizing Rules'!$B$5)</f>
        <v/>
      </c>
    </row>
    <row r="52">
      <c r="A52" t="inlineStr">
        <is>
          <t>CSCO</t>
        </is>
      </c>
      <c r="B52" t="inlineStr">
        <is>
          <t>07 Optical, Networking &amp; Interconnect / Networking systems</t>
        </is>
      </c>
      <c r="C52" t="n">
        <v>67.40000000000001</v>
      </c>
      <c r="D52" t="inlineStr">
        <is>
          <t>✓</t>
        </is>
      </c>
      <c r="E52" s="14">
        <f>IFERROR(IF(D52="✓✓✓",'Sizing Rules'!$C$10,IF(D52="✓✓",'Sizing Rules'!$C$11+(C52-'Sizing Rules'!$B$11)*('Sizing Rules'!$D$11-'Sizing Rules'!$C$11)/('Sizing Rules'!$E$11-'Sizing Rules'!$B$11),IF(D52="✓",'Sizing Rules'!$C$12,0))),0)</f>
        <v/>
      </c>
      <c r="F52" t="inlineStr">
        <is>
          <t>N</t>
        </is>
      </c>
      <c r="G52" s="14">
        <f>IF(F52="Y",E52,0)</f>
        <v/>
      </c>
      <c r="H52" s="14">
        <f>MIN(G52,'Sizing Rules'!$B$5)</f>
        <v/>
      </c>
    </row>
    <row r="53">
      <c r="A53" t="inlineStr">
        <is>
          <t>CDNS</t>
        </is>
      </c>
      <c r="B53" t="inlineStr">
        <is>
          <t>04 Semiconductor Equipment &amp; Materials / EDA &amp; IP</t>
        </is>
      </c>
      <c r="C53" t="n">
        <v>67.31999999999999</v>
      </c>
      <c r="D53" t="inlineStr">
        <is>
          <t>✓</t>
        </is>
      </c>
      <c r="E53" s="14">
        <f>IFERROR(IF(D53="✓✓✓",'Sizing Rules'!$C$10,IF(D53="✓✓",'Sizing Rules'!$C$11+(C53-'Sizing Rules'!$B$11)*('Sizing Rules'!$D$11-'Sizing Rules'!$C$11)/('Sizing Rules'!$E$11-'Sizing Rules'!$B$11),IF(D53="✓",'Sizing Rules'!$C$12,0))),0)</f>
        <v/>
      </c>
      <c r="F53" t="inlineStr">
        <is>
          <t>N</t>
        </is>
      </c>
      <c r="G53" s="14">
        <f>IF(F53="Y",E53,0)</f>
        <v/>
      </c>
      <c r="H53" s="14">
        <f>MIN(G53,'Sizing Rules'!$B$5)</f>
        <v/>
      </c>
    </row>
    <row r="54">
      <c r="A54" t="inlineStr">
        <is>
          <t>UMC</t>
        </is>
      </c>
      <c r="B54" t="inlineStr">
        <is>
          <t>05 Fabs &amp; Foundries</t>
        </is>
      </c>
      <c r="C54" t="n">
        <v>67.13</v>
      </c>
      <c r="D54" t="inlineStr">
        <is>
          <t>✓</t>
        </is>
      </c>
      <c r="E54" s="14">
        <f>IFERROR(IF(D54="✓✓✓",'Sizing Rules'!$C$10,IF(D54="✓✓",'Sizing Rules'!$C$11+(C54-'Sizing Rules'!$B$11)*('Sizing Rules'!$D$11-'Sizing Rules'!$C$11)/('Sizing Rules'!$E$11-'Sizing Rules'!$B$11),IF(D54="✓",'Sizing Rules'!$C$12,0))),0)</f>
        <v/>
      </c>
      <c r="F54" t="inlineStr">
        <is>
          <t>N</t>
        </is>
      </c>
      <c r="G54" s="14">
        <f>IF(F54="Y",E54,0)</f>
        <v/>
      </c>
      <c r="H54" s="14">
        <f>MIN(G54,'Sizing Rules'!$B$5)</f>
        <v/>
      </c>
    </row>
    <row r="55">
      <c r="A55" t="inlineStr">
        <is>
          <t>GNRC</t>
        </is>
      </c>
      <c r="B55" t="inlineStr">
        <is>
          <t>01 Power Generation / Distributed / on-site power</t>
        </is>
      </c>
      <c r="C55" t="n">
        <v>66.97</v>
      </c>
      <c r="D55" t="inlineStr">
        <is>
          <t>✓</t>
        </is>
      </c>
      <c r="E55" s="14">
        <f>IFERROR(IF(D55="✓✓✓",'Sizing Rules'!$C$10,IF(D55="✓✓",'Sizing Rules'!$C$11+(C55-'Sizing Rules'!$B$11)*('Sizing Rules'!$D$11-'Sizing Rules'!$C$11)/('Sizing Rules'!$E$11-'Sizing Rules'!$B$11),IF(D55="✓",'Sizing Rules'!$C$12,0))),0)</f>
        <v/>
      </c>
      <c r="F55" t="inlineStr">
        <is>
          <t>N</t>
        </is>
      </c>
      <c r="G55" s="14">
        <f>IF(F55="Y",E55,0)</f>
        <v/>
      </c>
      <c r="H55" s="14">
        <f>MIN(G55,'Sizing Rules'!$B$5)</f>
        <v/>
      </c>
    </row>
    <row r="56">
      <c r="A56" t="inlineStr">
        <is>
          <t>ABBNY</t>
        </is>
      </c>
      <c r="B56" t="inlineStr">
        <is>
          <t>02 Grid &amp; Power Equipment</t>
        </is>
      </c>
      <c r="C56" t="n">
        <v>66.95</v>
      </c>
      <c r="D56" t="inlineStr">
        <is>
          <t>✓</t>
        </is>
      </c>
      <c r="E56" s="14">
        <f>IFERROR(IF(D56="✓✓✓",'Sizing Rules'!$C$10,IF(D56="✓✓",'Sizing Rules'!$C$11+(C56-'Sizing Rules'!$B$11)*('Sizing Rules'!$D$11-'Sizing Rules'!$C$11)/('Sizing Rules'!$E$11-'Sizing Rules'!$B$11),IF(D56="✓",'Sizing Rules'!$C$12,0))),0)</f>
        <v/>
      </c>
      <c r="F56" t="inlineStr">
        <is>
          <t>N</t>
        </is>
      </c>
      <c r="G56" s="14">
        <f>IF(F56="Y",E56,0)</f>
        <v/>
      </c>
      <c r="H56" s="14">
        <f>MIN(G56,'Sizing Rules'!$B$5)</f>
        <v/>
      </c>
    </row>
    <row r="57">
      <c r="A57" t="inlineStr">
        <is>
          <t>DLR</t>
        </is>
      </c>
      <c r="B57" t="inlineStr">
        <is>
          <t>03 Data Center Construction, REITs &amp; Cooling</t>
        </is>
      </c>
      <c r="C57" t="n">
        <v>66.90000000000001</v>
      </c>
      <c r="D57" t="inlineStr">
        <is>
          <t>✓</t>
        </is>
      </c>
      <c r="E57" s="14">
        <f>IFERROR(IF(D57="✓✓✓",'Sizing Rules'!$C$10,IF(D57="✓✓",'Sizing Rules'!$C$11+(C57-'Sizing Rules'!$B$11)*('Sizing Rules'!$D$11-'Sizing Rules'!$C$11)/('Sizing Rules'!$E$11-'Sizing Rules'!$B$11),IF(D57="✓",'Sizing Rules'!$C$12,0))),0)</f>
        <v/>
      </c>
      <c r="F57" t="inlineStr">
        <is>
          <t>N</t>
        </is>
      </c>
      <c r="G57" s="14">
        <f>IF(F57="Y",E57,0)</f>
        <v/>
      </c>
      <c r="H57" s="14">
        <f>MIN(G57,'Sizing Rules'!$B$5)</f>
        <v/>
      </c>
    </row>
    <row r="58">
      <c r="A58" t="inlineStr">
        <is>
          <t>TT</t>
        </is>
      </c>
      <c r="B58" t="inlineStr">
        <is>
          <t>03 Data Center Construction, REITs &amp; Cooling</t>
        </is>
      </c>
      <c r="C58" t="n">
        <v>66.83</v>
      </c>
      <c r="D58" t="inlineStr">
        <is>
          <t>✓</t>
        </is>
      </c>
      <c r="E58" s="14">
        <f>IFERROR(IF(D58="✓✓✓",'Sizing Rules'!$C$10,IF(D58="✓✓",'Sizing Rules'!$C$11+(C58-'Sizing Rules'!$B$11)*('Sizing Rules'!$D$11-'Sizing Rules'!$C$11)/('Sizing Rules'!$E$11-'Sizing Rules'!$B$11),IF(D58="✓",'Sizing Rules'!$C$12,0))),0)</f>
        <v/>
      </c>
      <c r="F58" t="inlineStr">
        <is>
          <t>N</t>
        </is>
      </c>
      <c r="G58" s="14">
        <f>IF(F58="Y",E58,0)</f>
        <v/>
      </c>
      <c r="H58" s="14">
        <f>MIN(G58,'Sizing Rules'!$B$5)</f>
        <v/>
      </c>
    </row>
    <row r="59">
      <c r="A59" t="inlineStr">
        <is>
          <t>GLW</t>
        </is>
      </c>
      <c r="B59" t="inlineStr">
        <is>
          <t>07 Optical, Networking &amp; Interconnect / Cabling &amp; physical layer</t>
        </is>
      </c>
      <c r="C59" t="n">
        <v>66.8</v>
      </c>
      <c r="D59" t="inlineStr">
        <is>
          <t>✓</t>
        </is>
      </c>
      <c r="E59" s="14">
        <f>IFERROR(IF(D59="✓✓✓",'Sizing Rules'!$C$10,IF(D59="✓✓",'Sizing Rules'!$C$11+(C59-'Sizing Rules'!$B$11)*('Sizing Rules'!$D$11-'Sizing Rules'!$C$11)/('Sizing Rules'!$E$11-'Sizing Rules'!$B$11),IF(D59="✓",'Sizing Rules'!$C$12,0))),0)</f>
        <v/>
      </c>
      <c r="F59" t="inlineStr">
        <is>
          <t>N</t>
        </is>
      </c>
      <c r="G59" s="14">
        <f>IF(F59="Y",E59,0)</f>
        <v/>
      </c>
      <c r="H59" s="14">
        <f>MIN(G59,'Sizing Rules'!$B$5)</f>
        <v/>
      </c>
    </row>
    <row r="60">
      <c r="A60" t="inlineStr">
        <is>
          <t>CEG</t>
        </is>
      </c>
      <c r="B60" t="inlineStr">
        <is>
          <t>01 Power - IPP / Nuclear</t>
        </is>
      </c>
      <c r="C60" t="n">
        <v>66.68000000000001</v>
      </c>
      <c r="D60" t="inlineStr">
        <is>
          <t>✓</t>
        </is>
      </c>
      <c r="E60" s="14">
        <f>IFERROR(IF(D60="✓✓✓",'Sizing Rules'!$C$10,IF(D60="✓✓",'Sizing Rules'!$C$11+(C60-'Sizing Rules'!$B$11)*('Sizing Rules'!$D$11-'Sizing Rules'!$C$11)/('Sizing Rules'!$E$11-'Sizing Rules'!$B$11),IF(D60="✓",'Sizing Rules'!$C$12,0))),0)</f>
        <v/>
      </c>
      <c r="F60" t="inlineStr">
        <is>
          <t>N</t>
        </is>
      </c>
      <c r="G60" s="14">
        <f>IF(F60="Y",E60,0)</f>
        <v/>
      </c>
      <c r="H60" s="14">
        <f>MIN(G60,'Sizing Rules'!$B$5)</f>
        <v/>
      </c>
    </row>
    <row r="61">
      <c r="A61" t="inlineStr">
        <is>
          <t>JCI</t>
        </is>
      </c>
      <c r="B61" t="inlineStr">
        <is>
          <t>03 Data Center Construction, REITs &amp; Cooling</t>
        </is>
      </c>
      <c r="C61" t="n">
        <v>66.55</v>
      </c>
      <c r="D61" t="inlineStr">
        <is>
          <t>✓</t>
        </is>
      </c>
      <c r="E61" s="14">
        <f>IFERROR(IF(D61="✓✓✓",'Sizing Rules'!$C$10,IF(D61="✓✓",'Sizing Rules'!$C$11+(C61-'Sizing Rules'!$B$11)*('Sizing Rules'!$D$11-'Sizing Rules'!$C$11)/('Sizing Rules'!$E$11-'Sizing Rules'!$B$11),IF(D61="✓",'Sizing Rules'!$C$12,0))),0)</f>
        <v/>
      </c>
      <c r="F61" t="inlineStr">
        <is>
          <t>N</t>
        </is>
      </c>
      <c r="G61" s="14">
        <f>IF(F61="Y",E61,0)</f>
        <v/>
      </c>
      <c r="H61" s="14">
        <f>MIN(G61,'Sizing Rules'!$B$5)</f>
        <v/>
      </c>
    </row>
    <row r="62">
      <c r="A62" t="inlineStr">
        <is>
          <t>FN</t>
        </is>
      </c>
      <c r="B62" t="inlineStr">
        <is>
          <t>07 Optical, Networking &amp; Interconnect / Optical components &amp; transceivers</t>
        </is>
      </c>
      <c r="C62" t="n">
        <v>66.47</v>
      </c>
      <c r="D62" t="inlineStr">
        <is>
          <t>✓</t>
        </is>
      </c>
      <c r="E62" s="14">
        <f>IFERROR(IF(D62="✓✓✓",'Sizing Rules'!$C$10,IF(D62="✓✓",'Sizing Rules'!$C$11+(C62-'Sizing Rules'!$B$11)*('Sizing Rules'!$D$11-'Sizing Rules'!$C$11)/('Sizing Rules'!$E$11-'Sizing Rules'!$B$11),IF(D62="✓",'Sizing Rules'!$C$12,0))),0)</f>
        <v/>
      </c>
      <c r="F62" t="inlineStr">
        <is>
          <t>N</t>
        </is>
      </c>
      <c r="G62" s="14">
        <f>IF(F62="Y",E62,0)</f>
        <v/>
      </c>
      <c r="H62" s="14">
        <f>MIN(G62,'Sizing Rules'!$B$5)</f>
        <v/>
      </c>
    </row>
    <row r="63">
      <c r="A63" t="inlineStr">
        <is>
          <t>MTZ</t>
        </is>
      </c>
      <c r="B63" t="inlineStr">
        <is>
          <t>02 Grid &amp; Power Equipment</t>
        </is>
      </c>
      <c r="C63" t="n">
        <v>66.37</v>
      </c>
      <c r="D63" t="inlineStr">
        <is>
          <t>✓</t>
        </is>
      </c>
      <c r="E63" s="14">
        <f>IFERROR(IF(D63="✓✓✓",'Sizing Rules'!$C$10,IF(D63="✓✓",'Sizing Rules'!$C$11+(C63-'Sizing Rules'!$B$11)*('Sizing Rules'!$D$11-'Sizing Rules'!$C$11)/('Sizing Rules'!$E$11-'Sizing Rules'!$B$11),IF(D63="✓",'Sizing Rules'!$C$12,0))),0)</f>
        <v/>
      </c>
      <c r="F63" t="inlineStr">
        <is>
          <t>N</t>
        </is>
      </c>
      <c r="G63" s="14">
        <f>IF(F63="Y",E63,0)</f>
        <v/>
      </c>
      <c r="H63" s="14">
        <f>MIN(G63,'Sizing Rules'!$B$5)</f>
        <v/>
      </c>
    </row>
    <row r="64">
      <c r="A64" t="inlineStr">
        <is>
          <t>SBGSY</t>
        </is>
      </c>
      <c r="B64" t="inlineStr">
        <is>
          <t>02 Grid &amp; Power Equipment</t>
        </is>
      </c>
      <c r="C64" t="n">
        <v>66.3</v>
      </c>
      <c r="D64" t="inlineStr">
        <is>
          <t>✓</t>
        </is>
      </c>
      <c r="E64" s="14">
        <f>IFERROR(IF(D64="✓✓✓",'Sizing Rules'!$C$10,IF(D64="✓✓",'Sizing Rules'!$C$11+(C64-'Sizing Rules'!$B$11)*('Sizing Rules'!$D$11-'Sizing Rules'!$C$11)/('Sizing Rules'!$E$11-'Sizing Rules'!$B$11),IF(D64="✓",'Sizing Rules'!$C$12,0))),0)</f>
        <v/>
      </c>
      <c r="F64" t="inlineStr">
        <is>
          <t>N</t>
        </is>
      </c>
      <c r="G64" s="14">
        <f>IF(F64="Y",E64,0)</f>
        <v/>
      </c>
      <c r="H64" s="14">
        <f>MIN(G64,'Sizing Rules'!$B$5)</f>
        <v/>
      </c>
    </row>
    <row r="65">
      <c r="A65" t="inlineStr">
        <is>
          <t>CRWD</t>
        </is>
      </c>
      <c r="B65" t="inlineStr">
        <is>
          <t>10 Models, Software &amp; Applications / AI cybersecurity</t>
        </is>
      </c>
      <c r="C65" t="n">
        <v>66.2</v>
      </c>
      <c r="D65" t="inlineStr">
        <is>
          <t>✓</t>
        </is>
      </c>
      <c r="E65" s="14">
        <f>IFERROR(IF(D65="✓✓✓",'Sizing Rules'!$C$10,IF(D65="✓✓",'Sizing Rules'!$C$11+(C65-'Sizing Rules'!$B$11)*('Sizing Rules'!$D$11-'Sizing Rules'!$C$11)/('Sizing Rules'!$E$11-'Sizing Rules'!$B$11),IF(D65="✓",'Sizing Rules'!$C$12,0))),0)</f>
        <v/>
      </c>
      <c r="F65" t="inlineStr">
        <is>
          <t>N</t>
        </is>
      </c>
      <c r="G65" s="14">
        <f>IF(F65="Y",E65,0)</f>
        <v/>
      </c>
      <c r="H65" s="14">
        <f>MIN(G65,'Sizing Rules'!$B$5)</f>
        <v/>
      </c>
    </row>
    <row r="66">
      <c r="A66" t="inlineStr">
        <is>
          <t>LITE</t>
        </is>
      </c>
      <c r="B66" t="inlineStr">
        <is>
          <t>07 Optical, Networking &amp; Interconnect / Optical components &amp; transceivers</t>
        </is>
      </c>
      <c r="C66" t="n">
        <v>65.98999999999999</v>
      </c>
      <c r="D66" t="inlineStr">
        <is>
          <t>✓</t>
        </is>
      </c>
      <c r="E66" s="14">
        <f>IFERROR(IF(D66="✓✓✓",'Sizing Rules'!$C$10,IF(D66="✓✓",'Sizing Rules'!$C$11+(C66-'Sizing Rules'!$B$11)*('Sizing Rules'!$D$11-'Sizing Rules'!$C$11)/('Sizing Rules'!$E$11-'Sizing Rules'!$B$11),IF(D66="✓",'Sizing Rules'!$C$12,0))),0)</f>
        <v/>
      </c>
      <c r="F66" t="inlineStr">
        <is>
          <t>N</t>
        </is>
      </c>
      <c r="G66" s="14">
        <f>IF(F66="Y",E66,0)</f>
        <v/>
      </c>
      <c r="H66" s="14">
        <f>MIN(G66,'Sizing Rules'!$B$5)</f>
        <v/>
      </c>
    </row>
    <row r="67">
      <c r="A67" t="inlineStr">
        <is>
          <t>NEE</t>
        </is>
      </c>
      <c r="B67" t="inlineStr">
        <is>
          <t>01 Power Generation / Regulated utilities (data-center geographic exposure)</t>
        </is>
      </c>
      <c r="C67" t="n">
        <v>65.81999999999999</v>
      </c>
      <c r="D67" t="inlineStr">
        <is>
          <t>✓</t>
        </is>
      </c>
      <c r="E67" s="14">
        <f>IFERROR(IF(D67="✓✓✓",'Sizing Rules'!$C$10,IF(D67="✓✓",'Sizing Rules'!$C$11+(C67-'Sizing Rules'!$B$11)*('Sizing Rules'!$D$11-'Sizing Rules'!$C$11)/('Sizing Rules'!$E$11-'Sizing Rules'!$B$11),IF(D67="✓",'Sizing Rules'!$C$12,0))),0)</f>
        <v/>
      </c>
      <c r="F67" t="inlineStr">
        <is>
          <t>N</t>
        </is>
      </c>
      <c r="G67" s="14">
        <f>IF(F67="Y",E67,0)</f>
        <v/>
      </c>
      <c r="H67" s="14">
        <f>MIN(G67,'Sizing Rules'!$B$5)</f>
        <v/>
      </c>
    </row>
    <row r="68">
      <c r="A68" t="inlineStr">
        <is>
          <t>NBIS</t>
        </is>
      </c>
      <c r="B68" t="inlineStr">
        <is>
          <t>09 Compute-as-a-Service / Neoclouds (AI-native cloud providers)</t>
        </is>
      </c>
      <c r="C68" t="n">
        <v>65.52</v>
      </c>
      <c r="D68" t="inlineStr">
        <is>
          <t>✓</t>
        </is>
      </c>
      <c r="E68" s="14">
        <f>IFERROR(IF(D68="✓✓✓",'Sizing Rules'!$C$10,IF(D68="✓✓",'Sizing Rules'!$C$11+(C68-'Sizing Rules'!$B$11)*('Sizing Rules'!$D$11-'Sizing Rules'!$C$11)/('Sizing Rules'!$E$11-'Sizing Rules'!$B$11),IF(D68="✓",'Sizing Rules'!$C$12,0))),0)</f>
        <v/>
      </c>
      <c r="F68" t="inlineStr">
        <is>
          <t>N</t>
        </is>
      </c>
      <c r="G68" s="14">
        <f>IF(F68="Y",E68,0)</f>
        <v/>
      </c>
      <c r="H68" s="14">
        <f>MIN(G68,'Sizing Rules'!$B$5)</f>
        <v/>
      </c>
      <c r="I68" t="inlineStr">
        <is>
          <t>Removed 2026-05-25: dropped to ✓ (65.5) after reweight. Value 7.5 penalized by higher Value weight.</t>
        </is>
      </c>
    </row>
    <row r="69">
      <c r="A69" t="inlineStr">
        <is>
          <t>POWL</t>
        </is>
      </c>
      <c r="B69" t="inlineStr">
        <is>
          <t>02 Grid &amp; Power Equipment</t>
        </is>
      </c>
      <c r="C69" t="n">
        <v>65.5</v>
      </c>
      <c r="D69" t="inlineStr">
        <is>
          <t>✓</t>
        </is>
      </c>
      <c r="E69" s="14">
        <f>IFERROR(IF(D69="✓✓✓",'Sizing Rules'!$C$10,IF(D69="✓✓",'Sizing Rules'!$C$11+(C69-'Sizing Rules'!$B$11)*('Sizing Rules'!$D$11-'Sizing Rules'!$C$11)/('Sizing Rules'!$E$11-'Sizing Rules'!$B$11),IF(D69="✓",'Sizing Rules'!$C$12,0))),0)</f>
        <v/>
      </c>
      <c r="F69" t="inlineStr">
        <is>
          <t>N</t>
        </is>
      </c>
      <c r="G69" s="14">
        <f>IF(F69="Y",E69,0)</f>
        <v/>
      </c>
      <c r="H69" s="14">
        <f>MIN(G69,'Sizing Rules'!$B$5)</f>
        <v/>
      </c>
    </row>
    <row r="70">
      <c r="A70" t="inlineStr">
        <is>
          <t>ENTG</t>
        </is>
      </c>
      <c r="B70" t="inlineStr">
        <is>
          <t>04 Semiconductor Equipment &amp; Materials / Materials &amp; consumables</t>
        </is>
      </c>
      <c r="C70" t="n">
        <v>65.31999999999999</v>
      </c>
      <c r="D70" t="inlineStr">
        <is>
          <t>✓</t>
        </is>
      </c>
      <c r="E70" s="14">
        <f>IFERROR(IF(D70="✓✓✓",'Sizing Rules'!$C$10,IF(D70="✓✓",'Sizing Rules'!$C$11+(C70-'Sizing Rules'!$B$11)*('Sizing Rules'!$D$11-'Sizing Rules'!$C$11)/('Sizing Rules'!$E$11-'Sizing Rules'!$B$11),IF(D70="✓",'Sizing Rules'!$C$12,0))),0)</f>
        <v/>
      </c>
      <c r="F70" t="inlineStr">
        <is>
          <t>N</t>
        </is>
      </c>
      <c r="G70" s="14">
        <f>IF(F70="Y",E70,0)</f>
        <v/>
      </c>
      <c r="H70" s="14">
        <f>MIN(G70,'Sizing Rules'!$B$5)</f>
        <v/>
      </c>
    </row>
    <row r="71">
      <c r="A71" t="inlineStr">
        <is>
          <t>EQIX</t>
        </is>
      </c>
      <c r="B71" t="inlineStr">
        <is>
          <t>03 Data Center Construction, REITs &amp; Cooling</t>
        </is>
      </c>
      <c r="C71" t="n">
        <v>65.05</v>
      </c>
      <c r="D71" t="inlineStr">
        <is>
          <t>✓</t>
        </is>
      </c>
      <c r="E71" s="14">
        <f>IFERROR(IF(D71="✓✓✓",'Sizing Rules'!$C$10,IF(D71="✓✓",'Sizing Rules'!$C$11+(C71-'Sizing Rules'!$B$11)*('Sizing Rules'!$D$11-'Sizing Rules'!$C$11)/('Sizing Rules'!$E$11-'Sizing Rules'!$B$11),IF(D71="✓",'Sizing Rules'!$C$12,0))),0)</f>
        <v/>
      </c>
      <c r="F71" t="inlineStr">
        <is>
          <t>N</t>
        </is>
      </c>
      <c r="G71" s="14">
        <f>IF(F71="Y",E71,0)</f>
        <v/>
      </c>
      <c r="H71" s="14">
        <f>MIN(G71,'Sizing Rules'!$B$5)</f>
        <v/>
      </c>
    </row>
    <row r="72">
      <c r="A72" t="inlineStr">
        <is>
          <t>BE</t>
        </is>
      </c>
      <c r="B72" t="inlineStr">
        <is>
          <t>01 Power - Distributed</t>
        </is>
      </c>
      <c r="C72" t="n">
        <v>65.02</v>
      </c>
      <c r="D72" t="inlineStr">
        <is>
          <t>✓</t>
        </is>
      </c>
      <c r="E72" s="14">
        <f>IFERROR(IF(D72="✓✓✓",'Sizing Rules'!$C$10,IF(D72="✓✓",'Sizing Rules'!$C$11+(C72-'Sizing Rules'!$B$11)*('Sizing Rules'!$D$11-'Sizing Rules'!$C$11)/('Sizing Rules'!$E$11-'Sizing Rules'!$B$11),IF(D72="✓",'Sizing Rules'!$C$12,0))),0)</f>
        <v/>
      </c>
      <c r="F72" t="inlineStr">
        <is>
          <t>N</t>
        </is>
      </c>
      <c r="G72" s="14">
        <f>IF(F72="Y",E72,0)</f>
        <v/>
      </c>
      <c r="H72" s="14">
        <f>MIN(G72,'Sizing Rules'!$B$5)</f>
        <v/>
      </c>
    </row>
    <row r="73">
      <c r="A73" t="inlineStr">
        <is>
          <t>ONTO</t>
        </is>
      </c>
      <c r="B73" t="inlineStr">
        <is>
          <t>04 Semiconductor Equipment &amp; Materials / Equipment</t>
        </is>
      </c>
      <c r="C73" t="n">
        <v>65.02</v>
      </c>
      <c r="D73" t="inlineStr">
        <is>
          <t>✓</t>
        </is>
      </c>
      <c r="E73" s="14">
        <f>IFERROR(IF(D73="✓✓✓",'Sizing Rules'!$C$10,IF(D73="✓✓",'Sizing Rules'!$C$11+(C73-'Sizing Rules'!$B$11)*('Sizing Rules'!$D$11-'Sizing Rules'!$C$11)/('Sizing Rules'!$E$11-'Sizing Rules'!$B$11),IF(D73="✓",'Sizing Rules'!$C$12,0))),0)</f>
        <v/>
      </c>
      <c r="F73" t="inlineStr">
        <is>
          <t>N</t>
        </is>
      </c>
      <c r="G73" s="14">
        <f>IF(F73="Y",E73,0)</f>
        <v/>
      </c>
      <c r="H73" s="14">
        <f>MIN(G73,'Sizing Rules'!$B$5)</f>
        <v/>
      </c>
    </row>
    <row r="74">
      <c r="A74" t="inlineStr">
        <is>
          <t>COHR</t>
        </is>
      </c>
      <c r="B74" t="inlineStr">
        <is>
          <t>07 Optical, Networking &amp; Interconnect / Optical components &amp; transceivers</t>
        </is>
      </c>
      <c r="C74" t="n">
        <v>64.90000000000001</v>
      </c>
      <c r="D74" t="inlineStr">
        <is>
          <t>✓</t>
        </is>
      </c>
      <c r="E74" s="14">
        <f>IFERROR(IF(D74="✓✓✓",'Sizing Rules'!$C$10,IF(D74="✓✓",'Sizing Rules'!$C$11+(C74-'Sizing Rules'!$B$11)*('Sizing Rules'!$D$11-'Sizing Rules'!$C$11)/('Sizing Rules'!$E$11-'Sizing Rules'!$B$11),IF(D74="✓",'Sizing Rules'!$C$12,0))),0)</f>
        <v/>
      </c>
      <c r="F74" t="inlineStr">
        <is>
          <t>N</t>
        </is>
      </c>
      <c r="G74" s="14">
        <f>IF(F74="Y",E74,0)</f>
        <v/>
      </c>
      <c r="H74" s="14">
        <f>MIN(G74,'Sizing Rules'!$B$5)</f>
        <v/>
      </c>
    </row>
    <row r="75">
      <c r="A75" t="inlineStr">
        <is>
          <t>AEP</t>
        </is>
      </c>
      <c r="B75" t="inlineStr">
        <is>
          <t>01 Power Generation / Regulated utilities (data-center geographic exposure)</t>
        </is>
      </c>
      <c r="C75" t="n">
        <v>64.65000000000001</v>
      </c>
      <c r="D75" t="inlineStr">
        <is>
          <t>✓</t>
        </is>
      </c>
      <c r="E75" s="14">
        <f>IFERROR(IF(D75="✓✓✓",'Sizing Rules'!$C$10,IF(D75="✓✓",'Sizing Rules'!$C$11+(C75-'Sizing Rules'!$B$11)*('Sizing Rules'!$D$11-'Sizing Rules'!$C$11)/('Sizing Rules'!$E$11-'Sizing Rules'!$B$11),IF(D75="✓",'Sizing Rules'!$C$12,0))),0)</f>
        <v/>
      </c>
      <c r="F75" t="inlineStr">
        <is>
          <t>N</t>
        </is>
      </c>
      <c r="G75" s="14">
        <f>IF(F75="Y",E75,0)</f>
        <v/>
      </c>
      <c r="H75" s="14">
        <f>MIN(G75,'Sizing Rules'!$B$5)</f>
        <v/>
      </c>
    </row>
    <row r="76">
      <c r="A76" t="inlineStr">
        <is>
          <t>CMI</t>
        </is>
      </c>
      <c r="B76" t="inlineStr">
        <is>
          <t>01 Power Generation / Distributed / on-site power</t>
        </is>
      </c>
      <c r="C76" t="n">
        <v>64.47</v>
      </c>
      <c r="D76" t="inlineStr">
        <is>
          <t>✓</t>
        </is>
      </c>
      <c r="E76" s="14">
        <f>IFERROR(IF(D76="✓✓✓",'Sizing Rules'!$C$10,IF(D76="✓✓",'Sizing Rules'!$C$11+(C76-'Sizing Rules'!$B$11)*('Sizing Rules'!$D$11-'Sizing Rules'!$C$11)/('Sizing Rules'!$E$11-'Sizing Rules'!$B$11),IF(D76="✓",'Sizing Rules'!$C$12,0))),0)</f>
        <v/>
      </c>
      <c r="F76" t="inlineStr">
        <is>
          <t>N</t>
        </is>
      </c>
      <c r="G76" s="14">
        <f>IF(F76="Y",E76,0)</f>
        <v/>
      </c>
      <c r="H76" s="14">
        <f>MIN(G76,'Sizing Rules'!$B$5)</f>
        <v/>
      </c>
    </row>
    <row r="77">
      <c r="A77" t="inlineStr">
        <is>
          <t>SNPS</t>
        </is>
      </c>
      <c r="B77" t="inlineStr">
        <is>
          <t>04 Semiconductor Equipment &amp; Materials / EDA &amp; IP</t>
        </is>
      </c>
      <c r="C77" t="n">
        <v>64.34999999999999</v>
      </c>
      <c r="D77" t="inlineStr">
        <is>
          <t>✓</t>
        </is>
      </c>
      <c r="E77" s="14">
        <f>IFERROR(IF(D77="✓✓✓",'Sizing Rules'!$C$10,IF(D77="✓✓",'Sizing Rules'!$C$11+(C77-'Sizing Rules'!$B$11)*('Sizing Rules'!$D$11-'Sizing Rules'!$C$11)/('Sizing Rules'!$E$11-'Sizing Rules'!$B$11),IF(D77="✓",'Sizing Rules'!$C$12,0))),0)</f>
        <v/>
      </c>
      <c r="F77" t="inlineStr">
        <is>
          <t>N</t>
        </is>
      </c>
      <c r="G77" s="14">
        <f>IF(F77="Y",E77,0)</f>
        <v/>
      </c>
      <c r="H77" s="14">
        <f>MIN(G77,'Sizing Rules'!$B$5)</f>
        <v/>
      </c>
    </row>
    <row r="78">
      <c r="A78" t="inlineStr">
        <is>
          <t>NVT</t>
        </is>
      </c>
      <c r="B78" t="inlineStr">
        <is>
          <t>02 Grid &amp; Power Equipment</t>
        </is>
      </c>
      <c r="C78" t="n">
        <v>64.22</v>
      </c>
      <c r="D78" t="inlineStr">
        <is>
          <t>✓</t>
        </is>
      </c>
      <c r="E78" s="14">
        <f>IFERROR(IF(D78="✓✓✓",'Sizing Rules'!$C$10,IF(D78="✓✓",'Sizing Rules'!$C$11+(C78-'Sizing Rules'!$B$11)*('Sizing Rules'!$D$11-'Sizing Rules'!$C$11)/('Sizing Rules'!$E$11-'Sizing Rules'!$B$11),IF(D78="✓",'Sizing Rules'!$C$12,0))),0)</f>
        <v/>
      </c>
      <c r="F78" t="inlineStr">
        <is>
          <t>N</t>
        </is>
      </c>
      <c r="G78" s="14">
        <f>IF(F78="Y",E78,0)</f>
        <v/>
      </c>
      <c r="H78" s="14">
        <f>MIN(G78,'Sizing Rules'!$B$5)</f>
        <v/>
      </c>
    </row>
    <row r="79">
      <c r="A79" t="inlineStr">
        <is>
          <t>KLIC</t>
        </is>
      </c>
      <c r="B79" t="inlineStr">
        <is>
          <t>04 Semiconductor Equipment &amp; Materials / Equipment</t>
        </is>
      </c>
      <c r="C79" t="n">
        <v>63.91</v>
      </c>
      <c r="D79" t="inlineStr">
        <is>
          <t>✓</t>
        </is>
      </c>
      <c r="E79" s="14">
        <f>IFERROR(IF(D79="✓✓✓",'Sizing Rules'!$C$10,IF(D79="✓✓",'Sizing Rules'!$C$11+(C79-'Sizing Rules'!$B$11)*('Sizing Rules'!$D$11-'Sizing Rules'!$C$11)/('Sizing Rules'!$E$11-'Sizing Rules'!$B$11),IF(D79="✓",'Sizing Rules'!$C$12,0))),0)</f>
        <v/>
      </c>
      <c r="F79" t="inlineStr">
        <is>
          <t>N</t>
        </is>
      </c>
      <c r="G79" s="14">
        <f>IF(F79="Y",E79,0)</f>
        <v/>
      </c>
      <c r="H79" s="14">
        <f>MIN(G79,'Sizing Rules'!$B$5)</f>
        <v/>
      </c>
    </row>
    <row r="80">
      <c r="A80" t="inlineStr">
        <is>
          <t>DUK</t>
        </is>
      </c>
      <c r="B80" t="inlineStr">
        <is>
          <t>01 Power Generation / Regulated utilities (data-center geographic exposure)</t>
        </is>
      </c>
      <c r="C80" t="n">
        <v>63.82</v>
      </c>
      <c r="D80" t="inlineStr">
        <is>
          <t>✓</t>
        </is>
      </c>
      <c r="E80" s="14">
        <f>IFERROR(IF(D80="✓✓✓",'Sizing Rules'!$C$10,IF(D80="✓✓",'Sizing Rules'!$C$11+(C80-'Sizing Rules'!$B$11)*('Sizing Rules'!$D$11-'Sizing Rules'!$C$11)/('Sizing Rules'!$E$11-'Sizing Rules'!$B$11),IF(D80="✓",'Sizing Rules'!$C$12,0))),0)</f>
        <v/>
      </c>
      <c r="F80" t="inlineStr">
        <is>
          <t>N</t>
        </is>
      </c>
      <c r="G80" s="14">
        <f>IF(F80="Y",E80,0)</f>
        <v/>
      </c>
      <c r="H80" s="14">
        <f>MIN(G80,'Sizing Rules'!$B$5)</f>
        <v/>
      </c>
    </row>
    <row r="81">
      <c r="A81" t="inlineStr">
        <is>
          <t>HUBB</t>
        </is>
      </c>
      <c r="B81" t="inlineStr">
        <is>
          <t>02 Grid &amp; Power Equipment</t>
        </is>
      </c>
      <c r="C81" t="n">
        <v>63.72</v>
      </c>
      <c r="D81" t="inlineStr">
        <is>
          <t>✓</t>
        </is>
      </c>
      <c r="E81" s="14">
        <f>IFERROR(IF(D81="✓✓✓",'Sizing Rules'!$C$10,IF(D81="✓✓",'Sizing Rules'!$C$11+(C81-'Sizing Rules'!$B$11)*('Sizing Rules'!$D$11-'Sizing Rules'!$C$11)/('Sizing Rules'!$E$11-'Sizing Rules'!$B$11),IF(D81="✓",'Sizing Rules'!$C$12,0))),0)</f>
        <v/>
      </c>
      <c r="F81" t="inlineStr">
        <is>
          <t>N</t>
        </is>
      </c>
      <c r="G81" s="14">
        <f>IF(F81="Y",E81,0)</f>
        <v/>
      </c>
      <c r="H81" s="14">
        <f>MIN(G81,'Sizing Rules'!$B$5)</f>
        <v/>
      </c>
    </row>
    <row r="82">
      <c r="A82" t="inlineStr">
        <is>
          <t>BWXT</t>
        </is>
      </c>
      <c r="B82" t="inlineStr">
        <is>
          <t>01 Power Generation / Nuclear-specific</t>
        </is>
      </c>
      <c r="C82" t="n">
        <v>63.57</v>
      </c>
      <c r="D82" t="inlineStr">
        <is>
          <t>✓</t>
        </is>
      </c>
      <c r="E82" s="14">
        <f>IFERROR(IF(D82="✓✓✓",'Sizing Rules'!$C$10,IF(D82="✓✓",'Sizing Rules'!$C$11+(C82-'Sizing Rules'!$B$11)*('Sizing Rules'!$D$11-'Sizing Rules'!$C$11)/('Sizing Rules'!$E$11-'Sizing Rules'!$B$11),IF(D82="✓",'Sizing Rules'!$C$12,0))),0)</f>
        <v/>
      </c>
      <c r="F82" t="inlineStr">
        <is>
          <t>N</t>
        </is>
      </c>
      <c r="G82" s="14">
        <f>IF(F82="Y",E82,0)</f>
        <v/>
      </c>
      <c r="H82" s="14">
        <f>MIN(G82,'Sizing Rules'!$B$5)</f>
        <v/>
      </c>
    </row>
    <row r="83">
      <c r="A83" t="inlineStr">
        <is>
          <t>TSEM</t>
        </is>
      </c>
      <c r="B83" t="inlineStr">
        <is>
          <t>05 Fabs &amp; Foundries</t>
        </is>
      </c>
      <c r="C83" t="n">
        <v>63.5</v>
      </c>
      <c r="D83" t="inlineStr">
        <is>
          <t>✓</t>
        </is>
      </c>
      <c r="E83" s="14">
        <f>IFERROR(IF(D83="✓✓✓",'Sizing Rules'!$C$10,IF(D83="✓✓",'Sizing Rules'!$C$11+(C83-'Sizing Rules'!$B$11)*('Sizing Rules'!$D$11-'Sizing Rules'!$C$11)/('Sizing Rules'!$E$11-'Sizing Rules'!$B$11),IF(D83="✓",'Sizing Rules'!$C$12,0))),0)</f>
        <v/>
      </c>
      <c r="F83" t="inlineStr">
        <is>
          <t>N</t>
        </is>
      </c>
      <c r="G83" s="14">
        <f>IF(F83="Y",E83,0)</f>
        <v/>
      </c>
      <c r="H83" s="14">
        <f>MIN(G83,'Sizing Rules'!$B$5)</f>
        <v/>
      </c>
    </row>
    <row r="84">
      <c r="A84" t="inlineStr">
        <is>
          <t>PLAB</t>
        </is>
      </c>
      <c r="B84" t="inlineStr">
        <is>
          <t>04 Semiconductor Equipment &amp; Materials / Materials &amp; consumables</t>
        </is>
      </c>
      <c r="C84" t="n">
        <v>62.78</v>
      </c>
      <c r="D84" t="inlineStr">
        <is>
          <t>✓</t>
        </is>
      </c>
      <c r="E84" s="14">
        <f>IFERROR(IF(D84="✓✓✓",'Sizing Rules'!$C$10,IF(D84="✓✓",'Sizing Rules'!$C$11+(C84-'Sizing Rules'!$B$11)*('Sizing Rules'!$D$11-'Sizing Rules'!$C$11)/('Sizing Rules'!$E$11-'Sizing Rules'!$B$11),IF(D84="✓",'Sizing Rules'!$C$12,0))),0)</f>
        <v/>
      </c>
      <c r="F84" t="inlineStr">
        <is>
          <t>N</t>
        </is>
      </c>
      <c r="G84" s="14">
        <f>IF(F84="Y",E84,0)</f>
        <v/>
      </c>
      <c r="H84" s="14">
        <f>MIN(G84,'Sizing Rules'!$B$5)</f>
        <v/>
      </c>
    </row>
    <row r="85">
      <c r="A85" t="inlineStr">
        <is>
          <t>HUT</t>
        </is>
      </c>
      <c r="B85" t="inlineStr">
        <is>
          <t>09 Compute-as-a-Service / Bitcoin miners pivoting to AI hosting</t>
        </is>
      </c>
      <c r="C85" t="n">
        <v>62.5</v>
      </c>
      <c r="D85" t="inlineStr">
        <is>
          <t>✓</t>
        </is>
      </c>
      <c r="E85" s="14">
        <f>IFERROR(IF(D85="✓✓✓",'Sizing Rules'!$C$10,IF(D85="✓✓",'Sizing Rules'!$C$11+(C85-'Sizing Rules'!$B$11)*('Sizing Rules'!$D$11-'Sizing Rules'!$C$11)/('Sizing Rules'!$E$11-'Sizing Rules'!$B$11),IF(D85="✓",'Sizing Rules'!$C$12,0))),0)</f>
        <v/>
      </c>
      <c r="F85" t="inlineStr">
        <is>
          <t>N</t>
        </is>
      </c>
      <c r="G85" s="14">
        <f>IF(F85="Y",E85,0)</f>
        <v/>
      </c>
      <c r="H85" s="14">
        <f>MIN(G85,'Sizing Rules'!$B$5)</f>
        <v/>
      </c>
    </row>
    <row r="86">
      <c r="A86" t="inlineStr">
        <is>
          <t>CRWV</t>
        </is>
      </c>
      <c r="B86" t="inlineStr">
        <is>
          <t>09 Cloud - Neocloud</t>
        </is>
      </c>
      <c r="C86" t="n">
        <v>62.35</v>
      </c>
      <c r="D86" t="inlineStr">
        <is>
          <t>✓</t>
        </is>
      </c>
      <c r="E86" s="14">
        <f>IFERROR(IF(D86="✓✓✓",'Sizing Rules'!$C$10,IF(D86="✓✓",'Sizing Rules'!$C$11+(C86-'Sizing Rules'!$B$11)*('Sizing Rules'!$D$11-'Sizing Rules'!$C$11)/('Sizing Rules'!$E$11-'Sizing Rules'!$B$11),IF(D86="✓",'Sizing Rules'!$C$12,0))),0)</f>
        <v/>
      </c>
      <c r="F86" t="inlineStr">
        <is>
          <t>N</t>
        </is>
      </c>
      <c r="G86" s="14">
        <f>IF(F86="Y",E86,0)</f>
        <v/>
      </c>
      <c r="H86" s="14">
        <f>MIN(G86,'Sizing Rules'!$B$5)</f>
        <v/>
      </c>
    </row>
    <row r="87">
      <c r="A87" t="inlineStr">
        <is>
          <t>ATKR</t>
        </is>
      </c>
      <c r="B87" t="inlineStr">
        <is>
          <t>02 Grid &amp; Power Equipment</t>
        </is>
      </c>
      <c r="C87" t="n">
        <v>62.34</v>
      </c>
      <c r="D87" t="inlineStr">
        <is>
          <t>✓</t>
        </is>
      </c>
      <c r="E87" s="14">
        <f>IFERROR(IF(D87="✓✓✓",'Sizing Rules'!$C$10,IF(D87="✓✓",'Sizing Rules'!$C$11+(C87-'Sizing Rules'!$B$11)*('Sizing Rules'!$D$11-'Sizing Rules'!$C$11)/('Sizing Rules'!$E$11-'Sizing Rules'!$B$11),IF(D87="✓",'Sizing Rules'!$C$12,0))),0)</f>
        <v/>
      </c>
      <c r="F87" t="inlineStr">
        <is>
          <t>N</t>
        </is>
      </c>
      <c r="G87" s="14">
        <f>IF(F87="Y",E87,0)</f>
        <v/>
      </c>
      <c r="H87" s="14">
        <f>MIN(G87,'Sizing Rules'!$B$5)</f>
        <v/>
      </c>
    </row>
    <row r="88">
      <c r="A88" t="inlineStr">
        <is>
          <t>MOD</t>
        </is>
      </c>
      <c r="B88" t="inlineStr">
        <is>
          <t>03 Data Center Construction, REITs &amp; Cooling</t>
        </is>
      </c>
      <c r="C88" t="n">
        <v>62.3</v>
      </c>
      <c r="D88" t="inlineStr">
        <is>
          <t>✓</t>
        </is>
      </c>
      <c r="E88" s="14">
        <f>IFERROR(IF(D88="✓✓✓",'Sizing Rules'!$C$10,IF(D88="✓✓",'Sizing Rules'!$C$11+(C88-'Sizing Rules'!$B$11)*('Sizing Rules'!$D$11-'Sizing Rules'!$C$11)/('Sizing Rules'!$E$11-'Sizing Rules'!$B$11),IF(D88="✓",'Sizing Rules'!$C$12,0))),0)</f>
        <v/>
      </c>
      <c r="F88" t="inlineStr">
        <is>
          <t>N</t>
        </is>
      </c>
      <c r="G88" s="14">
        <f>IF(F88="Y",E88,0)</f>
        <v/>
      </c>
      <c r="H88" s="14">
        <f>MIN(G88,'Sizing Rules'!$B$5)</f>
        <v/>
      </c>
    </row>
    <row r="89">
      <c r="A89" t="inlineStr">
        <is>
          <t>ETR</t>
        </is>
      </c>
      <c r="B89" t="inlineStr">
        <is>
          <t>01 Power Generation / Regulated utilities (data-center geographic exposure)</t>
        </is>
      </c>
      <c r="C89" t="n">
        <v>62.25</v>
      </c>
      <c r="D89" t="inlineStr">
        <is>
          <t>✓</t>
        </is>
      </c>
      <c r="E89" s="14">
        <f>IFERROR(IF(D89="✓✓✓",'Sizing Rules'!$C$10,IF(D89="✓✓",'Sizing Rules'!$C$11+(C89-'Sizing Rules'!$B$11)*('Sizing Rules'!$D$11-'Sizing Rules'!$C$11)/('Sizing Rules'!$E$11-'Sizing Rules'!$B$11),IF(D89="✓",'Sizing Rules'!$C$12,0))),0)</f>
        <v/>
      </c>
      <c r="F89" t="inlineStr">
        <is>
          <t>N</t>
        </is>
      </c>
      <c r="G89" s="14">
        <f>IF(F89="Y",E89,0)</f>
        <v/>
      </c>
      <c r="H89" s="14">
        <f>MIN(G89,'Sizing Rules'!$B$5)</f>
        <v/>
      </c>
    </row>
    <row r="90">
      <c r="A90" t="inlineStr">
        <is>
          <t>ORCL</t>
        </is>
      </c>
      <c r="B90" t="inlineStr">
        <is>
          <t>09 Compute-as-a-Service / Hyperscalers (public-cloud AI revenue)</t>
        </is>
      </c>
      <c r="C90" t="n">
        <v>62.17</v>
      </c>
      <c r="D90" t="inlineStr">
        <is>
          <t>✓</t>
        </is>
      </c>
      <c r="E90" s="14">
        <f>IFERROR(IF(D90="✓✓✓",'Sizing Rules'!$C$10,IF(D90="✓✓",'Sizing Rules'!$C$11+(C90-'Sizing Rules'!$B$11)*('Sizing Rules'!$D$11-'Sizing Rules'!$C$11)/('Sizing Rules'!$E$11-'Sizing Rules'!$B$11),IF(D90="✓",'Sizing Rules'!$C$12,0))),0)</f>
        <v/>
      </c>
      <c r="F90" t="inlineStr">
        <is>
          <t>N</t>
        </is>
      </c>
      <c r="G90" s="14">
        <f>IF(F90="Y",E90,0)</f>
        <v/>
      </c>
      <c r="H90" s="14">
        <f>MIN(G90,'Sizing Rules'!$B$5)</f>
        <v/>
      </c>
    </row>
    <row r="91">
      <c r="A91" t="inlineStr">
        <is>
          <t>HPE</t>
        </is>
      </c>
      <c r="B91" t="inlineStr">
        <is>
          <t>08 Servers, Systems &amp; Liquid Cooling</t>
        </is>
      </c>
      <c r="C91" t="n">
        <v>61.93</v>
      </c>
      <c r="D91" t="inlineStr">
        <is>
          <t>✓</t>
        </is>
      </c>
      <c r="E91" s="14">
        <f>IFERROR(IF(D91="✓✓✓",'Sizing Rules'!$C$10,IF(D91="✓✓",'Sizing Rules'!$C$11+(C91-'Sizing Rules'!$B$11)*('Sizing Rules'!$D$11-'Sizing Rules'!$C$11)/('Sizing Rules'!$E$11-'Sizing Rules'!$B$11),IF(D91="✓",'Sizing Rules'!$C$12,0))),0)</f>
        <v/>
      </c>
      <c r="F91" t="inlineStr">
        <is>
          <t>N</t>
        </is>
      </c>
      <c r="G91" s="14">
        <f>IF(F91="Y",E91,0)</f>
        <v/>
      </c>
      <c r="H91" s="14">
        <f>MIN(G91,'Sizing Rules'!$B$5)</f>
        <v/>
      </c>
    </row>
    <row r="92">
      <c r="A92" t="inlineStr">
        <is>
          <t>PSTG</t>
        </is>
      </c>
      <c r="B92" t="inlineStr">
        <is>
          <t>08 Servers, Systems &amp; Liquid Cooling / Storage infrastructure</t>
        </is>
      </c>
      <c r="C92" t="n">
        <v>61.8</v>
      </c>
      <c r="D92" t="inlineStr">
        <is>
          <t>✓</t>
        </is>
      </c>
      <c r="E92" s="14">
        <f>IFERROR(IF(D92="✓✓✓",'Sizing Rules'!$C$10,IF(D92="✓✓",'Sizing Rules'!$C$11+(C92-'Sizing Rules'!$B$11)*('Sizing Rules'!$D$11-'Sizing Rules'!$C$11)/('Sizing Rules'!$E$11-'Sizing Rules'!$B$11),IF(D92="✓",'Sizing Rules'!$C$12,0))),0)</f>
        <v/>
      </c>
      <c r="F92" t="inlineStr">
        <is>
          <t>N</t>
        </is>
      </c>
      <c r="G92" s="14">
        <f>IF(F92="Y",E92,0)</f>
        <v/>
      </c>
      <c r="H92" s="14">
        <f>MIN(G92,'Sizing Rules'!$B$5)</f>
        <v/>
      </c>
    </row>
    <row r="93">
      <c r="A93" t="inlineStr">
        <is>
          <t>D</t>
        </is>
      </c>
      <c r="B93" t="inlineStr">
        <is>
          <t>01 Power Generation / Regulated utilities (data-center geographic exposure)</t>
        </is>
      </c>
      <c r="C93" t="n">
        <v>61.77</v>
      </c>
      <c r="D93" t="inlineStr">
        <is>
          <t>✓</t>
        </is>
      </c>
      <c r="E93" s="14">
        <f>IFERROR(IF(D93="✓✓✓",'Sizing Rules'!$C$10,IF(D93="✓✓",'Sizing Rules'!$C$11+(C93-'Sizing Rules'!$B$11)*('Sizing Rules'!$D$11-'Sizing Rules'!$C$11)/('Sizing Rules'!$E$11-'Sizing Rules'!$B$11),IF(D93="✓",'Sizing Rules'!$C$12,0))),0)</f>
        <v/>
      </c>
      <c r="F93" t="inlineStr">
        <is>
          <t>N</t>
        </is>
      </c>
      <c r="G93" s="14">
        <f>IF(F93="Y",E93,0)</f>
        <v/>
      </c>
      <c r="H93" s="14">
        <f>MIN(G93,'Sizing Rules'!$B$5)</f>
        <v/>
      </c>
    </row>
    <row r="94">
      <c r="A94" t="inlineStr">
        <is>
          <t>ETN</t>
        </is>
      </c>
      <c r="B94" t="inlineStr">
        <is>
          <t>02 Grid &amp; Power Equipment</t>
        </is>
      </c>
      <c r="C94" t="n">
        <v>61.77</v>
      </c>
      <c r="D94" t="inlineStr">
        <is>
          <t>✓</t>
        </is>
      </c>
      <c r="E94" s="14">
        <f>IFERROR(IF(D94="✓✓✓",'Sizing Rules'!$C$10,IF(D94="✓✓",'Sizing Rules'!$C$11+(C94-'Sizing Rules'!$B$11)*('Sizing Rules'!$D$11-'Sizing Rules'!$C$11)/('Sizing Rules'!$E$11-'Sizing Rules'!$B$11),IF(D94="✓",'Sizing Rules'!$C$12,0))),0)</f>
        <v/>
      </c>
      <c r="F94" t="inlineStr">
        <is>
          <t>N</t>
        </is>
      </c>
      <c r="G94" s="14">
        <f>IF(F94="Y",E94,0)</f>
        <v/>
      </c>
      <c r="H94" s="14">
        <f>MIN(G94,'Sizing Rules'!$B$5)</f>
        <v/>
      </c>
    </row>
    <row r="95">
      <c r="A95" t="inlineStr">
        <is>
          <t>PPL</t>
        </is>
      </c>
      <c r="B95" t="inlineStr">
        <is>
          <t>01 Power Generation / Regulated utilities (data-center geographic exposure)</t>
        </is>
      </c>
      <c r="C95" t="n">
        <v>61.72</v>
      </c>
      <c r="D95" t="inlineStr">
        <is>
          <t>✓</t>
        </is>
      </c>
      <c r="E95" s="14">
        <f>IFERROR(IF(D95="✓✓✓",'Sizing Rules'!$C$10,IF(D95="✓✓",'Sizing Rules'!$C$11+(C95-'Sizing Rules'!$B$11)*('Sizing Rules'!$D$11-'Sizing Rules'!$C$11)/('Sizing Rules'!$E$11-'Sizing Rules'!$B$11),IF(D95="✓",'Sizing Rules'!$C$12,0))),0)</f>
        <v/>
      </c>
      <c r="F95" t="inlineStr">
        <is>
          <t>N</t>
        </is>
      </c>
      <c r="G95" s="14">
        <f>IF(F95="Y",E95,0)</f>
        <v/>
      </c>
      <c r="H95" s="14">
        <f>MIN(G95,'Sizing Rules'!$B$5)</f>
        <v/>
      </c>
    </row>
    <row r="96">
      <c r="A96" t="inlineStr">
        <is>
          <t>FLEX</t>
        </is>
      </c>
      <c r="B96" t="inlineStr">
        <is>
          <t>08 Servers, Systems &amp; Liquid Cooling / Contract manufacturing / ODMs</t>
        </is>
      </c>
      <c r="C96" t="n">
        <v>61.67</v>
      </c>
      <c r="D96" t="inlineStr">
        <is>
          <t>✓</t>
        </is>
      </c>
      <c r="E96" s="14">
        <f>IFERROR(IF(D96="✓✓✓",'Sizing Rules'!$C$10,IF(D96="✓✓",'Sizing Rules'!$C$11+(C96-'Sizing Rules'!$B$11)*('Sizing Rules'!$D$11-'Sizing Rules'!$C$11)/('Sizing Rules'!$E$11-'Sizing Rules'!$B$11),IF(D96="✓",'Sizing Rules'!$C$12,0))),0)</f>
        <v/>
      </c>
      <c r="F96" t="inlineStr">
        <is>
          <t>N</t>
        </is>
      </c>
      <c r="G96" s="14">
        <f>IF(F96="Y",E96,0)</f>
        <v/>
      </c>
      <c r="H96" s="14">
        <f>MIN(G96,'Sizing Rules'!$B$5)</f>
        <v/>
      </c>
    </row>
    <row r="97">
      <c r="A97" t="inlineStr">
        <is>
          <t>IRM</t>
        </is>
      </c>
      <c r="B97" t="inlineStr">
        <is>
          <t>03 Data Center Construction, REITs &amp; Cooling</t>
        </is>
      </c>
      <c r="C97" t="n">
        <v>61.6</v>
      </c>
      <c r="D97" t="inlineStr">
        <is>
          <t>✓</t>
        </is>
      </c>
      <c r="E97" s="14">
        <f>IFERROR(IF(D97="✓✓✓",'Sizing Rules'!$C$10,IF(D97="✓✓",'Sizing Rules'!$C$11+(C97-'Sizing Rules'!$B$11)*('Sizing Rules'!$D$11-'Sizing Rules'!$C$11)/('Sizing Rules'!$E$11-'Sizing Rules'!$B$11),IF(D97="✓",'Sizing Rules'!$C$12,0))),0)</f>
        <v/>
      </c>
      <c r="F97" t="inlineStr">
        <is>
          <t>N</t>
        </is>
      </c>
      <c r="G97" s="14">
        <f>IF(F97="Y",E97,0)</f>
        <v/>
      </c>
      <c r="H97" s="14">
        <f>MIN(G97,'Sizing Rules'!$B$5)</f>
        <v/>
      </c>
    </row>
    <row r="98">
      <c r="A98" t="inlineStr">
        <is>
          <t>SMCI</t>
        </is>
      </c>
      <c r="B98" t="inlineStr">
        <is>
          <t>08 Servers, Systems &amp; Liquid Cooling</t>
        </is>
      </c>
      <c r="C98" t="n">
        <v>61.2</v>
      </c>
      <c r="D98" t="inlineStr">
        <is>
          <t>✓</t>
        </is>
      </c>
      <c r="E98" s="14">
        <f>IFERROR(IF(D98="✓✓✓",'Sizing Rules'!$C$10,IF(D98="✓✓",'Sizing Rules'!$C$11+(C98-'Sizing Rules'!$B$11)*('Sizing Rules'!$D$11-'Sizing Rules'!$C$11)/('Sizing Rules'!$E$11-'Sizing Rules'!$B$11),IF(D98="✓",'Sizing Rules'!$C$12,0))),0)</f>
        <v/>
      </c>
      <c r="F98" t="inlineStr">
        <is>
          <t>N</t>
        </is>
      </c>
      <c r="G98" s="14">
        <f>IF(F98="Y",E98,0)</f>
        <v/>
      </c>
      <c r="H98" s="14">
        <f>MIN(G98,'Sizing Rules'!$B$5)</f>
        <v/>
      </c>
    </row>
    <row r="99">
      <c r="A99" t="inlineStr">
        <is>
          <t>GFS</t>
        </is>
      </c>
      <c r="B99" t="inlineStr">
        <is>
          <t>05 Fabs &amp; Foundries</t>
        </is>
      </c>
      <c r="C99" t="n">
        <v>61.1</v>
      </c>
      <c r="D99" t="inlineStr">
        <is>
          <t>✓</t>
        </is>
      </c>
      <c r="E99" s="14">
        <f>IFERROR(IF(D99="✓✓✓",'Sizing Rules'!$C$10,IF(D99="✓✓",'Sizing Rules'!$C$11+(C99-'Sizing Rules'!$B$11)*('Sizing Rules'!$D$11-'Sizing Rules'!$C$11)/('Sizing Rules'!$E$11-'Sizing Rules'!$B$11),IF(D99="✓",'Sizing Rules'!$C$12,0))),0)</f>
        <v/>
      </c>
      <c r="F99" t="inlineStr">
        <is>
          <t>N</t>
        </is>
      </c>
      <c r="G99" s="14">
        <f>IF(F99="Y",E99,0)</f>
        <v/>
      </c>
      <c r="H99" s="14">
        <f>MIN(G99,'Sizing Rules'!$B$5)</f>
        <v/>
      </c>
    </row>
    <row r="100">
      <c r="A100" t="inlineStr">
        <is>
          <t>MDB</t>
        </is>
      </c>
      <c r="B100" t="inlineStr">
        <is>
          <t>10 Models, Software &amp; Applications / AI data layer</t>
        </is>
      </c>
      <c r="C100" t="n">
        <v>61.07</v>
      </c>
      <c r="D100" t="inlineStr">
        <is>
          <t>✓</t>
        </is>
      </c>
      <c r="E100" s="14">
        <f>IFERROR(IF(D100="✓✓✓",'Sizing Rules'!$C$10,IF(D100="✓✓",'Sizing Rules'!$C$11+(C100-'Sizing Rules'!$B$11)*('Sizing Rules'!$D$11-'Sizing Rules'!$C$11)/('Sizing Rules'!$E$11-'Sizing Rules'!$B$11),IF(D100="✓",'Sizing Rules'!$C$12,0))),0)</f>
        <v/>
      </c>
      <c r="F100" t="inlineStr">
        <is>
          <t>N</t>
        </is>
      </c>
      <c r="G100" s="14">
        <f>IF(F100="Y",E100,0)</f>
        <v/>
      </c>
      <c r="H100" s="14">
        <f>MIN(G100,'Sizing Rules'!$B$5)</f>
        <v/>
      </c>
    </row>
    <row r="101">
      <c r="A101" t="inlineStr">
        <is>
          <t>SO</t>
        </is>
      </c>
      <c r="B101" t="inlineStr">
        <is>
          <t>01 Power Generation / Regulated utilities (data-center geographic exposure)</t>
        </is>
      </c>
      <c r="C101" t="n">
        <v>60.1</v>
      </c>
      <c r="D101" t="inlineStr">
        <is>
          <t>✓</t>
        </is>
      </c>
      <c r="E101" s="14">
        <f>IFERROR(IF(D101="✓✓✓",'Sizing Rules'!$C$10,IF(D101="✓✓",'Sizing Rules'!$C$11+(C101-'Sizing Rules'!$B$11)*('Sizing Rules'!$D$11-'Sizing Rules'!$C$11)/('Sizing Rules'!$E$11-'Sizing Rules'!$B$11),IF(D101="✓",'Sizing Rules'!$C$12,0))),0)</f>
        <v/>
      </c>
      <c r="F101" t="inlineStr">
        <is>
          <t>N</t>
        </is>
      </c>
      <c r="G101" s="14">
        <f>IF(F101="Y",E101,0)</f>
        <v/>
      </c>
      <c r="H101" s="14">
        <f>MIN(G101,'Sizing Rules'!$B$5)</f>
        <v/>
      </c>
    </row>
    <row r="102">
      <c r="A102" t="inlineStr">
        <is>
          <t>XEL</t>
        </is>
      </c>
      <c r="B102" t="inlineStr">
        <is>
          <t>01 Power Generation / Regulated utilities (data-center geographic exposure)</t>
        </is>
      </c>
      <c r="C102" t="n">
        <v>59.17</v>
      </c>
      <c r="D102" t="inlineStr">
        <is>
          <t>✓</t>
        </is>
      </c>
      <c r="E102" s="14">
        <f>IFERROR(IF(D102="✓✓✓",'Sizing Rules'!$C$10,IF(D102="✓✓",'Sizing Rules'!$C$11+(C102-'Sizing Rules'!$B$11)*('Sizing Rules'!$D$11-'Sizing Rules'!$C$11)/('Sizing Rules'!$E$11-'Sizing Rules'!$B$11),IF(D102="✓",'Sizing Rules'!$C$12,0))),0)</f>
        <v/>
      </c>
      <c r="F102" t="inlineStr">
        <is>
          <t>N</t>
        </is>
      </c>
      <c r="G102" s="14">
        <f>IF(F102="Y",E102,0)</f>
        <v/>
      </c>
      <c r="H102" s="14">
        <f>MIN(G102,'Sizing Rules'!$B$5)</f>
        <v/>
      </c>
    </row>
    <row r="103">
      <c r="A103" t="inlineStr">
        <is>
          <t>TTMI</t>
        </is>
      </c>
      <c r="B103" t="inlineStr">
        <is>
          <t>04 Semiconductor Equipment &amp; Materials / PCB / substrates</t>
        </is>
      </c>
      <c r="C103" t="n">
        <v>59</v>
      </c>
      <c r="D103" t="inlineStr">
        <is>
          <t>✓</t>
        </is>
      </c>
      <c r="E103" s="14">
        <f>IFERROR(IF(D103="✓✓✓",'Sizing Rules'!$C$10,IF(D103="✓✓",'Sizing Rules'!$C$11+(C103-'Sizing Rules'!$B$11)*('Sizing Rules'!$D$11-'Sizing Rules'!$C$11)/('Sizing Rules'!$E$11-'Sizing Rules'!$B$11),IF(D103="✓",'Sizing Rules'!$C$12,0))),0)</f>
        <v/>
      </c>
      <c r="F103" t="inlineStr">
        <is>
          <t>N</t>
        </is>
      </c>
      <c r="G103" s="14">
        <f>IF(F103="Y",E103,0)</f>
        <v/>
      </c>
      <c r="H103" s="14">
        <f>MIN(G103,'Sizing Rules'!$B$5)</f>
        <v/>
      </c>
    </row>
    <row r="104">
      <c r="A104" t="inlineStr">
        <is>
          <t>CORZ</t>
        </is>
      </c>
      <c r="B104" t="inlineStr">
        <is>
          <t>09 Compute-as-a-Service / Bitcoin miners pivoting to AI hosting</t>
        </is>
      </c>
      <c r="C104" t="n">
        <v>57.86</v>
      </c>
      <c r="D104" t="inlineStr">
        <is>
          <t>✓</t>
        </is>
      </c>
      <c r="E104" s="14">
        <f>IFERROR(IF(D104="✓✓✓",'Sizing Rules'!$C$10,IF(D104="✓✓",'Sizing Rules'!$C$11+(C104-'Sizing Rules'!$B$11)*('Sizing Rules'!$D$11-'Sizing Rules'!$C$11)/('Sizing Rules'!$E$11-'Sizing Rules'!$B$11),IF(D104="✓",'Sizing Rules'!$C$12,0))),0)</f>
        <v/>
      </c>
      <c r="F104" t="inlineStr">
        <is>
          <t>N</t>
        </is>
      </c>
      <c r="G104" s="14">
        <f>IF(F104="Y",E104,0)</f>
        <v/>
      </c>
      <c r="H104" s="14">
        <f>MIN(G104,'Sizing Rules'!$B$5)</f>
        <v/>
      </c>
    </row>
    <row r="105">
      <c r="A105" t="inlineStr">
        <is>
          <t>WULF</t>
        </is>
      </c>
      <c r="B105" t="inlineStr">
        <is>
          <t>09 Compute-as-a-Service / Bitcoin miners pivoting to AI hosting</t>
        </is>
      </c>
      <c r="C105" t="n">
        <v>56.66</v>
      </c>
      <c r="D105" t="inlineStr">
        <is>
          <t>✓</t>
        </is>
      </c>
      <c r="E105" s="14">
        <f>IFERROR(IF(D105="✓✓✓",'Sizing Rules'!$C$10,IF(D105="✓✓",'Sizing Rules'!$C$11+(C105-'Sizing Rules'!$B$11)*('Sizing Rules'!$D$11-'Sizing Rules'!$C$11)/('Sizing Rules'!$E$11-'Sizing Rules'!$B$11),IF(D105="✓",'Sizing Rules'!$C$12,0))),0)</f>
        <v/>
      </c>
      <c r="F105" t="inlineStr">
        <is>
          <t>N</t>
        </is>
      </c>
      <c r="G105" s="14">
        <f>IF(F105="Y",E105,0)</f>
        <v/>
      </c>
      <c r="H105" s="14">
        <f>MIN(G105,'Sizing Rules'!$B$5)</f>
        <v/>
      </c>
    </row>
    <row r="106">
      <c r="A106" t="inlineStr">
        <is>
          <t>CAMT</t>
        </is>
      </c>
      <c r="B106" t="inlineStr">
        <is>
          <t>04 Semiconductor Equipment &amp; Materials / Equipment</t>
        </is>
      </c>
      <c r="C106" t="n">
        <v>56.53</v>
      </c>
      <c r="D106" t="inlineStr">
        <is>
          <t>✓</t>
        </is>
      </c>
      <c r="E106" s="14">
        <f>IFERROR(IF(D106="✓✓✓",'Sizing Rules'!$C$10,IF(D106="✓✓",'Sizing Rules'!$C$11+(C106-'Sizing Rules'!$B$11)*('Sizing Rules'!$D$11-'Sizing Rules'!$C$11)/('Sizing Rules'!$E$11-'Sizing Rules'!$B$11),IF(D106="✓",'Sizing Rules'!$C$12,0))),0)</f>
        <v/>
      </c>
      <c r="F106" t="inlineStr">
        <is>
          <t>N</t>
        </is>
      </c>
      <c r="G106" s="14">
        <f>IF(F106="Y",E106,0)</f>
        <v/>
      </c>
      <c r="H106" s="14">
        <f>MIN(G106,'Sizing Rules'!$B$5)</f>
        <v/>
      </c>
    </row>
    <row r="107">
      <c r="A107" t="inlineStr">
        <is>
          <t>CARR</t>
        </is>
      </c>
      <c r="B107" t="inlineStr">
        <is>
          <t>03 Data Center Construction, REITs &amp; Cooling</t>
        </is>
      </c>
      <c r="C107" t="n">
        <v>56.32</v>
      </c>
      <c r="D107" t="inlineStr">
        <is>
          <t>✓</t>
        </is>
      </c>
      <c r="E107" s="14">
        <f>IFERROR(IF(D107="✓✓✓",'Sizing Rules'!$C$10,IF(D107="✓✓",'Sizing Rules'!$C$11+(C107-'Sizing Rules'!$B$11)*('Sizing Rules'!$D$11-'Sizing Rules'!$C$11)/('Sizing Rules'!$E$11-'Sizing Rules'!$B$11),IF(D107="✓",'Sizing Rules'!$C$12,0))),0)</f>
        <v/>
      </c>
      <c r="F107" t="inlineStr">
        <is>
          <t>N</t>
        </is>
      </c>
      <c r="G107" s="14">
        <f>IF(F107="Y",E107,0)</f>
        <v/>
      </c>
      <c r="H107" s="14">
        <f>MIN(G107,'Sizing Rules'!$B$5)</f>
        <v/>
      </c>
    </row>
    <row r="108">
      <c r="A108" t="inlineStr">
        <is>
          <t>NRG</t>
        </is>
      </c>
      <c r="B108" t="inlineStr">
        <is>
          <t>01 Power Generation / Independent Power Producers (IPPs)</t>
        </is>
      </c>
      <c r="C108" t="n">
        <v>55.6</v>
      </c>
      <c r="D108" t="inlineStr">
        <is>
          <t>✓</t>
        </is>
      </c>
      <c r="E108" s="14">
        <f>IFERROR(IF(D108="✓✓✓",'Sizing Rules'!$C$10,IF(D108="✓✓",'Sizing Rules'!$C$11+(C108-'Sizing Rules'!$B$11)*('Sizing Rules'!$D$11-'Sizing Rules'!$C$11)/('Sizing Rules'!$E$11-'Sizing Rules'!$B$11),IF(D108="✓",'Sizing Rules'!$C$12,0))),0)</f>
        <v/>
      </c>
      <c r="F108" t="inlineStr">
        <is>
          <t>N</t>
        </is>
      </c>
      <c r="G108" s="14">
        <f>IF(F108="Y",E108,0)</f>
        <v/>
      </c>
      <c r="H108" s="14">
        <f>MIN(G108,'Sizing Rules'!$B$5)</f>
        <v/>
      </c>
    </row>
    <row r="109">
      <c r="A109" t="inlineStr">
        <is>
          <t>AAOI</t>
        </is>
      </c>
      <c r="B109" t="inlineStr">
        <is>
          <t>07 Optical, Networking &amp; Interconnect / Optical components &amp; transceivers</t>
        </is>
      </c>
      <c r="C109" t="n">
        <v>55.12</v>
      </c>
      <c r="D109" t="inlineStr">
        <is>
          <t>✓</t>
        </is>
      </c>
      <c r="E109" s="14">
        <f>IFERROR(IF(D109="✓✓✓",'Sizing Rules'!$C$10,IF(D109="✓✓",'Sizing Rules'!$C$11+(C109-'Sizing Rules'!$B$11)*('Sizing Rules'!$D$11-'Sizing Rules'!$C$11)/('Sizing Rules'!$E$11-'Sizing Rules'!$B$11),IF(D109="✓",'Sizing Rules'!$C$12,0))),0)</f>
        <v/>
      </c>
      <c r="F109" t="inlineStr">
        <is>
          <t>N</t>
        </is>
      </c>
      <c r="G109" s="14">
        <f>IF(F109="Y",E109,0)</f>
        <v/>
      </c>
      <c r="H109" s="14">
        <f>MIN(G109,'Sizing Rules'!$B$5)</f>
        <v/>
      </c>
    </row>
    <row r="110">
      <c r="A110" t="inlineStr">
        <is>
          <t>IREN</t>
        </is>
      </c>
      <c r="B110" t="inlineStr">
        <is>
          <t>09 Compute-as-a-Service / Bitcoin miners pivoting to AI hosting</t>
        </is>
      </c>
      <c r="C110" t="n">
        <v>54.4</v>
      </c>
      <c r="D110" t="inlineStr">
        <is>
          <t>?</t>
        </is>
      </c>
      <c r="E110" s="14">
        <f>IFERROR(IF(D110="✓✓✓",'Sizing Rules'!$C$10,IF(D110="✓✓",'Sizing Rules'!$C$11+(C110-'Sizing Rules'!$B$11)*('Sizing Rules'!$D$11-'Sizing Rules'!$C$11)/('Sizing Rules'!$E$11-'Sizing Rules'!$B$11),IF(D110="✓",'Sizing Rules'!$C$12,0))),0)</f>
        <v/>
      </c>
      <c r="F110" t="inlineStr">
        <is>
          <t>N</t>
        </is>
      </c>
      <c r="G110" s="14">
        <f>IF(F110="Y",E110,0)</f>
        <v/>
      </c>
      <c r="H110" s="14">
        <f>MIN(G110,'Sizing Rules'!$B$5)</f>
        <v/>
      </c>
    </row>
    <row r="111">
      <c r="A111" t="inlineStr">
        <is>
          <t>LEU</t>
        </is>
      </c>
      <c r="B111" t="inlineStr">
        <is>
          <t>01 Power Generation / Nuclear-specific</t>
        </is>
      </c>
      <c r="C111" t="n">
        <v>53.77</v>
      </c>
      <c r="D111" t="inlineStr">
        <is>
          <t>?</t>
        </is>
      </c>
      <c r="E111" s="14">
        <f>IFERROR(IF(D111="✓✓✓",'Sizing Rules'!$C$10,IF(D111="✓✓",'Sizing Rules'!$C$11+(C111-'Sizing Rules'!$B$11)*('Sizing Rules'!$D$11-'Sizing Rules'!$C$11)/('Sizing Rules'!$E$11-'Sizing Rules'!$B$11),IF(D111="✓",'Sizing Rules'!$C$12,0))),0)</f>
        <v/>
      </c>
      <c r="F111" t="inlineStr">
        <is>
          <t>N</t>
        </is>
      </c>
      <c r="G111" s="14">
        <f>IF(F111="Y",E111,0)</f>
        <v/>
      </c>
      <c r="H111" s="14">
        <f>MIN(G111,'Sizing Rules'!$B$5)</f>
        <v/>
      </c>
    </row>
    <row r="112">
      <c r="A112" t="inlineStr">
        <is>
          <t>UCTT</t>
        </is>
      </c>
      <c r="B112" t="inlineStr">
        <is>
          <t>04 Semiconductor Equipment &amp; Materials / Materials &amp; consumables</t>
        </is>
      </c>
      <c r="C112" t="n">
        <v>52.77</v>
      </c>
      <c r="D112" t="inlineStr">
        <is>
          <t>?</t>
        </is>
      </c>
      <c r="E112" s="14">
        <f>IFERROR(IF(D112="✓✓✓",'Sizing Rules'!$C$10,IF(D112="✓✓",'Sizing Rules'!$C$11+(C112-'Sizing Rules'!$B$11)*('Sizing Rules'!$D$11-'Sizing Rules'!$C$11)/('Sizing Rules'!$E$11-'Sizing Rules'!$B$11),IF(D112="✓",'Sizing Rules'!$C$12,0))),0)</f>
        <v/>
      </c>
      <c r="F112" t="inlineStr">
        <is>
          <t>N</t>
        </is>
      </c>
      <c r="G112" s="14">
        <f>IF(F112="Y",E112,0)</f>
        <v/>
      </c>
      <c r="H112" s="14">
        <f>MIN(G112,'Sizing Rules'!$B$5)</f>
        <v/>
      </c>
    </row>
    <row r="113">
      <c r="A113" t="inlineStr">
        <is>
          <t>APLD</t>
        </is>
      </c>
      <c r="B113" t="inlineStr">
        <is>
          <t>09 Compute-as-a-Service / Neoclouds (AI-native cloud providers)</t>
        </is>
      </c>
      <c r="C113" t="n">
        <v>51.27</v>
      </c>
      <c r="D113" t="inlineStr">
        <is>
          <t>?</t>
        </is>
      </c>
      <c r="E113" s="14">
        <f>IFERROR(IF(D113="✓✓✓",'Sizing Rules'!$C$10,IF(D113="✓✓",'Sizing Rules'!$C$11+(C113-'Sizing Rules'!$B$11)*('Sizing Rules'!$D$11-'Sizing Rules'!$C$11)/('Sizing Rules'!$E$11-'Sizing Rules'!$B$11),IF(D113="✓",'Sizing Rules'!$C$12,0))),0)</f>
        <v/>
      </c>
      <c r="F113" t="inlineStr">
        <is>
          <t>N</t>
        </is>
      </c>
      <c r="G113" s="14">
        <f>IF(F113="Y",E113,0)</f>
        <v/>
      </c>
      <c r="H113" s="14">
        <f>MIN(G113,'Sizing Rules'!$B$5)</f>
        <v/>
      </c>
    </row>
    <row r="114">
      <c r="A114" t="inlineStr">
        <is>
          <t>BTDR</t>
        </is>
      </c>
      <c r="B114" t="inlineStr">
        <is>
          <t>09 Compute-as-a-Service / Bitcoin miners pivoting to AI hosting</t>
        </is>
      </c>
      <c r="C114" t="n">
        <v>50.92</v>
      </c>
      <c r="D114" t="inlineStr">
        <is>
          <t>?</t>
        </is>
      </c>
      <c r="E114" s="14">
        <f>IFERROR(IF(D114="✓✓✓",'Sizing Rules'!$C$10,IF(D114="✓✓",'Sizing Rules'!$C$11+(C114-'Sizing Rules'!$B$11)*('Sizing Rules'!$D$11-'Sizing Rules'!$C$11)/('Sizing Rules'!$E$11-'Sizing Rules'!$B$11),IF(D114="✓",'Sizing Rules'!$C$12,0))),0)</f>
        <v/>
      </c>
      <c r="F114" t="inlineStr">
        <is>
          <t>N</t>
        </is>
      </c>
      <c r="G114" s="14">
        <f>IF(F114="Y",E114,0)</f>
        <v/>
      </c>
      <c r="H114" s="14">
        <f>MIN(G114,'Sizing Rules'!$B$5)</f>
        <v/>
      </c>
    </row>
    <row r="115">
      <c r="A115" t="inlineStr">
        <is>
          <t>POET</t>
        </is>
      </c>
      <c r="B115" t="inlineStr">
        <is>
          <t>07 Optical, Networking &amp; Interconnect / Optical components &amp; transceivers</t>
        </is>
      </c>
      <c r="C115" t="n">
        <v>50.88</v>
      </c>
      <c r="D115" t="inlineStr">
        <is>
          <t>?</t>
        </is>
      </c>
      <c r="E115" s="14">
        <f>IFERROR(IF(D115="✓✓✓",'Sizing Rules'!$C$10,IF(D115="✓✓",'Sizing Rules'!$C$11+(C115-'Sizing Rules'!$B$11)*('Sizing Rules'!$D$11-'Sizing Rules'!$C$11)/('Sizing Rules'!$E$11-'Sizing Rules'!$B$11),IF(D115="✓",'Sizing Rules'!$C$12,0))),0)</f>
        <v/>
      </c>
      <c r="F115" t="inlineStr">
        <is>
          <t>N</t>
        </is>
      </c>
      <c r="G115" s="14">
        <f>IF(F115="Y",E115,0)</f>
        <v/>
      </c>
      <c r="H115" s="14">
        <f>MIN(G115,'Sizing Rules'!$B$5)</f>
        <v/>
      </c>
    </row>
    <row r="116">
      <c r="A116" t="inlineStr">
        <is>
          <t>RIOT</t>
        </is>
      </c>
      <c r="B116" t="inlineStr">
        <is>
          <t>09 Compute-as-a-Service / Bitcoin miners pivoting to AI hosting</t>
        </is>
      </c>
      <c r="C116" t="n">
        <v>49.57</v>
      </c>
      <c r="D116" t="inlineStr">
        <is>
          <t>?</t>
        </is>
      </c>
      <c r="E116">
        <f>IFERROR(IF(D116="✓✓✓",'Sizing Rules'!$C$10,IF(D116="✓✓",'Sizing Rules'!$C$11+(C116-'Sizing Rules'!$B$11)*('Sizing Rules'!$D$11-'Sizing Rules'!$C$11)/('Sizing Rules'!$E$11-'Sizing Rules'!$B$11),IF(D116="✓",'Sizing Rules'!$C$12,0))),0)</f>
        <v/>
      </c>
      <c r="F116" t="inlineStr">
        <is>
          <t>N</t>
        </is>
      </c>
      <c r="G116">
        <f>IF(F116="Y",E116,0)</f>
        <v/>
      </c>
      <c r="H116">
        <f>MIN(G116,'Sizing Rules'!$B$5)</f>
        <v/>
      </c>
    </row>
    <row r="117">
      <c r="A117" t="inlineStr">
        <is>
          <t>INTC</t>
        </is>
      </c>
      <c r="B117" t="inlineStr">
        <is>
          <t>05 Fabs &amp; Foundries</t>
        </is>
      </c>
      <c r="C117" t="n">
        <v>49.52</v>
      </c>
      <c r="D117" s="7" t="inlineStr">
        <is>
          <t>?</t>
        </is>
      </c>
      <c r="E117">
        <f>IFERROR(IF(D117="✓✓✓",'Sizing Rules'!$C$10,IF(D117="✓✓",'Sizing Rules'!$C$11+(C117-'Sizing Rules'!$B$11)*('Sizing Rules'!$D$11-'Sizing Rules'!$C$11)/('Sizing Rules'!$E$11-'Sizing Rules'!$B$11),IF(D117="✓",'Sizing Rules'!$C$12,0))),0)</f>
        <v/>
      </c>
      <c r="F117" t="inlineStr">
        <is>
          <t>N</t>
        </is>
      </c>
      <c r="G117">
        <f>IF(F117="Y",E117,0)</f>
        <v/>
      </c>
      <c r="H117" s="15">
        <f>MIN(G117,'Sizing Rules'!$B$5)</f>
        <v/>
      </c>
    </row>
    <row r="118">
      <c r="A118" t="inlineStr">
        <is>
          <t>CLSK</t>
        </is>
      </c>
      <c r="B118" t="inlineStr">
        <is>
          <t>09 Compute-as-a-Service / Bitcoin miners pivoting to AI hosting</t>
        </is>
      </c>
      <c r="C118" t="n">
        <v>49.04</v>
      </c>
      <c r="D118" s="7" t="inlineStr">
        <is>
          <t>?</t>
        </is>
      </c>
      <c r="E118">
        <f>IFERROR(IF(D118="✓✓✓",'Sizing Rules'!$C$10,IF(D118="✓✓",'Sizing Rules'!$C$11+(C118-'Sizing Rules'!$B$11)*('Sizing Rules'!$D$11-'Sizing Rules'!$C$11)/('Sizing Rules'!$E$11-'Sizing Rules'!$B$11),IF(D118="✓",'Sizing Rules'!$C$12,0))),0)</f>
        <v/>
      </c>
      <c r="F118" t="inlineStr">
        <is>
          <t>N</t>
        </is>
      </c>
      <c r="G118">
        <f>IF(F118="Y",E118,0)</f>
        <v/>
      </c>
      <c r="H118" s="15">
        <f>MIN(G118,'Sizing Rules'!$B$5)</f>
        <v/>
      </c>
    </row>
    <row r="119">
      <c r="A119" t="inlineStr">
        <is>
          <t>PLUG</t>
        </is>
      </c>
      <c r="B119" t="inlineStr">
        <is>
          <t>01 Power Generation / Distributed / on-site power</t>
        </is>
      </c>
      <c r="C119" t="n">
        <v>47.63</v>
      </c>
      <c r="D119" t="inlineStr">
        <is>
          <t>?</t>
        </is>
      </c>
      <c r="E119">
        <f>IFERROR(IF(D119="✓✓✓",'Sizing Rules'!$C$10,IF(D119="✓✓",'Sizing Rules'!$C$11+(C119-'Sizing Rules'!$B$11)*('Sizing Rules'!$D$11-'Sizing Rules'!$C$11)/('Sizing Rules'!$E$11-'Sizing Rules'!$B$11),IF(D119="✓",'Sizing Rules'!$C$12,0))),0)</f>
        <v/>
      </c>
      <c r="F119" t="inlineStr">
        <is>
          <t>N</t>
        </is>
      </c>
      <c r="G119">
        <f>IF(F119="Y",E119,0)</f>
        <v/>
      </c>
      <c r="H119">
        <f>MIN(G119,'Sizing Rules'!$B$5)</f>
        <v/>
      </c>
    </row>
    <row r="120">
      <c r="A120" t="inlineStr">
        <is>
          <t>UEC</t>
        </is>
      </c>
      <c r="B120" t="inlineStr">
        <is>
          <t>01 Power Generation / Nuclear-specific</t>
        </is>
      </c>
      <c r="C120" t="n">
        <v>46.02</v>
      </c>
      <c r="D120" t="inlineStr">
        <is>
          <t>?</t>
        </is>
      </c>
      <c r="E120">
        <f>IFERROR(IF(D120="✓✓✓",'Sizing Rules'!$C$10,IF(D120="✓✓",'Sizing Rules'!$C$11+(C120-'Sizing Rules'!$B$11)*('Sizing Rules'!$D$11-'Sizing Rules'!$C$11)/('Sizing Rules'!$E$11-'Sizing Rules'!$B$11),IF(D120="✓",'Sizing Rules'!$C$12,0))),0)</f>
        <v/>
      </c>
      <c r="F120" t="inlineStr">
        <is>
          <t>N</t>
        </is>
      </c>
      <c r="G120">
        <f>IF(F120="Y",E120,0)</f>
        <v/>
      </c>
      <c r="H120">
        <f>MIN(G120,'Sizing Rules'!$B$5)</f>
        <v/>
      </c>
    </row>
    <row r="121">
      <c r="A121" t="inlineStr">
        <is>
          <t>CIFR</t>
        </is>
      </c>
      <c r="B121" t="inlineStr">
        <is>
          <t>09 Compute-as-a-Service / Bitcoin miners pivoting to AI hosting</t>
        </is>
      </c>
      <c r="C121" t="n">
        <v>45.49</v>
      </c>
      <c r="D121" t="inlineStr">
        <is>
          <t>?</t>
        </is>
      </c>
      <c r="E121">
        <f>IFERROR(IF(D121="✓✓✓",'Sizing Rules'!$C$10,IF(D121="✓✓",'Sizing Rules'!$C$11+(C121-'Sizing Rules'!$B$11)*('Sizing Rules'!$D$11-'Sizing Rules'!$C$11)/('Sizing Rules'!$E$11-'Sizing Rules'!$B$11),IF(D121="✓",'Sizing Rules'!$C$12,0))),0)</f>
        <v/>
      </c>
      <c r="F121" t="inlineStr">
        <is>
          <t>N</t>
        </is>
      </c>
      <c r="G121">
        <f>IF(F121="Y",E121,0)</f>
        <v/>
      </c>
      <c r="H121">
        <f>MIN(G121,'Sizing Rules'!$B$5)</f>
        <v/>
      </c>
    </row>
    <row r="122">
      <c r="A122" t="inlineStr">
        <is>
          <t>OKLO</t>
        </is>
      </c>
      <c r="B122" t="inlineStr">
        <is>
          <t>01 Power Generation / Nuclear-specific</t>
        </is>
      </c>
      <c r="C122" t="n">
        <v>38.38</v>
      </c>
      <c r="D122" t="inlineStr">
        <is>
          <t>✗</t>
        </is>
      </c>
      <c r="E122">
        <f>IFERROR(IF(D122="✓✓✓",'Sizing Rules'!$C$10,IF(D122="✓✓",'Sizing Rules'!$C$11+(C122-'Sizing Rules'!$B$11)*('Sizing Rules'!$D$11-'Sizing Rules'!$C$11)/('Sizing Rules'!$E$11-'Sizing Rules'!$B$11),IF(D122="✓",'Sizing Rules'!$C$12,0))),0)</f>
        <v/>
      </c>
      <c r="F122" t="inlineStr">
        <is>
          <t>N</t>
        </is>
      </c>
      <c r="G122">
        <f>IF(F122="Y",E122,0)</f>
        <v/>
      </c>
      <c r="H122">
        <f>MIN(G122,'Sizing Rules'!$B$5)</f>
        <v/>
      </c>
    </row>
    <row r="123">
      <c r="A123" t="inlineStr">
        <is>
          <t>BITF</t>
        </is>
      </c>
      <c r="B123" t="inlineStr">
        <is>
          <t>09 Compute-as-a-Service / Bitcoin miners pivoting to AI hosting</t>
        </is>
      </c>
      <c r="C123" t="n">
        <v>36.75</v>
      </c>
      <c r="D123" t="inlineStr">
        <is>
          <t>✗</t>
        </is>
      </c>
      <c r="E123">
        <f>IFERROR(IF(D123="✓✓✓",'Sizing Rules'!$C$10,IF(D123="✓✓",'Sizing Rules'!$C$11+(C123-'Sizing Rules'!$B$11)*('Sizing Rules'!$D$11-'Sizing Rules'!$C$11)/('Sizing Rules'!$E$11-'Sizing Rules'!$B$11),IF(D123="✓",'Sizing Rules'!$C$12,0))),0)</f>
        <v/>
      </c>
      <c r="F123" t="inlineStr">
        <is>
          <t>N</t>
        </is>
      </c>
      <c r="G123">
        <f>IF(F123="Y",E123,0)</f>
        <v/>
      </c>
      <c r="H123">
        <f>MIN(G123,'Sizing Rules'!$B$5)</f>
        <v/>
      </c>
    </row>
    <row r="124">
      <c r="A124" t="inlineStr">
        <is>
          <t>NNE</t>
        </is>
      </c>
      <c r="B124" t="inlineStr">
        <is>
          <t>01 Power Generation / Nuclear-specific</t>
        </is>
      </c>
      <c r="C124" t="n">
        <v>36.65</v>
      </c>
      <c r="D124" t="inlineStr">
        <is>
          <t>✗</t>
        </is>
      </c>
      <c r="E124">
        <f>IFERROR(IF(D124="✓✓✓",'Sizing Rules'!$C$10,IF(D124="✓✓",'Sizing Rules'!$C$11+(C124-'Sizing Rules'!$B$11)*('Sizing Rules'!$D$11-'Sizing Rules'!$C$11)/('Sizing Rules'!$E$11-'Sizing Rules'!$B$11),IF(D124="✓",'Sizing Rules'!$C$12,0))),0)</f>
        <v/>
      </c>
      <c r="F124" t="inlineStr">
        <is>
          <t>N</t>
        </is>
      </c>
      <c r="G124">
        <f>IF(F124="Y",E124,0)</f>
        <v/>
      </c>
      <c r="H124">
        <f>MIN(G124,'Sizing Rules'!$B$5)</f>
        <v/>
      </c>
    </row>
    <row r="125">
      <c r="A125" t="inlineStr">
        <is>
          <t>SMR</t>
        </is>
      </c>
      <c r="B125" t="inlineStr">
        <is>
          <t>01 Power Generation / Nuclear-specific</t>
        </is>
      </c>
      <c r="C125" t="n">
        <v>36.02</v>
      </c>
      <c r="D125" t="inlineStr">
        <is>
          <t>✗</t>
        </is>
      </c>
      <c r="E125">
        <f>IFERROR(IF(D125="✓✓✓",'Sizing Rules'!$C$10,IF(D125="✓✓",'Sizing Rules'!$C$11+(C125-'Sizing Rules'!$B$11)*('Sizing Rules'!$D$11-'Sizing Rules'!$C$11)/('Sizing Rules'!$E$11-'Sizing Rules'!$B$11),IF(D125="✓",'Sizing Rules'!$C$12,0))),0)</f>
        <v/>
      </c>
      <c r="F125" t="inlineStr">
        <is>
          <t>N</t>
        </is>
      </c>
      <c r="G125">
        <f>IF(F125="Y",E125,0)</f>
        <v/>
      </c>
      <c r="H125">
        <f>MIN(G125,'Sizing Rules'!$B$5)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4" customWidth="1" min="4" max="4"/>
    <col width="16" customWidth="1" min="5" max="5"/>
    <col width="16" customWidth="1" min="6" max="6"/>
    <col width="10" customWidth="1" min="7" max="7"/>
    <col width="16" customWidth="1" min="8" max="8"/>
    <col width="14" customWidth="1" min="9" max="9"/>
    <col width="12" customWidth="1" min="10" max="10"/>
    <col width="40" customWidth="1" min="11" max="11"/>
  </cols>
  <sheetData>
    <row r="1">
      <c r="A1" s="1" t="inlineStr">
        <is>
          <t>Ticker</t>
        </is>
      </c>
      <c r="B1" s="1" t="inlineStr">
        <is>
          <t>Layer</t>
        </is>
      </c>
      <c r="C1" s="1" t="inlineStr">
        <is>
          <t>Shares</t>
        </is>
      </c>
      <c r="D1" s="1" t="inlineStr">
        <is>
          <t>Cost Basis ($)</t>
        </is>
      </c>
      <c r="E1" s="1" t="inlineStr">
        <is>
          <t>Current Price ($)</t>
        </is>
      </c>
      <c r="F1" s="1" t="inlineStr">
        <is>
          <t>Market Value ($)</t>
        </is>
      </c>
      <c r="G1" s="1" t="inlineStr">
        <is>
          <t>Weight %</t>
        </is>
      </c>
      <c r="H1" s="1" t="inlineStr">
        <is>
          <t>Unrealized P/L ($)</t>
        </is>
      </c>
      <c r="I1" s="1" t="inlineStr">
        <is>
          <t>Unrealized %</t>
        </is>
      </c>
      <c r="J1" s="1" t="inlineStr">
        <is>
          <t>Thesis Date</t>
        </is>
      </c>
      <c r="K1" s="1" t="inlineStr">
        <is>
          <t>Notes</t>
        </is>
      </c>
    </row>
    <row r="2">
      <c r="D2" s="2" t="n"/>
      <c r="E2" s="2" t="n"/>
      <c r="F2" s="3">
        <f>IFERROR(C2*E2,"")</f>
        <v/>
      </c>
      <c r="G2" s="4">
        <f>IFERROR(F2/SUM($F$2:$F$21),"")</f>
        <v/>
      </c>
      <c r="H2" s="5">
        <f>IFERROR((E2-D2)*C2,"")</f>
        <v/>
      </c>
      <c r="I2" s="6">
        <f>IFERROR((E2-D2)/D2,"")</f>
        <v/>
      </c>
    </row>
    <row r="3">
      <c r="D3" s="2" t="n"/>
      <c r="E3" s="2" t="n"/>
      <c r="F3" s="3">
        <f>IFERROR(C3*E3,"")</f>
        <v/>
      </c>
      <c r="G3" s="4">
        <f>IFERROR(F3/SUM($F$2:$F$21),"")</f>
        <v/>
      </c>
      <c r="H3" s="5">
        <f>IFERROR((E3-D3)*C3,"")</f>
        <v/>
      </c>
      <c r="I3" s="6">
        <f>IFERROR((E3-D3)/D3,"")</f>
        <v/>
      </c>
    </row>
    <row r="4">
      <c r="D4" s="2" t="n"/>
      <c r="E4" s="2" t="n"/>
      <c r="F4" s="3">
        <f>IFERROR(C4*E4,"")</f>
        <v/>
      </c>
      <c r="G4" s="4">
        <f>IFERROR(F4/SUM($F$2:$F$21),"")</f>
        <v/>
      </c>
      <c r="H4" s="5">
        <f>IFERROR((E4-D4)*C4,"")</f>
        <v/>
      </c>
      <c r="I4" s="6">
        <f>IFERROR((E4-D4)/D4,"")</f>
        <v/>
      </c>
    </row>
    <row r="5">
      <c r="D5" s="2" t="n"/>
      <c r="E5" s="2" t="n"/>
      <c r="F5" s="3">
        <f>IFERROR(C5*E5,"")</f>
        <v/>
      </c>
      <c r="G5" s="4">
        <f>IFERROR(F5/SUM($F$2:$F$21),"")</f>
        <v/>
      </c>
      <c r="H5" s="5">
        <f>IFERROR((E5-D5)*C5,"")</f>
        <v/>
      </c>
      <c r="I5" s="6">
        <f>IFERROR((E5-D5)/D5,"")</f>
        <v/>
      </c>
    </row>
    <row r="6">
      <c r="D6" s="2" t="n"/>
      <c r="E6" s="2" t="n"/>
      <c r="F6" s="3">
        <f>IFERROR(C6*E6,"")</f>
        <v/>
      </c>
      <c r="G6" s="4">
        <f>IFERROR(F6/SUM($F$2:$F$21),"")</f>
        <v/>
      </c>
      <c r="H6" s="5">
        <f>IFERROR((E6-D6)*C6,"")</f>
        <v/>
      </c>
      <c r="I6" s="6">
        <f>IFERROR((E6-D6)/D6,"")</f>
        <v/>
      </c>
    </row>
    <row r="7">
      <c r="D7" s="2" t="n"/>
      <c r="E7" s="2" t="n"/>
      <c r="F7" s="3">
        <f>IFERROR(C7*E7,"")</f>
        <v/>
      </c>
      <c r="G7" s="4">
        <f>IFERROR(F7/SUM($F$2:$F$21),"")</f>
        <v/>
      </c>
      <c r="H7" s="5">
        <f>IFERROR((E7-D7)*C7,"")</f>
        <v/>
      </c>
      <c r="I7" s="6">
        <f>IFERROR((E7-D7)/D7,"")</f>
        <v/>
      </c>
    </row>
    <row r="8">
      <c r="D8" s="2" t="n"/>
      <c r="E8" s="2" t="n"/>
      <c r="F8" s="3">
        <f>IFERROR(C8*E8,"")</f>
        <v/>
      </c>
      <c r="G8" s="4">
        <f>IFERROR(F8/SUM($F$2:$F$21),"")</f>
        <v/>
      </c>
      <c r="H8" s="5">
        <f>IFERROR((E8-D8)*C8,"")</f>
        <v/>
      </c>
      <c r="I8" s="6">
        <f>IFERROR((E8-D8)/D8,"")</f>
        <v/>
      </c>
    </row>
    <row r="9">
      <c r="D9" s="2" t="n"/>
      <c r="E9" s="2" t="n"/>
      <c r="F9" s="3">
        <f>IFERROR(C9*E9,"")</f>
        <v/>
      </c>
      <c r="G9" s="4">
        <f>IFERROR(F9/SUM($F$2:$F$21),"")</f>
        <v/>
      </c>
      <c r="H9" s="5">
        <f>IFERROR((E9-D9)*C9,"")</f>
        <v/>
      </c>
      <c r="I9" s="6">
        <f>IFERROR((E9-D9)/D9,"")</f>
        <v/>
      </c>
    </row>
    <row r="10">
      <c r="D10" s="2" t="n"/>
      <c r="E10" s="2" t="n"/>
      <c r="F10" s="3">
        <f>IFERROR(C10*E10,"")</f>
        <v/>
      </c>
      <c r="G10" s="4">
        <f>IFERROR(F10/SUM($F$2:$F$21),"")</f>
        <v/>
      </c>
      <c r="H10" s="5">
        <f>IFERROR((E10-D10)*C10,"")</f>
        <v/>
      </c>
      <c r="I10" s="6">
        <f>IFERROR((E10-D10)/D10,"")</f>
        <v/>
      </c>
    </row>
    <row r="11">
      <c r="D11" s="2" t="n"/>
      <c r="E11" s="2" t="n"/>
      <c r="F11" s="3">
        <f>IFERROR(C11*E11,"")</f>
        <v/>
      </c>
      <c r="G11" s="4">
        <f>IFERROR(F11/SUM($F$2:$F$21),"")</f>
        <v/>
      </c>
      <c r="H11" s="5">
        <f>IFERROR((E11-D11)*C11,"")</f>
        <v/>
      </c>
      <c r="I11" s="6">
        <f>IFERROR((E11-D11)/D11,"")</f>
        <v/>
      </c>
    </row>
    <row r="12">
      <c r="D12" s="2" t="n"/>
      <c r="E12" s="2" t="n"/>
      <c r="F12" s="3">
        <f>IFERROR(C12*E12,"")</f>
        <v/>
      </c>
      <c r="G12" s="4">
        <f>IFERROR(F12/SUM($F$2:$F$21),"")</f>
        <v/>
      </c>
      <c r="H12" s="5">
        <f>IFERROR((E12-D12)*C12,"")</f>
        <v/>
      </c>
      <c r="I12" s="6">
        <f>IFERROR((E12-D12)/D12,"")</f>
        <v/>
      </c>
    </row>
    <row r="13">
      <c r="D13" s="2" t="n"/>
      <c r="E13" s="2" t="n"/>
      <c r="F13" s="3">
        <f>IFERROR(C13*E13,"")</f>
        <v/>
      </c>
      <c r="G13" s="4">
        <f>IFERROR(F13/SUM($F$2:$F$21),"")</f>
        <v/>
      </c>
      <c r="H13" s="5">
        <f>IFERROR((E13-D13)*C13,"")</f>
        <v/>
      </c>
      <c r="I13" s="6">
        <f>IFERROR((E13-D13)/D13,"")</f>
        <v/>
      </c>
    </row>
    <row r="14">
      <c r="D14" s="2" t="n"/>
      <c r="E14" s="2" t="n"/>
      <c r="F14" s="3">
        <f>IFERROR(C14*E14,"")</f>
        <v/>
      </c>
      <c r="G14" s="4">
        <f>IFERROR(F14/SUM($F$2:$F$21),"")</f>
        <v/>
      </c>
      <c r="H14" s="5">
        <f>IFERROR((E14-D14)*C14,"")</f>
        <v/>
      </c>
      <c r="I14" s="6">
        <f>IFERROR((E14-D14)/D14,"")</f>
        <v/>
      </c>
    </row>
    <row r="15">
      <c r="D15" s="2" t="n"/>
      <c r="E15" s="2" t="n"/>
      <c r="F15" s="3">
        <f>IFERROR(C15*E15,"")</f>
        <v/>
      </c>
      <c r="G15" s="4">
        <f>IFERROR(F15/SUM($F$2:$F$21),"")</f>
        <v/>
      </c>
      <c r="H15" s="5">
        <f>IFERROR((E15-D15)*C15,"")</f>
        <v/>
      </c>
      <c r="I15" s="6">
        <f>IFERROR((E15-D15)/D15,"")</f>
        <v/>
      </c>
    </row>
    <row r="16">
      <c r="D16" s="2" t="n"/>
      <c r="E16" s="2" t="n"/>
      <c r="F16" s="3">
        <f>IFERROR(C16*E16,"")</f>
        <v/>
      </c>
      <c r="G16" s="4">
        <f>IFERROR(F16/SUM($F$2:$F$21),"")</f>
        <v/>
      </c>
      <c r="H16" s="5">
        <f>IFERROR((E16-D16)*C16,"")</f>
        <v/>
      </c>
      <c r="I16" s="6">
        <f>IFERROR((E16-D16)/D16,"")</f>
        <v/>
      </c>
    </row>
    <row r="17">
      <c r="D17" s="2" t="n"/>
      <c r="E17" s="2" t="n"/>
      <c r="F17" s="3">
        <f>IFERROR(C17*E17,"")</f>
        <v/>
      </c>
      <c r="G17" s="4">
        <f>IFERROR(F17/SUM($F$2:$F$21),"")</f>
        <v/>
      </c>
      <c r="H17" s="5">
        <f>IFERROR((E17-D17)*C17,"")</f>
        <v/>
      </c>
      <c r="I17" s="6">
        <f>IFERROR((E17-D17)/D17,"")</f>
        <v/>
      </c>
    </row>
    <row r="18">
      <c r="D18" s="2" t="n"/>
      <c r="E18" s="2" t="n"/>
      <c r="F18" s="3">
        <f>IFERROR(C18*E18,"")</f>
        <v/>
      </c>
      <c r="G18" s="4">
        <f>IFERROR(F18/SUM($F$2:$F$21),"")</f>
        <v/>
      </c>
      <c r="H18" s="5">
        <f>IFERROR((E18-D18)*C18,"")</f>
        <v/>
      </c>
      <c r="I18" s="6">
        <f>IFERROR((E18-D18)/D18,"")</f>
        <v/>
      </c>
    </row>
    <row r="19">
      <c r="D19" s="2" t="n"/>
      <c r="E19" s="2" t="n"/>
      <c r="F19" s="3">
        <f>IFERROR(C19*E19,"")</f>
        <v/>
      </c>
      <c r="G19" s="4">
        <f>IFERROR(F19/SUM($F$2:$F$21),"")</f>
        <v/>
      </c>
      <c r="H19" s="5">
        <f>IFERROR((E19-D19)*C19,"")</f>
        <v/>
      </c>
      <c r="I19" s="6">
        <f>IFERROR((E19-D19)/D19,"")</f>
        <v/>
      </c>
    </row>
    <row r="20">
      <c r="D20" s="2" t="n"/>
      <c r="E20" s="2" t="n"/>
      <c r="F20" s="3">
        <f>IFERROR(C20*E20,"")</f>
        <v/>
      </c>
      <c r="G20" s="4">
        <f>IFERROR(F20/SUM($F$2:$F$21),"")</f>
        <v/>
      </c>
      <c r="H20" s="5">
        <f>IFERROR((E20-D20)*C20,"")</f>
        <v/>
      </c>
      <c r="I20" s="6">
        <f>IFERROR((E20-D20)/D20,"")</f>
        <v/>
      </c>
    </row>
    <row r="21">
      <c r="D21" s="2" t="n"/>
      <c r="E21" s="2" t="n"/>
      <c r="F21" s="3">
        <f>IFERROR(C21*E21,"")</f>
        <v/>
      </c>
      <c r="G21" s="4">
        <f>IFERROR(F21/SUM($F$2:$F$21),"")</f>
        <v/>
      </c>
      <c r="H21" s="5">
        <f>IFERROR((E21-D21)*C21,"")</f>
        <v/>
      </c>
      <c r="I21" s="6">
        <f>IFERROR((E21-D21)/D21,"")</f>
        <v/>
      </c>
    </row>
    <row r="22">
      <c r="D22" s="2" t="n"/>
      <c r="E22" s="2" t="n"/>
      <c r="F22" s="3" t="n"/>
      <c r="G22" s="4" t="n"/>
      <c r="H22" s="5" t="n"/>
      <c r="I22" s="6" t="n"/>
    </row>
    <row r="23">
      <c r="A23" s="7" t="inlineStr">
        <is>
          <t>TOTAL</t>
        </is>
      </c>
      <c r="D23" s="2" t="n"/>
      <c r="E23" s="2" t="n"/>
      <c r="F23" s="8">
        <f>SUM(F2:F21)</f>
        <v/>
      </c>
      <c r="G23" s="9">
        <f>SUM(G2:G21)</f>
        <v/>
      </c>
      <c r="H23" s="10">
        <f>SUM(H2:H21)</f>
        <v/>
      </c>
      <c r="I23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8" customWidth="1" min="4" max="4"/>
    <col width="8" customWidth="1" min="5" max="5"/>
    <col width="11" customWidth="1" min="6" max="6"/>
    <col width="18" customWidth="1" min="7" max="7"/>
  </cols>
  <sheetData>
    <row r="1">
      <c r="A1" s="12" t="inlineStr">
        <is>
          <t>Trade Plan (fresh deployment)</t>
        </is>
      </c>
    </row>
    <row r="2">
      <c r="A2" t="inlineStr">
        <is>
          <t>Portfolio: $13,800 | Prices as of 2026-05-26</t>
        </is>
      </c>
    </row>
    <row r="3">
      <c r="A3" s="13" t="inlineStr">
        <is>
          <t>Ticker</t>
        </is>
      </c>
      <c r="B3" s="13" t="inlineStr">
        <is>
          <t>Score</t>
        </is>
      </c>
      <c r="C3" s="13" t="inlineStr">
        <is>
          <t>Target %</t>
        </is>
      </c>
      <c r="D3" s="13" t="inlineStr">
        <is>
          <t>$ Amount</t>
        </is>
      </c>
      <c r="E3" s="13" t="inlineStr">
        <is>
          <t>Price</t>
        </is>
      </c>
      <c r="F3" s="13" t="inlineStr">
        <is>
          <t>Shares</t>
        </is>
      </c>
      <c r="G3" s="13" t="inlineStr">
        <is>
          <t>Round $</t>
        </is>
      </c>
      <c r="H3" t="inlineStr">
        <is>
          <t>Action</t>
        </is>
      </c>
    </row>
    <row r="4">
      <c r="A4" t="inlineStr">
        <is>
          <t>TSM</t>
        </is>
      </c>
      <c r="B4" s="14" t="n">
        <v>83.90000000000001</v>
      </c>
      <c r="C4" s="14" t="n">
        <v>6.8</v>
      </c>
      <c r="D4" s="14" t="n">
        <v>935.9</v>
      </c>
      <c r="E4" t="n">
        <v>412.35</v>
      </c>
      <c r="F4" t="n">
        <v>2</v>
      </c>
      <c r="G4" s="16" t="n">
        <v>824.7</v>
      </c>
      <c r="H4" t="inlineStr">
        <is>
          <t>BUY</t>
        </is>
      </c>
    </row>
    <row r="5">
      <c r="A5" t="inlineStr">
        <is>
          <t>EQT</t>
        </is>
      </c>
      <c r="B5" s="14" t="n">
        <v>82</v>
      </c>
      <c r="C5" s="14" t="n">
        <v>6.5</v>
      </c>
      <c r="D5" s="14" t="n">
        <v>901.3099999999999</v>
      </c>
      <c r="E5" t="n">
        <v>56.55</v>
      </c>
      <c r="F5" t="n">
        <v>16</v>
      </c>
      <c r="G5" s="16" t="n">
        <v>904.8</v>
      </c>
      <c r="H5" t="inlineStr">
        <is>
          <t>BUY</t>
        </is>
      </c>
    </row>
    <row r="6">
      <c r="A6" t="inlineStr">
        <is>
          <t>NVDA</t>
        </is>
      </c>
      <c r="B6" s="14" t="n">
        <v>81.59999999999999</v>
      </c>
      <c r="C6" s="14" t="n">
        <v>6.5</v>
      </c>
      <c r="D6" s="14" t="n">
        <v>894.02</v>
      </c>
      <c r="E6" t="n">
        <v>213.85</v>
      </c>
      <c r="F6" t="n">
        <v>4</v>
      </c>
      <c r="G6" s="16" t="n">
        <v>855.4</v>
      </c>
      <c r="H6" t="inlineStr">
        <is>
          <t>BUY</t>
        </is>
      </c>
    </row>
    <row r="7">
      <c r="A7" t="inlineStr">
        <is>
          <t>CRDO</t>
        </is>
      </c>
      <c r="B7" s="14" t="n">
        <v>78.40000000000001</v>
      </c>
      <c r="C7" s="14" t="n">
        <v>6.1</v>
      </c>
      <c r="D7" s="14" t="n">
        <v>835.76</v>
      </c>
      <c r="E7" t="n">
        <v>217.69</v>
      </c>
      <c r="F7" t="n">
        <v>4</v>
      </c>
      <c r="G7" s="16" t="n">
        <v>870.76</v>
      </c>
      <c r="H7" t="inlineStr">
        <is>
          <t>BUY</t>
        </is>
      </c>
    </row>
    <row r="8">
      <c r="A8" t="inlineStr">
        <is>
          <t>ANET</t>
        </is>
      </c>
      <c r="B8" s="14" t="n">
        <v>77.7</v>
      </c>
      <c r="C8" s="14" t="n">
        <v>6</v>
      </c>
      <c r="D8" s="14" t="n">
        <v>823.01</v>
      </c>
      <c r="E8" t="n">
        <v>158.88</v>
      </c>
      <c r="F8" t="n">
        <v>5</v>
      </c>
      <c r="G8" s="16" t="n">
        <v>794.4</v>
      </c>
      <c r="H8" t="inlineStr">
        <is>
          <t>BUY</t>
        </is>
      </c>
    </row>
    <row r="9">
      <c r="A9" t="inlineStr">
        <is>
          <t>RRC</t>
        </is>
      </c>
      <c r="B9" s="14" t="n">
        <v>77.3</v>
      </c>
      <c r="C9" s="14" t="n">
        <v>5.9</v>
      </c>
      <c r="D9" s="14" t="n">
        <v>815.73</v>
      </c>
      <c r="E9" t="n">
        <v>40.31</v>
      </c>
      <c r="F9" t="n">
        <v>20</v>
      </c>
      <c r="G9" s="16" t="n">
        <v>806.2</v>
      </c>
      <c r="H9" t="inlineStr">
        <is>
          <t>BUY</t>
        </is>
      </c>
    </row>
    <row r="10">
      <c r="A10" t="inlineStr">
        <is>
          <t>ALAB</t>
        </is>
      </c>
      <c r="B10" s="14" t="n">
        <v>76.59999999999999</v>
      </c>
      <c r="C10" s="14" t="n">
        <v>5.8</v>
      </c>
      <c r="D10" s="14" t="n">
        <v>802.98</v>
      </c>
      <c r="E10" t="n">
        <v>315.65</v>
      </c>
      <c r="F10" t="n">
        <v>3</v>
      </c>
      <c r="G10" s="16" t="n">
        <v>946.95</v>
      </c>
      <c r="H10" t="inlineStr">
        <is>
          <t>BUY</t>
        </is>
      </c>
    </row>
    <row r="11">
      <c r="A11" t="inlineStr">
        <is>
          <t>AR</t>
        </is>
      </c>
      <c r="B11" s="14" t="n">
        <v>76.5</v>
      </c>
      <c r="C11" s="14" t="n">
        <v>5.8</v>
      </c>
      <c r="D11" s="14" t="n">
        <v>801.16</v>
      </c>
      <c r="E11" t="n">
        <v>36.16</v>
      </c>
      <c r="F11" t="n">
        <v>22</v>
      </c>
      <c r="G11" s="16" t="n">
        <v>795.52</v>
      </c>
      <c r="H11" t="inlineStr">
        <is>
          <t>BUY</t>
        </is>
      </c>
    </row>
    <row r="12">
      <c r="A12" t="inlineStr">
        <is>
          <t>EXE</t>
        </is>
      </c>
      <c r="B12" s="14" t="n">
        <v>76.40000000000001</v>
      </c>
      <c r="C12" s="14" t="n">
        <v>5.8</v>
      </c>
      <c r="D12" s="14" t="n">
        <v>799.34</v>
      </c>
      <c r="E12" t="n">
        <v>95.08</v>
      </c>
      <c r="F12" t="n">
        <v>8</v>
      </c>
      <c r="G12" s="16" t="n">
        <v>760.64</v>
      </c>
      <c r="H12" t="inlineStr">
        <is>
          <t>BUY</t>
        </is>
      </c>
    </row>
    <row r="13">
      <c r="A13" t="inlineStr">
        <is>
          <t>GOOGL</t>
        </is>
      </c>
      <c r="B13" s="14" t="n">
        <v>75.90000000000001</v>
      </c>
      <c r="C13" s="14" t="n">
        <v>5.7</v>
      </c>
      <c r="D13" s="14" t="n">
        <v>790.24</v>
      </c>
      <c r="E13" t="n">
        <v>386.21</v>
      </c>
      <c r="F13" t="n">
        <v>2</v>
      </c>
      <c r="G13" s="16" t="n">
        <v>772.42</v>
      </c>
      <c r="H13" t="inlineStr">
        <is>
          <t>BUY</t>
        </is>
      </c>
    </row>
    <row r="14">
      <c r="A14" t="inlineStr">
        <is>
          <t>PLTR</t>
        </is>
      </c>
      <c r="B14" s="14" t="n">
        <v>75.5</v>
      </c>
      <c r="C14" s="14" t="n">
        <v>5.7</v>
      </c>
      <c r="D14" s="14" t="n">
        <v>782.95</v>
      </c>
      <c r="E14" t="n">
        <v>137.48</v>
      </c>
      <c r="F14" t="n">
        <v>6</v>
      </c>
      <c r="G14" s="16" t="n">
        <v>824.88</v>
      </c>
      <c r="H14" t="inlineStr">
        <is>
          <t>BUY</t>
        </is>
      </c>
    </row>
    <row r="15">
      <c r="A15" t="inlineStr">
        <is>
          <t>DDOG</t>
        </is>
      </c>
      <c r="B15" s="14" t="n">
        <v>75.40000000000001</v>
      </c>
      <c r="C15" s="14" t="n">
        <v>5.7</v>
      </c>
      <c r="D15" s="14" t="n">
        <v>781.13</v>
      </c>
      <c r="E15" t="n">
        <v>224.5</v>
      </c>
      <c r="F15" t="n">
        <v>3</v>
      </c>
      <c r="G15" s="16" t="n">
        <v>673.5</v>
      </c>
      <c r="H15" t="inlineStr">
        <is>
          <t>BUY</t>
        </is>
      </c>
    </row>
    <row r="16">
      <c r="A16" t="inlineStr">
        <is>
          <t>EME</t>
        </is>
      </c>
      <c r="B16" s="14" t="n">
        <v>75.2</v>
      </c>
      <c r="C16" s="14" t="n">
        <v>5.6</v>
      </c>
      <c r="D16" s="14" t="n">
        <v>777.49</v>
      </c>
      <c r="E16" t="n">
        <v>864.13</v>
      </c>
      <c r="F16" t="n">
        <v>1</v>
      </c>
      <c r="G16" s="16" t="n">
        <v>864.13</v>
      </c>
      <c r="H16" t="inlineStr">
        <is>
          <t>BUY</t>
        </is>
      </c>
    </row>
    <row r="17">
      <c r="A17" t="inlineStr">
        <is>
          <t>CRM</t>
        </is>
      </c>
      <c r="B17" s="14" t="n">
        <v>74.8</v>
      </c>
      <c r="C17" s="14" t="n">
        <v>5.6</v>
      </c>
      <c r="D17" s="14" t="n">
        <v>770.21</v>
      </c>
      <c r="E17" t="n">
        <v>181.7</v>
      </c>
      <c r="F17" t="n">
        <v>4</v>
      </c>
      <c r="G17" s="16" t="n">
        <v>726.8</v>
      </c>
      <c r="H17" t="inlineStr">
        <is>
          <t>BUY</t>
        </is>
      </c>
    </row>
    <row r="18">
      <c r="A18" t="inlineStr">
        <is>
          <t>AVGO</t>
        </is>
      </c>
      <c r="B18" s="14" t="n">
        <v>74.7</v>
      </c>
      <c r="C18" s="14" t="n">
        <v>5.6</v>
      </c>
      <c r="D18" s="14" t="n">
        <v>768.39</v>
      </c>
      <c r="E18" t="n">
        <v>423.06</v>
      </c>
      <c r="F18" t="n">
        <v>2</v>
      </c>
      <c r="G18" s="16" t="n">
        <v>846.12</v>
      </c>
      <c r="H18" t="inlineStr">
        <is>
          <t>BUY</t>
        </is>
      </c>
    </row>
    <row r="19">
      <c r="A19" t="inlineStr">
        <is>
          <t>MSFT</t>
        </is>
      </c>
      <c r="B19" s="14" t="n">
        <v>74.3</v>
      </c>
      <c r="C19" s="14" t="n">
        <v>5.5</v>
      </c>
      <c r="D19" s="14" t="n">
        <v>761.1</v>
      </c>
      <c r="E19" t="n">
        <v>413.9</v>
      </c>
      <c r="F19" t="n">
        <v>2</v>
      </c>
      <c r="G19" s="16" t="n">
        <v>827.8</v>
      </c>
      <c r="H19" t="inlineStr">
        <is>
          <t>BUY</t>
        </is>
      </c>
    </row>
    <row r="20">
      <c r="A20" t="inlineStr">
        <is>
          <t>ARM</t>
        </is>
      </c>
      <c r="B20" s="14" t="n">
        <v>74.2</v>
      </c>
      <c r="C20" s="14" t="n">
        <v>5.5</v>
      </c>
      <c r="D20" s="14" t="n">
        <v>759.28</v>
      </c>
      <c r="E20" t="n">
        <v>316.63</v>
      </c>
      <c r="F20" t="n">
        <v>2</v>
      </c>
      <c r="G20" s="16" t="n">
        <v>633.26</v>
      </c>
      <c r="H20" t="inlineStr">
        <is>
          <t>BUY</t>
        </is>
      </c>
    </row>
    <row r="21">
      <c r="A21" t="inlineStr">
        <is>
          <t>TOTAL</t>
        </is>
      </c>
      <c r="B21" s="14">
        <f>IFERROR(VLOOKUP(A21,Targets!$A$4:$H$200,8,FALSE),0)</f>
        <v/>
      </c>
      <c r="C21" s="14">
        <f>IFERROR(VLOOKUP(A21,Positions!$A$2:$G$200,7,FALSE),0)</f>
        <v/>
      </c>
      <c r="D21" s="14" t="n">
        <v>13800</v>
      </c>
      <c r="E21">
        <f>IF(ABS(D21)&lt;0.005,"hold",IF(D21&gt;0,"BUY","TRIM"))</f>
        <v/>
      </c>
      <c r="G21" s="16" t="n">
        <v>13728.28</v>
      </c>
    </row>
    <row r="22">
      <c r="A22" t="inlineStr">
        <is>
          <t>REMAINDER</t>
        </is>
      </c>
      <c r="B22" s="14">
        <f>IFERROR(VLOOKUP(A22,Targets!$A$4:$H$200,8,FALSE),0)</f>
        <v/>
      </c>
      <c r="C22" s="14">
        <f>IFERROR(VLOOKUP(A22,Positions!$A$2:$G$200,7,FALSE),0)</f>
        <v/>
      </c>
      <c r="D22" s="14">
        <f>B22-C22</f>
        <v/>
      </c>
      <c r="E22">
        <f>IF(ABS(D22)&lt;0.005,"hold",IF(D22&gt;0,"BUY","TRIM"))</f>
        <v/>
      </c>
      <c r="G22" s="16" t="n">
        <v>71.72</v>
      </c>
    </row>
    <row r="23">
      <c r="A23" t="inlineStr">
        <is>
          <t>TLN</t>
        </is>
      </c>
      <c r="B23" s="14">
        <f>IFERROR(VLOOKUP(A23,Targets!$A$4:$H$200,8,FALSE),0)</f>
        <v/>
      </c>
      <c r="C23" s="14">
        <f>IFERROR(VLOOKUP(A23,Positions!$A$2:$G$200,7,FALSE),0)</f>
        <v/>
      </c>
      <c r="D23" s="14">
        <f>B23-C23</f>
        <v/>
      </c>
      <c r="E23">
        <f>IF(ABS(D23)&lt;0.005,"hold",IF(D23&gt;0,"BUY","TRIM"))</f>
        <v/>
      </c>
      <c r="G23" s="16">
        <f>D23*100000</f>
        <v/>
      </c>
    </row>
    <row r="24">
      <c r="A24" t="inlineStr">
        <is>
          <t>MU</t>
        </is>
      </c>
      <c r="B24" s="14">
        <f>IFERROR(VLOOKUP(A24,Targets!$A$4:$H$200,8,FALSE),0)</f>
        <v/>
      </c>
      <c r="C24" s="14">
        <f>IFERROR(VLOOKUP(A24,Positions!$A$2:$G$200,7,FALSE),0)</f>
        <v/>
      </c>
      <c r="D24" s="14">
        <f>B24-C24</f>
        <v/>
      </c>
      <c r="E24">
        <f>IF(ABS(D24)&lt;0.005,"hold",IF(D24&gt;0,"BUY","TRIM"))</f>
        <v/>
      </c>
      <c r="G24" s="16">
        <f>D24*100000</f>
        <v/>
      </c>
    </row>
    <row r="25">
      <c r="A25" t="inlineStr">
        <is>
          <t>MRVL</t>
        </is>
      </c>
      <c r="B25" s="14">
        <f>IFERROR(VLOOKUP(A25,Targets!$A$4:$H$200,8,FALSE),0)</f>
        <v/>
      </c>
      <c r="C25" s="14">
        <f>IFERROR(VLOOKUP(A25,Positions!$A$2:$G$200,7,FALSE),0)</f>
        <v/>
      </c>
      <c r="D25" s="14">
        <f>B25-C25</f>
        <v/>
      </c>
      <c r="E25">
        <f>IF(ABS(D25)&lt;0.005,"hold",IF(D25&gt;0,"BUY","TRIM"))</f>
        <v/>
      </c>
      <c r="G25" s="16">
        <f>D25*100000</f>
        <v/>
      </c>
    </row>
    <row r="26">
      <c r="A26" t="inlineStr">
        <is>
          <t>TER</t>
        </is>
      </c>
      <c r="B26" s="14">
        <f>IFERROR(VLOOKUP(A26,Targets!$A$4:$H$200,8,FALSE),0)</f>
        <v/>
      </c>
      <c r="C26" s="14">
        <f>IFERROR(VLOOKUP(A26,Positions!$A$2:$G$200,7,FALSE),0)</f>
        <v/>
      </c>
      <c r="D26" s="14">
        <f>B26-C26</f>
        <v/>
      </c>
      <c r="E26">
        <f>IF(ABS(D26)&lt;0.005,"hold",IF(D26&gt;0,"BUY","TRIM"))</f>
        <v/>
      </c>
      <c r="G26" s="16">
        <f>D26*100000</f>
        <v/>
      </c>
    </row>
    <row r="27">
      <c r="A27" t="inlineStr">
        <is>
          <t>VST</t>
        </is>
      </c>
      <c r="B27" s="14">
        <f>IFERROR(VLOOKUP(A27,Targets!$A$4:$H$200,8,FALSE),0)</f>
        <v/>
      </c>
      <c r="C27" s="14">
        <f>IFERROR(VLOOKUP(A27,Positions!$A$2:$G$200,7,FALSE),0)</f>
        <v/>
      </c>
      <c r="D27" s="14">
        <f>B27-C27</f>
        <v/>
      </c>
      <c r="E27">
        <f>IF(ABS(D27)&lt;0.005,"hold",IF(D27&gt;0,"BUY","TRIM"))</f>
        <v/>
      </c>
      <c r="G27" s="16">
        <f>D27*100000</f>
        <v/>
      </c>
    </row>
    <row r="28">
      <c r="A28" t="inlineStr">
        <is>
          <t>VRT</t>
        </is>
      </c>
      <c r="B28" s="14">
        <f>IFERROR(VLOOKUP(A28,Targets!$A$4:$H$200,8,FALSE),0)</f>
        <v/>
      </c>
      <c r="C28" s="14">
        <f>IFERROR(VLOOKUP(A28,Positions!$A$2:$G$200,7,FALSE),0)</f>
        <v/>
      </c>
      <c r="D28" s="14">
        <f>B28-C28</f>
        <v/>
      </c>
      <c r="E28">
        <f>IF(ABS(D28)&lt;0.005,"hold",IF(D28&gt;0,"BUY","TRIM"))</f>
        <v/>
      </c>
      <c r="G28" s="16">
        <f>D28*100000</f>
        <v/>
      </c>
    </row>
    <row r="29">
      <c r="A29" t="inlineStr">
        <is>
          <t>CRM</t>
        </is>
      </c>
      <c r="B29" s="14">
        <f>IFERROR(VLOOKUP(A29,Targets!$A$4:$H$200,8,FALSE),0)</f>
        <v/>
      </c>
      <c r="C29" s="14">
        <f>IFERROR(VLOOKUP(A29,Positions!$A$2:$G$200,7,FALSE),0)</f>
        <v/>
      </c>
      <c r="D29" s="14">
        <f>B29-C29</f>
        <v/>
      </c>
      <c r="E29">
        <f>IF(ABS(D29)&lt;0.005,"hold",IF(D29&gt;0,"BUY","TRIM"))</f>
        <v/>
      </c>
      <c r="G29" s="16">
        <f>D29*100000</f>
        <v/>
      </c>
    </row>
    <row r="30">
      <c r="A30" t="inlineStr">
        <is>
          <t>LRCX</t>
        </is>
      </c>
      <c r="B30" s="14">
        <f>IFERROR(VLOOKUP(A30,Targets!$A$4:$H$200,8,FALSE),0)</f>
        <v/>
      </c>
      <c r="C30" s="14">
        <f>IFERROR(VLOOKUP(A30,Positions!$A$2:$G$200,7,FALSE),0)</f>
        <v/>
      </c>
      <c r="D30" s="14">
        <f>B30-C30</f>
        <v/>
      </c>
      <c r="E30">
        <f>IF(ABS(D30)&lt;0.005,"hold",IF(D30&gt;0,"BUY","TRIM"))</f>
        <v/>
      </c>
      <c r="G30" s="16">
        <f>D30*100000</f>
        <v/>
      </c>
    </row>
    <row r="31">
      <c r="A31" t="inlineStr">
        <is>
          <t>KLAC</t>
        </is>
      </c>
      <c r="B31" s="14">
        <f>IFERROR(VLOOKUP(A31,Targets!$A$4:$H$200,8,FALSE),0)</f>
        <v/>
      </c>
      <c r="C31" s="14">
        <f>IFERROR(VLOOKUP(A31,Positions!$A$2:$G$200,7,FALSE),0)</f>
        <v/>
      </c>
      <c r="D31" s="14">
        <f>B31-C31</f>
        <v/>
      </c>
      <c r="E31">
        <f>IF(ABS(D31)&lt;0.005,"hold",IF(D31&gt;0,"BUY","TRIM"))</f>
        <v/>
      </c>
      <c r="G31" s="16">
        <f>D31*100000</f>
        <v/>
      </c>
    </row>
    <row r="32">
      <c r="A32" t="inlineStr">
        <is>
          <t>GEV</t>
        </is>
      </c>
      <c r="B32" s="14">
        <f>IFERROR(VLOOKUP(A32,Targets!$A$4:$H$200,8,FALSE),0)</f>
        <v/>
      </c>
      <c r="C32" s="14">
        <f>IFERROR(VLOOKUP(A32,Positions!$A$2:$G$200,7,FALSE),0)</f>
        <v/>
      </c>
      <c r="D32" s="14">
        <f>B32-C32</f>
        <v/>
      </c>
      <c r="E32">
        <f>IF(ABS(D32)&lt;0.005,"hold",IF(D32&gt;0,"BUY","TRIM"))</f>
        <v/>
      </c>
      <c r="G32" s="16">
        <f>D32*100000</f>
        <v/>
      </c>
    </row>
    <row r="33">
      <c r="A33" t="inlineStr">
        <is>
          <t>META</t>
        </is>
      </c>
      <c r="B33" s="14">
        <f>IFERROR(VLOOKUP(A33,Targets!$A$4:$H$200,8,FALSE),0)</f>
        <v/>
      </c>
      <c r="C33" s="14">
        <f>IFERROR(VLOOKUP(A33,Positions!$A$2:$G$200,7,FALSE),0)</f>
        <v/>
      </c>
      <c r="D33" s="14">
        <f>B33-C33</f>
        <v/>
      </c>
      <c r="E33">
        <f>IF(ABS(D33)&lt;0.005,"hold",IF(D33&gt;0,"BUY","TRIM"))</f>
        <v/>
      </c>
      <c r="G33" s="16">
        <f>D33*100000</f>
        <v/>
      </c>
    </row>
    <row r="34">
      <c r="A34" t="inlineStr">
        <is>
          <t>ASML</t>
        </is>
      </c>
      <c r="B34" s="14">
        <f>IFERROR(VLOOKUP(A34,Targets!$A$4:$H$200,8,FALSE),0)</f>
        <v/>
      </c>
      <c r="C34" s="14">
        <f>IFERROR(VLOOKUP(A34,Positions!$A$2:$G$200,7,FALSE),0)</f>
        <v/>
      </c>
      <c r="D34" s="14">
        <f>B34-C34</f>
        <v/>
      </c>
      <c r="E34">
        <f>IF(ABS(D34)&lt;0.005,"hold",IF(D34&gt;0,"BUY","TRIM"))</f>
        <v/>
      </c>
      <c r="G34" s="16">
        <f>D34*100000</f>
        <v/>
      </c>
    </row>
    <row r="35">
      <c r="A35" t="inlineStr">
        <is>
          <t>SNOW</t>
        </is>
      </c>
      <c r="B35" s="14">
        <f>IFERROR(VLOOKUP(A35,Targets!$A$4:$H$200,8,FALSE),0)</f>
        <v/>
      </c>
      <c r="C35" s="14">
        <f>IFERROR(VLOOKUP(A35,Positions!$A$2:$G$200,7,FALSE),0)</f>
        <v/>
      </c>
      <c r="D35" s="14">
        <f>B35-C35</f>
        <v/>
      </c>
      <c r="E35">
        <f>IF(ABS(D35)&lt;0.005,"hold",IF(D35&gt;0,"BUY","TRIM"))</f>
        <v/>
      </c>
      <c r="G35" s="16">
        <f>D35*100000</f>
        <v/>
      </c>
    </row>
    <row r="36">
      <c r="A36" t="inlineStr">
        <is>
          <t>DELL</t>
        </is>
      </c>
      <c r="B36" s="14">
        <f>IFERROR(VLOOKUP(A36,Targets!$A$4:$H$200,8,FALSE),0)</f>
        <v/>
      </c>
      <c r="C36" s="14">
        <f>IFERROR(VLOOKUP(A36,Positions!$A$2:$G$200,7,FALSE),0)</f>
        <v/>
      </c>
      <c r="D36" s="14">
        <f>B36-C36</f>
        <v/>
      </c>
      <c r="E36">
        <f>IF(ABS(D36)&lt;0.005,"hold",IF(D36&gt;0,"BUY","TRIM"))</f>
        <v/>
      </c>
      <c r="G36" s="16">
        <f>D36*100000</f>
        <v/>
      </c>
    </row>
    <row r="37">
      <c r="A37" t="inlineStr">
        <is>
          <t>NOW</t>
        </is>
      </c>
      <c r="B37" s="14">
        <f>IFERROR(VLOOKUP(A37,Targets!$A$4:$H$200,8,FALSE),0)</f>
        <v/>
      </c>
      <c r="C37" s="14">
        <f>IFERROR(VLOOKUP(A37,Positions!$A$2:$G$200,7,FALSE),0)</f>
        <v/>
      </c>
      <c r="D37" s="14">
        <f>B37-C37</f>
        <v/>
      </c>
      <c r="E37">
        <f>IF(ABS(D37)&lt;0.005,"hold",IF(D37&gt;0,"BUY","TRIM"))</f>
        <v/>
      </c>
      <c r="G37" s="16">
        <f>D37*100000</f>
        <v/>
      </c>
    </row>
    <row r="38">
      <c r="A38" t="inlineStr">
        <is>
          <t>LITE</t>
        </is>
      </c>
      <c r="B38" s="14">
        <f>IFERROR(VLOOKUP(A38,Targets!$A$4:$H$200,8,FALSE),0)</f>
        <v/>
      </c>
      <c r="C38" s="14">
        <f>IFERROR(VLOOKUP(A38,Positions!$A$2:$G$200,7,FALSE),0)</f>
        <v/>
      </c>
      <c r="D38" s="14">
        <f>B38-C38</f>
        <v/>
      </c>
      <c r="E38">
        <f>IF(ABS(D38)&lt;0.005,"hold",IF(D38&gt;0,"BUY","TRIM"))</f>
        <v/>
      </c>
      <c r="G38" s="16">
        <f>D38*100000</f>
        <v/>
      </c>
    </row>
    <row r="39">
      <c r="A39" t="inlineStr">
        <is>
          <t>NBIS</t>
        </is>
      </c>
      <c r="B39" s="14">
        <f>IFERROR(VLOOKUP(A39,Targets!$A$4:$H$200,8,FALSE),0)</f>
        <v/>
      </c>
      <c r="C39" s="14">
        <f>IFERROR(VLOOKUP(A39,Positions!$A$2:$G$200,7,FALSE),0)</f>
        <v/>
      </c>
      <c r="D39" s="14">
        <f>B39-C39</f>
        <v/>
      </c>
      <c r="E39">
        <f>IF(ABS(D39)&lt;0.005,"hold",IF(D39&gt;0,"BUY","TRIM"))</f>
        <v/>
      </c>
      <c r="G39" s="16">
        <f>D39*100000</f>
        <v/>
      </c>
    </row>
    <row r="40">
      <c r="A40" t="inlineStr">
        <is>
          <t>APH</t>
        </is>
      </c>
      <c r="B40" s="14">
        <f>IFERROR(VLOOKUP(A40,Targets!$A$4:$H$200,8,FALSE),0)</f>
        <v/>
      </c>
      <c r="C40" s="14">
        <f>IFERROR(VLOOKUP(A40,Positions!$A$2:$G$200,7,FALSE),0)</f>
        <v/>
      </c>
      <c r="D40" s="14">
        <f>B40-C40</f>
        <v/>
      </c>
      <c r="E40">
        <f>IF(ABS(D40)&lt;0.005,"hold",IF(D40&gt;0,"BUY","TRIM"))</f>
        <v/>
      </c>
      <c r="G40" s="16">
        <f>D40*100000</f>
        <v/>
      </c>
    </row>
    <row r="41">
      <c r="A41" t="inlineStr">
        <is>
          <t>TOELY</t>
        </is>
      </c>
      <c r="B41" s="14">
        <f>IFERROR(VLOOKUP(A41,Targets!$A$4:$H$200,8,FALSE),0)</f>
        <v/>
      </c>
      <c r="C41" s="14">
        <f>IFERROR(VLOOKUP(A41,Positions!$A$2:$G$200,7,FALSE),0)</f>
        <v/>
      </c>
      <c r="D41" s="14">
        <f>B41-C41</f>
        <v/>
      </c>
      <c r="E41">
        <f>IF(ABS(D41)&lt;0.005,"hold",IF(D41&gt;0,"BUY","TRIM"))</f>
        <v/>
      </c>
      <c r="G41" s="16">
        <f>D41*100000</f>
        <v/>
      </c>
    </row>
    <row r="42">
      <c r="A42" t="inlineStr">
        <is>
          <t>AMAT</t>
        </is>
      </c>
      <c r="B42" s="14">
        <f>IFERROR(VLOOKUP(A42,Targets!$A$4:$H$200,8,FALSE),0)</f>
        <v/>
      </c>
      <c r="C42" s="14">
        <f>IFERROR(VLOOKUP(A42,Positions!$A$2:$G$200,7,FALSE),0)</f>
        <v/>
      </c>
      <c r="D42" s="14">
        <f>B42-C42</f>
        <v/>
      </c>
      <c r="E42">
        <f>IF(ABS(D42)&lt;0.005,"hold",IF(D42&gt;0,"BUY","TRIM"))</f>
        <v/>
      </c>
      <c r="G42" s="16">
        <f>D42*100000</f>
        <v/>
      </c>
    </row>
    <row r="43">
      <c r="A43" t="inlineStr">
        <is>
          <t>EQIX</t>
        </is>
      </c>
      <c r="B43" s="14">
        <f>IFERROR(VLOOKUP(A43,Targets!$A$4:$H$200,8,FALSE),0)</f>
        <v/>
      </c>
      <c r="C43" s="14">
        <f>IFERROR(VLOOKUP(A43,Positions!$A$2:$G$200,7,FALSE),0)</f>
        <v/>
      </c>
      <c r="D43" s="14">
        <f>B43-C43</f>
        <v/>
      </c>
      <c r="E43">
        <f>IF(ABS(D43)&lt;0.005,"hold",IF(D43&gt;0,"BUY","TRIM"))</f>
        <v/>
      </c>
      <c r="G43" s="16">
        <f>D43*100000</f>
        <v/>
      </c>
    </row>
    <row r="44">
      <c r="A44" t="inlineStr">
        <is>
          <t>CDNS</t>
        </is>
      </c>
      <c r="B44" s="14">
        <f>IFERROR(VLOOKUP(A44,Targets!$A$4:$H$200,8,FALSE),0)</f>
        <v/>
      </c>
      <c r="C44" s="14">
        <f>IFERROR(VLOOKUP(A44,Positions!$A$2:$G$200,7,FALSE),0)</f>
        <v/>
      </c>
      <c r="D44" s="14">
        <f>B44-C44</f>
        <v/>
      </c>
      <c r="E44">
        <f>IF(ABS(D44)&lt;0.005,"hold",IF(D44&gt;0,"BUY","TRIM"))</f>
        <v/>
      </c>
      <c r="G44" s="16">
        <f>D44*100000</f>
        <v/>
      </c>
    </row>
    <row r="45">
      <c r="A45" t="inlineStr">
        <is>
          <t>DLR</t>
        </is>
      </c>
      <c r="B45" s="14">
        <f>IFERROR(VLOOKUP(A45,Targets!$A$4:$H$200,8,FALSE),0)</f>
        <v/>
      </c>
      <c r="C45" s="14">
        <f>IFERROR(VLOOKUP(A45,Positions!$A$2:$G$200,7,FALSE),0)</f>
        <v/>
      </c>
      <c r="D45" s="14">
        <f>B45-C45</f>
        <v/>
      </c>
      <c r="E45">
        <f>IF(ABS(D45)&lt;0.005,"hold",IF(D45&gt;0,"BUY","TRIM"))</f>
        <v/>
      </c>
      <c r="G45" s="16">
        <f>D45*100000</f>
        <v/>
      </c>
    </row>
    <row r="46">
      <c r="A46" t="inlineStr">
        <is>
          <t>ABBNY</t>
        </is>
      </c>
      <c r="B46" s="14">
        <f>IFERROR(VLOOKUP(A46,Targets!$A$4:$H$200,8,FALSE),0)</f>
        <v/>
      </c>
      <c r="C46" s="14">
        <f>IFERROR(VLOOKUP(A46,Positions!$A$2:$G$200,7,FALSE),0)</f>
        <v/>
      </c>
      <c r="D46" s="14">
        <f>B46-C46</f>
        <v/>
      </c>
      <c r="E46">
        <f>IF(ABS(D46)&lt;0.005,"hold",IF(D46&gt;0,"BUY","TRIM"))</f>
        <v/>
      </c>
      <c r="G46" s="16">
        <f>D46*100000</f>
        <v/>
      </c>
    </row>
    <row r="47">
      <c r="A47" t="inlineStr">
        <is>
          <t>TT</t>
        </is>
      </c>
      <c r="B47" s="14">
        <f>IFERROR(VLOOKUP(A47,Targets!$A$4:$H$200,8,FALSE),0)</f>
        <v/>
      </c>
      <c r="C47" s="14">
        <f>IFERROR(VLOOKUP(A47,Positions!$A$2:$G$200,7,FALSE),0)</f>
        <v/>
      </c>
      <c r="D47" s="14">
        <f>B47-C47</f>
        <v/>
      </c>
      <c r="E47">
        <f>IF(ABS(D47)&lt;0.005,"hold",IF(D47&gt;0,"BUY","TRIM"))</f>
        <v/>
      </c>
      <c r="G47" s="16">
        <f>D47*100000</f>
        <v/>
      </c>
    </row>
    <row r="48">
      <c r="A48" t="inlineStr">
        <is>
          <t>FN</t>
        </is>
      </c>
      <c r="B48" s="14">
        <f>IFERROR(VLOOKUP(A48,Targets!$A$4:$H$200,8,FALSE),0)</f>
        <v/>
      </c>
      <c r="C48" s="14">
        <f>IFERROR(VLOOKUP(A48,Positions!$A$2:$G$200,7,FALSE),0)</f>
        <v/>
      </c>
      <c r="D48" s="14">
        <f>B48-C48</f>
        <v/>
      </c>
      <c r="E48">
        <f>IF(ABS(D48)&lt;0.005,"hold",IF(D48&gt;0,"BUY","TRIM"))</f>
        <v/>
      </c>
      <c r="G48" s="16">
        <f>D48*100000</f>
        <v/>
      </c>
    </row>
    <row r="49">
      <c r="A49" t="inlineStr">
        <is>
          <t>GLW</t>
        </is>
      </c>
      <c r="B49" s="14">
        <f>IFERROR(VLOOKUP(A49,Targets!$A$4:$H$200,8,FALSE),0)</f>
        <v/>
      </c>
      <c r="C49" s="14">
        <f>IFERROR(VLOOKUP(A49,Positions!$A$2:$G$200,7,FALSE),0)</f>
        <v/>
      </c>
      <c r="D49" s="14">
        <f>B49-C49</f>
        <v/>
      </c>
      <c r="E49">
        <f>IF(ABS(D49)&lt;0.005,"hold",IF(D49&gt;0,"BUY","TRIM"))</f>
        <v/>
      </c>
      <c r="G49" s="16">
        <f>D49*100000</f>
        <v/>
      </c>
    </row>
    <row r="50">
      <c r="A50" t="inlineStr">
        <is>
          <t>HTHIY</t>
        </is>
      </c>
      <c r="B50" s="14">
        <f>IFERROR(VLOOKUP(A50,Targets!$A$4:$H$200,8,FALSE),0)</f>
        <v/>
      </c>
      <c r="C50" s="14">
        <f>IFERROR(VLOOKUP(A50,Positions!$A$2:$G$200,7,FALSE),0)</f>
        <v/>
      </c>
      <c r="D50" s="14">
        <f>B50-C50</f>
        <v/>
      </c>
      <c r="E50">
        <f>IF(ABS(D50)&lt;0.005,"hold",IF(D50&gt;0,"BUY","TRIM"))</f>
        <v/>
      </c>
      <c r="G50" s="16">
        <f>D50*100000</f>
        <v/>
      </c>
    </row>
    <row r="51">
      <c r="A51" t="inlineStr">
        <is>
          <t>ONTO</t>
        </is>
      </c>
      <c r="B51" s="14">
        <f>IFERROR(VLOOKUP(A51,Targets!$A$4:$H$200,8,FALSE),0)</f>
        <v/>
      </c>
      <c r="C51" s="14">
        <f>IFERROR(VLOOKUP(A51,Positions!$A$2:$G$200,7,FALSE),0)</f>
        <v/>
      </c>
      <c r="D51" s="14">
        <f>B51-C51</f>
        <v/>
      </c>
      <c r="E51">
        <f>IF(ABS(D51)&lt;0.005,"hold",IF(D51&gt;0,"BUY","TRIM"))</f>
        <v/>
      </c>
      <c r="G51" s="16">
        <f>D51*100000</f>
        <v/>
      </c>
    </row>
    <row r="52">
      <c r="A52" t="inlineStr">
        <is>
          <t>CIEN</t>
        </is>
      </c>
      <c r="B52" s="14">
        <f>IFERROR(VLOOKUP(A52,Targets!$A$4:$H$200,8,FALSE),0)</f>
        <v/>
      </c>
      <c r="C52" s="14">
        <f>IFERROR(VLOOKUP(A52,Positions!$A$2:$G$200,7,FALSE),0)</f>
        <v/>
      </c>
      <c r="D52" s="14">
        <f>B52-C52</f>
        <v/>
      </c>
      <c r="E52">
        <f>IF(ABS(D52)&lt;0.005,"hold",IF(D52&gt;0,"BUY","TRIM"))</f>
        <v/>
      </c>
      <c r="G52" s="16">
        <f>D52*100000</f>
        <v/>
      </c>
    </row>
    <row r="53">
      <c r="A53" t="inlineStr">
        <is>
          <t>POWL</t>
        </is>
      </c>
      <c r="B53" s="14">
        <f>IFERROR(VLOOKUP(A53,Targets!$A$4:$H$200,8,FALSE),0)</f>
        <v/>
      </c>
      <c r="C53" s="14">
        <f>IFERROR(VLOOKUP(A53,Positions!$A$2:$G$200,7,FALSE),0)</f>
        <v/>
      </c>
      <c r="D53" s="14">
        <f>B53-C53</f>
        <v/>
      </c>
      <c r="E53">
        <f>IF(ABS(D53)&lt;0.005,"hold",IF(D53&gt;0,"BUY","TRIM"))</f>
        <v/>
      </c>
      <c r="G53" s="16">
        <f>D53*100000</f>
        <v/>
      </c>
    </row>
    <row r="54">
      <c r="A54" t="inlineStr">
        <is>
          <t>PWR</t>
        </is>
      </c>
      <c r="B54" s="14">
        <f>IFERROR(VLOOKUP(A54,Targets!$A$4:$H$200,8,FALSE),0)</f>
        <v/>
      </c>
      <c r="C54" s="14">
        <f>IFERROR(VLOOKUP(A54,Positions!$A$2:$G$200,7,FALSE),0)</f>
        <v/>
      </c>
      <c r="D54" s="14">
        <f>B54-C54</f>
        <v/>
      </c>
      <c r="E54">
        <f>IF(ABS(D54)&lt;0.005,"hold",IF(D54&gt;0,"BUY","TRIM"))</f>
        <v/>
      </c>
      <c r="G54" s="16">
        <f>D54*100000</f>
        <v/>
      </c>
    </row>
    <row r="55">
      <c r="A55" t="inlineStr">
        <is>
          <t>SBGSY</t>
        </is>
      </c>
      <c r="B55" s="14">
        <f>IFERROR(VLOOKUP(A55,Targets!$A$4:$H$200,8,FALSE),0)</f>
        <v/>
      </c>
      <c r="C55" s="14">
        <f>IFERROR(VLOOKUP(A55,Positions!$A$2:$G$200,7,FALSE),0)</f>
        <v/>
      </c>
      <c r="D55" s="14">
        <f>B55-C55</f>
        <v/>
      </c>
      <c r="E55">
        <f>IF(ABS(D55)&lt;0.005,"hold",IF(D55&gt;0,"BUY","TRIM"))</f>
        <v/>
      </c>
      <c r="G55" s="16">
        <f>D55*100000</f>
        <v/>
      </c>
    </row>
    <row r="56">
      <c r="A56" t="inlineStr">
        <is>
          <t>CCJ</t>
        </is>
      </c>
      <c r="B56" s="14">
        <f>IFERROR(VLOOKUP(A56,Targets!$A$4:$H$200,8,FALSE),0)</f>
        <v/>
      </c>
      <c r="C56" s="14">
        <f>IFERROR(VLOOKUP(A56,Positions!$A$2:$G$200,7,FALSE),0)</f>
        <v/>
      </c>
      <c r="D56" s="14">
        <f>B56-C56</f>
        <v/>
      </c>
      <c r="E56">
        <f>IF(ABS(D56)&lt;0.005,"hold",IF(D56&gt;0,"BUY","TRIM"))</f>
        <v/>
      </c>
      <c r="G56" s="16">
        <f>D56*100000</f>
        <v/>
      </c>
    </row>
    <row r="57">
      <c r="A57" t="inlineStr">
        <is>
          <t>AEP</t>
        </is>
      </c>
      <c r="B57" s="14">
        <f>IFERROR(VLOOKUP(A57,Targets!$A$4:$H$200,8,FALSE),0)</f>
        <v/>
      </c>
      <c r="C57" s="14">
        <f>IFERROR(VLOOKUP(A57,Positions!$A$2:$G$200,7,FALSE),0)</f>
        <v/>
      </c>
      <c r="D57" s="14">
        <f>B57-C57</f>
        <v/>
      </c>
      <c r="E57">
        <f>IF(ABS(D57)&lt;0.005,"hold",IF(D57&gt;0,"BUY","TRIM"))</f>
        <v/>
      </c>
      <c r="G57" s="16">
        <f>D57*100000</f>
        <v/>
      </c>
    </row>
    <row r="58">
      <c r="A58" t="inlineStr">
        <is>
          <t>NEE</t>
        </is>
      </c>
      <c r="B58" s="14">
        <f>IFERROR(VLOOKUP(A58,Targets!$A$4:$H$200,8,FALSE),0)</f>
        <v/>
      </c>
      <c r="C58" s="14">
        <f>IFERROR(VLOOKUP(A58,Positions!$A$2:$G$200,7,FALSE),0)</f>
        <v/>
      </c>
      <c r="D58" s="14">
        <f>B58-C58</f>
        <v/>
      </c>
      <c r="E58">
        <f>IF(ABS(D58)&lt;0.005,"hold",IF(D58&gt;0,"BUY","TRIM"))</f>
        <v/>
      </c>
      <c r="G58" s="16">
        <f>D58*100000</f>
        <v/>
      </c>
    </row>
    <row r="59">
      <c r="A59" t="inlineStr">
        <is>
          <t>SNPS</t>
        </is>
      </c>
      <c r="B59" s="14">
        <f>IFERROR(VLOOKUP(A59,Targets!$A$4:$H$200,8,FALSE),0)</f>
        <v/>
      </c>
      <c r="C59" s="14">
        <f>IFERROR(VLOOKUP(A59,Positions!$A$2:$G$200,7,FALSE),0)</f>
        <v/>
      </c>
      <c r="D59" s="14">
        <f>B59-C59</f>
        <v/>
      </c>
      <c r="E59">
        <f>IF(ABS(D59)&lt;0.005,"hold",IF(D59&gt;0,"BUY","TRIM"))</f>
        <v/>
      </c>
      <c r="G59" s="16">
        <f>D59*100000</f>
        <v/>
      </c>
    </row>
    <row r="60">
      <c r="A60" t="inlineStr">
        <is>
          <t>HUT</t>
        </is>
      </c>
      <c r="B60" s="14">
        <f>IFERROR(VLOOKUP(A60,Targets!$A$4:$H$200,8,FALSE),0)</f>
        <v/>
      </c>
      <c r="C60" s="14">
        <f>IFERROR(VLOOKUP(A60,Positions!$A$2:$G$200,7,FALSE),0)</f>
        <v/>
      </c>
      <c r="D60" s="14">
        <f>B60-C60</f>
        <v/>
      </c>
      <c r="E60">
        <f>IF(ABS(D60)&lt;0.005,"hold",IF(D60&gt;0,"BUY","TRIM"))</f>
        <v/>
      </c>
      <c r="G60" s="16">
        <f>D60*100000</f>
        <v/>
      </c>
    </row>
    <row r="61">
      <c r="A61" t="inlineStr">
        <is>
          <t>CRWV</t>
        </is>
      </c>
      <c r="B61" s="14">
        <f>IFERROR(VLOOKUP(A61,Targets!$A$4:$H$200,8,FALSE),0)</f>
        <v/>
      </c>
      <c r="C61" s="14">
        <f>IFERROR(VLOOKUP(A61,Positions!$A$2:$G$200,7,FALSE),0)</f>
        <v/>
      </c>
      <c r="D61" s="14">
        <f>B61-C61</f>
        <v/>
      </c>
      <c r="E61">
        <f>IF(ABS(D61)&lt;0.005,"hold",IF(D61&gt;0,"BUY","TRIM"))</f>
        <v/>
      </c>
      <c r="G61" s="16">
        <f>D61*100000</f>
        <v/>
      </c>
    </row>
    <row r="62">
      <c r="A62" t="inlineStr">
        <is>
          <t>MKSI</t>
        </is>
      </c>
      <c r="B62" s="14">
        <f>IFERROR(VLOOKUP(A62,Targets!$A$4:$H$200,8,FALSE),0)</f>
        <v/>
      </c>
      <c r="C62" s="14">
        <f>IFERROR(VLOOKUP(A62,Positions!$A$2:$G$200,7,FALSE),0)</f>
        <v/>
      </c>
      <c r="D62" s="14">
        <f>B62-C62</f>
        <v/>
      </c>
      <c r="E62">
        <f>IF(ABS(D62)&lt;0.005,"hold",IF(D62&gt;0,"BUY","TRIM"))</f>
        <v/>
      </c>
      <c r="G62" s="16">
        <f>D62*100000</f>
        <v/>
      </c>
    </row>
    <row r="63">
      <c r="A63" t="inlineStr">
        <is>
          <t>CEG</t>
        </is>
      </c>
      <c r="B63" s="14">
        <f>IFERROR(VLOOKUP(A63,Targets!$A$4:$H$200,8,FALSE),0)</f>
        <v/>
      </c>
      <c r="C63" s="14">
        <f>IFERROR(VLOOKUP(A63,Positions!$A$2:$G$200,7,FALSE),0)</f>
        <v/>
      </c>
      <c r="D63" s="14">
        <f>B63-C63</f>
        <v/>
      </c>
      <c r="E63">
        <f>IF(ABS(D63)&lt;0.005,"hold",IF(D63&gt;0,"BUY","TRIM"))</f>
        <v/>
      </c>
      <c r="G63" s="16">
        <f>D63*100000</f>
        <v/>
      </c>
    </row>
    <row r="64">
      <c r="A64" t="inlineStr">
        <is>
          <t>BE</t>
        </is>
      </c>
      <c r="B64" s="14">
        <f>IFERROR(VLOOKUP(A64,Targets!$A$4:$H$200,8,FALSE),0)</f>
        <v/>
      </c>
      <c r="C64" s="14">
        <f>IFERROR(VLOOKUP(A64,Positions!$A$2:$G$200,7,FALSE),0)</f>
        <v/>
      </c>
      <c r="D64" s="14">
        <f>B64-C64</f>
        <v/>
      </c>
      <c r="E64">
        <f>IF(ABS(D64)&lt;0.005,"hold",IF(D64&gt;0,"BUY","TRIM"))</f>
        <v/>
      </c>
      <c r="G64" s="16">
        <f>D64*100000</f>
        <v/>
      </c>
    </row>
    <row r="65">
      <c r="A65" t="inlineStr">
        <is>
          <t>NVT</t>
        </is>
      </c>
      <c r="B65" s="14">
        <f>IFERROR(VLOOKUP(A65,Targets!$A$4:$H$200,8,FALSE),0)</f>
        <v/>
      </c>
      <c r="C65" s="14">
        <f>IFERROR(VLOOKUP(A65,Positions!$A$2:$G$200,7,FALSE),0)</f>
        <v/>
      </c>
      <c r="D65" s="14">
        <f>B65-C65</f>
        <v/>
      </c>
      <c r="E65">
        <f>IF(ABS(D65)&lt;0.005,"hold",IF(D65&gt;0,"BUY","TRIM"))</f>
        <v/>
      </c>
      <c r="G65" s="16">
        <f>D65*100000</f>
        <v/>
      </c>
    </row>
    <row r="66">
      <c r="A66" t="inlineStr">
        <is>
          <t>CMI</t>
        </is>
      </c>
      <c r="B66" s="14">
        <f>IFERROR(VLOOKUP(A66,Targets!$A$4:$H$200,8,FALSE),0)</f>
        <v/>
      </c>
      <c r="C66" s="14">
        <f>IFERROR(VLOOKUP(A66,Positions!$A$2:$G$200,7,FALSE),0)</f>
        <v/>
      </c>
      <c r="D66" s="14">
        <f>B66-C66</f>
        <v/>
      </c>
      <c r="E66">
        <f>IF(ABS(D66)&lt;0.005,"hold",IF(D66&gt;0,"BUY","TRIM"))</f>
        <v/>
      </c>
      <c r="G66" s="16">
        <f>D66*100000</f>
        <v/>
      </c>
    </row>
    <row r="67">
      <c r="A67" t="inlineStr">
        <is>
          <t>JCI</t>
        </is>
      </c>
      <c r="B67" s="14">
        <f>IFERROR(VLOOKUP(A67,Targets!$A$4:$H$200,8,FALSE),0)</f>
        <v/>
      </c>
      <c r="C67" s="14">
        <f>IFERROR(VLOOKUP(A67,Positions!$A$2:$G$200,7,FALSE),0)</f>
        <v/>
      </c>
      <c r="D67" s="14">
        <f>B67-C67</f>
        <v/>
      </c>
      <c r="E67">
        <f>IF(ABS(D67)&lt;0.005,"hold",IF(D67&gt;0,"BUY","TRIM"))</f>
        <v/>
      </c>
      <c r="G67" s="16">
        <f>D67*100000</f>
        <v/>
      </c>
    </row>
    <row r="68">
      <c r="A68" t="inlineStr">
        <is>
          <t>GNRC</t>
        </is>
      </c>
      <c r="B68" s="14">
        <f>IFERROR(VLOOKUP(A68,Targets!$A$4:$H$200,8,FALSE),0)</f>
        <v/>
      </c>
      <c r="C68" s="14">
        <f>IFERROR(VLOOKUP(A68,Positions!$A$2:$G$200,7,FALSE),0)</f>
        <v/>
      </c>
      <c r="D68" s="14">
        <f>B68-C68</f>
        <v/>
      </c>
      <c r="E68">
        <f>IF(ABS(D68)&lt;0.005,"hold",IF(D68&gt;0,"BUY","TRIM"))</f>
        <v/>
      </c>
      <c r="G68" s="16">
        <f>D68*100000</f>
        <v/>
      </c>
    </row>
    <row r="69">
      <c r="A69" t="inlineStr">
        <is>
          <t>MOD</t>
        </is>
      </c>
      <c r="B69" s="14">
        <f>IFERROR(VLOOKUP(A69,Targets!$A$4:$H$200,8,FALSE),0)</f>
        <v/>
      </c>
      <c r="C69" s="14">
        <f>IFERROR(VLOOKUP(A69,Positions!$A$2:$G$200,7,FALSE),0)</f>
        <v/>
      </c>
      <c r="D69" s="14">
        <f>B69-C69</f>
        <v/>
      </c>
      <c r="E69">
        <f>IF(ABS(D69)&lt;0.005,"hold",IF(D69&gt;0,"BUY","TRIM"))</f>
        <v/>
      </c>
      <c r="G69" s="16">
        <f>D69*100000</f>
        <v/>
      </c>
    </row>
    <row r="70">
      <c r="A70" t="inlineStr">
        <is>
          <t>BWXT</t>
        </is>
      </c>
      <c r="B70" s="14">
        <f>IFERROR(VLOOKUP(A70,Targets!$A$4:$H$200,8,FALSE),0)</f>
        <v/>
      </c>
      <c r="C70" s="14">
        <f>IFERROR(VLOOKUP(A70,Positions!$A$2:$G$200,7,FALSE),0)</f>
        <v/>
      </c>
      <c r="D70" s="14">
        <f>B70-C70</f>
        <v/>
      </c>
      <c r="E70">
        <f>IF(ABS(D70)&lt;0.005,"hold",IF(D70&gt;0,"BUY","TRIM"))</f>
        <v/>
      </c>
      <c r="G70" s="16">
        <f>D70*100000</f>
        <v/>
      </c>
    </row>
    <row r="71">
      <c r="A71" t="inlineStr">
        <is>
          <t>ETR</t>
        </is>
      </c>
      <c r="B71" s="14">
        <f>IFERROR(VLOOKUP(A71,Targets!$A$4:$H$200,8,FALSE),0)</f>
        <v/>
      </c>
      <c r="C71" s="14">
        <f>IFERROR(VLOOKUP(A71,Positions!$A$2:$G$200,7,FALSE),0)</f>
        <v/>
      </c>
      <c r="D71" s="14">
        <f>B71-C71</f>
        <v/>
      </c>
      <c r="E71">
        <f>IF(ABS(D71)&lt;0.005,"hold",IF(D71&gt;0,"BUY","TRIM"))</f>
        <v/>
      </c>
      <c r="G71" s="16">
        <f>D71*100000</f>
        <v/>
      </c>
    </row>
    <row r="72">
      <c r="A72" t="inlineStr">
        <is>
          <t>CSCO</t>
        </is>
      </c>
      <c r="B72" s="14">
        <f>IFERROR(VLOOKUP(A72,Targets!$A$4:$H$200,8,FALSE),0)</f>
        <v/>
      </c>
      <c r="C72" s="14">
        <f>IFERROR(VLOOKUP(A72,Positions!$A$2:$G$200,7,FALSE),0)</f>
        <v/>
      </c>
      <c r="D72" s="14">
        <f>B72-C72</f>
        <v/>
      </c>
      <c r="E72">
        <f>IF(ABS(D72)&lt;0.005,"hold",IF(D72&gt;0,"BUY","TRIM"))</f>
        <v/>
      </c>
      <c r="G72" s="16">
        <f>D72*100000</f>
        <v/>
      </c>
    </row>
    <row r="73">
      <c r="A73" t="inlineStr">
        <is>
          <t>KLIC</t>
        </is>
      </c>
      <c r="B73" s="14">
        <f>IFERROR(VLOOKUP(A73,Targets!$A$4:$H$200,8,FALSE),0)</f>
        <v/>
      </c>
      <c r="C73" s="14">
        <f>IFERROR(VLOOKUP(A73,Positions!$A$2:$G$200,7,FALSE),0)</f>
        <v/>
      </c>
      <c r="D73" s="14">
        <f>B73-C73</f>
        <v/>
      </c>
      <c r="E73">
        <f>IF(ABS(D73)&lt;0.005,"hold",IF(D73&gt;0,"BUY","TRIM"))</f>
        <v/>
      </c>
      <c r="G73" s="16">
        <f>D73*100000</f>
        <v/>
      </c>
    </row>
    <row r="74">
      <c r="A74" t="inlineStr">
        <is>
          <t>COHR</t>
        </is>
      </c>
      <c r="B74" s="14">
        <f>IFERROR(VLOOKUP(A74,Targets!$A$4:$H$200,8,FALSE),0)</f>
        <v/>
      </c>
      <c r="C74" s="14">
        <f>IFERROR(VLOOKUP(A74,Positions!$A$2:$G$200,7,FALSE),0)</f>
        <v/>
      </c>
      <c r="D74" s="14">
        <f>B74-C74</f>
        <v/>
      </c>
      <c r="E74">
        <f>IF(ABS(D74)&lt;0.005,"hold",IF(D74&gt;0,"BUY","TRIM"))</f>
        <v/>
      </c>
      <c r="G74" s="16">
        <f>D74*100000</f>
        <v/>
      </c>
    </row>
    <row r="75">
      <c r="A75" t="inlineStr">
        <is>
          <t>ENTG</t>
        </is>
      </c>
      <c r="B75" s="14">
        <f>IFERROR(VLOOKUP(A75,Targets!$A$4:$H$200,8,FALSE),0)</f>
        <v/>
      </c>
      <c r="C75" s="14">
        <f>IFERROR(VLOOKUP(A75,Positions!$A$2:$G$200,7,FALSE),0)</f>
        <v/>
      </c>
      <c r="D75" s="14">
        <f>B75-C75</f>
        <v/>
      </c>
      <c r="E75">
        <f>IF(ABS(D75)&lt;0.005,"hold",IF(D75&gt;0,"BUY","TRIM"))</f>
        <v/>
      </c>
      <c r="G75" s="16">
        <f>D75*100000</f>
        <v/>
      </c>
    </row>
    <row r="76">
      <c r="A76" t="inlineStr">
        <is>
          <t>DUK</t>
        </is>
      </c>
      <c r="B76" s="14">
        <f>IFERROR(VLOOKUP(A76,Targets!$A$4:$H$200,8,FALSE),0)</f>
        <v/>
      </c>
      <c r="C76" s="14">
        <f>IFERROR(VLOOKUP(A76,Positions!$A$2:$G$200,7,FALSE),0)</f>
        <v/>
      </c>
      <c r="D76" s="14">
        <f>B76-C76</f>
        <v/>
      </c>
      <c r="E76">
        <f>IF(ABS(D76)&lt;0.005,"hold",IF(D76&gt;0,"BUY","TRIM"))</f>
        <v/>
      </c>
      <c r="G76" s="16">
        <f>D76*100000</f>
        <v/>
      </c>
    </row>
    <row r="77">
      <c r="A77" t="inlineStr">
        <is>
          <t>MTZ</t>
        </is>
      </c>
      <c r="B77" s="14">
        <f>IFERROR(VLOOKUP(A77,Targets!$A$4:$H$200,8,FALSE),0)</f>
        <v/>
      </c>
      <c r="C77" s="14">
        <f>IFERROR(VLOOKUP(A77,Positions!$A$2:$G$200,7,FALSE),0)</f>
        <v/>
      </c>
      <c r="D77" s="14">
        <f>B77-C77</f>
        <v/>
      </c>
      <c r="E77">
        <f>IF(ABS(D77)&lt;0.005,"hold",IF(D77&gt;0,"BUY","TRIM"))</f>
        <v/>
      </c>
      <c r="G77" s="16">
        <f>D77*100000</f>
        <v/>
      </c>
    </row>
    <row r="78">
      <c r="A78" t="inlineStr">
        <is>
          <t>TEL</t>
        </is>
      </c>
      <c r="B78" s="14">
        <f>IFERROR(VLOOKUP(A78,Targets!$A$4:$H$200,8,FALSE),0)</f>
        <v/>
      </c>
      <c r="C78" s="14">
        <f>IFERROR(VLOOKUP(A78,Positions!$A$2:$G$200,7,FALSE),0)</f>
        <v/>
      </c>
      <c r="D78" s="14">
        <f>B78-C78</f>
        <v/>
      </c>
      <c r="E78">
        <f>IF(ABS(D78)&lt;0.005,"hold",IF(D78&gt;0,"BUY","TRIM"))</f>
        <v/>
      </c>
      <c r="G78" s="16">
        <f>D78*100000</f>
        <v/>
      </c>
    </row>
    <row r="79">
      <c r="A79" t="inlineStr">
        <is>
          <t>ETN</t>
        </is>
      </c>
      <c r="B79" s="14">
        <f>IFERROR(VLOOKUP(A79,Targets!$A$4:$H$200,8,FALSE),0)</f>
        <v/>
      </c>
      <c r="C79" s="14">
        <f>IFERROR(VLOOKUP(A79,Positions!$A$2:$G$200,7,FALSE),0)</f>
        <v/>
      </c>
      <c r="D79" s="14">
        <f>B79-C79</f>
        <v/>
      </c>
      <c r="E79">
        <f>IF(ABS(D79)&lt;0.005,"hold",IF(D79&gt;0,"BUY","TRIM"))</f>
        <v/>
      </c>
      <c r="G79" s="16">
        <f>D79*100000</f>
        <v/>
      </c>
    </row>
    <row r="80">
      <c r="A80" t="inlineStr">
        <is>
          <t>SO</t>
        </is>
      </c>
      <c r="B80" s="14">
        <f>IFERROR(VLOOKUP(A80,Targets!$A$4:$H$200,8,FALSE),0)</f>
        <v/>
      </c>
      <c r="C80" s="14">
        <f>IFERROR(VLOOKUP(A80,Positions!$A$2:$G$200,7,FALSE),0)</f>
        <v/>
      </c>
      <c r="D80" s="14">
        <f>B80-C80</f>
        <v/>
      </c>
      <c r="E80">
        <f>IF(ABS(D80)&lt;0.005,"hold",IF(D80&gt;0,"BUY","TRIM"))</f>
        <v/>
      </c>
      <c r="G80" s="16">
        <f>D80*100000</f>
        <v/>
      </c>
    </row>
    <row r="81">
      <c r="A81" t="inlineStr">
        <is>
          <t>PLAB</t>
        </is>
      </c>
      <c r="B81" s="14">
        <f>IFERROR(VLOOKUP(A81,Targets!$A$4:$H$200,8,FALSE),0)</f>
        <v/>
      </c>
      <c r="C81" s="14">
        <f>IFERROR(VLOOKUP(A81,Positions!$A$2:$G$200,7,FALSE),0)</f>
        <v/>
      </c>
      <c r="D81" s="14">
        <f>B81-C81</f>
        <v/>
      </c>
      <c r="E81">
        <f>IF(ABS(D81)&lt;0.005,"hold",IF(D81&gt;0,"BUY","TRIM"))</f>
        <v/>
      </c>
      <c r="G81" s="16">
        <f>D81*100000</f>
        <v/>
      </c>
    </row>
    <row r="82">
      <c r="A82" t="inlineStr">
        <is>
          <t>UMC</t>
        </is>
      </c>
      <c r="B82" s="14">
        <f>IFERROR(VLOOKUP(A82,Targets!$A$4:$H$200,8,FALSE),0)</f>
        <v/>
      </c>
      <c r="C82" s="14">
        <f>IFERROR(VLOOKUP(A82,Positions!$A$2:$G$200,7,FALSE),0)</f>
        <v/>
      </c>
      <c r="D82" s="14">
        <f>B82-C82</f>
        <v/>
      </c>
      <c r="E82">
        <f>IF(ABS(D82)&lt;0.005,"hold",IF(D82&gt;0,"BUY","TRIM"))</f>
        <v/>
      </c>
      <c r="G82" s="16">
        <f>D82*100000</f>
        <v/>
      </c>
    </row>
    <row r="83">
      <c r="A83" t="inlineStr">
        <is>
          <t>D</t>
        </is>
      </c>
      <c r="B83" s="14">
        <f>IFERROR(VLOOKUP(A83,Targets!$A$4:$H$200,8,FALSE),0)</f>
        <v/>
      </c>
      <c r="C83" s="14">
        <f>IFERROR(VLOOKUP(A83,Positions!$A$2:$G$200,7,FALSE),0)</f>
        <v/>
      </c>
      <c r="D83" s="14">
        <f>B83-C83</f>
        <v/>
      </c>
      <c r="E83">
        <f>IF(ABS(D83)&lt;0.005,"hold",IF(D83&gt;0,"BUY","TRIM"))</f>
        <v/>
      </c>
      <c r="G83" s="16">
        <f>D83*100000</f>
        <v/>
      </c>
    </row>
    <row r="84">
      <c r="A84" t="inlineStr">
        <is>
          <t>TSEM</t>
        </is>
      </c>
      <c r="B84" s="14">
        <f>IFERROR(VLOOKUP(A84,Targets!$A$4:$H$200,8,FALSE),0)</f>
        <v/>
      </c>
      <c r="C84" s="14">
        <f>IFERROR(VLOOKUP(A84,Positions!$A$2:$G$200,7,FALSE),0)</f>
        <v/>
      </c>
      <c r="D84" s="14">
        <f>B84-C84</f>
        <v/>
      </c>
      <c r="E84">
        <f>IF(ABS(D84)&lt;0.005,"hold",IF(D84&gt;0,"BUY","TRIM"))</f>
        <v/>
      </c>
      <c r="G84" s="16">
        <f>D84*100000</f>
        <v/>
      </c>
    </row>
    <row r="85">
      <c r="A85" t="inlineStr">
        <is>
          <t>ORCL</t>
        </is>
      </c>
      <c r="B85" s="14">
        <f>IFERROR(VLOOKUP(A85,Targets!$A$4:$H$200,8,FALSE),0)</f>
        <v/>
      </c>
      <c r="C85" s="14">
        <f>IFERROR(VLOOKUP(A85,Positions!$A$2:$G$200,7,FALSE),0)</f>
        <v/>
      </c>
      <c r="D85" s="14">
        <f>B85-C85</f>
        <v/>
      </c>
      <c r="E85">
        <f>IF(ABS(D85)&lt;0.005,"hold",IF(D85&gt;0,"BUY","TRIM"))</f>
        <v/>
      </c>
      <c r="G85" s="16">
        <f>D85*100000</f>
        <v/>
      </c>
    </row>
    <row r="86">
      <c r="A86" t="inlineStr">
        <is>
          <t>PPL</t>
        </is>
      </c>
      <c r="B86" s="14">
        <f>IFERROR(VLOOKUP(A86,Targets!$A$4:$H$200,8,FALSE),0)</f>
        <v/>
      </c>
      <c r="C86" s="14">
        <f>IFERROR(VLOOKUP(A86,Positions!$A$2:$G$200,7,FALSE),0)</f>
        <v/>
      </c>
      <c r="D86" s="14">
        <f>B86-C86</f>
        <v/>
      </c>
      <c r="E86">
        <f>IF(ABS(D86)&lt;0.005,"hold",IF(D86&gt;0,"BUY","TRIM"))</f>
        <v/>
      </c>
      <c r="G86" s="16">
        <f>D86*100000</f>
        <v/>
      </c>
    </row>
    <row r="87">
      <c r="A87" t="inlineStr">
        <is>
          <t>HUBB</t>
        </is>
      </c>
      <c r="B87" s="14">
        <f>IFERROR(VLOOKUP(A87,Targets!$A$4:$H$200,8,FALSE),0)</f>
        <v/>
      </c>
      <c r="C87" s="14">
        <f>IFERROR(VLOOKUP(A87,Positions!$A$2:$G$200,7,FALSE),0)</f>
        <v/>
      </c>
      <c r="D87" s="14">
        <f>B87-C87</f>
        <v/>
      </c>
      <c r="E87">
        <f>IF(ABS(D87)&lt;0.005,"hold",IF(D87&gt;0,"BUY","TRIM"))</f>
        <v/>
      </c>
      <c r="G87" s="16">
        <f>D87*100000</f>
        <v/>
      </c>
    </row>
    <row r="88">
      <c r="A88" t="inlineStr">
        <is>
          <t>SMCI</t>
        </is>
      </c>
      <c r="B88" s="14">
        <f>IFERROR(VLOOKUP(A88,Targets!$A$4:$H$200,8,FALSE),0)</f>
        <v/>
      </c>
      <c r="C88" s="14">
        <f>IFERROR(VLOOKUP(A88,Positions!$A$2:$G$200,7,FALSE),0)</f>
        <v/>
      </c>
      <c r="D88" s="14">
        <f>B88-C88</f>
        <v/>
      </c>
      <c r="E88">
        <f>IF(ABS(D88)&lt;0.005,"hold",IF(D88&gt;0,"BUY","TRIM"))</f>
        <v/>
      </c>
      <c r="G88" s="16">
        <f>D88*100000</f>
        <v/>
      </c>
    </row>
    <row r="89">
      <c r="A89" t="inlineStr">
        <is>
          <t>IRM</t>
        </is>
      </c>
      <c r="B89" s="14">
        <f>IFERROR(VLOOKUP(A89,Targets!$A$4:$H$200,8,FALSE),0)</f>
        <v/>
      </c>
      <c r="C89" s="14">
        <f>IFERROR(VLOOKUP(A89,Positions!$A$2:$G$200,7,FALSE),0)</f>
        <v/>
      </c>
      <c r="D89" s="14">
        <f>B89-C89</f>
        <v/>
      </c>
      <c r="E89">
        <f>IF(ABS(D89)&lt;0.005,"hold",IF(D89&gt;0,"BUY","TRIM"))</f>
        <v/>
      </c>
      <c r="G89" s="16">
        <f>D89*100000</f>
        <v/>
      </c>
    </row>
    <row r="90">
      <c r="A90" t="inlineStr">
        <is>
          <t>HPE</t>
        </is>
      </c>
      <c r="B90" s="14">
        <f>IFERROR(VLOOKUP(A90,Targets!$A$4:$H$200,8,FALSE),0)</f>
        <v/>
      </c>
      <c r="C90" s="14">
        <f>IFERROR(VLOOKUP(A90,Positions!$A$2:$G$200,7,FALSE),0)</f>
        <v/>
      </c>
      <c r="D90" s="14">
        <f>B90-C90</f>
        <v/>
      </c>
      <c r="E90">
        <f>IF(ABS(D90)&lt;0.005,"hold",IF(D90&gt;0,"BUY","TRIM"))</f>
        <v/>
      </c>
      <c r="G90" s="16">
        <f>D90*100000</f>
        <v/>
      </c>
    </row>
    <row r="91">
      <c r="A91" t="inlineStr">
        <is>
          <t>CORZ</t>
        </is>
      </c>
      <c r="B91" s="14">
        <f>IFERROR(VLOOKUP(A91,Targets!$A$4:$H$200,8,FALSE),0)</f>
        <v/>
      </c>
      <c r="C91" s="14">
        <f>IFERROR(VLOOKUP(A91,Positions!$A$2:$G$200,7,FALSE),0)</f>
        <v/>
      </c>
      <c r="D91" s="14">
        <f>B91-C91</f>
        <v/>
      </c>
      <c r="E91">
        <f>IF(ABS(D91)&lt;0.005,"hold",IF(D91&gt;0,"BUY","TRIM"))</f>
        <v/>
      </c>
      <c r="G91" s="16">
        <f>D91*100000</f>
        <v/>
      </c>
    </row>
    <row r="92">
      <c r="A92" t="inlineStr">
        <is>
          <t>GFS</t>
        </is>
      </c>
      <c r="B92" s="14">
        <f>IFERROR(VLOOKUP(A92,Targets!$A$4:$H$200,8,FALSE),0)</f>
        <v/>
      </c>
      <c r="C92" s="14">
        <f>IFERROR(VLOOKUP(A92,Positions!$A$2:$G$200,7,FALSE),0)</f>
        <v/>
      </c>
      <c r="D92" s="14">
        <f>B92-C92</f>
        <v/>
      </c>
      <c r="E92">
        <f>IF(ABS(D92)&lt;0.005,"hold",IF(D92&gt;0,"BUY","TRIM"))</f>
        <v/>
      </c>
      <c r="G92" s="16">
        <f>D92*100000</f>
        <v/>
      </c>
    </row>
    <row r="93">
      <c r="A93" t="inlineStr">
        <is>
          <t>WULF</t>
        </is>
      </c>
      <c r="B93" s="14">
        <f>IFERROR(VLOOKUP(A93,Targets!$A$4:$H$200,8,FALSE),0)</f>
        <v/>
      </c>
      <c r="C93" s="14">
        <f>IFERROR(VLOOKUP(A93,Positions!$A$2:$G$200,7,FALSE),0)</f>
        <v/>
      </c>
      <c r="D93" s="14">
        <f>B93-C93</f>
        <v/>
      </c>
      <c r="E93">
        <f>IF(ABS(D93)&lt;0.005,"hold",IF(D93&gt;0,"BUY","TRIM"))</f>
        <v/>
      </c>
      <c r="G93" s="16">
        <f>D93*100000</f>
        <v/>
      </c>
    </row>
    <row r="94">
      <c r="A94" t="inlineStr">
        <is>
          <t>IREN</t>
        </is>
      </c>
      <c r="B94" s="14">
        <f>IFERROR(VLOOKUP(A94,Targets!$A$4:$H$200,8,FALSE),0)</f>
        <v/>
      </c>
      <c r="C94" s="14">
        <f>IFERROR(VLOOKUP(A94,Positions!$A$2:$G$200,7,FALSE),0)</f>
        <v/>
      </c>
      <c r="D94" s="14">
        <f>B94-C94</f>
        <v/>
      </c>
      <c r="E94">
        <f>IF(ABS(D94)&lt;0.005,"hold",IF(D94&gt;0,"BUY","TRIM"))</f>
        <v/>
      </c>
      <c r="G94" s="16">
        <f>D94*100000</f>
        <v/>
      </c>
    </row>
    <row r="95">
      <c r="A95" t="inlineStr">
        <is>
          <t>ATKR</t>
        </is>
      </c>
      <c r="B95" s="14">
        <f>IFERROR(VLOOKUP(A95,Targets!$A$4:$H$200,8,FALSE),0)</f>
        <v/>
      </c>
      <c r="C95" s="14">
        <f>IFERROR(VLOOKUP(A95,Positions!$A$2:$G$200,7,FALSE),0)</f>
        <v/>
      </c>
      <c r="D95" s="14">
        <f>B95-C95</f>
        <v/>
      </c>
      <c r="E95">
        <f>IF(ABS(D95)&lt;0.005,"hold",IF(D95&gt;0,"BUY","TRIM"))</f>
        <v/>
      </c>
      <c r="G95" s="16">
        <f>D95*100000</f>
        <v/>
      </c>
    </row>
    <row r="96">
      <c r="A96" t="inlineStr">
        <is>
          <t>CAMT</t>
        </is>
      </c>
      <c r="B96" s="14">
        <f>IFERROR(VLOOKUP(A96,Targets!$A$4:$H$200,8,FALSE),0)</f>
        <v/>
      </c>
      <c r="C96" s="14">
        <f>IFERROR(VLOOKUP(A96,Positions!$A$2:$G$200,7,FALSE),0)</f>
        <v/>
      </c>
      <c r="D96" s="14">
        <f>B96-C96</f>
        <v/>
      </c>
      <c r="E96">
        <f>IF(ABS(D96)&lt;0.005,"hold",IF(D96&gt;0,"BUY","TRIM"))</f>
        <v/>
      </c>
      <c r="G96" s="16">
        <f>D96*100000</f>
        <v/>
      </c>
    </row>
    <row r="97">
      <c r="A97" t="inlineStr">
        <is>
          <t>XEL</t>
        </is>
      </c>
      <c r="B97" s="14">
        <f>IFERROR(VLOOKUP(A97,Targets!$A$4:$H$200,8,FALSE),0)</f>
        <v/>
      </c>
      <c r="C97" s="14">
        <f>IFERROR(VLOOKUP(A97,Positions!$A$2:$G$200,7,FALSE),0)</f>
        <v/>
      </c>
      <c r="D97" s="14">
        <f>B97-C97</f>
        <v/>
      </c>
      <c r="E97">
        <f>IF(ABS(D97)&lt;0.005,"hold",IF(D97&gt;0,"BUY","TRIM"))</f>
        <v/>
      </c>
      <c r="G97" s="16">
        <f>D97*100000</f>
        <v/>
      </c>
    </row>
    <row r="98">
      <c r="A98" t="inlineStr">
        <is>
          <t>CARR</t>
        </is>
      </c>
      <c r="B98" s="14">
        <f>IFERROR(VLOOKUP(A98,Targets!$A$4:$H$200,8,FALSE),0)</f>
        <v/>
      </c>
      <c r="C98" s="14">
        <f>IFERROR(VLOOKUP(A98,Positions!$A$2:$G$200,7,FALSE),0)</f>
        <v/>
      </c>
      <c r="D98" s="14">
        <f>B98-C98</f>
        <v/>
      </c>
      <c r="E98">
        <f>IF(ABS(D98)&lt;0.005,"hold",IF(D98&gt;0,"BUY","TRIM"))</f>
        <v/>
      </c>
      <c r="G98" s="16">
        <f>D98*100000</f>
        <v/>
      </c>
    </row>
    <row r="99">
      <c r="A99" t="inlineStr">
        <is>
          <t>LEU</t>
        </is>
      </c>
      <c r="B99" s="14">
        <f>IFERROR(VLOOKUP(A99,Targets!$A$4:$H$200,8,FALSE),0)</f>
        <v/>
      </c>
      <c r="C99" s="14">
        <f>IFERROR(VLOOKUP(A99,Positions!$A$2:$G$200,7,FALSE),0)</f>
        <v/>
      </c>
      <c r="D99" s="14">
        <f>B99-C99</f>
        <v/>
      </c>
      <c r="E99">
        <f>IF(ABS(D99)&lt;0.005,"hold",IF(D99&gt;0,"BUY","TRIM"))</f>
        <v/>
      </c>
      <c r="G99" s="16">
        <f>D99*100000</f>
        <v/>
      </c>
    </row>
    <row r="100">
      <c r="A100" t="inlineStr">
        <is>
          <t>AAOI</t>
        </is>
      </c>
      <c r="B100" s="14">
        <f>IFERROR(VLOOKUP(A100,Targets!$A$4:$H$200,8,FALSE),0)</f>
        <v/>
      </c>
      <c r="C100" s="14">
        <f>IFERROR(VLOOKUP(A100,Positions!$A$2:$G$200,7,FALSE),0)</f>
        <v/>
      </c>
      <c r="D100" s="14">
        <f>B100-C100</f>
        <v/>
      </c>
      <c r="E100">
        <f>IF(ABS(D100)&lt;0.005,"hold",IF(D100&gt;0,"BUY","TRIM"))</f>
        <v/>
      </c>
      <c r="G100" s="16">
        <f>D100*100000</f>
        <v/>
      </c>
    </row>
    <row r="101">
      <c r="A101" t="inlineStr">
        <is>
          <t>APLD</t>
        </is>
      </c>
      <c r="B101" s="14">
        <f>IFERROR(VLOOKUP(A101,Targets!$A$4:$H$200,8,FALSE),0)</f>
        <v/>
      </c>
      <c r="C101" s="14">
        <f>IFERROR(VLOOKUP(A101,Positions!$A$2:$G$200,7,FALSE),0)</f>
        <v/>
      </c>
      <c r="D101" s="14">
        <f>B101-C101</f>
        <v/>
      </c>
      <c r="E101">
        <f>IF(ABS(D101)&lt;0.005,"hold",IF(D101&gt;0,"BUY","TRIM"))</f>
        <v/>
      </c>
      <c r="G101" s="16">
        <f>D101*100000</f>
        <v/>
      </c>
    </row>
    <row r="102">
      <c r="A102" t="inlineStr">
        <is>
          <t>NRG</t>
        </is>
      </c>
      <c r="B102" s="14">
        <f>IFERROR(VLOOKUP(A102,Targets!$A$4:$H$200,8,FALSE),0)</f>
        <v/>
      </c>
      <c r="C102" s="14">
        <f>IFERROR(VLOOKUP(A102,Positions!$A$2:$G$200,7,FALSE),0)</f>
        <v/>
      </c>
      <c r="D102" s="14">
        <f>B102-C102</f>
        <v/>
      </c>
      <c r="E102">
        <f>IF(ABS(D102)&lt;0.005,"hold",IF(D102&gt;0,"BUY","TRIM"))</f>
        <v/>
      </c>
      <c r="G102" s="16">
        <f>D102*100000</f>
        <v/>
      </c>
    </row>
    <row r="103">
      <c r="A103" t="inlineStr">
        <is>
          <t>POET</t>
        </is>
      </c>
      <c r="B103" s="14">
        <f>IFERROR(VLOOKUP(A103,Targets!$A$4:$H$200,8,FALSE),0)</f>
        <v/>
      </c>
      <c r="C103" s="14">
        <f>IFERROR(VLOOKUP(A103,Positions!$A$2:$G$200,7,FALSE),0)</f>
        <v/>
      </c>
      <c r="D103" s="14">
        <f>B103-C103</f>
        <v/>
      </c>
      <c r="E103">
        <f>IF(ABS(D103)&lt;0.005,"hold",IF(D103&gt;0,"BUY","TRIM"))</f>
        <v/>
      </c>
      <c r="G103" s="16">
        <f>D103*100000</f>
        <v/>
      </c>
    </row>
    <row r="104">
      <c r="A104" t="inlineStr">
        <is>
          <t>UCTT</t>
        </is>
      </c>
      <c r="B104" s="14">
        <f>IFERROR(VLOOKUP(A104,Targets!$A$4:$H$200,8,FALSE),0)</f>
        <v/>
      </c>
      <c r="C104" s="14">
        <f>IFERROR(VLOOKUP(A104,Positions!$A$2:$G$200,7,FALSE),0)</f>
        <v/>
      </c>
      <c r="D104" s="14">
        <f>B104-C104</f>
        <v/>
      </c>
      <c r="E104">
        <f>IF(ABS(D104)&lt;0.005,"hold",IF(D104&gt;0,"BUY","TRIM"))</f>
        <v/>
      </c>
      <c r="G104" s="16">
        <f>D104*100000</f>
        <v/>
      </c>
    </row>
    <row r="105">
      <c r="A105" t="inlineStr">
        <is>
          <t>BTDR</t>
        </is>
      </c>
      <c r="B105" s="14">
        <f>IFERROR(VLOOKUP(A105,Targets!$A$4:$H$200,8,FALSE),0)</f>
        <v/>
      </c>
      <c r="C105" s="14">
        <f>IFERROR(VLOOKUP(A105,Positions!$A$2:$G$200,7,FALSE),0)</f>
        <v/>
      </c>
      <c r="D105" s="14">
        <f>B105-C105</f>
        <v/>
      </c>
      <c r="E105">
        <f>IF(ABS(D105)&lt;0.005,"hold",IF(D105&gt;0,"BUY","TRIM"))</f>
        <v/>
      </c>
      <c r="G105" s="16">
        <f>D105*100000</f>
        <v/>
      </c>
    </row>
    <row r="106">
      <c r="A106" t="inlineStr">
        <is>
          <t>INTC</t>
        </is>
      </c>
      <c r="B106" s="14">
        <f>IFERROR(VLOOKUP(A106,Targets!$A$4:$H$200,8,FALSE),0)</f>
        <v/>
      </c>
      <c r="C106" s="14">
        <f>IFERROR(VLOOKUP(A106,Positions!$A$2:$G$200,7,FALSE),0)</f>
        <v/>
      </c>
      <c r="D106" s="14">
        <f>B106-C106</f>
        <v/>
      </c>
      <c r="E106">
        <f>IF(ABS(D106)&lt;0.005,"hold",IF(D106&gt;0,"BUY","TRIM"))</f>
        <v/>
      </c>
      <c r="G106" s="16">
        <f>D106*100000</f>
        <v/>
      </c>
    </row>
    <row r="107">
      <c r="A107" t="inlineStr">
        <is>
          <t>RIOT</t>
        </is>
      </c>
      <c r="B107" s="14">
        <f>IFERROR(VLOOKUP(A107,Targets!$A$4:$H$200,8,FALSE),0)</f>
        <v/>
      </c>
      <c r="C107" s="14">
        <f>IFERROR(VLOOKUP(A107,Positions!$A$2:$G$200,7,FALSE),0)</f>
        <v/>
      </c>
      <c r="D107" s="14">
        <f>B107-C107</f>
        <v/>
      </c>
      <c r="E107">
        <f>IF(ABS(D107)&lt;0.005,"hold",IF(D107&gt;0,"BUY","TRIM"))</f>
        <v/>
      </c>
      <c r="G107" s="16">
        <f>D107*100000</f>
        <v/>
      </c>
    </row>
    <row r="108">
      <c r="A108" t="inlineStr">
        <is>
          <t>CIFR</t>
        </is>
      </c>
      <c r="B108" s="14">
        <f>IFERROR(VLOOKUP(A108,Targets!$A$4:$H$200,8,FALSE),0)</f>
        <v/>
      </c>
      <c r="C108" s="14">
        <f>IFERROR(VLOOKUP(A108,Positions!$A$2:$G$200,7,FALSE),0)</f>
        <v/>
      </c>
      <c r="D108" s="14">
        <f>B108-C108</f>
        <v/>
      </c>
      <c r="E108">
        <f>IF(ABS(D108)&lt;0.005,"hold",IF(D108&gt;0,"BUY","TRIM"))</f>
        <v/>
      </c>
      <c r="G108" s="16">
        <f>D108*100000</f>
        <v/>
      </c>
    </row>
    <row r="109">
      <c r="A109" t="inlineStr">
        <is>
          <t>PLUG</t>
        </is>
      </c>
      <c r="B109" s="14">
        <f>IFERROR(VLOOKUP(A109,Targets!$A$4:$H$200,8,FALSE),0)</f>
        <v/>
      </c>
      <c r="C109" s="14">
        <f>IFERROR(VLOOKUP(A109,Positions!$A$2:$G$200,7,FALSE),0)</f>
        <v/>
      </c>
      <c r="D109" s="14">
        <f>B109-C109</f>
        <v/>
      </c>
      <c r="E109">
        <f>IF(ABS(D109)&lt;0.005,"hold",IF(D109&gt;0,"BUY","TRIM"))</f>
        <v/>
      </c>
      <c r="G109" s="16">
        <f>D109*100000</f>
        <v/>
      </c>
    </row>
    <row r="110">
      <c r="A110" t="inlineStr">
        <is>
          <t>SMR</t>
        </is>
      </c>
      <c r="B110" s="14">
        <f>IFERROR(VLOOKUP(A110,Targets!$A$4:$H$200,8,FALSE),0)</f>
        <v/>
      </c>
      <c r="C110" s="14">
        <f>IFERROR(VLOOKUP(A110,Positions!$A$2:$G$200,7,FALSE),0)</f>
        <v/>
      </c>
      <c r="D110" s="14">
        <f>B110-C110</f>
        <v/>
      </c>
      <c r="E110">
        <f>IF(ABS(D110)&lt;0.005,"hold",IF(D110&gt;0,"BUY","TRIM"))</f>
        <v/>
      </c>
      <c r="G110" s="16">
        <f>D110*100000</f>
        <v/>
      </c>
    </row>
    <row r="111">
      <c r="A111" t="inlineStr">
        <is>
          <t>CLSK</t>
        </is>
      </c>
      <c r="B111" s="14">
        <f>IFERROR(VLOOKUP(A111,Targets!$A$4:$H$200,8,FALSE),0)</f>
        <v/>
      </c>
      <c r="C111" s="14">
        <f>IFERROR(VLOOKUP(A111,Positions!$A$2:$G$200,7,FALSE),0)</f>
        <v/>
      </c>
      <c r="D111" s="14">
        <f>B111-C111</f>
        <v/>
      </c>
      <c r="E111">
        <f>IF(ABS(D111)&lt;0.005,"hold",IF(D111&gt;0,"BUY","TRIM"))</f>
        <v/>
      </c>
      <c r="G111" s="16">
        <f>D111*100000</f>
        <v/>
      </c>
    </row>
    <row r="112">
      <c r="A112" t="inlineStr">
        <is>
          <t>UEC</t>
        </is>
      </c>
      <c r="B112" s="14">
        <f>IFERROR(VLOOKUP(A112,Targets!$A$4:$H$200,8,FALSE),0)</f>
        <v/>
      </c>
      <c r="C112" s="14">
        <f>IFERROR(VLOOKUP(A112,Positions!$A$2:$G$200,7,FALSE),0)</f>
        <v/>
      </c>
      <c r="D112" s="14">
        <f>B112-C112</f>
        <v/>
      </c>
      <c r="E112">
        <f>IF(ABS(D112)&lt;0.005,"hold",IF(D112&gt;0,"BUY","TRIM"))</f>
        <v/>
      </c>
      <c r="G112" s="16">
        <f>D112*100000</f>
        <v/>
      </c>
    </row>
    <row r="113">
      <c r="A113" t="inlineStr">
        <is>
          <t>OKLO</t>
        </is>
      </c>
      <c r="B113" s="14">
        <f>IFERROR(VLOOKUP(A113,Targets!$A$4:$H$200,8,FALSE),0)</f>
        <v/>
      </c>
      <c r="C113" s="14">
        <f>IFERROR(VLOOKUP(A113,Positions!$A$2:$G$200,7,FALSE),0)</f>
        <v/>
      </c>
      <c r="D113" s="14">
        <f>B113-C113</f>
        <v/>
      </c>
      <c r="E113">
        <f>IF(ABS(D113)&lt;0.005,"hold",IF(D113&gt;0,"BUY","TRIM"))</f>
        <v/>
      </c>
      <c r="G113" s="16">
        <f>D113*100000</f>
        <v/>
      </c>
    </row>
    <row r="114">
      <c r="A114" t="inlineStr">
        <is>
          <t>NNE</t>
        </is>
      </c>
      <c r="B114" s="14">
        <f>IFERROR(VLOOKUP(A114,Targets!$A$4:$H$200,8,FALSE),0)</f>
        <v/>
      </c>
      <c r="C114" s="14">
        <f>IFERROR(VLOOKUP(A114,Positions!$A$2:$G$200,7,FALSE),0)</f>
        <v/>
      </c>
      <c r="D114" s="14">
        <f>B114-C114</f>
        <v/>
      </c>
      <c r="E114">
        <f>IF(ABS(D114)&lt;0.005,"hold",IF(D114&gt;0,"BUY","TRIM"))</f>
        <v/>
      </c>
      <c r="G114" s="16">
        <f>D114*100000</f>
        <v/>
      </c>
    </row>
    <row r="115">
      <c r="A115" t="inlineStr">
        <is>
          <t>BITF</t>
        </is>
      </c>
      <c r="B115" s="14">
        <f>IFERROR(VLOOKUP(A115,Targets!$A$4:$H$200,8,FALSE),0)</f>
        <v/>
      </c>
      <c r="C115" s="14">
        <f>IFERROR(VLOOKUP(A115,Positions!$A$2:$G$200,7,FALSE),0)</f>
        <v/>
      </c>
      <c r="D115" s="14">
        <f>B115-C115</f>
        <v/>
      </c>
      <c r="E115">
        <f>IF(ABS(D115)&lt;0.005,"hold",IF(D115&gt;0,"BUY","TRIM"))</f>
        <v/>
      </c>
      <c r="G115" s="16">
        <f>D115*100000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2026-05-18T04:48:23Z</dcterms:created>
  <dcterms:modified xmlns:dcterms="http://purl.org/dc/terms/" xmlns:xsi="http://www.w3.org/2001/XMLSchema-instance" xsi:type="dcterms:W3CDTF">2026-05-26T17:15:35Z</dcterms:modified>
</cp:coreProperties>
</file>