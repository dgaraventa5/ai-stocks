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ldings" sheetId="1" state="visible" r:id="rId1"/>
    <sheet name="Filers to watch" sheetId="2" state="visible" r:id="rId2"/>
    <sheet name="SALP-2025-Q4" sheetId="3" state="visible" r:id="rId3"/>
    <sheet name="SALP-2026-Q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%"/>
    <numFmt numFmtId="166" formatCode="+0.0%;-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2" customWidth="1" min="4" max="4"/>
    <col width="8" customWidth="1" min="5" max="5"/>
    <col width="14" customWidth="1" min="6" max="6"/>
    <col width="16" customWidth="1" min="7" max="7"/>
    <col width="18" customWidth="1" min="8" max="8"/>
    <col width="14" customWidth="1" min="9" max="9"/>
    <col width="40" customWidth="1" min="10" max="10"/>
    <col width="30" customWidth="1" min="11" max="11"/>
  </cols>
  <sheetData>
    <row r="1">
      <c r="A1" s="1" t="inlineStr">
        <is>
          <t>Filer</t>
        </is>
      </c>
      <c r="B1" s="1" t="inlineStr">
        <is>
          <t>CIK</t>
        </is>
      </c>
      <c r="C1" s="1" t="inlineStr">
        <is>
          <t>Period (YYYY-Qn)</t>
        </is>
      </c>
      <c r="D1" s="1" t="inlineStr">
        <is>
          <t>Filing date</t>
        </is>
      </c>
      <c r="E1" s="1" t="inlineStr">
        <is>
          <t>Ticker</t>
        </is>
      </c>
      <c r="F1" s="1" t="inlineStr">
        <is>
          <t>Shares</t>
        </is>
      </c>
      <c r="G1" s="1" t="inlineStr">
        <is>
          <t>Value ($000s)</t>
        </is>
      </c>
      <c r="H1" s="1" t="inlineStr">
        <is>
          <t>Shares Δ vs prior Q</t>
        </is>
      </c>
      <c r="I1" s="1" t="inlineStr">
        <is>
          <t>% of portfolio</t>
        </is>
      </c>
      <c r="J1" s="1" t="inlineStr">
        <is>
          <t>Source URL</t>
        </is>
      </c>
      <c r="K1" s="1" t="inlineStr">
        <is>
          <t>Notes</t>
        </is>
      </c>
    </row>
    <row r="2">
      <c r="F2" s="2" t="n"/>
      <c r="G2" s="2" t="n"/>
      <c r="H2" s="3" t="n"/>
      <c r="I2" s="4" t="n"/>
    </row>
    <row r="3">
      <c r="F3" s="2" t="n"/>
      <c r="G3" s="2" t="n"/>
      <c r="H3" s="3" t="n"/>
      <c r="I3" s="4" t="n"/>
    </row>
    <row r="4">
      <c r="F4" s="2" t="n"/>
      <c r="G4" s="2" t="n"/>
      <c r="H4" s="3" t="n"/>
      <c r="I4" s="4" t="n"/>
    </row>
    <row r="5">
      <c r="F5" s="2" t="n"/>
      <c r="G5" s="2" t="n"/>
      <c r="H5" s="3" t="n"/>
      <c r="I5" s="4" t="n"/>
    </row>
    <row r="6">
      <c r="F6" s="2" t="n"/>
      <c r="G6" s="2" t="n"/>
      <c r="H6" s="3" t="n"/>
      <c r="I6" s="4" t="n"/>
    </row>
    <row r="7">
      <c r="F7" s="2" t="n"/>
      <c r="G7" s="2" t="n"/>
      <c r="H7" s="3" t="n"/>
      <c r="I7" s="4" t="n"/>
    </row>
    <row r="8">
      <c r="F8" s="2" t="n"/>
      <c r="G8" s="2" t="n"/>
      <c r="H8" s="3" t="n"/>
      <c r="I8" s="4" t="n"/>
    </row>
    <row r="9">
      <c r="F9" s="2" t="n"/>
      <c r="G9" s="2" t="n"/>
      <c r="H9" s="3" t="n"/>
      <c r="I9" s="4" t="n"/>
    </row>
    <row r="10">
      <c r="F10" s="2" t="n"/>
      <c r="G10" s="2" t="n"/>
      <c r="H10" s="3" t="n"/>
      <c r="I10" s="4" t="n"/>
    </row>
    <row r="11">
      <c r="F11" s="2" t="n"/>
      <c r="G11" s="2" t="n"/>
      <c r="H11" s="3" t="n"/>
      <c r="I11" s="4" t="n"/>
    </row>
    <row r="12">
      <c r="F12" s="2" t="n"/>
      <c r="G12" s="2" t="n"/>
      <c r="H12" s="3" t="n"/>
      <c r="I12" s="4" t="n"/>
    </row>
    <row r="13">
      <c r="F13" s="2" t="n"/>
      <c r="G13" s="2" t="n"/>
      <c r="H13" s="3" t="n"/>
      <c r="I13" s="4" t="n"/>
    </row>
    <row r="14">
      <c r="F14" s="2" t="n"/>
      <c r="G14" s="2" t="n"/>
      <c r="H14" s="3" t="n"/>
      <c r="I14" s="4" t="n"/>
    </row>
    <row r="15">
      <c r="F15" s="2" t="n"/>
      <c r="G15" s="2" t="n"/>
      <c r="H15" s="3" t="n"/>
      <c r="I15" s="4" t="n"/>
    </row>
    <row r="16">
      <c r="F16" s="2" t="n"/>
      <c r="G16" s="2" t="n"/>
      <c r="H16" s="3" t="n"/>
      <c r="I16" s="4" t="n"/>
    </row>
    <row r="17">
      <c r="F17" s="2" t="n"/>
      <c r="G17" s="2" t="n"/>
      <c r="H17" s="3" t="n"/>
      <c r="I17" s="4" t="n"/>
    </row>
    <row r="18">
      <c r="F18" s="2" t="n"/>
      <c r="G18" s="2" t="n"/>
      <c r="H18" s="3" t="n"/>
      <c r="I18" s="4" t="n"/>
    </row>
    <row r="19">
      <c r="F19" s="2" t="n"/>
      <c r="G19" s="2" t="n"/>
      <c r="H19" s="3" t="n"/>
      <c r="I19" s="4" t="n"/>
    </row>
    <row r="20">
      <c r="F20" s="2" t="n"/>
      <c r="G20" s="2" t="n"/>
      <c r="H20" s="3" t="n"/>
      <c r="I20" s="4" t="n"/>
    </row>
    <row r="21">
      <c r="F21" s="2" t="n"/>
      <c r="G21" s="2" t="n"/>
      <c r="H21" s="3" t="n"/>
      <c r="I21" s="4" t="n"/>
    </row>
    <row r="22">
      <c r="F22" s="2" t="n"/>
      <c r="G22" s="2" t="n"/>
      <c r="H22" s="3" t="n"/>
      <c r="I22" s="4" t="n"/>
    </row>
    <row r="23">
      <c r="F23" s="2" t="n"/>
      <c r="G23" s="2" t="n"/>
      <c r="H23" s="3" t="n"/>
      <c r="I23" s="4" t="n"/>
    </row>
    <row r="24">
      <c r="F24" s="2" t="n"/>
      <c r="G24" s="2" t="n"/>
      <c r="H24" s="3" t="n"/>
      <c r="I24" s="4" t="n"/>
    </row>
    <row r="25">
      <c r="F25" s="2" t="n"/>
      <c r="G25" s="2" t="n"/>
      <c r="H25" s="3" t="n"/>
      <c r="I25" s="4" t="n"/>
    </row>
    <row r="26">
      <c r="F26" s="2" t="n"/>
      <c r="G26" s="2" t="n"/>
      <c r="H26" s="3" t="n"/>
      <c r="I26" s="4" t="n"/>
    </row>
    <row r="27">
      <c r="F27" s="2" t="n"/>
      <c r="G27" s="2" t="n"/>
      <c r="H27" s="3" t="n"/>
      <c r="I27" s="4" t="n"/>
    </row>
    <row r="28">
      <c r="F28" s="2" t="n"/>
      <c r="G28" s="2" t="n"/>
      <c r="H28" s="3" t="n"/>
      <c r="I28" s="4" t="n"/>
    </row>
    <row r="29">
      <c r="F29" s="2" t="n"/>
      <c r="G29" s="2" t="n"/>
      <c r="H29" s="3" t="n"/>
      <c r="I29" s="4" t="n"/>
    </row>
    <row r="30">
      <c r="F30" s="2" t="n"/>
      <c r="G30" s="2" t="n"/>
      <c r="H30" s="3" t="n"/>
      <c r="I30" s="4" t="n"/>
    </row>
    <row r="31">
      <c r="F31" s="2" t="n"/>
      <c r="G31" s="2" t="n"/>
      <c r="H31" s="3" t="n"/>
      <c r="I31" s="4" t="n"/>
    </row>
    <row r="32">
      <c r="F32" s="2" t="n"/>
      <c r="G32" s="2" t="n"/>
      <c r="H32" s="3" t="n"/>
      <c r="I32" s="4" t="n"/>
    </row>
    <row r="33">
      <c r="F33" s="2" t="n"/>
      <c r="G33" s="2" t="n"/>
      <c r="H33" s="3" t="n"/>
      <c r="I33" s="4" t="n"/>
    </row>
    <row r="34">
      <c r="F34" s="2" t="n"/>
      <c r="G34" s="2" t="n"/>
      <c r="H34" s="3" t="n"/>
      <c r="I34" s="4" t="n"/>
    </row>
    <row r="35">
      <c r="F35" s="2" t="n"/>
      <c r="G35" s="2" t="n"/>
      <c r="H35" s="3" t="n"/>
      <c r="I35" s="4" t="n"/>
    </row>
    <row r="36">
      <c r="F36" s="2" t="n"/>
      <c r="G36" s="2" t="n"/>
      <c r="H36" s="3" t="n"/>
      <c r="I36" s="4" t="n"/>
    </row>
    <row r="37">
      <c r="F37" s="2" t="n"/>
      <c r="G37" s="2" t="n"/>
      <c r="H37" s="3" t="n"/>
      <c r="I37" s="4" t="n"/>
    </row>
    <row r="38">
      <c r="F38" s="2" t="n"/>
      <c r="G38" s="2" t="n"/>
      <c r="H38" s="3" t="n"/>
      <c r="I38" s="4" t="n"/>
    </row>
    <row r="39">
      <c r="F39" s="2" t="n"/>
      <c r="G39" s="2" t="n"/>
      <c r="H39" s="3" t="n"/>
      <c r="I39" s="4" t="n"/>
    </row>
    <row r="40">
      <c r="F40" s="2" t="n"/>
      <c r="G40" s="2" t="n"/>
      <c r="H40" s="3" t="n"/>
      <c r="I40" s="4" t="n"/>
    </row>
    <row r="41">
      <c r="F41" s="2" t="n"/>
      <c r="G41" s="2" t="n"/>
      <c r="H41" s="3" t="n"/>
      <c r="I41" s="4" t="n"/>
    </row>
    <row r="42">
      <c r="F42" s="2" t="n"/>
      <c r="G42" s="2" t="n"/>
      <c r="H42" s="3" t="n"/>
      <c r="I42" s="4" t="n"/>
    </row>
    <row r="43">
      <c r="F43" s="2" t="n"/>
      <c r="G43" s="2" t="n"/>
      <c r="H43" s="3" t="n"/>
      <c r="I43" s="4" t="n"/>
    </row>
    <row r="44">
      <c r="F44" s="2" t="n"/>
      <c r="G44" s="2" t="n"/>
      <c r="H44" s="3" t="n"/>
      <c r="I44" s="4" t="n"/>
    </row>
    <row r="45">
      <c r="F45" s="2" t="n"/>
      <c r="G45" s="2" t="n"/>
      <c r="H45" s="3" t="n"/>
      <c r="I45" s="4" t="n"/>
    </row>
    <row r="46">
      <c r="F46" s="2" t="n"/>
      <c r="G46" s="2" t="n"/>
      <c r="H46" s="3" t="n"/>
      <c r="I46" s="4" t="n"/>
    </row>
    <row r="47">
      <c r="F47" s="2" t="n"/>
      <c r="G47" s="2" t="n"/>
      <c r="H47" s="3" t="n"/>
      <c r="I47" s="4" t="n"/>
    </row>
    <row r="48">
      <c r="F48" s="2" t="n"/>
      <c r="G48" s="2" t="n"/>
      <c r="H48" s="3" t="n"/>
      <c r="I48" s="4" t="n"/>
    </row>
    <row r="49">
      <c r="F49" s="2" t="n"/>
      <c r="G49" s="2" t="n"/>
      <c r="H49" s="3" t="n"/>
      <c r="I49" s="4" t="n"/>
    </row>
    <row r="50">
      <c r="F50" s="2" t="n"/>
      <c r="G50" s="2" t="n"/>
      <c r="H50" s="3" t="n"/>
      <c r="I50" s="4" t="n"/>
    </row>
    <row r="51">
      <c r="F51" s="2" t="n"/>
      <c r="G51" s="2" t="n"/>
      <c r="H51" s="3" t="n"/>
      <c r="I51" s="4" t="n"/>
    </row>
    <row r="52">
      <c r="F52" s="2" t="n"/>
      <c r="G52" s="2" t="n"/>
      <c r="H52" s="3" t="n"/>
      <c r="I52" s="4" t="n"/>
    </row>
    <row r="53">
      <c r="F53" s="2" t="n"/>
      <c r="G53" s="2" t="n"/>
      <c r="H53" s="3" t="n"/>
      <c r="I53" s="4" t="n"/>
    </row>
    <row r="54">
      <c r="F54" s="2" t="n"/>
      <c r="G54" s="2" t="n"/>
      <c r="H54" s="3" t="n"/>
      <c r="I54" s="4" t="n"/>
    </row>
    <row r="55">
      <c r="F55" s="2" t="n"/>
      <c r="G55" s="2" t="n"/>
      <c r="H55" s="3" t="n"/>
      <c r="I55" s="4" t="n"/>
    </row>
    <row r="56">
      <c r="F56" s="2" t="n"/>
      <c r="G56" s="2" t="n"/>
      <c r="H56" s="3" t="n"/>
      <c r="I56" s="4" t="n"/>
    </row>
    <row r="57">
      <c r="F57" s="2" t="n"/>
      <c r="G57" s="2" t="n"/>
      <c r="H57" s="3" t="n"/>
      <c r="I57" s="4" t="n"/>
    </row>
    <row r="58">
      <c r="F58" s="2" t="n"/>
      <c r="G58" s="2" t="n"/>
      <c r="H58" s="3" t="n"/>
      <c r="I58" s="4" t="n"/>
    </row>
    <row r="59">
      <c r="F59" s="2" t="n"/>
      <c r="G59" s="2" t="n"/>
      <c r="H59" s="3" t="n"/>
      <c r="I59" s="4" t="n"/>
    </row>
    <row r="60">
      <c r="F60" s="2" t="n"/>
      <c r="G60" s="2" t="n"/>
      <c r="H60" s="3" t="n"/>
      <c r="I60" s="4" t="n"/>
    </row>
    <row r="61">
      <c r="F61" s="2" t="n"/>
      <c r="G61" s="2" t="n"/>
      <c r="H61" s="3" t="n"/>
      <c r="I61" s="4" t="n"/>
    </row>
    <row r="62">
      <c r="F62" s="2" t="n"/>
      <c r="G62" s="2" t="n"/>
      <c r="H62" s="3" t="n"/>
      <c r="I62" s="4" t="n"/>
    </row>
    <row r="63">
      <c r="F63" s="2" t="n"/>
      <c r="G63" s="2" t="n"/>
      <c r="H63" s="3" t="n"/>
      <c r="I63" s="4" t="n"/>
    </row>
    <row r="64">
      <c r="F64" s="2" t="n"/>
      <c r="G64" s="2" t="n"/>
      <c r="H64" s="3" t="n"/>
      <c r="I64" s="4" t="n"/>
    </row>
    <row r="65">
      <c r="F65" s="2" t="n"/>
      <c r="G65" s="2" t="n"/>
      <c r="H65" s="3" t="n"/>
      <c r="I65" s="4" t="n"/>
    </row>
    <row r="66">
      <c r="F66" s="2" t="n"/>
      <c r="G66" s="2" t="n"/>
      <c r="H66" s="3" t="n"/>
      <c r="I66" s="4" t="n"/>
    </row>
    <row r="67">
      <c r="F67" s="2" t="n"/>
      <c r="G67" s="2" t="n"/>
      <c r="H67" s="3" t="n"/>
      <c r="I67" s="4" t="n"/>
    </row>
    <row r="68">
      <c r="F68" s="2" t="n"/>
      <c r="G68" s="2" t="n"/>
      <c r="H68" s="3" t="n"/>
      <c r="I68" s="4" t="n"/>
    </row>
    <row r="69">
      <c r="F69" s="2" t="n"/>
      <c r="G69" s="2" t="n"/>
      <c r="H69" s="3" t="n"/>
      <c r="I69" s="4" t="n"/>
    </row>
    <row r="70">
      <c r="F70" s="2" t="n"/>
      <c r="G70" s="2" t="n"/>
      <c r="H70" s="3" t="n"/>
      <c r="I70" s="4" t="n"/>
    </row>
    <row r="71">
      <c r="F71" s="2" t="n"/>
      <c r="G71" s="2" t="n"/>
      <c r="H71" s="3" t="n"/>
      <c r="I71" s="4" t="n"/>
    </row>
    <row r="72">
      <c r="F72" s="2" t="n"/>
      <c r="G72" s="2" t="n"/>
      <c r="H72" s="3" t="n"/>
      <c r="I72" s="4" t="n"/>
    </row>
    <row r="73">
      <c r="F73" s="2" t="n"/>
      <c r="G73" s="2" t="n"/>
      <c r="H73" s="3" t="n"/>
      <c r="I73" s="4" t="n"/>
    </row>
    <row r="74">
      <c r="F74" s="2" t="n"/>
      <c r="G74" s="2" t="n"/>
      <c r="H74" s="3" t="n"/>
      <c r="I74" s="4" t="n"/>
    </row>
    <row r="75">
      <c r="F75" s="2" t="n"/>
      <c r="G75" s="2" t="n"/>
      <c r="H75" s="3" t="n"/>
      <c r="I75" s="4" t="n"/>
    </row>
    <row r="76">
      <c r="F76" s="2" t="n"/>
      <c r="G76" s="2" t="n"/>
      <c r="H76" s="3" t="n"/>
      <c r="I76" s="4" t="n"/>
    </row>
    <row r="77">
      <c r="F77" s="2" t="n"/>
      <c r="G77" s="2" t="n"/>
      <c r="H77" s="3" t="n"/>
      <c r="I77" s="4" t="n"/>
    </row>
    <row r="78">
      <c r="F78" s="2" t="n"/>
      <c r="G78" s="2" t="n"/>
      <c r="H78" s="3" t="n"/>
      <c r="I78" s="4" t="n"/>
    </row>
    <row r="79">
      <c r="F79" s="2" t="n"/>
      <c r="G79" s="2" t="n"/>
      <c r="H79" s="3" t="n"/>
      <c r="I79" s="4" t="n"/>
    </row>
    <row r="80">
      <c r="F80" s="2" t="n"/>
      <c r="G80" s="2" t="n"/>
      <c r="H80" s="3" t="n"/>
      <c r="I80" s="4" t="n"/>
    </row>
    <row r="81">
      <c r="F81" s="2" t="n"/>
      <c r="G81" s="2" t="n"/>
      <c r="H81" s="3" t="n"/>
      <c r="I81" s="4" t="n"/>
    </row>
    <row r="82">
      <c r="F82" s="2" t="n"/>
      <c r="G82" s="2" t="n"/>
      <c r="H82" s="3" t="n"/>
      <c r="I82" s="4" t="n"/>
    </row>
    <row r="83">
      <c r="F83" s="2" t="n"/>
      <c r="G83" s="2" t="n"/>
      <c r="H83" s="3" t="n"/>
      <c r="I83" s="4" t="n"/>
    </row>
    <row r="84">
      <c r="F84" s="2" t="n"/>
      <c r="G84" s="2" t="n"/>
      <c r="H84" s="3" t="n"/>
      <c r="I84" s="4" t="n"/>
    </row>
    <row r="85">
      <c r="F85" s="2" t="n"/>
      <c r="G85" s="2" t="n"/>
      <c r="H85" s="3" t="n"/>
      <c r="I85" s="4" t="n"/>
    </row>
    <row r="86">
      <c r="F86" s="2" t="n"/>
      <c r="G86" s="2" t="n"/>
      <c r="H86" s="3" t="n"/>
      <c r="I86" s="4" t="n"/>
    </row>
    <row r="87">
      <c r="F87" s="2" t="n"/>
      <c r="G87" s="2" t="n"/>
      <c r="H87" s="3" t="n"/>
      <c r="I87" s="4" t="n"/>
    </row>
    <row r="88">
      <c r="F88" s="2" t="n"/>
      <c r="G88" s="2" t="n"/>
      <c r="H88" s="3" t="n"/>
      <c r="I88" s="4" t="n"/>
    </row>
    <row r="89">
      <c r="F89" s="2" t="n"/>
      <c r="G89" s="2" t="n"/>
      <c r="H89" s="3" t="n"/>
      <c r="I89" s="4" t="n"/>
    </row>
    <row r="90">
      <c r="F90" s="2" t="n"/>
      <c r="G90" s="2" t="n"/>
      <c r="H90" s="3" t="n"/>
      <c r="I90" s="4" t="n"/>
    </row>
    <row r="91">
      <c r="F91" s="2" t="n"/>
      <c r="G91" s="2" t="n"/>
      <c r="H91" s="3" t="n"/>
      <c r="I91" s="4" t="n"/>
    </row>
    <row r="92">
      <c r="F92" s="2" t="n"/>
      <c r="G92" s="2" t="n"/>
      <c r="H92" s="3" t="n"/>
      <c r="I92" s="4" t="n"/>
    </row>
    <row r="93">
      <c r="F93" s="2" t="n"/>
      <c r="G93" s="2" t="n"/>
      <c r="H93" s="3" t="n"/>
      <c r="I93" s="4" t="n"/>
    </row>
    <row r="94">
      <c r="F94" s="2" t="n"/>
      <c r="G94" s="2" t="n"/>
      <c r="H94" s="3" t="n"/>
      <c r="I94" s="4" t="n"/>
    </row>
    <row r="95">
      <c r="F95" s="2" t="n"/>
      <c r="G95" s="2" t="n"/>
      <c r="H95" s="3" t="n"/>
      <c r="I95" s="4" t="n"/>
    </row>
    <row r="96">
      <c r="F96" s="2" t="n"/>
      <c r="G96" s="2" t="n"/>
      <c r="H96" s="3" t="n"/>
      <c r="I96" s="4" t="n"/>
    </row>
    <row r="97">
      <c r="F97" s="2" t="n"/>
      <c r="G97" s="2" t="n"/>
      <c r="H97" s="3" t="n"/>
      <c r="I97" s="4" t="n"/>
    </row>
    <row r="98">
      <c r="F98" s="2" t="n"/>
      <c r="G98" s="2" t="n"/>
      <c r="H98" s="3" t="n"/>
      <c r="I98" s="4" t="n"/>
    </row>
    <row r="99">
      <c r="F99" s="2" t="n"/>
      <c r="G99" s="2" t="n"/>
      <c r="H99" s="3" t="n"/>
      <c r="I99" s="4" t="n"/>
    </row>
    <row r="100">
      <c r="F100" s="2" t="n"/>
      <c r="G100" s="2" t="n"/>
      <c r="H100" s="3" t="n"/>
      <c r="I100" s="4" t="n"/>
    </row>
    <row r="101">
      <c r="F101" s="2" t="n"/>
      <c r="G101" s="2" t="n"/>
      <c r="H101" s="3" t="n"/>
      <c r="I101" s="4" t="n"/>
    </row>
    <row r="102">
      <c r="F102" s="2" t="n"/>
      <c r="G102" s="2" t="n"/>
      <c r="H102" s="3" t="n"/>
      <c r="I102" s="4" t="n"/>
    </row>
    <row r="103">
      <c r="F103" s="2" t="n"/>
      <c r="G103" s="2" t="n"/>
      <c r="H103" s="3" t="n"/>
      <c r="I103" s="4" t="n"/>
    </row>
    <row r="104">
      <c r="F104" s="2" t="n"/>
      <c r="G104" s="2" t="n"/>
      <c r="H104" s="3" t="n"/>
      <c r="I104" s="4" t="n"/>
    </row>
    <row r="105">
      <c r="F105" s="2" t="n"/>
      <c r="G105" s="2" t="n"/>
      <c r="H105" s="3" t="n"/>
      <c r="I105" s="4" t="n"/>
    </row>
    <row r="106">
      <c r="F106" s="2" t="n"/>
      <c r="G106" s="2" t="n"/>
      <c r="H106" s="3" t="n"/>
      <c r="I106" s="4" t="n"/>
    </row>
    <row r="107">
      <c r="F107" s="2" t="n"/>
      <c r="G107" s="2" t="n"/>
      <c r="H107" s="3" t="n"/>
      <c r="I107" s="4" t="n"/>
    </row>
    <row r="108">
      <c r="F108" s="2" t="n"/>
      <c r="G108" s="2" t="n"/>
      <c r="H108" s="3" t="n"/>
      <c r="I108" s="4" t="n"/>
    </row>
    <row r="109">
      <c r="F109" s="2" t="n"/>
      <c r="G109" s="2" t="n"/>
      <c r="H109" s="3" t="n"/>
      <c r="I109" s="4" t="n"/>
    </row>
    <row r="110">
      <c r="F110" s="2" t="n"/>
      <c r="G110" s="2" t="n"/>
      <c r="H110" s="3" t="n"/>
      <c r="I110" s="4" t="n"/>
    </row>
    <row r="111">
      <c r="F111" s="2" t="n"/>
      <c r="G111" s="2" t="n"/>
      <c r="H111" s="3" t="n"/>
      <c r="I111" s="4" t="n"/>
    </row>
    <row r="112">
      <c r="F112" s="2" t="n"/>
      <c r="G112" s="2" t="n"/>
      <c r="H112" s="3" t="n"/>
      <c r="I112" s="4" t="n"/>
    </row>
    <row r="113">
      <c r="F113" s="2" t="n"/>
      <c r="G113" s="2" t="n"/>
      <c r="H113" s="3" t="n"/>
      <c r="I113" s="4" t="n"/>
    </row>
    <row r="114">
      <c r="F114" s="2" t="n"/>
      <c r="G114" s="2" t="n"/>
      <c r="H114" s="3" t="n"/>
      <c r="I114" s="4" t="n"/>
    </row>
    <row r="115">
      <c r="F115" s="2" t="n"/>
      <c r="G115" s="2" t="n"/>
      <c r="H115" s="3" t="n"/>
      <c r="I115" s="4" t="n"/>
    </row>
    <row r="116">
      <c r="F116" s="2" t="n"/>
      <c r="G116" s="2" t="n"/>
      <c r="H116" s="3" t="n"/>
      <c r="I116" s="4" t="n"/>
    </row>
    <row r="117">
      <c r="F117" s="2" t="n"/>
      <c r="G117" s="2" t="n"/>
      <c r="H117" s="3" t="n"/>
      <c r="I117" s="4" t="n"/>
    </row>
    <row r="118">
      <c r="F118" s="2" t="n"/>
      <c r="G118" s="2" t="n"/>
      <c r="H118" s="3" t="n"/>
      <c r="I118" s="4" t="n"/>
    </row>
    <row r="119">
      <c r="F119" s="2" t="n"/>
      <c r="G119" s="2" t="n"/>
      <c r="H119" s="3" t="n"/>
      <c r="I119" s="4" t="n"/>
    </row>
    <row r="120">
      <c r="F120" s="2" t="n"/>
      <c r="G120" s="2" t="n"/>
      <c r="H120" s="3" t="n"/>
      <c r="I120" s="4" t="n"/>
    </row>
    <row r="121">
      <c r="F121" s="2" t="n"/>
      <c r="G121" s="2" t="n"/>
      <c r="H121" s="3" t="n"/>
      <c r="I121" s="4" t="n"/>
    </row>
    <row r="122">
      <c r="F122" s="2" t="n"/>
      <c r="G122" s="2" t="n"/>
      <c r="H122" s="3" t="n"/>
      <c r="I122" s="4" t="n"/>
    </row>
    <row r="123">
      <c r="F123" s="2" t="n"/>
      <c r="G123" s="2" t="n"/>
      <c r="H123" s="3" t="n"/>
      <c r="I123" s="4" t="n"/>
    </row>
    <row r="124">
      <c r="F124" s="2" t="n"/>
      <c r="G124" s="2" t="n"/>
      <c r="H124" s="3" t="n"/>
      <c r="I124" s="4" t="n"/>
    </row>
    <row r="125">
      <c r="F125" s="2" t="n"/>
      <c r="G125" s="2" t="n"/>
      <c r="H125" s="3" t="n"/>
      <c r="I125" s="4" t="n"/>
    </row>
    <row r="126">
      <c r="F126" s="2" t="n"/>
      <c r="G126" s="2" t="n"/>
      <c r="H126" s="3" t="n"/>
      <c r="I126" s="4" t="n"/>
    </row>
    <row r="127">
      <c r="F127" s="2" t="n"/>
      <c r="G127" s="2" t="n"/>
      <c r="H127" s="3" t="n"/>
      <c r="I127" s="4" t="n"/>
    </row>
    <row r="128">
      <c r="F128" s="2" t="n"/>
      <c r="G128" s="2" t="n"/>
      <c r="H128" s="3" t="n"/>
      <c r="I128" s="4" t="n"/>
    </row>
    <row r="129">
      <c r="F129" s="2" t="n"/>
      <c r="G129" s="2" t="n"/>
      <c r="H129" s="3" t="n"/>
      <c r="I129" s="4" t="n"/>
    </row>
    <row r="130">
      <c r="F130" s="2" t="n"/>
      <c r="G130" s="2" t="n"/>
      <c r="H130" s="3" t="n"/>
      <c r="I130" s="4" t="n"/>
    </row>
    <row r="131">
      <c r="F131" s="2" t="n"/>
      <c r="G131" s="2" t="n"/>
      <c r="H131" s="3" t="n"/>
      <c r="I131" s="4" t="n"/>
    </row>
    <row r="132">
      <c r="F132" s="2" t="n"/>
      <c r="G132" s="2" t="n"/>
      <c r="H132" s="3" t="n"/>
      <c r="I132" s="4" t="n"/>
    </row>
    <row r="133">
      <c r="F133" s="2" t="n"/>
      <c r="G133" s="2" t="n"/>
      <c r="H133" s="3" t="n"/>
      <c r="I133" s="4" t="n"/>
    </row>
    <row r="134">
      <c r="F134" s="2" t="n"/>
      <c r="G134" s="2" t="n"/>
      <c r="H134" s="3" t="n"/>
      <c r="I134" s="4" t="n"/>
    </row>
    <row r="135">
      <c r="F135" s="2" t="n"/>
      <c r="G135" s="2" t="n"/>
      <c r="H135" s="3" t="n"/>
      <c r="I135" s="4" t="n"/>
    </row>
    <row r="136">
      <c r="F136" s="2" t="n"/>
      <c r="G136" s="2" t="n"/>
      <c r="H136" s="3" t="n"/>
      <c r="I136" s="4" t="n"/>
    </row>
    <row r="137">
      <c r="F137" s="2" t="n"/>
      <c r="G137" s="2" t="n"/>
      <c r="H137" s="3" t="n"/>
      <c r="I137" s="4" t="n"/>
    </row>
    <row r="138">
      <c r="F138" s="2" t="n"/>
      <c r="G138" s="2" t="n"/>
      <c r="H138" s="3" t="n"/>
      <c r="I138" s="4" t="n"/>
    </row>
    <row r="139">
      <c r="F139" s="2" t="n"/>
      <c r="G139" s="2" t="n"/>
      <c r="H139" s="3" t="n"/>
      <c r="I139" s="4" t="n"/>
    </row>
    <row r="140">
      <c r="F140" s="2" t="n"/>
      <c r="G140" s="2" t="n"/>
      <c r="H140" s="3" t="n"/>
      <c r="I140" s="4" t="n"/>
    </row>
    <row r="141">
      <c r="F141" s="2" t="n"/>
      <c r="G141" s="2" t="n"/>
      <c r="H141" s="3" t="n"/>
      <c r="I141" s="4" t="n"/>
    </row>
    <row r="142">
      <c r="F142" s="2" t="n"/>
      <c r="G142" s="2" t="n"/>
      <c r="H142" s="3" t="n"/>
      <c r="I142" s="4" t="n"/>
    </row>
    <row r="143">
      <c r="F143" s="2" t="n"/>
      <c r="G143" s="2" t="n"/>
      <c r="H143" s="3" t="n"/>
      <c r="I143" s="4" t="n"/>
    </row>
    <row r="144">
      <c r="F144" s="2" t="n"/>
      <c r="G144" s="2" t="n"/>
      <c r="H144" s="3" t="n"/>
      <c r="I144" s="4" t="n"/>
    </row>
    <row r="145">
      <c r="F145" s="2" t="n"/>
      <c r="G145" s="2" t="n"/>
      <c r="H145" s="3" t="n"/>
      <c r="I145" s="4" t="n"/>
    </row>
    <row r="146">
      <c r="F146" s="2" t="n"/>
      <c r="G146" s="2" t="n"/>
      <c r="H146" s="3" t="n"/>
      <c r="I146" s="4" t="n"/>
    </row>
    <row r="147">
      <c r="F147" s="2" t="n"/>
      <c r="G147" s="2" t="n"/>
      <c r="H147" s="3" t="n"/>
      <c r="I147" s="4" t="n"/>
    </row>
    <row r="148">
      <c r="F148" s="2" t="n"/>
      <c r="G148" s="2" t="n"/>
      <c r="H148" s="3" t="n"/>
      <c r="I148" s="4" t="n"/>
    </row>
    <row r="149">
      <c r="F149" s="2" t="n"/>
      <c r="G149" s="2" t="n"/>
      <c r="H149" s="3" t="n"/>
      <c r="I149" s="4" t="n"/>
    </row>
    <row r="150">
      <c r="F150" s="2" t="n"/>
      <c r="G150" s="2" t="n"/>
      <c r="H150" s="3" t="n"/>
      <c r="I150" s="4" t="n"/>
    </row>
    <row r="151">
      <c r="F151" s="2" t="n"/>
      <c r="G151" s="2" t="n"/>
      <c r="H151" s="3" t="n"/>
      <c r="I151" s="4" t="n"/>
    </row>
    <row r="152">
      <c r="F152" s="2" t="n"/>
      <c r="G152" s="2" t="n"/>
      <c r="H152" s="3" t="n"/>
      <c r="I152" s="4" t="n"/>
    </row>
    <row r="153">
      <c r="F153" s="2" t="n"/>
      <c r="G153" s="2" t="n"/>
      <c r="H153" s="3" t="n"/>
      <c r="I153" s="4" t="n"/>
    </row>
    <row r="154">
      <c r="F154" s="2" t="n"/>
      <c r="G154" s="2" t="n"/>
      <c r="H154" s="3" t="n"/>
      <c r="I154" s="4" t="n"/>
    </row>
    <row r="155">
      <c r="F155" s="2" t="n"/>
      <c r="G155" s="2" t="n"/>
      <c r="H155" s="3" t="n"/>
      <c r="I155" s="4" t="n"/>
    </row>
    <row r="156">
      <c r="F156" s="2" t="n"/>
      <c r="G156" s="2" t="n"/>
      <c r="H156" s="3" t="n"/>
      <c r="I156" s="4" t="n"/>
    </row>
    <row r="157">
      <c r="F157" s="2" t="n"/>
      <c r="G157" s="2" t="n"/>
      <c r="H157" s="3" t="n"/>
      <c r="I157" s="4" t="n"/>
    </row>
    <row r="158">
      <c r="F158" s="2" t="n"/>
      <c r="G158" s="2" t="n"/>
      <c r="H158" s="3" t="n"/>
      <c r="I158" s="4" t="n"/>
    </row>
    <row r="159">
      <c r="F159" s="2" t="n"/>
      <c r="G159" s="2" t="n"/>
      <c r="H159" s="3" t="n"/>
      <c r="I159" s="4" t="n"/>
    </row>
    <row r="160">
      <c r="F160" s="2" t="n"/>
      <c r="G160" s="2" t="n"/>
      <c r="H160" s="3" t="n"/>
      <c r="I160" s="4" t="n"/>
    </row>
    <row r="161">
      <c r="F161" s="2" t="n"/>
      <c r="G161" s="2" t="n"/>
      <c r="H161" s="3" t="n"/>
      <c r="I161" s="4" t="n"/>
    </row>
    <row r="162">
      <c r="F162" s="2" t="n"/>
      <c r="G162" s="2" t="n"/>
      <c r="H162" s="3" t="n"/>
      <c r="I162" s="4" t="n"/>
    </row>
    <row r="163">
      <c r="F163" s="2" t="n"/>
      <c r="G163" s="2" t="n"/>
      <c r="H163" s="3" t="n"/>
      <c r="I163" s="4" t="n"/>
    </row>
    <row r="164">
      <c r="F164" s="2" t="n"/>
      <c r="G164" s="2" t="n"/>
      <c r="H164" s="3" t="n"/>
      <c r="I164" s="4" t="n"/>
    </row>
    <row r="165">
      <c r="F165" s="2" t="n"/>
      <c r="G165" s="2" t="n"/>
      <c r="H165" s="3" t="n"/>
      <c r="I165" s="4" t="n"/>
    </row>
    <row r="166">
      <c r="F166" s="2" t="n"/>
      <c r="G166" s="2" t="n"/>
      <c r="H166" s="3" t="n"/>
      <c r="I166" s="4" t="n"/>
    </row>
    <row r="167">
      <c r="F167" s="2" t="n"/>
      <c r="G167" s="2" t="n"/>
      <c r="H167" s="3" t="n"/>
      <c r="I167" s="4" t="n"/>
    </row>
    <row r="168">
      <c r="F168" s="2" t="n"/>
      <c r="G168" s="2" t="n"/>
      <c r="H168" s="3" t="n"/>
      <c r="I168" s="4" t="n"/>
    </row>
    <row r="169">
      <c r="F169" s="2" t="n"/>
      <c r="G169" s="2" t="n"/>
      <c r="H169" s="3" t="n"/>
      <c r="I169" s="4" t="n"/>
    </row>
    <row r="170">
      <c r="F170" s="2" t="n"/>
      <c r="G170" s="2" t="n"/>
      <c r="H170" s="3" t="n"/>
      <c r="I170" s="4" t="n"/>
    </row>
    <row r="171">
      <c r="F171" s="2" t="n"/>
      <c r="G171" s="2" t="n"/>
      <c r="H171" s="3" t="n"/>
      <c r="I171" s="4" t="n"/>
    </row>
    <row r="172">
      <c r="F172" s="2" t="n"/>
      <c r="G172" s="2" t="n"/>
      <c r="H172" s="3" t="n"/>
      <c r="I172" s="4" t="n"/>
    </row>
    <row r="173">
      <c r="F173" s="2" t="n"/>
      <c r="G173" s="2" t="n"/>
      <c r="H173" s="3" t="n"/>
      <c r="I173" s="4" t="n"/>
    </row>
    <row r="174">
      <c r="F174" s="2" t="n"/>
      <c r="G174" s="2" t="n"/>
      <c r="H174" s="3" t="n"/>
      <c r="I174" s="4" t="n"/>
    </row>
    <row r="175">
      <c r="F175" s="2" t="n"/>
      <c r="G175" s="2" t="n"/>
      <c r="H175" s="3" t="n"/>
      <c r="I175" s="4" t="n"/>
    </row>
    <row r="176">
      <c r="F176" s="2" t="n"/>
      <c r="G176" s="2" t="n"/>
      <c r="H176" s="3" t="n"/>
      <c r="I176" s="4" t="n"/>
    </row>
    <row r="177">
      <c r="F177" s="2" t="n"/>
      <c r="G177" s="2" t="n"/>
      <c r="H177" s="3" t="n"/>
      <c r="I177" s="4" t="n"/>
    </row>
    <row r="178">
      <c r="F178" s="2" t="n"/>
      <c r="G178" s="2" t="n"/>
      <c r="H178" s="3" t="n"/>
      <c r="I178" s="4" t="n"/>
    </row>
    <row r="179">
      <c r="F179" s="2" t="n"/>
      <c r="G179" s="2" t="n"/>
      <c r="H179" s="3" t="n"/>
      <c r="I179" s="4" t="n"/>
    </row>
    <row r="180">
      <c r="F180" s="2" t="n"/>
      <c r="G180" s="2" t="n"/>
      <c r="H180" s="3" t="n"/>
      <c r="I180" s="4" t="n"/>
    </row>
    <row r="181">
      <c r="F181" s="2" t="n"/>
      <c r="G181" s="2" t="n"/>
      <c r="H181" s="3" t="n"/>
      <c r="I181" s="4" t="n"/>
    </row>
    <row r="182">
      <c r="F182" s="2" t="n"/>
      <c r="G182" s="2" t="n"/>
      <c r="H182" s="3" t="n"/>
      <c r="I182" s="4" t="n"/>
    </row>
    <row r="183">
      <c r="F183" s="2" t="n"/>
      <c r="G183" s="2" t="n"/>
      <c r="H183" s="3" t="n"/>
      <c r="I183" s="4" t="n"/>
    </row>
    <row r="184">
      <c r="F184" s="2" t="n"/>
      <c r="G184" s="2" t="n"/>
      <c r="H184" s="3" t="n"/>
      <c r="I184" s="4" t="n"/>
    </row>
    <row r="185">
      <c r="F185" s="2" t="n"/>
      <c r="G185" s="2" t="n"/>
      <c r="H185" s="3" t="n"/>
      <c r="I185" s="4" t="n"/>
    </row>
    <row r="186">
      <c r="F186" s="2" t="n"/>
      <c r="G186" s="2" t="n"/>
      <c r="H186" s="3" t="n"/>
      <c r="I186" s="4" t="n"/>
    </row>
    <row r="187">
      <c r="F187" s="2" t="n"/>
      <c r="G187" s="2" t="n"/>
      <c r="H187" s="3" t="n"/>
      <c r="I187" s="4" t="n"/>
    </row>
    <row r="188">
      <c r="F188" s="2" t="n"/>
      <c r="G188" s="2" t="n"/>
      <c r="H188" s="3" t="n"/>
      <c r="I188" s="4" t="n"/>
    </row>
    <row r="189">
      <c r="F189" s="2" t="n"/>
      <c r="G189" s="2" t="n"/>
      <c r="H189" s="3" t="n"/>
      <c r="I189" s="4" t="n"/>
    </row>
    <row r="190">
      <c r="F190" s="2" t="n"/>
      <c r="G190" s="2" t="n"/>
      <c r="H190" s="3" t="n"/>
      <c r="I190" s="4" t="n"/>
    </row>
    <row r="191">
      <c r="F191" s="2" t="n"/>
      <c r="G191" s="2" t="n"/>
      <c r="H191" s="3" t="n"/>
      <c r="I191" s="4" t="n"/>
    </row>
    <row r="192">
      <c r="F192" s="2" t="n"/>
      <c r="G192" s="2" t="n"/>
      <c r="H192" s="3" t="n"/>
      <c r="I192" s="4" t="n"/>
    </row>
    <row r="193">
      <c r="F193" s="2" t="n"/>
      <c r="G193" s="2" t="n"/>
      <c r="H193" s="3" t="n"/>
      <c r="I193" s="4" t="n"/>
    </row>
    <row r="194">
      <c r="F194" s="2" t="n"/>
      <c r="G194" s="2" t="n"/>
      <c r="H194" s="3" t="n"/>
      <c r="I194" s="4" t="n"/>
    </row>
    <row r="195">
      <c r="F195" s="2" t="n"/>
      <c r="G195" s="2" t="n"/>
      <c r="H195" s="3" t="n"/>
      <c r="I195" s="4" t="n"/>
    </row>
    <row r="196">
      <c r="F196" s="2" t="n"/>
      <c r="G196" s="2" t="n"/>
      <c r="H196" s="3" t="n"/>
      <c r="I196" s="4" t="n"/>
    </row>
    <row r="197">
      <c r="F197" s="2" t="n"/>
      <c r="G197" s="2" t="n"/>
      <c r="H197" s="3" t="n"/>
      <c r="I197" s="4" t="n"/>
    </row>
    <row r="198">
      <c r="F198" s="2" t="n"/>
      <c r="G198" s="2" t="n"/>
      <c r="H198" s="3" t="n"/>
      <c r="I198" s="4" t="n"/>
    </row>
    <row r="199">
      <c r="F199" s="2" t="n"/>
      <c r="G199" s="2" t="n"/>
      <c r="H199" s="3" t="n"/>
      <c r="I1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50" customWidth="1" min="3" max="3"/>
    <col width="16" customWidth="1" min="4" max="4"/>
  </cols>
  <sheetData>
    <row r="1">
      <c r="A1" s="1" t="inlineStr">
        <is>
          <t>Fund</t>
        </is>
      </c>
      <c r="B1" s="1" t="inlineStr">
        <is>
          <t>CIK</t>
        </is>
      </c>
      <c r="C1" s="1" t="inlineStr">
        <is>
          <t>Why we track</t>
        </is>
      </c>
      <c r="D1" s="1" t="inlineStr">
        <is>
          <t>Last 13F pulled</t>
        </is>
      </c>
    </row>
    <row r="2">
      <c r="A2" t="inlineStr">
        <is>
          <t>Berkshire Hathaway</t>
        </is>
      </c>
      <c r="B2" t="inlineStr">
        <is>
          <t>0001067983</t>
        </is>
      </c>
      <c r="C2" t="inlineStr">
        <is>
          <t>Buffett — owns AAPL stake worth tracking</t>
        </is>
      </c>
    </row>
    <row r="3">
      <c r="A3" t="inlineStr">
        <is>
          <t>Baillie Gifford</t>
        </is>
      </c>
      <c r="B3" t="inlineStr">
        <is>
          <t>0001097278</t>
        </is>
      </c>
      <c r="C3" t="inlineStr">
        <is>
          <t>Long-duration tech conviction</t>
        </is>
      </c>
    </row>
    <row r="4">
      <c r="A4" t="inlineStr">
        <is>
          <t>Tiger Global</t>
        </is>
      </c>
      <c r="B4" t="inlineStr">
        <is>
          <t>0001167483</t>
        </is>
      </c>
      <c r="C4" t="inlineStr">
        <is>
          <t>Concentrated tech bets</t>
        </is>
      </c>
    </row>
    <row r="5">
      <c r="A5" t="inlineStr">
        <is>
          <t>Coatue Mgmt</t>
        </is>
      </c>
      <c r="B5" t="inlineStr">
        <is>
          <t>0001135730</t>
        </is>
      </c>
      <c r="C5" t="inlineStr">
        <is>
          <t>AI thematic concentration</t>
        </is>
      </c>
    </row>
    <row r="6">
      <c r="A6" t="inlineStr">
        <is>
          <t>Whale Rock</t>
        </is>
      </c>
      <c r="B6" t="inlineStr">
        <is>
          <t>0001394730</t>
        </is>
      </c>
      <c r="C6" t="inlineStr">
        <is>
          <t>AI infra heavy</t>
        </is>
      </c>
    </row>
    <row r="7">
      <c r="A7" t="inlineStr">
        <is>
          <t>Lone Pine</t>
        </is>
      </c>
      <c r="B7" t="inlineStr">
        <is>
          <t>0001061165</t>
        </is>
      </c>
      <c r="C7" t="inlineStr">
        <is>
          <t>Long-only tech</t>
        </is>
      </c>
    </row>
    <row r="8">
      <c r="A8" t="inlineStr">
        <is>
          <t>Situational Awareness LP</t>
        </is>
      </c>
      <c r="B8" t="inlineStr">
        <is>
          <t>0002045724</t>
        </is>
      </c>
      <c r="C8" t="inlineStr">
        <is>
          <t>Aschenbrenner — the macro thesis author; primary tracked fund</t>
        </is>
      </c>
      <c r="D8" t="inlineStr">
        <is>
          <t>2026-05-18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5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Situational Awareness LP (CIK 0002045724) — filed 2026-02-11, period-end holdings. Values in $ (full dollars; option rows = notional value of underlying, NOT premium). Source: https://www.sec.gov/Archives/edgar/data/2045724/000204572426000002/SALP_13FQ425.xml</t>
        </is>
      </c>
    </row>
    <row r="3">
      <c r="A3" s="5" t="inlineStr">
        <is>
          <t>Ticker</t>
        </is>
      </c>
      <c r="B3" s="5" t="inlineStr">
        <is>
          <t>Issuer</t>
        </is>
      </c>
      <c r="C3" s="5" t="inlineStr">
        <is>
          <t>Type</t>
        </is>
      </c>
      <c r="D3" s="5" t="inlineStr">
        <is>
          <t>Shares</t>
        </is>
      </c>
      <c r="E3" s="5" t="inlineStr">
        <is>
          <t>Value ($)</t>
        </is>
      </c>
      <c r="F3" s="5" t="inlineStr">
        <is>
          <t>Shares Δ vs prior Q</t>
        </is>
      </c>
      <c r="G3" s="5" t="inlineStr">
        <is>
          <t>% of portfolio</t>
        </is>
      </c>
      <c r="H3" s="5" t="inlineStr">
        <is>
          <t>Status</t>
        </is>
      </c>
    </row>
    <row r="4">
      <c r="A4" t="inlineStr">
        <is>
          <t>BE</t>
        </is>
      </c>
      <c r="B4" t="inlineStr">
        <is>
          <t>BLOOM ENERGY CORP</t>
        </is>
      </c>
      <c r="C4" t="inlineStr">
        <is>
          <t>SH</t>
        </is>
      </c>
      <c r="D4" t="n">
        <v>10076022</v>
      </c>
      <c r="E4" t="n">
        <v>875505552</v>
      </c>
      <c r="G4" s="6">
        <f>E4/SUM($E$4:$E$32)</f>
        <v/>
      </c>
      <c r="H4" t="inlineStr">
        <is>
          <t>NEW</t>
        </is>
      </c>
    </row>
    <row r="5">
      <c r="A5" t="inlineStr">
        <is>
          <t>CRWV</t>
        </is>
      </c>
      <c r="B5" t="inlineStr">
        <is>
          <t>COREWEAVE INC</t>
        </is>
      </c>
      <c r="C5" t="inlineStr">
        <is>
          <t>Call</t>
        </is>
      </c>
      <c r="D5" t="n">
        <v>10814500</v>
      </c>
      <c r="E5" t="n">
        <v>774426345</v>
      </c>
      <c r="F5" s="7">
        <f>(10814500-2314500)/2314500</f>
        <v/>
      </c>
      <c r="G5" s="6">
        <f>E5/SUM($E$4:$E$32)</f>
        <v/>
      </c>
    </row>
    <row r="6">
      <c r="A6" t="inlineStr">
        <is>
          <t>INTC</t>
        </is>
      </c>
      <c r="B6" t="inlineStr">
        <is>
          <t>INTEL CORP</t>
        </is>
      </c>
      <c r="C6" t="inlineStr">
        <is>
          <t>Call</t>
        </is>
      </c>
      <c r="D6" t="n">
        <v>20237400</v>
      </c>
      <c r="E6" t="n">
        <v>746760060</v>
      </c>
      <c r="F6" s="7">
        <f>(20237400-20237400)/20237400</f>
        <v/>
      </c>
      <c r="G6" s="6">
        <f>E6/SUM($E$4:$E$32)</f>
        <v/>
      </c>
    </row>
    <row r="7">
      <c r="A7" t="inlineStr">
        <is>
          <t>LITE</t>
        </is>
      </c>
      <c r="B7" t="inlineStr">
        <is>
          <t>LUMENTUM HLDGS INC</t>
        </is>
      </c>
      <c r="C7" t="inlineStr">
        <is>
          <t>SH</t>
        </is>
      </c>
      <c r="D7" t="n">
        <v>1298400</v>
      </c>
      <c r="E7" t="n">
        <v>478577256</v>
      </c>
      <c r="G7" s="6">
        <f>E7/SUM($E$4:$E$32)</f>
        <v/>
      </c>
      <c r="H7" t="inlineStr">
        <is>
          <t>NEW</t>
        </is>
      </c>
    </row>
    <row r="8">
      <c r="A8" t="inlineStr">
        <is>
          <t>CRWV</t>
        </is>
      </c>
      <c r="B8" t="inlineStr">
        <is>
          <t>COREWEAVE INC</t>
        </is>
      </c>
      <c r="C8" t="inlineStr">
        <is>
          <t>SH</t>
        </is>
      </c>
      <c r="D8" t="n">
        <v>6098812</v>
      </c>
      <c r="E8" t="n">
        <v>436735927</v>
      </c>
      <c r="F8" s="7">
        <f>(6098812-4115456)/4115456</f>
        <v/>
      </c>
      <c r="G8" s="6">
        <f>E8/SUM($E$4:$E$32)</f>
        <v/>
      </c>
    </row>
    <row r="9">
      <c r="A9" t="inlineStr">
        <is>
          <t>CORZ</t>
        </is>
      </c>
      <c r="B9" t="inlineStr">
        <is>
          <t>CORE SCIENTIFIC INC NEW</t>
        </is>
      </c>
      <c r="C9" t="inlineStr">
        <is>
          <t>SH</t>
        </is>
      </c>
      <c r="D9" t="n">
        <v>28756478</v>
      </c>
      <c r="E9" t="n">
        <v>418694320</v>
      </c>
      <c r="F9" s="7">
        <f>(28756478-20180534)/20180534</f>
        <v/>
      </c>
      <c r="G9" s="6">
        <f>E9/SUM($E$4:$E$32)</f>
        <v/>
      </c>
    </row>
    <row r="10">
      <c r="A10" t="inlineStr">
        <is>
          <t>IREN</t>
        </is>
      </c>
      <c r="B10" t="inlineStr">
        <is>
          <t>IREN LIMITED</t>
        </is>
      </c>
      <c r="C10" t="inlineStr">
        <is>
          <t>SH</t>
        </is>
      </c>
      <c r="D10" t="n">
        <v>8700621</v>
      </c>
      <c r="E10" t="n">
        <v>328622455</v>
      </c>
      <c r="F10" s="7">
        <f>(8700621-7220421)/7220421</f>
        <v/>
      </c>
      <c r="G10" s="6">
        <f>E10/SUM($E$4:$E$32)</f>
        <v/>
      </c>
    </row>
    <row r="11">
      <c r="A11" t="inlineStr">
        <is>
          <t>APLD</t>
        </is>
      </c>
      <c r="B11" t="inlineStr">
        <is>
          <t>APPLIED DIGITAL CORP</t>
        </is>
      </c>
      <c r="C11" t="inlineStr">
        <is>
          <t>SH</t>
        </is>
      </c>
      <c r="D11" t="n">
        <v>11339060</v>
      </c>
      <c r="E11" t="n">
        <v>278033751</v>
      </c>
      <c r="F11" s="7">
        <f>(11339060-6064155)/6064155</f>
        <v/>
      </c>
      <c r="G11" s="6">
        <f>E11/SUM($E$4:$E$32)</f>
        <v/>
      </c>
    </row>
    <row r="12">
      <c r="A12" t="inlineStr">
        <is>
          <t>SNDK</t>
        </is>
      </c>
      <c r="B12" t="inlineStr">
        <is>
          <t>SANDISK CORP</t>
        </is>
      </c>
      <c r="C12" t="inlineStr">
        <is>
          <t>SH</t>
        </is>
      </c>
      <c r="D12" t="n">
        <v>1054200</v>
      </c>
      <c r="E12" t="n">
        <v>250245996</v>
      </c>
      <c r="F12" s="7">
        <f>(1054200-115000)/115000</f>
        <v/>
      </c>
      <c r="G12" s="6">
        <f>E12/SUM($E$4:$E$32)</f>
        <v/>
      </c>
    </row>
    <row r="13">
      <c r="A13" t="inlineStr">
        <is>
          <t>CIFR</t>
        </is>
      </c>
      <c r="B13" t="inlineStr">
        <is>
          <t>CIPHER MINING INC</t>
        </is>
      </c>
      <c r="C13" t="inlineStr">
        <is>
          <t>SH</t>
        </is>
      </c>
      <c r="D13" t="n">
        <v>10469093</v>
      </c>
      <c r="E13" t="n">
        <v>154523813</v>
      </c>
      <c r="G13" s="6">
        <f>E13/SUM($E$4:$E$32)</f>
        <v/>
      </c>
      <c r="H13" t="inlineStr">
        <is>
          <t>NEW</t>
        </is>
      </c>
    </row>
    <row r="14">
      <c r="A14" t="inlineStr">
        <is>
          <t>EQT</t>
        </is>
      </c>
      <c r="B14" t="inlineStr">
        <is>
          <t>EQT CORP</t>
        </is>
      </c>
      <c r="C14" t="inlineStr">
        <is>
          <t>SH</t>
        </is>
      </c>
      <c r="D14" t="n">
        <v>2482225</v>
      </c>
      <c r="E14" t="n">
        <v>133047260</v>
      </c>
      <c r="F14" s="7">
        <f>(2482225-1217386)/1217386</f>
        <v/>
      </c>
      <c r="G14" s="6">
        <f>E14/SUM($E$4:$E$32)</f>
        <v/>
      </c>
    </row>
    <row r="15">
      <c r="A15" t="inlineStr">
        <is>
          <t>COHR</t>
        </is>
      </c>
      <c r="B15" t="inlineStr">
        <is>
          <t>COHERENT CORP</t>
        </is>
      </c>
      <c r="C15" t="inlineStr">
        <is>
          <t>SH</t>
        </is>
      </c>
      <c r="D15" t="n">
        <v>480300</v>
      </c>
      <c r="E15" t="n">
        <v>88648971</v>
      </c>
      <c r="F15" s="7">
        <f>(480300-154400)/154400</f>
        <v/>
      </c>
      <c r="G15" s="6">
        <f>E15/SUM($E$4:$E$32)</f>
        <v/>
      </c>
    </row>
    <row r="16">
      <c r="A16" t="inlineStr">
        <is>
          <t>SEI</t>
        </is>
      </c>
      <c r="B16" t="inlineStr">
        <is>
          <t>SOLARIS ENERGY INFRAS INC</t>
        </is>
      </c>
      <c r="C16" t="inlineStr">
        <is>
          <t>SH</t>
        </is>
      </c>
      <c r="D16" t="n">
        <v>1866500</v>
      </c>
      <c r="E16" t="n">
        <v>85803005</v>
      </c>
      <c r="F16" s="7">
        <f>(1866500-1150300)/1150300</f>
        <v/>
      </c>
      <c r="G16" s="6">
        <f>E16/SUM($E$4:$E$32)</f>
        <v/>
      </c>
    </row>
    <row r="17">
      <c r="A17" t="inlineStr">
        <is>
          <t>TSEM</t>
        </is>
      </c>
      <c r="B17" t="inlineStr">
        <is>
          <t>TOWER SEMICONDUCTOR LTD</t>
        </is>
      </c>
      <c r="C17" t="inlineStr">
        <is>
          <t>SH</t>
        </is>
      </c>
      <c r="D17" t="n">
        <v>723004</v>
      </c>
      <c r="E17" t="n">
        <v>84895130</v>
      </c>
      <c r="F17" s="7">
        <f>(723004-470600)/470600</f>
        <v/>
      </c>
      <c r="G17" s="6">
        <f>E17/SUM($E$4:$E$32)</f>
        <v/>
      </c>
    </row>
    <row r="18">
      <c r="A18" t="inlineStr">
        <is>
          <t>RIOT</t>
        </is>
      </c>
      <c r="B18" t="inlineStr">
        <is>
          <t>RIOT PLATFORMS INC</t>
        </is>
      </c>
      <c r="C18" t="inlineStr">
        <is>
          <t>SH</t>
        </is>
      </c>
      <c r="D18" t="n">
        <v>6167700</v>
      </c>
      <c r="E18" t="n">
        <v>78144759</v>
      </c>
      <c r="F18" s="7">
        <f>(6167700-3592699)/3592699</f>
        <v/>
      </c>
      <c r="G18" s="6">
        <f>E18/SUM($E$4:$E$32)</f>
        <v/>
      </c>
    </row>
    <row r="19">
      <c r="A19" t="inlineStr">
        <is>
          <t>KRC</t>
        </is>
      </c>
      <c r="B19" t="inlineStr">
        <is>
          <t>KILROY RLTY CORP</t>
        </is>
      </c>
      <c r="C19" t="inlineStr">
        <is>
          <t>SH</t>
        </is>
      </c>
      <c r="D19" t="n">
        <v>1327700</v>
      </c>
      <c r="E19" t="n">
        <v>49616149</v>
      </c>
      <c r="G19" s="6">
        <f>E19/SUM($E$4:$E$32)</f>
        <v/>
      </c>
      <c r="H19" t="inlineStr">
        <is>
          <t>NEW</t>
        </is>
      </c>
    </row>
    <row r="20">
      <c r="A20" t="inlineStr">
        <is>
          <t>HUT</t>
        </is>
      </c>
      <c r="B20" t="inlineStr">
        <is>
          <t>HUT 8 CORP</t>
        </is>
      </c>
      <c r="C20" t="inlineStr">
        <is>
          <t>SH</t>
        </is>
      </c>
      <c r="D20" t="n">
        <v>860200</v>
      </c>
      <c r="E20" t="n">
        <v>39517588</v>
      </c>
      <c r="F20" s="7">
        <f>(860200-599000)/599000</f>
        <v/>
      </c>
      <c r="G20" s="6">
        <f>E20/SUM($E$4:$E$32)</f>
        <v/>
      </c>
    </row>
    <row r="21">
      <c r="A21" t="inlineStr">
        <is>
          <t>EQT</t>
        </is>
      </c>
      <c r="B21" t="inlineStr">
        <is>
          <t>EQT CORP</t>
        </is>
      </c>
      <c r="C21" t="inlineStr">
        <is>
          <t>Call</t>
        </is>
      </c>
      <c r="D21" t="n">
        <v>700000</v>
      </c>
      <c r="E21" t="n">
        <v>37520000</v>
      </c>
      <c r="G21" s="6">
        <f>E21/SUM($E$4:$E$32)</f>
        <v/>
      </c>
      <c r="H21" t="inlineStr">
        <is>
          <t>NEW</t>
        </is>
      </c>
    </row>
    <row r="22">
      <c r="A22" t="inlineStr">
        <is>
          <t>BE</t>
        </is>
      </c>
      <c r="B22" t="inlineStr">
        <is>
          <t>BLOOM ENERGY CORP</t>
        </is>
      </c>
      <c r="C22" t="inlineStr">
        <is>
          <t>Call</t>
        </is>
      </c>
      <c r="D22" t="n">
        <v>408500</v>
      </c>
      <c r="E22" t="n">
        <v>35494565</v>
      </c>
      <c r="G22" s="6">
        <f>E22/SUM($E$4:$E$32)</f>
        <v/>
      </c>
      <c r="H22" t="inlineStr">
        <is>
          <t>NEW</t>
        </is>
      </c>
    </row>
    <row r="23">
      <c r="A23" t="inlineStr">
        <is>
          <t>WYFI</t>
        </is>
      </c>
      <c r="B23" t="inlineStr">
        <is>
          <t>WHITEFIBER INC</t>
        </is>
      </c>
      <c r="C23" t="inlineStr">
        <is>
          <t>SH</t>
        </is>
      </c>
      <c r="D23" t="n">
        <v>1757600</v>
      </c>
      <c r="E23" t="n">
        <v>27770080</v>
      </c>
      <c r="G23" s="6">
        <f>E23/SUM($E$4:$E$32)</f>
        <v/>
      </c>
      <c r="H23" t="inlineStr">
        <is>
          <t>NEW</t>
        </is>
      </c>
    </row>
    <row r="24">
      <c r="A24" t="inlineStr">
        <is>
          <t>PSIX</t>
        </is>
      </c>
      <c r="B24" t="inlineStr">
        <is>
          <t>POWER SOLUTIONS INTL INC</t>
        </is>
      </c>
      <c r="C24" t="inlineStr">
        <is>
          <t>SH</t>
        </is>
      </c>
      <c r="D24" t="n">
        <v>432300</v>
      </c>
      <c r="E24" t="n">
        <v>24701622</v>
      </c>
      <c r="G24" s="6">
        <f>E24/SUM($E$4:$E$32)</f>
        <v/>
      </c>
      <c r="H24" t="inlineStr">
        <is>
          <t>NEW</t>
        </is>
      </c>
    </row>
    <row r="25">
      <c r="A25" t="inlineStr">
        <is>
          <t>BTDR</t>
        </is>
      </c>
      <c r="B25" t="inlineStr">
        <is>
          <t>BITDEER TECHNOLOGIES GROUP</t>
        </is>
      </c>
      <c r="C25" t="inlineStr">
        <is>
          <t>SH</t>
        </is>
      </c>
      <c r="D25" t="n">
        <v>1788000</v>
      </c>
      <c r="E25" t="n">
        <v>20043480</v>
      </c>
      <c r="F25" s="7">
        <f>(1788000-929600)/929600</f>
        <v/>
      </c>
      <c r="G25" s="6">
        <f>E25/SUM($E$4:$E$32)</f>
        <v/>
      </c>
    </row>
    <row r="26">
      <c r="A26" t="inlineStr">
        <is>
          <t>CLSK</t>
        </is>
      </c>
      <c r="B26" t="inlineStr">
        <is>
          <t>CLEANSPARK INC</t>
        </is>
      </c>
      <c r="C26" t="inlineStr">
        <is>
          <t>SH</t>
        </is>
      </c>
      <c r="D26" t="n">
        <v>1640400</v>
      </c>
      <c r="E26" t="n">
        <v>16600848</v>
      </c>
      <c r="G26" s="6">
        <f>E26/SUM($E$4:$E$32)</f>
        <v/>
      </c>
      <c r="H26" t="inlineStr">
        <is>
          <t>NEW</t>
        </is>
      </c>
    </row>
    <row r="27">
      <c r="A27" t="inlineStr">
        <is>
          <t>KEEL</t>
        </is>
      </c>
      <c r="B27" t="inlineStr">
        <is>
          <t>BITFARMS LTD</t>
        </is>
      </c>
      <c r="C27" t="inlineStr">
        <is>
          <t>SH</t>
        </is>
      </c>
      <c r="D27" t="n">
        <v>6897100</v>
      </c>
      <c r="E27" t="n">
        <v>16208185</v>
      </c>
      <c r="G27" s="6">
        <f>E27/SUM($E$4:$E$32)</f>
        <v/>
      </c>
      <c r="H27" t="inlineStr">
        <is>
          <t>NEW</t>
        </is>
      </c>
    </row>
    <row r="28">
      <c r="A28" t="inlineStr">
        <is>
          <t>LBRT</t>
        </is>
      </c>
      <c r="B28" t="inlineStr">
        <is>
          <t>LIBERTY ENERGY INC</t>
        </is>
      </c>
      <c r="C28" t="inlineStr">
        <is>
          <t>SH</t>
        </is>
      </c>
      <c r="D28" t="n">
        <v>567200</v>
      </c>
      <c r="E28" t="n">
        <v>10470512</v>
      </c>
      <c r="G28" s="6">
        <f>E28/SUM($E$4:$E$32)</f>
        <v/>
      </c>
      <c r="H28" t="inlineStr">
        <is>
          <t>NEW</t>
        </is>
      </c>
    </row>
    <row r="29">
      <c r="A29" t="inlineStr">
        <is>
          <t>INFY</t>
        </is>
      </c>
      <c r="B29" t="inlineStr">
        <is>
          <t>INFOSYS LTD</t>
        </is>
      </c>
      <c r="C29" t="inlineStr">
        <is>
          <t>Put</t>
        </is>
      </c>
      <c r="D29" t="n">
        <v>500000</v>
      </c>
      <c r="E29" t="n">
        <v>8910000</v>
      </c>
      <c r="G29" s="6">
        <f>E29/SUM($E$4:$E$32)</f>
        <v/>
      </c>
      <c r="H29" t="inlineStr">
        <is>
          <t>NEW</t>
        </is>
      </c>
    </row>
    <row r="30">
      <c r="A30" t="inlineStr">
        <is>
          <t>PUMP</t>
        </is>
      </c>
      <c r="B30" t="inlineStr">
        <is>
          <t>PROPETRO HLDG CORP</t>
        </is>
      </c>
      <c r="C30" t="inlineStr">
        <is>
          <t>SH</t>
        </is>
      </c>
      <c r="D30" t="n">
        <v>910300</v>
      </c>
      <c r="E30" t="n">
        <v>8656953</v>
      </c>
      <c r="G30" s="6">
        <f>E30/SUM($E$4:$E$32)</f>
        <v/>
      </c>
      <c r="H30" t="inlineStr">
        <is>
          <t>NEW</t>
        </is>
      </c>
    </row>
    <row r="31">
      <c r="A31" t="inlineStr">
        <is>
          <t>BW</t>
        </is>
      </c>
      <c r="B31" t="inlineStr">
        <is>
          <t>BABCOCK &amp; WILCOX ENTERPRISES</t>
        </is>
      </c>
      <c r="C31" t="inlineStr">
        <is>
          <t>SH</t>
        </is>
      </c>
      <c r="D31" t="n">
        <v>1353900</v>
      </c>
      <c r="E31" t="n">
        <v>8583726</v>
      </c>
      <c r="G31" s="6">
        <f>E31/SUM($E$4:$E$32)</f>
        <v/>
      </c>
      <c r="H31" t="inlineStr">
        <is>
          <t>NEW</t>
        </is>
      </c>
    </row>
    <row r="32">
      <c r="A32" t="inlineStr">
        <is>
          <t>INTC</t>
        </is>
      </c>
      <c r="B32" t="inlineStr">
        <is>
          <t>INTEL CORP</t>
        </is>
      </c>
      <c r="C32" t="inlineStr">
        <is>
          <t>SH</t>
        </is>
      </c>
      <c r="D32" t="n">
        <v>1</v>
      </c>
      <c r="E32" t="n">
        <v>37</v>
      </c>
      <c r="G32" s="6">
        <f>E32/SUM($E$4:$E$32)</f>
        <v/>
      </c>
      <c r="H32" t="inlineStr">
        <is>
          <t>NEW</t>
        </is>
      </c>
    </row>
    <row r="34">
      <c r="A34" s="5" t="inlineStr">
        <is>
          <t>EXITED (held prior Q, gone now) — value shown is prior-Q value</t>
        </is>
      </c>
    </row>
    <row r="35">
      <c r="A35" t="inlineStr">
        <is>
          <t>NVDA</t>
        </is>
      </c>
      <c r="B35" t="inlineStr">
        <is>
          <t>NVIDIA CORPORATION</t>
        </is>
      </c>
      <c r="C35" t="inlineStr">
        <is>
          <t>Put</t>
        </is>
      </c>
      <c r="E35" t="n">
        <v>298528000</v>
      </c>
      <c r="H35" t="inlineStr">
        <is>
          <t>EXIT</t>
        </is>
      </c>
    </row>
    <row r="36">
      <c r="A36" t="inlineStr">
        <is>
          <t>VST</t>
        </is>
      </c>
      <c r="B36" t="inlineStr">
        <is>
          <t>VISTRA CORP</t>
        </is>
      </c>
      <c r="C36" t="inlineStr">
        <is>
          <t>SH</t>
        </is>
      </c>
      <c r="E36" t="n">
        <v>252327327</v>
      </c>
      <c r="H36" t="inlineStr">
        <is>
          <t>EXIT</t>
        </is>
      </c>
    </row>
    <row r="37">
      <c r="A37" t="inlineStr">
        <is>
          <t>SMH(F106)</t>
        </is>
      </c>
      <c r="B37" t="inlineStr">
        <is>
          <t>VANECK ETF TRUST</t>
        </is>
      </c>
      <c r="C37" t="inlineStr">
        <is>
          <t>Put</t>
        </is>
      </c>
      <c r="E37" t="n">
        <v>195816000</v>
      </c>
      <c r="H37" t="inlineStr">
        <is>
          <t>EXIT</t>
        </is>
      </c>
    </row>
    <row r="38">
      <c r="A38" t="inlineStr">
        <is>
          <t>CRWV</t>
        </is>
      </c>
      <c r="B38" t="inlineStr">
        <is>
          <t>COREWEAVE INC</t>
        </is>
      </c>
      <c r="C38" t="inlineStr">
        <is>
          <t>Put</t>
        </is>
      </c>
      <c r="E38" t="n">
        <v>191590000</v>
      </c>
      <c r="H38" t="inlineStr">
        <is>
          <t>EXIT</t>
        </is>
      </c>
    </row>
    <row r="39">
      <c r="A39" t="inlineStr">
        <is>
          <t>GLXY</t>
        </is>
      </c>
      <c r="B39" t="inlineStr">
        <is>
          <t>GALAXY DIGITAL INC.</t>
        </is>
      </c>
      <c r="C39" t="inlineStr">
        <is>
          <t>SH</t>
        </is>
      </c>
      <c r="E39" t="n">
        <v>92554875</v>
      </c>
      <c r="H39" t="inlineStr">
        <is>
          <t>EXIT</t>
        </is>
      </c>
    </row>
    <row r="40">
      <c r="A40" t="inlineStr">
        <is>
          <t>AVGO</t>
        </is>
      </c>
      <c r="B40" t="inlineStr">
        <is>
          <t>BROADCOM INC</t>
        </is>
      </c>
      <c r="C40" t="inlineStr">
        <is>
          <t>Put</t>
        </is>
      </c>
      <c r="E40" t="n">
        <v>75879300</v>
      </c>
      <c r="H40" t="inlineStr">
        <is>
          <t>EXIT</t>
        </is>
      </c>
    </row>
    <row r="41">
      <c r="A41" t="inlineStr">
        <is>
          <t>TSM</t>
        </is>
      </c>
      <c r="B41" t="inlineStr">
        <is>
          <t>TAIWAN SEMICONDUCTOR MFG LTD</t>
        </is>
      </c>
      <c r="C41" t="inlineStr">
        <is>
          <t>Put</t>
        </is>
      </c>
      <c r="E41" t="n">
        <v>75408300</v>
      </c>
      <c r="H41" t="inlineStr">
        <is>
          <t>EXIT</t>
        </is>
      </c>
    </row>
    <row r="42">
      <c r="A42" t="inlineStr">
        <is>
          <t>CIFR-convert</t>
        </is>
      </c>
      <c r="B42" t="inlineStr">
        <is>
          <t>CIPHER MINING INC</t>
        </is>
      </c>
      <c r="C42" t="inlineStr">
        <is>
          <t>SH</t>
        </is>
      </c>
      <c r="E42" t="n">
        <v>72272807</v>
      </c>
      <c r="H42" t="inlineStr">
        <is>
          <t>EXIT</t>
        </is>
      </c>
    </row>
    <row r="43">
      <c r="A43" t="inlineStr">
        <is>
          <t>LITE-convert</t>
        </is>
      </c>
      <c r="B43" t="inlineStr">
        <is>
          <t>LUMENTUM HLDGS INC</t>
        </is>
      </c>
      <c r="C43" t="inlineStr">
        <is>
          <t>SH</t>
        </is>
      </c>
      <c r="E43" t="n">
        <v>67947696</v>
      </c>
      <c r="H43" t="inlineStr">
        <is>
          <t>EXIT</t>
        </is>
      </c>
    </row>
    <row r="44">
      <c r="A44" t="inlineStr">
        <is>
          <t>MU</t>
        </is>
      </c>
      <c r="B44" t="inlineStr">
        <is>
          <t>MICRON TECHNOLOGY INC</t>
        </is>
      </c>
      <c r="C44" t="inlineStr">
        <is>
          <t>Put</t>
        </is>
      </c>
      <c r="E44" t="n">
        <v>50196000</v>
      </c>
      <c r="H44" t="inlineStr">
        <is>
          <t>EXIT</t>
        </is>
      </c>
    </row>
    <row r="45">
      <c r="A45" t="inlineStr">
        <is>
          <t>BE-convert</t>
        </is>
      </c>
      <c r="B45" t="inlineStr">
        <is>
          <t>BLOOM ENERGY CORP</t>
        </is>
      </c>
      <c r="C45" t="inlineStr">
        <is>
          <t>SH</t>
        </is>
      </c>
      <c r="E45" t="n">
        <v>43890344</v>
      </c>
      <c r="H45" t="inlineStr">
        <is>
          <t>EXIT</t>
        </is>
      </c>
    </row>
    <row r="46">
      <c r="A46" t="inlineStr">
        <is>
          <t>WDC-convert</t>
        </is>
      </c>
      <c r="B46" t="inlineStr">
        <is>
          <t>WESTERN DIGITAL CORP</t>
        </is>
      </c>
      <c r="C46" t="inlineStr">
        <is>
          <t>SH</t>
        </is>
      </c>
      <c r="E46" t="n">
        <v>18347689</v>
      </c>
      <c r="H46" t="inlineStr">
        <is>
          <t>EXIT</t>
        </is>
      </c>
    </row>
    <row r="47">
      <c r="A47" t="inlineStr">
        <is>
          <t>BE-convert</t>
        </is>
      </c>
      <c r="B47" t="inlineStr">
        <is>
          <t>BLOOM ENERGY CORP</t>
        </is>
      </c>
      <c r="C47" t="inlineStr">
        <is>
          <t>Call</t>
        </is>
      </c>
      <c r="E47" t="n">
        <v>12330306</v>
      </c>
      <c r="H47" t="inlineStr">
        <is>
          <t>EXIT</t>
        </is>
      </c>
    </row>
    <row r="48">
      <c r="A48" t="inlineStr">
        <is>
          <t>STX</t>
        </is>
      </c>
      <c r="B48" t="inlineStr">
        <is>
          <t>SEAGATE TECHNOLOGY HLDNGS PL</t>
        </is>
      </c>
      <c r="C48" t="inlineStr">
        <is>
          <t>SH</t>
        </is>
      </c>
      <c r="E48" t="n">
        <v>11464726</v>
      </c>
      <c r="H48" t="inlineStr">
        <is>
          <t>EXIT</t>
        </is>
      </c>
    </row>
    <row r="50">
      <c r="A50" s="5" t="inlineStr">
        <is>
          <t>TOP ADDS / TRIMS (continuing positions, by |Δ$ value|; Δ$ in col E, Δshares % in col F)</t>
        </is>
      </c>
    </row>
    <row r="51">
      <c r="A51" t="inlineStr">
        <is>
          <t>CRWV</t>
        </is>
      </c>
      <c r="C51" t="inlineStr">
        <is>
          <t>Call</t>
        </is>
      </c>
      <c r="D51" t="n">
        <v>8500000</v>
      </c>
      <c r="E51" t="n">
        <v>457687020</v>
      </c>
      <c r="F51" s="7" t="n">
        <v>3.67249945992655</v>
      </c>
    </row>
    <row r="52">
      <c r="A52" t="inlineStr">
        <is>
          <t>SNDK</t>
        </is>
      </c>
      <c r="C52" t="inlineStr">
        <is>
          <t>SH</t>
        </is>
      </c>
      <c r="D52" t="n">
        <v>939200</v>
      </c>
      <c r="E52" t="n">
        <v>237342996</v>
      </c>
      <c r="F52" s="7" t="n">
        <v>8.166956521739131</v>
      </c>
    </row>
    <row r="53">
      <c r="A53" t="inlineStr">
        <is>
          <t>APLD</t>
        </is>
      </c>
      <c r="C53" t="inlineStr">
        <is>
          <t>SH</t>
        </is>
      </c>
      <c r="D53" t="n">
        <v>5274905</v>
      </c>
      <c r="E53" t="n">
        <v>138922035</v>
      </c>
      <c r="F53" s="7" t="n">
        <v>0.8698499626081457</v>
      </c>
    </row>
    <row r="54">
      <c r="A54" t="inlineStr">
        <is>
          <t>CRWV</t>
        </is>
      </c>
      <c r="C54" t="inlineStr">
        <is>
          <t>SH</t>
        </is>
      </c>
      <c r="D54" t="n">
        <v>1983356</v>
      </c>
      <c r="E54" t="n">
        <v>-126464227</v>
      </c>
      <c r="F54" s="7" t="n">
        <v>0.481928612527992</v>
      </c>
    </row>
    <row r="55">
      <c r="A55" t="inlineStr">
        <is>
          <t>COHR</t>
        </is>
      </c>
      <c r="C55" t="inlineStr">
        <is>
          <t>SH</t>
        </is>
      </c>
      <c r="D55" t="n">
        <v>325900</v>
      </c>
      <c r="E55" t="n">
        <v>72017003</v>
      </c>
      <c r="F55" s="7" t="n">
        <v>2.110751295336788</v>
      </c>
    </row>
    <row r="56">
      <c r="A56" t="inlineStr">
        <is>
          <t>EQT</t>
        </is>
      </c>
      <c r="C56" t="inlineStr">
        <is>
          <t>SH</t>
        </is>
      </c>
      <c r="D56" t="n">
        <v>1264839</v>
      </c>
      <c r="E56" t="n">
        <v>66784940</v>
      </c>
      <c r="F56" s="7" t="n">
        <v>1.038979419838901</v>
      </c>
    </row>
    <row r="57">
      <c r="A57" t="inlineStr">
        <is>
          <t>CORZ</t>
        </is>
      </c>
      <c r="C57" t="inlineStr">
        <is>
          <t>SH</t>
        </is>
      </c>
      <c r="D57" t="n">
        <v>8575944</v>
      </c>
      <c r="E57" t="n">
        <v>56655540</v>
      </c>
      <c r="F57" s="7" t="n">
        <v>0.4249612027114842</v>
      </c>
    </row>
    <row r="58">
      <c r="A58" t="inlineStr">
        <is>
          <t>TSEM</t>
        </is>
      </c>
      <c r="C58" t="inlineStr">
        <is>
          <t>SH</t>
        </is>
      </c>
      <c r="D58" t="n">
        <v>252404</v>
      </c>
      <c r="E58" t="n">
        <v>50870750</v>
      </c>
      <c r="F58" s="7" t="n">
        <v>0.5363450913727157</v>
      </c>
    </row>
    <row r="59">
      <c r="A59" t="inlineStr">
        <is>
          <t>SEI</t>
        </is>
      </c>
      <c r="C59" t="inlineStr">
        <is>
          <t>SH</t>
        </is>
      </c>
      <c r="D59" t="n">
        <v>716200</v>
      </c>
      <c r="E59" t="n">
        <v>39825514</v>
      </c>
      <c r="F59" s="7" t="n">
        <v>0.6226201860384247</v>
      </c>
    </row>
    <row r="60">
      <c r="A60" t="inlineStr">
        <is>
          <t>HUT</t>
        </is>
      </c>
      <c r="C60" t="inlineStr">
        <is>
          <t>SH</t>
        </is>
      </c>
      <c r="D60" t="n">
        <v>261200</v>
      </c>
      <c r="E60" t="n">
        <v>18666398</v>
      </c>
      <c r="F60" s="7" t="n">
        <v>0.4360601001669449</v>
      </c>
    </row>
    <row r="61">
      <c r="A61" t="inlineStr">
        <is>
          <t>IREN</t>
        </is>
      </c>
      <c r="C61" t="inlineStr">
        <is>
          <t>SH</t>
        </is>
      </c>
      <c r="D61" t="n">
        <v>1480200</v>
      </c>
      <c r="E61" t="n">
        <v>-10231903</v>
      </c>
      <c r="F61" s="7" t="n">
        <v>0.2050018967038072</v>
      </c>
    </row>
    <row r="62">
      <c r="A62" t="inlineStr">
        <is>
          <t>RIOT</t>
        </is>
      </c>
      <c r="C62" t="inlineStr">
        <is>
          <t>SH</t>
        </is>
      </c>
      <c r="D62" t="n">
        <v>2575001</v>
      </c>
      <c r="E62" t="n">
        <v>9775697</v>
      </c>
      <c r="F62" s="7" t="n">
        <v>0.716731627113766</v>
      </c>
    </row>
    <row r="63">
      <c r="A63" t="inlineStr">
        <is>
          <t>BTDR</t>
        </is>
      </c>
      <c r="C63" t="inlineStr">
        <is>
          <t>SH</t>
        </is>
      </c>
      <c r="D63" t="n">
        <v>858400</v>
      </c>
      <c r="E63" t="n">
        <v>4156616</v>
      </c>
      <c r="F63" s="7" t="n">
        <v>0.923407917383821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5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Situational Awareness LP (CIK 0002045724) — filed 2026-05-18, period-end holdings. Values in $ (full dollars; option rows = notional value of underlying, NOT premium). Source: https://www.sec.gov/Archives/edgar/data/2045724/000204572426000008/salp13fq1xml.xml</t>
        </is>
      </c>
    </row>
    <row r="2"/>
    <row r="3">
      <c r="A3" s="5" t="inlineStr">
        <is>
          <t>Ticker</t>
        </is>
      </c>
      <c r="B3" s="5" t="inlineStr">
        <is>
          <t>Issuer</t>
        </is>
      </c>
      <c r="C3" s="5" t="inlineStr">
        <is>
          <t>Type</t>
        </is>
      </c>
      <c r="D3" s="5" t="inlineStr">
        <is>
          <t>Shares</t>
        </is>
      </c>
      <c r="E3" s="5" t="inlineStr">
        <is>
          <t>Value ($)</t>
        </is>
      </c>
      <c r="F3" s="5" t="inlineStr">
        <is>
          <t>Shares Δ vs prior Q</t>
        </is>
      </c>
      <c r="G3" s="5" t="inlineStr">
        <is>
          <t>% of portfolio</t>
        </is>
      </c>
      <c r="H3" s="5" t="inlineStr">
        <is>
          <t>Status</t>
        </is>
      </c>
    </row>
    <row r="4">
      <c r="A4" t="inlineStr">
        <is>
          <t>SMH</t>
        </is>
      </c>
      <c r="B4" t="inlineStr">
        <is>
          <t>VANECK ETF TRUST</t>
        </is>
      </c>
      <c r="C4" t="inlineStr">
        <is>
          <t>Put</t>
        </is>
      </c>
      <c r="D4" t="n">
        <v>5327900</v>
      </c>
      <c r="E4" t="n">
        <v>2042716860</v>
      </c>
      <c r="G4" s="6">
        <f>E4/SUM($E$4:$E$45)</f>
        <v/>
      </c>
      <c r="H4" t="inlineStr">
        <is>
          <t>NEW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Put</t>
        </is>
      </c>
      <c r="D5" t="n">
        <v>8992300</v>
      </c>
      <c r="E5" t="n">
        <v>1568257120</v>
      </c>
      <c r="G5" s="6">
        <f>E5/SUM($E$4:$E$45)</f>
        <v/>
      </c>
      <c r="H5" t="inlineStr">
        <is>
          <t>NEW</t>
        </is>
      </c>
    </row>
    <row r="6">
      <c r="A6" t="inlineStr">
        <is>
          <t>ORCL</t>
        </is>
      </c>
      <c r="B6" t="inlineStr">
        <is>
          <t>ORACLE CORP</t>
        </is>
      </c>
      <c r="C6" t="inlineStr">
        <is>
          <t>Put</t>
        </is>
      </c>
      <c r="D6" t="n">
        <v>7293000</v>
      </c>
      <c r="E6" t="n">
        <v>1072873230</v>
      </c>
      <c r="G6" s="6">
        <f>E6/SUM($E$4:$E$45)</f>
        <v/>
      </c>
      <c r="H6" t="inlineStr">
        <is>
          <t>NEW</t>
        </is>
      </c>
    </row>
    <row r="7">
      <c r="A7" t="inlineStr">
        <is>
          <t>AVGO</t>
        </is>
      </c>
      <c r="B7" t="inlineStr">
        <is>
          <t>BROADCOM INC</t>
        </is>
      </c>
      <c r="C7" t="inlineStr">
        <is>
          <t>Put</t>
        </is>
      </c>
      <c r="D7" t="n">
        <v>3251100</v>
      </c>
      <c r="E7" t="n">
        <v>1006247961</v>
      </c>
      <c r="G7" s="6">
        <f>E7/SUM($E$4:$E$45)</f>
        <v/>
      </c>
      <c r="H7" t="inlineStr">
        <is>
          <t>NEW</t>
        </is>
      </c>
    </row>
    <row r="8">
      <c r="A8" t="inlineStr">
        <is>
          <t>AMD</t>
        </is>
      </c>
      <c r="B8" t="inlineStr">
        <is>
          <t>ADVANCED MICRO DEVICES INC</t>
        </is>
      </c>
      <c r="C8" t="inlineStr">
        <is>
          <t>Put</t>
        </is>
      </c>
      <c r="D8" t="n">
        <v>4764100</v>
      </c>
      <c r="E8" t="n">
        <v>969160863</v>
      </c>
      <c r="G8" s="6">
        <f>E8/SUM($E$4:$E$45)</f>
        <v/>
      </c>
      <c r="H8" t="inlineStr">
        <is>
          <t>NEW</t>
        </is>
      </c>
    </row>
    <row r="9">
      <c r="A9" t="inlineStr">
        <is>
          <t>BE</t>
        </is>
      </c>
      <c r="B9" t="inlineStr">
        <is>
          <t>BLOOM ENERGY CORP</t>
        </is>
      </c>
      <c r="C9" t="inlineStr">
        <is>
          <t>SH</t>
        </is>
      </c>
      <c r="D9" t="n">
        <v>6485408</v>
      </c>
      <c r="E9" t="n">
        <v>878707930</v>
      </c>
      <c r="F9" s="7">
        <f>(6485408-10076022)/10076022</f>
        <v/>
      </c>
      <c r="G9" s="6">
        <f>E9/SUM($E$4:$E$45)</f>
        <v/>
      </c>
    </row>
    <row r="10">
      <c r="A10" t="inlineStr">
        <is>
          <t>SNDK</t>
        </is>
      </c>
      <c r="B10" t="inlineStr">
        <is>
          <t>SANDISK CORP</t>
        </is>
      </c>
      <c r="C10" t="inlineStr">
        <is>
          <t>SH</t>
        </is>
      </c>
      <c r="D10" t="n">
        <v>1140119</v>
      </c>
      <c r="E10" t="n">
        <v>724363205</v>
      </c>
      <c r="F10" s="7">
        <f>(1140119-1054200)/1054200</f>
        <v/>
      </c>
      <c r="G10" s="6">
        <f>E10/SUM($E$4:$E$45)</f>
        <v/>
      </c>
    </row>
    <row r="11">
      <c r="A11" t="inlineStr">
        <is>
          <t>MU</t>
        </is>
      </c>
      <c r="B11" t="inlineStr">
        <is>
          <t>MICRON TECHNOLOGY INC</t>
        </is>
      </c>
      <c r="C11" t="inlineStr">
        <is>
          <t>Put</t>
        </is>
      </c>
      <c r="D11" t="n">
        <v>1727700</v>
      </c>
      <c r="E11" t="n">
        <v>583686168</v>
      </c>
      <c r="G11" s="6">
        <f>E11/SUM($E$4:$E$45)</f>
        <v/>
      </c>
      <c r="H11" t="inlineStr">
        <is>
          <t>NEW</t>
        </is>
      </c>
    </row>
    <row r="12">
      <c r="A12" t="inlineStr">
        <is>
          <t>CRWV</t>
        </is>
      </c>
      <c r="B12" t="inlineStr">
        <is>
          <t>COREWEAVE INC</t>
        </is>
      </c>
      <c r="C12" t="inlineStr">
        <is>
          <t>SH</t>
        </is>
      </c>
      <c r="D12" t="n">
        <v>7177919</v>
      </c>
      <c r="E12" t="n">
        <v>556073385</v>
      </c>
      <c r="F12" s="7">
        <f>(7177919-6098812)/6098812</f>
        <v/>
      </c>
      <c r="G12" s="6">
        <f>E12/SUM($E$4:$E$45)</f>
        <v/>
      </c>
    </row>
    <row r="13">
      <c r="A13" t="inlineStr">
        <is>
          <t>TSM</t>
        </is>
      </c>
      <c r="B13" t="inlineStr">
        <is>
          <t>TAIWAN SEMICONDUCTOR MANUFAC</t>
        </is>
      </c>
      <c r="C13" t="inlineStr">
        <is>
          <t>Put</t>
        </is>
      </c>
      <c r="D13" t="n">
        <v>1583400</v>
      </c>
      <c r="E13" t="n">
        <v>535110030</v>
      </c>
      <c r="G13" s="6">
        <f>E13/SUM($E$4:$E$45)</f>
        <v/>
      </c>
      <c r="H13" t="inlineStr">
        <is>
          <t>NEW</t>
        </is>
      </c>
    </row>
    <row r="14">
      <c r="A14" t="inlineStr">
        <is>
          <t>ASML</t>
        </is>
      </c>
      <c r="B14" t="inlineStr">
        <is>
          <t>ASML HLDG NV N Y REGISTRY</t>
        </is>
      </c>
      <c r="C14" t="inlineStr">
        <is>
          <t>Put</t>
        </is>
      </c>
      <c r="D14" t="n">
        <v>374100</v>
      </c>
      <c r="E14" t="n">
        <v>494122503</v>
      </c>
      <c r="G14" s="6">
        <f>E14/SUM($E$4:$E$45)</f>
        <v/>
      </c>
      <c r="H14" t="inlineStr">
        <is>
          <t>NEW</t>
        </is>
      </c>
    </row>
    <row r="15">
      <c r="A15" t="inlineStr">
        <is>
          <t>MU</t>
        </is>
      </c>
      <c r="B15" t="inlineStr">
        <is>
          <t>MICRON TECHNOLOGY INC</t>
        </is>
      </c>
      <c r="C15" t="inlineStr">
        <is>
          <t>Call</t>
        </is>
      </c>
      <c r="D15" t="n">
        <v>1250000</v>
      </c>
      <c r="E15" t="n">
        <v>422300000</v>
      </c>
      <c r="G15" s="6">
        <f>E15/SUM($E$4:$E$45)</f>
        <v/>
      </c>
      <c r="H15" t="inlineStr">
        <is>
          <t>NEW</t>
        </is>
      </c>
    </row>
    <row r="16">
      <c r="A16" t="inlineStr">
        <is>
          <t>IREN</t>
        </is>
      </c>
      <c r="B16" t="inlineStr">
        <is>
          <t>IREN LIMITED</t>
        </is>
      </c>
      <c r="C16" t="inlineStr">
        <is>
          <t>SH</t>
        </is>
      </c>
      <c r="D16" t="n">
        <v>11698835</v>
      </c>
      <c r="E16" t="n">
        <v>401036064</v>
      </c>
      <c r="F16" s="7">
        <f>(11698835-8700621)/8700621</f>
        <v/>
      </c>
      <c r="G16" s="6">
        <f>E16/SUM($E$4:$E$45)</f>
        <v/>
      </c>
    </row>
    <row r="17">
      <c r="A17" t="inlineStr">
        <is>
          <t>CORZ</t>
        </is>
      </c>
      <c r="B17" t="inlineStr">
        <is>
          <t>CORE SCIENTIFIC INC NEW</t>
        </is>
      </c>
      <c r="C17" t="inlineStr">
        <is>
          <t>SH</t>
        </is>
      </c>
      <c r="D17" t="n">
        <v>26008473</v>
      </c>
      <c r="E17" t="n">
        <v>389086756</v>
      </c>
      <c r="F17" s="7">
        <f>(26008473-28756478)/28756478</f>
        <v/>
      </c>
      <c r="G17" s="6">
        <f>E17/SUM($E$4:$E$45)</f>
        <v/>
      </c>
    </row>
    <row r="18">
      <c r="A18" t="inlineStr">
        <is>
          <t>SNDK</t>
        </is>
      </c>
      <c r="B18" t="inlineStr">
        <is>
          <t>SANDISK CORP</t>
        </is>
      </c>
      <c r="C18" t="inlineStr">
        <is>
          <t>Call</t>
        </is>
      </c>
      <c r="D18" t="n">
        <v>611900</v>
      </c>
      <c r="E18" t="n">
        <v>388764546</v>
      </c>
      <c r="G18" s="6">
        <f>E18/SUM($E$4:$E$45)</f>
        <v/>
      </c>
      <c r="H18" t="inlineStr">
        <is>
          <t>NEW</t>
        </is>
      </c>
    </row>
    <row r="19">
      <c r="A19" t="inlineStr">
        <is>
          <t>TSM</t>
        </is>
      </c>
      <c r="B19" t="inlineStr">
        <is>
          <t>TAIWAN SEMICONDUCTOR MANUFAC</t>
        </is>
      </c>
      <c r="C19" t="inlineStr">
        <is>
          <t>Call</t>
        </is>
      </c>
      <c r="D19" t="n">
        <v>1050000</v>
      </c>
      <c r="E19" t="n">
        <v>354847500</v>
      </c>
      <c r="G19" s="6">
        <f>E19/SUM($E$4:$E$45)</f>
        <v/>
      </c>
      <c r="H19" t="inlineStr">
        <is>
          <t>NEW</t>
        </is>
      </c>
    </row>
    <row r="20">
      <c r="A20" t="inlineStr">
        <is>
          <t>APLD</t>
        </is>
      </c>
      <c r="B20" t="inlineStr">
        <is>
          <t>APPLIED DIGITAL CORP</t>
        </is>
      </c>
      <c r="C20" t="inlineStr">
        <is>
          <t>SH</t>
        </is>
      </c>
      <c r="D20" t="n">
        <v>13478438</v>
      </c>
      <c r="E20" t="n">
        <v>319978118</v>
      </c>
      <c r="F20" s="7">
        <f>(13478438-11339060)/11339060</f>
        <v/>
      </c>
      <c r="G20" s="6">
        <f>E20/SUM($E$4:$E$45)</f>
        <v/>
      </c>
    </row>
    <row r="21">
      <c r="A21" t="inlineStr">
        <is>
          <t>INTC</t>
        </is>
      </c>
      <c r="B21" t="inlineStr">
        <is>
          <t>INTEL CORP</t>
        </is>
      </c>
      <c r="C21" t="inlineStr">
        <is>
          <t>Put</t>
        </is>
      </c>
      <c r="D21" t="n">
        <v>3605400</v>
      </c>
      <c r="E21" t="n">
        <v>159106302</v>
      </c>
      <c r="G21" s="6">
        <f>E21/SUM($E$4:$E$45)</f>
        <v/>
      </c>
      <c r="H21" t="inlineStr">
        <is>
          <t>NEW</t>
        </is>
      </c>
    </row>
    <row r="22">
      <c r="A22" t="inlineStr">
        <is>
          <t>RIOT</t>
        </is>
      </c>
      <c r="B22" t="inlineStr">
        <is>
          <t>RIOT PLATFORMS INC</t>
        </is>
      </c>
      <c r="C22" t="inlineStr">
        <is>
          <t>SH</t>
        </is>
      </c>
      <c r="D22" t="n">
        <v>11502137</v>
      </c>
      <c r="E22" t="n">
        <v>142166413</v>
      </c>
      <c r="F22" s="7">
        <f>(11502137-6167700)/6167700</f>
        <v/>
      </c>
      <c r="G22" s="6">
        <f>E22/SUM($E$4:$E$45)</f>
        <v/>
      </c>
    </row>
    <row r="23">
      <c r="A23" t="inlineStr">
        <is>
          <t>CRWV</t>
        </is>
      </c>
      <c r="B23" t="inlineStr">
        <is>
          <t>COREWEAVE INC</t>
        </is>
      </c>
      <c r="C23" t="inlineStr">
        <is>
          <t>Call</t>
        </is>
      </c>
      <c r="D23" t="n">
        <v>1814500</v>
      </c>
      <c r="E23" t="n">
        <v>140569315</v>
      </c>
      <c r="F23" s="7">
        <f>(1814500-10814500)/10814500</f>
        <v/>
      </c>
      <c r="G23" s="6">
        <f>E23/SUM($E$4:$E$45)</f>
        <v/>
      </c>
    </row>
    <row r="24">
      <c r="A24" t="inlineStr">
        <is>
          <t>CLSK</t>
        </is>
      </c>
      <c r="B24" t="inlineStr">
        <is>
          <t>CLEANSPARK INC</t>
        </is>
      </c>
      <c r="C24" t="inlineStr">
        <is>
          <t>SH</t>
        </is>
      </c>
      <c r="D24" t="n">
        <v>12276139</v>
      </c>
      <c r="E24" t="n">
        <v>104469943</v>
      </c>
      <c r="F24" s="7">
        <f>(12276139-1640400)/1640400</f>
        <v/>
      </c>
      <c r="G24" s="6">
        <f>E24/SUM($E$4:$E$45)</f>
        <v/>
      </c>
    </row>
    <row r="25">
      <c r="A25" t="inlineStr">
        <is>
          <t>SEI</t>
        </is>
      </c>
      <c r="B25" t="inlineStr">
        <is>
          <t>SOLARIS ENERGY INFRAS INC</t>
        </is>
      </c>
      <c r="C25" t="inlineStr">
        <is>
          <t>SH</t>
        </is>
      </c>
      <c r="D25" t="n">
        <v>1105551</v>
      </c>
      <c r="E25" t="n">
        <v>62474687</v>
      </c>
      <c r="F25" s="7">
        <f>(1105551-1866500)/1866500</f>
        <v/>
      </c>
      <c r="G25" s="6">
        <f>E25/SUM($E$4:$E$45)</f>
        <v/>
      </c>
    </row>
    <row r="26">
      <c r="A26" t="inlineStr">
        <is>
          <t>BE</t>
        </is>
      </c>
      <c r="B26" t="inlineStr">
        <is>
          <t>BLOOM ENERGY CORP</t>
        </is>
      </c>
      <c r="C26" t="inlineStr">
        <is>
          <t>Call</t>
        </is>
      </c>
      <c r="D26" t="n">
        <v>408500</v>
      </c>
      <c r="E26" t="n">
        <v>55347665</v>
      </c>
      <c r="F26" s="7">
        <f>(408500-408500)/408500</f>
        <v/>
      </c>
      <c r="G26" s="6">
        <f>E26/SUM($E$4:$E$45)</f>
        <v/>
      </c>
    </row>
    <row r="27">
      <c r="A27" t="inlineStr">
        <is>
          <t>TE</t>
        </is>
      </c>
      <c r="B27" t="inlineStr">
        <is>
          <t>T1 ENERGY INC</t>
        </is>
      </c>
      <c r="C27" t="inlineStr">
        <is>
          <t>SH</t>
        </is>
      </c>
      <c r="D27" t="n">
        <v>10000000</v>
      </c>
      <c r="E27" t="n">
        <v>43900000</v>
      </c>
      <c r="G27" s="6">
        <f>E27/SUM($E$4:$E$45)</f>
        <v/>
      </c>
      <c r="H27" t="inlineStr">
        <is>
          <t>NEW</t>
        </is>
      </c>
    </row>
    <row r="28">
      <c r="A28" t="inlineStr">
        <is>
          <t>KEEL</t>
        </is>
      </c>
      <c r="B28" t="inlineStr">
        <is>
          <t>BITFARMS LTD</t>
        </is>
      </c>
      <c r="C28" t="inlineStr">
        <is>
          <t>SH</t>
        </is>
      </c>
      <c r="D28" t="n">
        <v>19875840</v>
      </c>
      <c r="E28" t="n">
        <v>38757888</v>
      </c>
      <c r="F28" s="7">
        <f>(19875840-6897100)/6897100</f>
        <v/>
      </c>
      <c r="G28" s="6">
        <f>E28/SUM($E$4:$E$45)</f>
        <v/>
      </c>
    </row>
    <row r="29">
      <c r="A29" t="inlineStr">
        <is>
          <t>BTDR</t>
        </is>
      </c>
      <c r="B29" t="inlineStr">
        <is>
          <t>BITDEER TECHNOLOGIES GROUP</t>
        </is>
      </c>
      <c r="C29" t="inlineStr">
        <is>
          <t>SH</t>
        </is>
      </c>
      <c r="D29" t="n">
        <v>3439450</v>
      </c>
      <c r="E29" t="n">
        <v>29751243</v>
      </c>
      <c r="F29" s="7">
        <f>(3439450-1788000)/1788000</f>
        <v/>
      </c>
      <c r="G29" s="6">
        <f>E29/SUM($E$4:$E$45)</f>
        <v/>
      </c>
    </row>
    <row r="30">
      <c r="A30" t="inlineStr">
        <is>
          <t>PSIX</t>
        </is>
      </c>
      <c r="B30" t="inlineStr">
        <is>
          <t>POWER SOLUTIONS INTL INC</t>
        </is>
      </c>
      <c r="C30" t="inlineStr">
        <is>
          <t>SH</t>
        </is>
      </c>
      <c r="D30" t="n">
        <v>432300</v>
      </c>
      <c r="E30" t="n">
        <v>26318424</v>
      </c>
      <c r="F30" s="7">
        <f>(432300-432300)/432300</f>
        <v/>
      </c>
      <c r="G30" s="6">
        <f>E30/SUM($E$4:$E$45)</f>
        <v/>
      </c>
    </row>
    <row r="31">
      <c r="A31" t="inlineStr">
        <is>
          <t>GLW</t>
        </is>
      </c>
      <c r="B31" t="inlineStr">
        <is>
          <t>CORNING INC</t>
        </is>
      </c>
      <c r="C31" t="inlineStr">
        <is>
          <t>Put</t>
        </is>
      </c>
      <c r="D31" t="n">
        <v>154600</v>
      </c>
      <c r="E31" t="n">
        <v>21020962</v>
      </c>
      <c r="G31" s="6">
        <f>E31/SUM($E$4:$E$45)</f>
        <v/>
      </c>
      <c r="H31" t="inlineStr">
        <is>
          <t>NEW</t>
        </is>
      </c>
    </row>
    <row r="32">
      <c r="A32" t="inlineStr">
        <is>
          <t>WYFI</t>
        </is>
      </c>
      <c r="B32" t="inlineStr">
        <is>
          <t>WHITEFIBER INC</t>
        </is>
      </c>
      <c r="C32" t="inlineStr">
        <is>
          <t>SH</t>
        </is>
      </c>
      <c r="D32" t="n">
        <v>1757600</v>
      </c>
      <c r="E32" t="n">
        <v>20933016</v>
      </c>
      <c r="F32" s="7">
        <f>(1757600-1757600)/1757600</f>
        <v/>
      </c>
      <c r="G32" s="6">
        <f>E32/SUM($E$4:$E$45)</f>
        <v/>
      </c>
    </row>
    <row r="33">
      <c r="A33" t="inlineStr">
        <is>
          <t>AMD</t>
        </is>
      </c>
      <c r="B33" t="inlineStr">
        <is>
          <t>ADVANCED MICRO DEVICES INC</t>
        </is>
      </c>
      <c r="C33" t="inlineStr">
        <is>
          <t>SH</t>
        </is>
      </c>
      <c r="D33" t="n">
        <v>99138</v>
      </c>
      <c r="E33" t="n">
        <v>20167643</v>
      </c>
      <c r="G33" s="6">
        <f>E33/SUM($E$4:$E$45)</f>
        <v/>
      </c>
      <c r="H33" t="inlineStr">
        <is>
          <t>NEW</t>
        </is>
      </c>
    </row>
    <row r="34">
      <c r="A34" t="inlineStr">
        <is>
          <t>BW</t>
        </is>
      </c>
      <c r="B34" t="inlineStr">
        <is>
          <t>BABCOCK &amp; WILCOX ENTERPRISES</t>
        </is>
      </c>
      <c r="C34" t="inlineStr">
        <is>
          <t>SH</t>
        </is>
      </c>
      <c r="D34" t="n">
        <v>1353900</v>
      </c>
      <c r="E34" t="n">
        <v>19888791</v>
      </c>
      <c r="F34" s="7">
        <f>(1353900-1353900)/1353900</f>
        <v/>
      </c>
      <c r="G34" s="6">
        <f>E34/SUM($E$4:$E$45)</f>
        <v/>
      </c>
    </row>
    <row r="35">
      <c r="A35" t="inlineStr">
        <is>
          <t>SHAZ</t>
        </is>
      </c>
      <c r="B35" t="inlineStr">
        <is>
          <t>SHARONAI HOLDINGS INC</t>
        </is>
      </c>
      <c r="C35" t="inlineStr">
        <is>
          <t>SH</t>
        </is>
      </c>
      <c r="D35" t="n">
        <v>796108</v>
      </c>
      <c r="E35" t="n">
        <v>18095535</v>
      </c>
      <c r="G35" s="6">
        <f>E35/SUM($E$4:$E$45)</f>
        <v/>
      </c>
      <c r="H35" t="inlineStr">
        <is>
          <t>NEW NEW — ticker resolved 2026-06-12: SHAZ (SharonAI Holdings, fka Roth CH Holdings de-SPAC, CIK 0002068385)</t>
        </is>
      </c>
    </row>
    <row r="36">
      <c r="A36" t="inlineStr">
        <is>
          <t>PUMP</t>
        </is>
      </c>
      <c r="B36" t="inlineStr">
        <is>
          <t>PROPETRO HLDG CORP</t>
        </is>
      </c>
      <c r="C36" t="inlineStr">
        <is>
          <t>SH</t>
        </is>
      </c>
      <c r="D36" t="n">
        <v>910300</v>
      </c>
      <c r="E36" t="n">
        <v>13117423</v>
      </c>
      <c r="F36" s="7">
        <f>(910300-910300)/910300</f>
        <v/>
      </c>
      <c r="G36" s="6">
        <f>E36/SUM($E$4:$E$45)</f>
        <v/>
      </c>
    </row>
    <row r="37">
      <c r="A37" t="inlineStr">
        <is>
          <t>SMH</t>
        </is>
      </c>
      <c r="B37" t="inlineStr">
        <is>
          <t>VANECK ETF TRUST</t>
        </is>
      </c>
      <c r="C37" t="inlineStr">
        <is>
          <t>SH</t>
        </is>
      </c>
      <c r="D37" t="n">
        <v>26950</v>
      </c>
      <c r="E37" t="n">
        <v>10332630</v>
      </c>
      <c r="G37" s="6">
        <f>E37/SUM($E$4:$E$45)</f>
        <v/>
      </c>
      <c r="H37" t="inlineStr">
        <is>
          <t>NEW</t>
        </is>
      </c>
    </row>
    <row r="38">
      <c r="A38" t="inlineStr">
        <is>
          <t>INTC</t>
        </is>
      </c>
      <c r="B38" t="inlineStr">
        <is>
          <t>INTEL CORP</t>
        </is>
      </c>
      <c r="C38" t="inlineStr">
        <is>
          <t>SH</t>
        </is>
      </c>
      <c r="D38" t="n">
        <v>202344</v>
      </c>
      <c r="E38" t="n">
        <v>8929441</v>
      </c>
      <c r="F38" s="7">
        <f>(202344-1)/1</f>
        <v/>
      </c>
      <c r="G38" s="6">
        <f>E38/SUM($E$4:$E$45)</f>
        <v/>
      </c>
    </row>
    <row r="39">
      <c r="A39" t="inlineStr">
        <is>
          <t>TSM</t>
        </is>
      </c>
      <c r="B39" t="inlineStr">
        <is>
          <t>TAIWAN SEMICONDUCTOR MANUFAC</t>
        </is>
      </c>
      <c r="C39" t="inlineStr">
        <is>
          <t>SH</t>
        </is>
      </c>
      <c r="D39" t="n">
        <v>22423</v>
      </c>
      <c r="E39" t="n">
        <v>7577853</v>
      </c>
      <c r="G39" s="6">
        <f>E39/SUM($E$4:$E$45)</f>
        <v/>
      </c>
      <c r="H39" t="inlineStr">
        <is>
          <t>NEW</t>
        </is>
      </c>
    </row>
    <row r="40">
      <c r="A40" t="inlineStr">
        <is>
          <t>INFY</t>
        </is>
      </c>
      <c r="B40" t="inlineStr">
        <is>
          <t>INFOSYS LTD</t>
        </is>
      </c>
      <c r="C40" t="inlineStr">
        <is>
          <t>Put</t>
        </is>
      </c>
      <c r="D40" t="n">
        <v>500000</v>
      </c>
      <c r="E40" t="n">
        <v>6755000</v>
      </c>
      <c r="F40" s="7">
        <f>(500000-500000)/500000</f>
        <v/>
      </c>
      <c r="G40" s="6">
        <f>E40/SUM($E$4:$E$45)</f>
        <v/>
      </c>
    </row>
    <row r="41">
      <c r="A41" t="inlineStr">
        <is>
          <t>HIVE</t>
        </is>
      </c>
      <c r="B41" t="inlineStr">
        <is>
          <t>HIVE DIGITAL TECHNOLOGIES LT</t>
        </is>
      </c>
      <c r="C41" t="inlineStr">
        <is>
          <t>SH</t>
        </is>
      </c>
      <c r="D41" t="n">
        <v>3391547</v>
      </c>
      <c r="E41" t="n">
        <v>6443939</v>
      </c>
      <c r="G41" s="6">
        <f>E41/SUM($E$4:$E$45)</f>
        <v/>
      </c>
      <c r="H41" t="inlineStr">
        <is>
          <t>NEW</t>
        </is>
      </c>
    </row>
    <row r="42">
      <c r="A42" t="inlineStr">
        <is>
          <t>ASML</t>
        </is>
      </c>
      <c r="B42" t="inlineStr">
        <is>
          <t>ASML HLDG NV N Y REGISTRY</t>
        </is>
      </c>
      <c r="C42" t="inlineStr">
        <is>
          <t>SH</t>
        </is>
      </c>
      <c r="D42" t="n">
        <v>4633</v>
      </c>
      <c r="E42" t="n">
        <v>6119405</v>
      </c>
      <c r="G42" s="6">
        <f>E42/SUM($E$4:$E$45)</f>
        <v/>
      </c>
      <c r="H42" t="inlineStr">
        <is>
          <t>NEW</t>
        </is>
      </c>
    </row>
    <row r="43">
      <c r="A43" t="inlineStr">
        <is>
          <t>MU</t>
        </is>
      </c>
      <c r="B43" t="inlineStr">
        <is>
          <t>MICRON TECHNOLOGY INC</t>
        </is>
      </c>
      <c r="C43" t="inlineStr">
        <is>
          <t>SH</t>
        </is>
      </c>
      <c r="D43" t="n">
        <v>17362</v>
      </c>
      <c r="E43" t="n">
        <v>5865578</v>
      </c>
      <c r="G43" s="6">
        <f>E43/SUM($E$4:$E$45)</f>
        <v/>
      </c>
      <c r="H43" t="inlineStr">
        <is>
          <t>NEW</t>
        </is>
      </c>
    </row>
    <row r="44">
      <c r="A44" t="inlineStr">
        <is>
          <t>GLW</t>
        </is>
      </c>
      <c r="B44" t="inlineStr">
        <is>
          <t>CORNING INC</t>
        </is>
      </c>
      <c r="C44" t="inlineStr">
        <is>
          <t>SH</t>
        </is>
      </c>
      <c r="D44" t="n">
        <v>5283</v>
      </c>
      <c r="E44" t="n">
        <v>718330</v>
      </c>
      <c r="G44" s="6">
        <f>E44/SUM($E$4:$E$45)</f>
        <v/>
      </c>
      <c r="H44" t="inlineStr">
        <is>
          <t>NEW</t>
        </is>
      </c>
    </row>
    <row r="45">
      <c r="A45" t="inlineStr">
        <is>
          <t>NVDA</t>
        </is>
      </c>
      <c r="B45" t="inlineStr">
        <is>
          <t>NVIDIA CORPORATION</t>
        </is>
      </c>
      <c r="C45" t="inlineStr">
        <is>
          <t>SH</t>
        </is>
      </c>
      <c r="D45" t="n">
        <v>2855</v>
      </c>
      <c r="E45" t="n">
        <v>497912</v>
      </c>
      <c r="G45" s="6">
        <f>E45/SUM($E$4:$E$45)</f>
        <v/>
      </c>
      <c r="H45" t="inlineStr">
        <is>
          <t>NEW</t>
        </is>
      </c>
    </row>
    <row r="46"/>
    <row r="47">
      <c r="A47" s="5" t="inlineStr">
        <is>
          <t>EXITED (held prior Q, gone now) — value shown is prior-Q value</t>
        </is>
      </c>
    </row>
    <row r="48">
      <c r="A48" t="inlineStr">
        <is>
          <t>INTC</t>
        </is>
      </c>
      <c r="B48" t="inlineStr">
        <is>
          <t>INTEL CORP</t>
        </is>
      </c>
      <c r="C48" t="inlineStr">
        <is>
          <t>Call</t>
        </is>
      </c>
      <c r="E48" t="n">
        <v>746760060</v>
      </c>
      <c r="H48" t="inlineStr">
        <is>
          <t>EXIT</t>
        </is>
      </c>
    </row>
    <row r="49">
      <c r="A49" t="inlineStr">
        <is>
          <t>LITE</t>
        </is>
      </c>
      <c r="B49" t="inlineStr">
        <is>
          <t>LUMENTUM HLDGS INC</t>
        </is>
      </c>
      <c r="C49" t="inlineStr">
        <is>
          <t>SH</t>
        </is>
      </c>
      <c r="E49" t="n">
        <v>478577256</v>
      </c>
      <c r="H49" t="inlineStr">
        <is>
          <t>EXIT</t>
        </is>
      </c>
    </row>
    <row r="50">
      <c r="A50" t="inlineStr">
        <is>
          <t>CIFR</t>
        </is>
      </c>
      <c r="B50" t="inlineStr">
        <is>
          <t>CIPHER MINING INC</t>
        </is>
      </c>
      <c r="C50" t="inlineStr">
        <is>
          <t>SH</t>
        </is>
      </c>
      <c r="E50" t="n">
        <v>154523813</v>
      </c>
      <c r="H50" t="inlineStr">
        <is>
          <t>EXIT</t>
        </is>
      </c>
    </row>
    <row r="51">
      <c r="A51" t="inlineStr">
        <is>
          <t>EQT</t>
        </is>
      </c>
      <c r="B51" t="inlineStr">
        <is>
          <t>EQT CORP</t>
        </is>
      </c>
      <c r="C51" t="inlineStr">
        <is>
          <t>SH</t>
        </is>
      </c>
      <c r="E51" t="n">
        <v>133047260</v>
      </c>
      <c r="H51" t="inlineStr">
        <is>
          <t>EXIT</t>
        </is>
      </c>
    </row>
    <row r="52">
      <c r="A52" t="inlineStr">
        <is>
          <t>COHR</t>
        </is>
      </c>
      <c r="B52" t="inlineStr">
        <is>
          <t>COHERENT CORP</t>
        </is>
      </c>
      <c r="C52" t="inlineStr">
        <is>
          <t>SH</t>
        </is>
      </c>
      <c r="E52" t="n">
        <v>88648971</v>
      </c>
      <c r="H52" t="inlineStr">
        <is>
          <t>EXIT</t>
        </is>
      </c>
    </row>
    <row r="53">
      <c r="A53" t="inlineStr">
        <is>
          <t>TSEM</t>
        </is>
      </c>
      <c r="B53" t="inlineStr">
        <is>
          <t>TOWER SEMICONDUCTOR LTD</t>
        </is>
      </c>
      <c r="C53" t="inlineStr">
        <is>
          <t>SH</t>
        </is>
      </c>
      <c r="E53" t="n">
        <v>84895130</v>
      </c>
      <c r="H53" t="inlineStr">
        <is>
          <t>EXIT</t>
        </is>
      </c>
    </row>
    <row r="54">
      <c r="A54" t="inlineStr">
        <is>
          <t>KRC</t>
        </is>
      </c>
      <c r="B54" t="inlineStr">
        <is>
          <t>KILROY RLTY CORP</t>
        </is>
      </c>
      <c r="C54" t="inlineStr">
        <is>
          <t>SH</t>
        </is>
      </c>
      <c r="E54" t="n">
        <v>49616149</v>
      </c>
      <c r="H54" t="inlineStr">
        <is>
          <t>EXIT</t>
        </is>
      </c>
    </row>
    <row r="55">
      <c r="A55" t="inlineStr">
        <is>
          <t>HUT</t>
        </is>
      </c>
      <c r="B55" t="inlineStr">
        <is>
          <t>HUT 8 CORP</t>
        </is>
      </c>
      <c r="C55" t="inlineStr">
        <is>
          <t>SH</t>
        </is>
      </c>
      <c r="E55" t="n">
        <v>39517588</v>
      </c>
      <c r="H55" t="inlineStr">
        <is>
          <t>EXIT</t>
        </is>
      </c>
    </row>
    <row r="56">
      <c r="A56" t="inlineStr">
        <is>
          <t>EQT</t>
        </is>
      </c>
      <c r="B56" t="inlineStr">
        <is>
          <t>EQT CORP</t>
        </is>
      </c>
      <c r="C56" t="inlineStr">
        <is>
          <t>Call</t>
        </is>
      </c>
      <c r="E56" t="n">
        <v>37520000</v>
      </c>
      <c r="H56" t="inlineStr">
        <is>
          <t>EXIT</t>
        </is>
      </c>
    </row>
    <row r="57">
      <c r="A57" t="inlineStr">
        <is>
          <t>LBRT</t>
        </is>
      </c>
      <c r="B57" t="inlineStr">
        <is>
          <t>LIBERTY ENERGY INC</t>
        </is>
      </c>
      <c r="C57" t="inlineStr">
        <is>
          <t>SH</t>
        </is>
      </c>
      <c r="E57" t="n">
        <v>10470512</v>
      </c>
      <c r="H57" t="inlineStr">
        <is>
          <t>EXIT</t>
        </is>
      </c>
    </row>
    <row r="58"/>
    <row r="59">
      <c r="A59" s="5" t="inlineStr">
        <is>
          <t>TOP ADDS / TRIMS (continuing positions, by |Δ$ value|; Δ$ in col E, Δshares % in col F)</t>
        </is>
      </c>
    </row>
    <row r="60">
      <c r="A60" t="inlineStr">
        <is>
          <t>CRWV</t>
        </is>
      </c>
      <c r="C60" t="inlineStr">
        <is>
          <t>Call</t>
        </is>
      </c>
      <c r="D60" t="n">
        <v>-9000000</v>
      </c>
      <c r="E60" t="n">
        <v>-633857030</v>
      </c>
      <c r="F60" s="7" t="n">
        <v>-0.8322160062878543</v>
      </c>
    </row>
    <row r="61">
      <c r="A61" t="inlineStr">
        <is>
          <t>SNDK</t>
        </is>
      </c>
      <c r="C61" t="inlineStr">
        <is>
          <t>SH</t>
        </is>
      </c>
      <c r="D61" t="n">
        <v>85919</v>
      </c>
      <c r="E61" t="n">
        <v>474117209</v>
      </c>
      <c r="F61" s="7" t="n">
        <v>0.08150161259723013</v>
      </c>
    </row>
    <row r="62">
      <c r="A62" t="inlineStr">
        <is>
          <t>CRWV</t>
        </is>
      </c>
      <c r="C62" t="inlineStr">
        <is>
          <t>SH</t>
        </is>
      </c>
      <c r="D62" t="n">
        <v>1079107</v>
      </c>
      <c r="E62" t="n">
        <v>119337458</v>
      </c>
      <c r="F62" s="7" t="n">
        <v>0.1769372461390841</v>
      </c>
    </row>
    <row r="63">
      <c r="A63" t="inlineStr">
        <is>
          <t>CLSK</t>
        </is>
      </c>
      <c r="C63" t="inlineStr">
        <is>
          <t>SH</t>
        </is>
      </c>
      <c r="D63" t="n">
        <v>10635739</v>
      </c>
      <c r="E63" t="n">
        <v>87869095</v>
      </c>
      <c r="F63" s="7" t="n">
        <v>6.483625335284077</v>
      </c>
    </row>
    <row r="64">
      <c r="A64" t="inlineStr">
        <is>
          <t>IREN</t>
        </is>
      </c>
      <c r="C64" t="inlineStr">
        <is>
          <t>SH</t>
        </is>
      </c>
      <c r="D64" t="n">
        <v>2998214</v>
      </c>
      <c r="E64" t="n">
        <v>72413609</v>
      </c>
      <c r="F64" s="7" t="n">
        <v>0.3445977017042807</v>
      </c>
    </row>
    <row r="65">
      <c r="A65" t="inlineStr">
        <is>
          <t>RIOT</t>
        </is>
      </c>
      <c r="C65" t="inlineStr">
        <is>
          <t>SH</t>
        </is>
      </c>
      <c r="D65" t="n">
        <v>5334437</v>
      </c>
      <c r="E65" t="n">
        <v>64021654</v>
      </c>
      <c r="F65" s="7" t="n">
        <v>0.8648989088314931</v>
      </c>
    </row>
    <row r="66">
      <c r="A66" t="inlineStr">
        <is>
          <t>APLD</t>
        </is>
      </c>
      <c r="C66" t="inlineStr">
        <is>
          <t>SH</t>
        </is>
      </c>
      <c r="D66" t="n">
        <v>2139378</v>
      </c>
      <c r="E66" t="n">
        <v>41944367</v>
      </c>
      <c r="F66" s="7" t="n">
        <v>0.1886733115443432</v>
      </c>
    </row>
    <row r="67">
      <c r="A67" t="inlineStr">
        <is>
          <t>CORZ</t>
        </is>
      </c>
      <c r="C67" t="inlineStr">
        <is>
          <t>SH</t>
        </is>
      </c>
      <c r="D67" t="n">
        <v>-2748005</v>
      </c>
      <c r="E67" t="n">
        <v>-29607564</v>
      </c>
      <c r="F67" s="7" t="n">
        <v>-0.09556125058152115</v>
      </c>
    </row>
    <row r="68">
      <c r="A68" t="inlineStr">
        <is>
          <t>SEI</t>
        </is>
      </c>
      <c r="C68" t="inlineStr">
        <is>
          <t>SH</t>
        </is>
      </c>
      <c r="D68" t="n">
        <v>-760949</v>
      </c>
      <c r="E68" t="n">
        <v>-23328318</v>
      </c>
      <c r="F68" s="7" t="n">
        <v>-0.4076876506830967</v>
      </c>
    </row>
    <row r="69">
      <c r="A69" t="inlineStr">
        <is>
          <t>KEEL</t>
        </is>
      </c>
      <c r="C69" t="inlineStr">
        <is>
          <t>SH</t>
        </is>
      </c>
      <c r="D69" t="n">
        <v>12978740</v>
      </c>
      <c r="E69" t="n">
        <v>22549703</v>
      </c>
      <c r="F69" s="7" t="n">
        <v>1.881767699467892</v>
      </c>
    </row>
    <row r="70">
      <c r="A70" t="inlineStr">
        <is>
          <t>BTDR</t>
        </is>
      </c>
      <c r="C70" t="inlineStr">
        <is>
          <t>SH</t>
        </is>
      </c>
      <c r="D70" t="n">
        <v>1651450</v>
      </c>
      <c r="E70" t="n">
        <v>9707763</v>
      </c>
      <c r="F70" s="7" t="n">
        <v>0.9236297539149888</v>
      </c>
    </row>
    <row r="71">
      <c r="A71" t="inlineStr">
        <is>
          <t>INTC</t>
        </is>
      </c>
      <c r="C71" t="inlineStr">
        <is>
          <t>SH</t>
        </is>
      </c>
      <c r="D71" t="n">
        <v>202343</v>
      </c>
      <c r="E71" t="n">
        <v>8929404</v>
      </c>
      <c r="F71" s="7" t="n">
        <v>202343</v>
      </c>
    </row>
    <row r="72">
      <c r="A72" t="inlineStr">
        <is>
          <t>BE</t>
        </is>
      </c>
      <c r="C72" t="inlineStr">
        <is>
          <t>SH</t>
        </is>
      </c>
      <c r="D72" t="n">
        <v>-3590614</v>
      </c>
      <c r="E72" t="n">
        <v>3202378</v>
      </c>
      <c r="F72" s="7" t="n">
        <v>-0.3563523382541245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2026-06-12T21:33:18Z</dcterms:modified>
</cp:coreProperties>
</file>